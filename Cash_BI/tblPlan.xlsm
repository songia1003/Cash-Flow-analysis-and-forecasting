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Cash_BI\"/>
    </mc:Choice>
  </mc:AlternateContent>
  <bookViews>
    <workbookView xWindow="-105" yWindow="735" windowWidth="23250" windowHeight="11730"/>
  </bookViews>
  <sheets>
    <sheet name="input" sheetId="38" r:id="rId1"/>
    <sheet name="items_lookup" sheetId="41" r:id="rId2"/>
  </sheets>
  <functionGroups builtInGroupCount="18"/>
  <externalReferences>
    <externalReference r:id="rId3"/>
  </externalReferences>
  <definedNames>
    <definedName name="_xlnm._FilterDatabase" localSheetId="0" hidden="1">input!$A$1:$AD$279</definedName>
    <definedName name="_xlnm._FilterDatabase" localSheetId="1" hidden="1">items_lookup!$A$1:$P$52</definedName>
    <definedName name="Год" localSheetId="0">#REF!</definedName>
    <definedName name="Год" localSheetId="1">#REF!</definedName>
    <definedName name="Год">#REF!</definedName>
    <definedName name="ДОО" localSheetId="0">#REF!</definedName>
    <definedName name="ДОО" localSheetId="1">#REF!</definedName>
    <definedName name="ДОО">#REF!</definedName>
    <definedName name="_xlnm.Print_Titles" localSheetId="0">input!#REF!</definedName>
    <definedName name="_xlnm.Print_Area" localSheetId="0">input!#REF!</definedName>
  </definedNames>
  <calcPr calcId="152511"/>
</workbook>
</file>

<file path=xl/calcChain.xml><?xml version="1.0" encoding="utf-8"?>
<calcChain xmlns="http://schemas.openxmlformats.org/spreadsheetml/2006/main">
  <c r="X16" i="38" l="1"/>
  <c r="X17" i="38"/>
  <c r="X20" i="38"/>
  <c r="X21" i="38"/>
  <c r="X31" i="38"/>
  <c r="X32" i="38"/>
  <c r="X39" i="38"/>
  <c r="X40" i="38"/>
  <c r="X43" i="38"/>
  <c r="X44" i="38"/>
  <c r="X54" i="38"/>
  <c r="X55" i="38"/>
  <c r="X62" i="38"/>
  <c r="X63" i="38"/>
  <c r="X66" i="38"/>
  <c r="X67" i="38"/>
  <c r="X77" i="38"/>
  <c r="X78" i="38"/>
  <c r="X85" i="38"/>
  <c r="X86" i="38"/>
  <c r="X89" i="38"/>
  <c r="X90" i="38"/>
  <c r="X100" i="38"/>
  <c r="X101" i="38"/>
  <c r="X108" i="38"/>
  <c r="X109" i="38"/>
  <c r="X112" i="38"/>
  <c r="X113" i="38"/>
  <c r="X123" i="38"/>
  <c r="X124" i="38"/>
  <c r="X131" i="38"/>
  <c r="X132" i="38"/>
  <c r="X135" i="38"/>
  <c r="X136" i="38"/>
  <c r="X146" i="38"/>
  <c r="X147" i="38"/>
  <c r="X154" i="38"/>
  <c r="X155" i="38"/>
  <c r="X158" i="38"/>
  <c r="X159" i="38"/>
  <c r="X169" i="38"/>
  <c r="X170" i="38"/>
  <c r="X177" i="38"/>
  <c r="X178" i="38"/>
  <c r="X181" i="38"/>
  <c r="X182" i="38"/>
  <c r="X192" i="38"/>
  <c r="X193" i="38"/>
  <c r="X200" i="38"/>
  <c r="X201" i="38"/>
  <c r="X204" i="38"/>
  <c r="X205" i="38"/>
  <c r="X215" i="38"/>
  <c r="X216" i="38"/>
  <c r="X223" i="38"/>
  <c r="X224" i="38"/>
  <c r="X227" i="38"/>
  <c r="X228" i="38"/>
  <c r="X238" i="38"/>
  <c r="X239" i="38"/>
  <c r="X246" i="38"/>
  <c r="X247" i="38"/>
  <c r="X250" i="38"/>
  <c r="X251" i="38"/>
  <c r="X261" i="38"/>
  <c r="X262" i="38"/>
  <c r="X269" i="38"/>
  <c r="X270" i="38"/>
  <c r="X273" i="38"/>
  <c r="X274" i="38"/>
  <c r="X9" i="38"/>
  <c r="X8" i="38"/>
  <c r="X3" i="38"/>
  <c r="X4" i="38"/>
  <c r="X5" i="38"/>
  <c r="X6" i="38"/>
  <c r="X7" i="38"/>
  <c r="X10" i="38"/>
  <c r="X11" i="38"/>
  <c r="X12" i="38"/>
  <c r="X13" i="38"/>
  <c r="X14" i="38"/>
  <c r="X15" i="38"/>
  <c r="X18" i="38"/>
  <c r="X19" i="38"/>
  <c r="X22" i="38"/>
  <c r="X23" i="38"/>
  <c r="X24" i="38"/>
  <c r="X25" i="38"/>
  <c r="X26" i="38"/>
  <c r="X27" i="38"/>
  <c r="X28" i="38"/>
  <c r="X29" i="38"/>
  <c r="X30" i="38"/>
  <c r="X33" i="38"/>
  <c r="X34" i="38"/>
  <c r="X35" i="38"/>
  <c r="X36" i="38"/>
  <c r="X37" i="38"/>
  <c r="X38" i="38"/>
  <c r="X41" i="38"/>
  <c r="X42" i="38"/>
  <c r="X45" i="38"/>
  <c r="X46" i="38"/>
  <c r="X47" i="38"/>
  <c r="X48" i="38"/>
  <c r="X49" i="38"/>
  <c r="X50" i="38"/>
  <c r="X51" i="38"/>
  <c r="X52" i="38"/>
  <c r="X53" i="38"/>
  <c r="X56" i="38"/>
  <c r="X57" i="38"/>
  <c r="X58" i="38"/>
  <c r="X59" i="38"/>
  <c r="X60" i="38"/>
  <c r="X61" i="38"/>
  <c r="X64" i="38"/>
  <c r="X65" i="38"/>
  <c r="X68" i="38"/>
  <c r="X69" i="38"/>
  <c r="X70" i="38"/>
  <c r="X71" i="38"/>
  <c r="X72" i="38"/>
  <c r="X73" i="38"/>
  <c r="X74" i="38"/>
  <c r="X75" i="38"/>
  <c r="X76" i="38"/>
  <c r="X79" i="38"/>
  <c r="X80" i="38"/>
  <c r="X81" i="38"/>
  <c r="X82" i="38"/>
  <c r="X83" i="38"/>
  <c r="X84" i="38"/>
  <c r="X87" i="38"/>
  <c r="X88" i="38"/>
  <c r="X91" i="38"/>
  <c r="X92" i="38"/>
  <c r="X93" i="38"/>
  <c r="X94" i="38"/>
  <c r="X95" i="38"/>
  <c r="X96" i="38"/>
  <c r="X97" i="38"/>
  <c r="X98" i="38"/>
  <c r="X99" i="38"/>
  <c r="X102" i="38"/>
  <c r="X103" i="38"/>
  <c r="X104" i="38"/>
  <c r="X105" i="38"/>
  <c r="X106" i="38"/>
  <c r="X107" i="38"/>
  <c r="X110" i="38"/>
  <c r="X111" i="38"/>
  <c r="X114" i="38"/>
  <c r="X115" i="38"/>
  <c r="X116" i="38"/>
  <c r="X117" i="38"/>
  <c r="X118" i="38"/>
  <c r="X119" i="38"/>
  <c r="X120" i="38"/>
  <c r="X121" i="38"/>
  <c r="X122" i="38"/>
  <c r="X125" i="38"/>
  <c r="X126" i="38"/>
  <c r="X127" i="38"/>
  <c r="X128" i="38"/>
  <c r="X129" i="38"/>
  <c r="X130" i="38"/>
  <c r="X133" i="38"/>
  <c r="X134" i="38"/>
  <c r="X137" i="38"/>
  <c r="X138" i="38"/>
  <c r="X139" i="38"/>
  <c r="X140" i="38"/>
  <c r="X141" i="38"/>
  <c r="X142" i="38"/>
  <c r="X143" i="38"/>
  <c r="X144" i="38"/>
  <c r="X145" i="38"/>
  <c r="X148" i="38"/>
  <c r="X149" i="38"/>
  <c r="X150" i="38"/>
  <c r="X151" i="38"/>
  <c r="X152" i="38"/>
  <c r="X153" i="38"/>
  <c r="X156" i="38"/>
  <c r="X157" i="38"/>
  <c r="X160" i="38"/>
  <c r="X161" i="38"/>
  <c r="X162" i="38"/>
  <c r="X163" i="38"/>
  <c r="X164" i="38"/>
  <c r="X165" i="38"/>
  <c r="X166" i="38"/>
  <c r="X167" i="38"/>
  <c r="X168" i="38"/>
  <c r="X171" i="38"/>
  <c r="X172" i="38"/>
  <c r="X173" i="38"/>
  <c r="X174" i="38"/>
  <c r="X175" i="38"/>
  <c r="X176" i="38"/>
  <c r="X179" i="38"/>
  <c r="X180" i="38"/>
  <c r="X183" i="38"/>
  <c r="X184" i="38"/>
  <c r="X185" i="38"/>
  <c r="X186" i="38"/>
  <c r="X187" i="38"/>
  <c r="X188" i="38"/>
  <c r="X189" i="38"/>
  <c r="X190" i="38"/>
  <c r="X191" i="38"/>
  <c r="X194" i="38"/>
  <c r="X195" i="38"/>
  <c r="X196" i="38"/>
  <c r="X197" i="38"/>
  <c r="X198" i="38"/>
  <c r="X199" i="38"/>
  <c r="X202" i="38"/>
  <c r="X203" i="38"/>
  <c r="X206" i="38"/>
  <c r="X207" i="38"/>
  <c r="X208" i="38"/>
  <c r="X209" i="38"/>
  <c r="X210" i="38"/>
  <c r="X211" i="38"/>
  <c r="X212" i="38"/>
  <c r="X213" i="38"/>
  <c r="X214" i="38"/>
  <c r="X217" i="38"/>
  <c r="X218" i="38"/>
  <c r="X219" i="38"/>
  <c r="X220" i="38"/>
  <c r="X221" i="38"/>
  <c r="X222" i="38"/>
  <c r="X225" i="38"/>
  <c r="X226" i="38"/>
  <c r="X229" i="38"/>
  <c r="X230" i="38"/>
  <c r="X231" i="38"/>
  <c r="X232" i="38"/>
  <c r="X233" i="38"/>
  <c r="X234" i="38"/>
  <c r="X235" i="38"/>
  <c r="X236" i="38"/>
  <c r="X237" i="38"/>
  <c r="X240" i="38"/>
  <c r="X241" i="38"/>
  <c r="X242" i="38"/>
  <c r="X243" i="38"/>
  <c r="X244" i="38"/>
  <c r="X245" i="38"/>
  <c r="X248" i="38"/>
  <c r="X249" i="38"/>
  <c r="X252" i="38"/>
  <c r="X253" i="38"/>
  <c r="X254" i="38"/>
  <c r="X255" i="38"/>
  <c r="X256" i="38"/>
  <c r="X257" i="38"/>
  <c r="X258" i="38"/>
  <c r="X259" i="38"/>
  <c r="X260" i="38"/>
  <c r="X263" i="38"/>
  <c r="X264" i="38"/>
  <c r="X265" i="38"/>
  <c r="X266" i="38"/>
  <c r="X267" i="38"/>
  <c r="X268" i="38"/>
  <c r="X271" i="38"/>
  <c r="X272" i="38"/>
  <c r="X275" i="38"/>
  <c r="X276" i="38"/>
  <c r="X277" i="38"/>
  <c r="X278" i="38"/>
  <c r="X2" i="38"/>
  <c r="AB278" i="38"/>
  <c r="AA278" i="38"/>
  <c r="AC278" i="38" s="1"/>
  <c r="Z278" i="38"/>
  <c r="Y278" i="38"/>
  <c r="AB277" i="38"/>
  <c r="AA277" i="38"/>
  <c r="AC277" i="38" s="1"/>
  <c r="Z277" i="38"/>
  <c r="Y277" i="38"/>
  <c r="AB276" i="38"/>
  <c r="AA276" i="38"/>
  <c r="AC276" i="38" s="1"/>
  <c r="Z276" i="38"/>
  <c r="Y276" i="38"/>
  <c r="AB275" i="38"/>
  <c r="AA275" i="38"/>
  <c r="AC275" i="38" s="1"/>
  <c r="Z275" i="38"/>
  <c r="Y275" i="38"/>
  <c r="AB274" i="38"/>
  <c r="AA274" i="38"/>
  <c r="AC274" i="38" s="1"/>
  <c r="Z274" i="38"/>
  <c r="Y274" i="38"/>
  <c r="AB273" i="38"/>
  <c r="AA273" i="38"/>
  <c r="AC273" i="38" s="1"/>
  <c r="Z273" i="38"/>
  <c r="Y273" i="38"/>
  <c r="AB272" i="38"/>
  <c r="AA272" i="38"/>
  <c r="AC272" i="38" s="1"/>
  <c r="Z272" i="38"/>
  <c r="Y272" i="38"/>
  <c r="AB271" i="38"/>
  <c r="AA271" i="38"/>
  <c r="AC271" i="38" s="1"/>
  <c r="Z271" i="38"/>
  <c r="Y271" i="38"/>
  <c r="AB270" i="38"/>
  <c r="AA270" i="38"/>
  <c r="AC270" i="38" s="1"/>
  <c r="Z270" i="38"/>
  <c r="Y270" i="38"/>
  <c r="AB269" i="38"/>
  <c r="AA269" i="38"/>
  <c r="AC269" i="38" s="1"/>
  <c r="Z269" i="38"/>
  <c r="Y269" i="38"/>
  <c r="AB268" i="38"/>
  <c r="AA268" i="38"/>
  <c r="AC268" i="38" s="1"/>
  <c r="Z268" i="38"/>
  <c r="Y268" i="38"/>
  <c r="AB267" i="38"/>
  <c r="AA267" i="38"/>
  <c r="AC267" i="38" s="1"/>
  <c r="Z267" i="38"/>
  <c r="Y267" i="38"/>
  <c r="AB266" i="38"/>
  <c r="AA266" i="38"/>
  <c r="AC266" i="38" s="1"/>
  <c r="Z266" i="38"/>
  <c r="Y266" i="38"/>
  <c r="AB265" i="38"/>
  <c r="AA265" i="38"/>
  <c r="AC265" i="38" s="1"/>
  <c r="Z265" i="38"/>
  <c r="Y265" i="38"/>
  <c r="AB264" i="38"/>
  <c r="AA264" i="38"/>
  <c r="AC264" i="38" s="1"/>
  <c r="Z264" i="38"/>
  <c r="Y264" i="38"/>
  <c r="AB263" i="38"/>
  <c r="AA263" i="38"/>
  <c r="AC263" i="38" s="1"/>
  <c r="Z263" i="38"/>
  <c r="Y263" i="38"/>
  <c r="AB262" i="38"/>
  <c r="AA262" i="38"/>
  <c r="AC262" i="38" s="1"/>
  <c r="Z262" i="38"/>
  <c r="Y262" i="38"/>
  <c r="AB261" i="38"/>
  <c r="AA261" i="38"/>
  <c r="AC261" i="38" s="1"/>
  <c r="Z261" i="38"/>
  <c r="Y261" i="38"/>
  <c r="AB260" i="38"/>
  <c r="AA260" i="38"/>
  <c r="AC260" i="38" s="1"/>
  <c r="Z260" i="38"/>
  <c r="Y260" i="38"/>
  <c r="AB259" i="38"/>
  <c r="AA259" i="38"/>
  <c r="AC259" i="38" s="1"/>
  <c r="Z259" i="38"/>
  <c r="Y259" i="38"/>
  <c r="AB258" i="38"/>
  <c r="AA258" i="38"/>
  <c r="AC258" i="38" s="1"/>
  <c r="Z258" i="38"/>
  <c r="Y258" i="38"/>
  <c r="AB257" i="38"/>
  <c r="AA257" i="38"/>
  <c r="AC257" i="38" s="1"/>
  <c r="Z257" i="38"/>
  <c r="Y257" i="38"/>
  <c r="AB256" i="38"/>
  <c r="AA256" i="38"/>
  <c r="AC256" i="38" s="1"/>
  <c r="Z256" i="38"/>
  <c r="Y256" i="38"/>
  <c r="AB255" i="38"/>
  <c r="AA255" i="38"/>
  <c r="AC255" i="38" s="1"/>
  <c r="Z255" i="38"/>
  <c r="Y255" i="38"/>
  <c r="AB254" i="38"/>
  <c r="AA254" i="38"/>
  <c r="AC254" i="38" s="1"/>
  <c r="Z254" i="38"/>
  <c r="Y254" i="38"/>
  <c r="AB253" i="38"/>
  <c r="AA253" i="38"/>
  <c r="AC253" i="38" s="1"/>
  <c r="Z253" i="38"/>
  <c r="Y253" i="38"/>
  <c r="AB252" i="38"/>
  <c r="AA252" i="38"/>
  <c r="AC252" i="38" s="1"/>
  <c r="Z252" i="38"/>
  <c r="Y252" i="38"/>
  <c r="AB251" i="38"/>
  <c r="AA251" i="38"/>
  <c r="AC251" i="38" s="1"/>
  <c r="Z251" i="38"/>
  <c r="Y251" i="38"/>
  <c r="AB250" i="38"/>
  <c r="AA250" i="38"/>
  <c r="AC250" i="38" s="1"/>
  <c r="Z250" i="38"/>
  <c r="Y250" i="38"/>
  <c r="AB249" i="38"/>
  <c r="AA249" i="38"/>
  <c r="AC249" i="38" s="1"/>
  <c r="Z249" i="38"/>
  <c r="Y249" i="38"/>
  <c r="AB248" i="38"/>
  <c r="AA248" i="38"/>
  <c r="AC248" i="38" s="1"/>
  <c r="Z248" i="38"/>
  <c r="Y248" i="38"/>
  <c r="AB247" i="38"/>
  <c r="AA247" i="38"/>
  <c r="AC247" i="38" s="1"/>
  <c r="Z247" i="38"/>
  <c r="Y247" i="38"/>
  <c r="AB246" i="38"/>
  <c r="AA246" i="38"/>
  <c r="AC246" i="38" s="1"/>
  <c r="Z246" i="38"/>
  <c r="Y246" i="38"/>
  <c r="AB245" i="38"/>
  <c r="AA245" i="38"/>
  <c r="AC245" i="38" s="1"/>
  <c r="Z245" i="38"/>
  <c r="Y245" i="38"/>
  <c r="AB244" i="38"/>
  <c r="AA244" i="38"/>
  <c r="AC244" i="38" s="1"/>
  <c r="Z244" i="38"/>
  <c r="Y244" i="38"/>
  <c r="AB243" i="38"/>
  <c r="AA243" i="38"/>
  <c r="AC243" i="38" s="1"/>
  <c r="Z243" i="38"/>
  <c r="Y243" i="38"/>
  <c r="AB242" i="38"/>
  <c r="AA242" i="38"/>
  <c r="AC242" i="38" s="1"/>
  <c r="Z242" i="38"/>
  <c r="Y242" i="38"/>
  <c r="AB241" i="38"/>
  <c r="AA241" i="38"/>
  <c r="AC241" i="38" s="1"/>
  <c r="Z241" i="38"/>
  <c r="Y241" i="38"/>
  <c r="AB240" i="38"/>
  <c r="AA240" i="38"/>
  <c r="AC240" i="38" s="1"/>
  <c r="Z240" i="38"/>
  <c r="Y240" i="38"/>
  <c r="AB239" i="38"/>
  <c r="AA239" i="38"/>
  <c r="AC239" i="38" s="1"/>
  <c r="Z239" i="38"/>
  <c r="Y239" i="38"/>
  <c r="AB238" i="38"/>
  <c r="AA238" i="38"/>
  <c r="AC238" i="38" s="1"/>
  <c r="Z238" i="38"/>
  <c r="Y238" i="38"/>
  <c r="AB237" i="38"/>
  <c r="AA237" i="38"/>
  <c r="AC237" i="38" s="1"/>
  <c r="Z237" i="38"/>
  <c r="Y237" i="38"/>
  <c r="AB236" i="38"/>
  <c r="AA236" i="38"/>
  <c r="AC236" i="38" s="1"/>
  <c r="Z236" i="38"/>
  <c r="Y236" i="38"/>
  <c r="AB235" i="38"/>
  <c r="AA235" i="38"/>
  <c r="AC235" i="38" s="1"/>
  <c r="Z235" i="38"/>
  <c r="Y235" i="38"/>
  <c r="AB234" i="38"/>
  <c r="AA234" i="38"/>
  <c r="AC234" i="38" s="1"/>
  <c r="Z234" i="38"/>
  <c r="Y234" i="38"/>
  <c r="AB233" i="38"/>
  <c r="AA233" i="38"/>
  <c r="AC233" i="38" s="1"/>
  <c r="Z233" i="38"/>
  <c r="Y233" i="38"/>
  <c r="AB232" i="38"/>
  <c r="AA232" i="38"/>
  <c r="AC232" i="38" s="1"/>
  <c r="Z232" i="38"/>
  <c r="Y232" i="38"/>
  <c r="AB231" i="38"/>
  <c r="AA231" i="38"/>
  <c r="AC231" i="38" s="1"/>
  <c r="Z231" i="38"/>
  <c r="Y231" i="38"/>
  <c r="AB230" i="38"/>
  <c r="AA230" i="38"/>
  <c r="AC230" i="38" s="1"/>
  <c r="Z230" i="38"/>
  <c r="Y230" i="38"/>
  <c r="AB229" i="38"/>
  <c r="AA229" i="38"/>
  <c r="AC229" i="38" s="1"/>
  <c r="Z229" i="38"/>
  <c r="Y229" i="38"/>
  <c r="AB228" i="38"/>
  <c r="AA228" i="38"/>
  <c r="AC228" i="38" s="1"/>
  <c r="Z228" i="38"/>
  <c r="Y228" i="38"/>
  <c r="AB227" i="38"/>
  <c r="AA227" i="38"/>
  <c r="AC227" i="38" s="1"/>
  <c r="Z227" i="38"/>
  <c r="Y227" i="38"/>
  <c r="AB226" i="38"/>
  <c r="AA226" i="38"/>
  <c r="AC226" i="38" s="1"/>
  <c r="Z226" i="38"/>
  <c r="Y226" i="38"/>
  <c r="AB225" i="38"/>
  <c r="AA225" i="38"/>
  <c r="AC225" i="38" s="1"/>
  <c r="Z225" i="38"/>
  <c r="Y225" i="38"/>
  <c r="AB224" i="38"/>
  <c r="AA224" i="38"/>
  <c r="AC224" i="38" s="1"/>
  <c r="Z224" i="38"/>
  <c r="Y224" i="38"/>
  <c r="AB223" i="38"/>
  <c r="AA223" i="38"/>
  <c r="AC223" i="38" s="1"/>
  <c r="Z223" i="38"/>
  <c r="Y223" i="38"/>
  <c r="AB222" i="38"/>
  <c r="AA222" i="38"/>
  <c r="AC222" i="38" s="1"/>
  <c r="Z222" i="38"/>
  <c r="Y222" i="38"/>
  <c r="AB221" i="38"/>
  <c r="AA221" i="38"/>
  <c r="AC221" i="38" s="1"/>
  <c r="Z221" i="38"/>
  <c r="Y221" i="38"/>
  <c r="AB220" i="38"/>
  <c r="AA220" i="38"/>
  <c r="AC220" i="38" s="1"/>
  <c r="Z220" i="38"/>
  <c r="Y220" i="38"/>
  <c r="AB219" i="38"/>
  <c r="AA219" i="38"/>
  <c r="AC219" i="38" s="1"/>
  <c r="Z219" i="38"/>
  <c r="Y219" i="38"/>
  <c r="AB218" i="38"/>
  <c r="AA218" i="38"/>
  <c r="AC218" i="38" s="1"/>
  <c r="Z218" i="38"/>
  <c r="Y218" i="38"/>
  <c r="AB217" i="38"/>
  <c r="AA217" i="38"/>
  <c r="AC217" i="38" s="1"/>
  <c r="Z217" i="38"/>
  <c r="Y217" i="38"/>
  <c r="AB216" i="38"/>
  <c r="AA216" i="38"/>
  <c r="AC216" i="38" s="1"/>
  <c r="Z216" i="38"/>
  <c r="Y216" i="38"/>
  <c r="AB215" i="38"/>
  <c r="AA215" i="38"/>
  <c r="AC215" i="38" s="1"/>
  <c r="Z215" i="38"/>
  <c r="Y215" i="38"/>
  <c r="AB214" i="38"/>
  <c r="AA214" i="38"/>
  <c r="AC214" i="38" s="1"/>
  <c r="Z214" i="38"/>
  <c r="Y214" i="38"/>
  <c r="AB213" i="38"/>
  <c r="AA213" i="38"/>
  <c r="AC213" i="38" s="1"/>
  <c r="Z213" i="38"/>
  <c r="Y213" i="38"/>
  <c r="AB212" i="38"/>
  <c r="AA212" i="38"/>
  <c r="AC212" i="38" s="1"/>
  <c r="Z212" i="38"/>
  <c r="Y212" i="38"/>
  <c r="AB211" i="38"/>
  <c r="AA211" i="38"/>
  <c r="AC211" i="38" s="1"/>
  <c r="Z211" i="38"/>
  <c r="Y211" i="38"/>
  <c r="AB210" i="38"/>
  <c r="AA210" i="38"/>
  <c r="AC210" i="38" s="1"/>
  <c r="Z210" i="38"/>
  <c r="Y210" i="38"/>
  <c r="AB209" i="38"/>
  <c r="AA209" i="38"/>
  <c r="AC209" i="38" s="1"/>
  <c r="Z209" i="38"/>
  <c r="Y209" i="38"/>
  <c r="AB208" i="38"/>
  <c r="AA208" i="38"/>
  <c r="AC208" i="38" s="1"/>
  <c r="Z208" i="38"/>
  <c r="Y208" i="38"/>
  <c r="AB207" i="38"/>
  <c r="AA207" i="38"/>
  <c r="AC207" i="38" s="1"/>
  <c r="Z207" i="38"/>
  <c r="Y207" i="38"/>
  <c r="AB206" i="38"/>
  <c r="AA206" i="38"/>
  <c r="AC206" i="38" s="1"/>
  <c r="Z206" i="38"/>
  <c r="Y206" i="38"/>
  <c r="AB205" i="38"/>
  <c r="AA205" i="38"/>
  <c r="AC205" i="38" s="1"/>
  <c r="Z205" i="38"/>
  <c r="Y205" i="38"/>
  <c r="AB204" i="38"/>
  <c r="AA204" i="38"/>
  <c r="AC204" i="38" s="1"/>
  <c r="Z204" i="38"/>
  <c r="Y204" i="38"/>
  <c r="AB203" i="38"/>
  <c r="AA203" i="38"/>
  <c r="AC203" i="38" s="1"/>
  <c r="Z203" i="38"/>
  <c r="Y203" i="38"/>
  <c r="AB202" i="38"/>
  <c r="AA202" i="38"/>
  <c r="AC202" i="38" s="1"/>
  <c r="Z202" i="38"/>
  <c r="Y202" i="38"/>
  <c r="AB201" i="38"/>
  <c r="AA201" i="38"/>
  <c r="AC201" i="38" s="1"/>
  <c r="Z201" i="38"/>
  <c r="Y201" i="38"/>
  <c r="AB200" i="38"/>
  <c r="AA200" i="38"/>
  <c r="AC200" i="38" s="1"/>
  <c r="Z200" i="38"/>
  <c r="Y200" i="38"/>
  <c r="AB199" i="38"/>
  <c r="AA199" i="38"/>
  <c r="AC199" i="38" s="1"/>
  <c r="Z199" i="38"/>
  <c r="Y199" i="38"/>
  <c r="AB198" i="38"/>
  <c r="AA198" i="38"/>
  <c r="AC198" i="38" s="1"/>
  <c r="Z198" i="38"/>
  <c r="Y198" i="38"/>
  <c r="AB197" i="38"/>
  <c r="AA197" i="38"/>
  <c r="AC197" i="38" s="1"/>
  <c r="Z197" i="38"/>
  <c r="Y197" i="38"/>
  <c r="AB196" i="38"/>
  <c r="AA196" i="38"/>
  <c r="AC196" i="38" s="1"/>
  <c r="Z196" i="38"/>
  <c r="Y196" i="38"/>
  <c r="AB195" i="38"/>
  <c r="AA195" i="38"/>
  <c r="AC195" i="38" s="1"/>
  <c r="Z195" i="38"/>
  <c r="Y195" i="38"/>
  <c r="AB194" i="38"/>
  <c r="AA194" i="38"/>
  <c r="AC194" i="38" s="1"/>
  <c r="Z194" i="38"/>
  <c r="Y194" i="38"/>
  <c r="AB193" i="38"/>
  <c r="AA193" i="38"/>
  <c r="AC193" i="38" s="1"/>
  <c r="Z193" i="38"/>
  <c r="Y193" i="38"/>
  <c r="AB192" i="38"/>
  <c r="AA192" i="38"/>
  <c r="AC192" i="38" s="1"/>
  <c r="Z192" i="38"/>
  <c r="Y192" i="38"/>
  <c r="AB191" i="38"/>
  <c r="AA191" i="38"/>
  <c r="AC191" i="38" s="1"/>
  <c r="Z191" i="38"/>
  <c r="Y191" i="38"/>
  <c r="AB190" i="38"/>
  <c r="AA190" i="38"/>
  <c r="AC190" i="38" s="1"/>
  <c r="Z190" i="38"/>
  <c r="Y190" i="38"/>
  <c r="AB189" i="38"/>
  <c r="AA189" i="38"/>
  <c r="AC189" i="38" s="1"/>
  <c r="Z189" i="38"/>
  <c r="Y189" i="38"/>
  <c r="AB188" i="38"/>
  <c r="AA188" i="38"/>
  <c r="AC188" i="38" s="1"/>
  <c r="Z188" i="38"/>
  <c r="Y188" i="38"/>
  <c r="AB187" i="38"/>
  <c r="AA187" i="38"/>
  <c r="AC187" i="38" s="1"/>
  <c r="Z187" i="38"/>
  <c r="Y187" i="38"/>
  <c r="AB186" i="38"/>
  <c r="AA186" i="38"/>
  <c r="AC186" i="38" s="1"/>
  <c r="Z186" i="38"/>
  <c r="Y186" i="38"/>
  <c r="AB185" i="38"/>
  <c r="AA185" i="38"/>
  <c r="AC185" i="38" s="1"/>
  <c r="Z185" i="38"/>
  <c r="Y185" i="38"/>
  <c r="AB184" i="38"/>
  <c r="AA184" i="38"/>
  <c r="AC184" i="38" s="1"/>
  <c r="Z184" i="38"/>
  <c r="Y184" i="38"/>
  <c r="AB183" i="38"/>
  <c r="AA183" i="38"/>
  <c r="AC183" i="38" s="1"/>
  <c r="Z183" i="38"/>
  <c r="Y183" i="38"/>
  <c r="AB182" i="38"/>
  <c r="AA182" i="38"/>
  <c r="AC182" i="38" s="1"/>
  <c r="Z182" i="38"/>
  <c r="Y182" i="38"/>
  <c r="AB181" i="38"/>
  <c r="AA181" i="38"/>
  <c r="AC181" i="38" s="1"/>
  <c r="Z181" i="38"/>
  <c r="Y181" i="38"/>
  <c r="AB180" i="38"/>
  <c r="AA180" i="38"/>
  <c r="AC180" i="38" s="1"/>
  <c r="Z180" i="38"/>
  <c r="Y180" i="38"/>
  <c r="AB179" i="38"/>
  <c r="AA179" i="38"/>
  <c r="AC179" i="38" s="1"/>
  <c r="Z179" i="38"/>
  <c r="Y179" i="38"/>
  <c r="AB178" i="38"/>
  <c r="AA178" i="38"/>
  <c r="AC178" i="38" s="1"/>
  <c r="Z178" i="38"/>
  <c r="Y178" i="38"/>
  <c r="AB177" i="38"/>
  <c r="AA177" i="38"/>
  <c r="AC177" i="38" s="1"/>
  <c r="Z177" i="38"/>
  <c r="Y177" i="38"/>
  <c r="AB176" i="38"/>
  <c r="AA176" i="38"/>
  <c r="AC176" i="38" s="1"/>
  <c r="Z176" i="38"/>
  <c r="Y176" i="38"/>
  <c r="AB175" i="38"/>
  <c r="AA175" i="38"/>
  <c r="AC175" i="38" s="1"/>
  <c r="Z175" i="38"/>
  <c r="Y175" i="38"/>
  <c r="AB174" i="38"/>
  <c r="AA174" i="38"/>
  <c r="AC174" i="38" s="1"/>
  <c r="Z174" i="38"/>
  <c r="Y174" i="38"/>
  <c r="AB173" i="38"/>
  <c r="AA173" i="38"/>
  <c r="AC173" i="38" s="1"/>
  <c r="Z173" i="38"/>
  <c r="Y173" i="38"/>
  <c r="AB172" i="38"/>
  <c r="AA172" i="38"/>
  <c r="AC172" i="38" s="1"/>
  <c r="Z172" i="38"/>
  <c r="Y172" i="38"/>
  <c r="AB171" i="38"/>
  <c r="AA171" i="38"/>
  <c r="AC171" i="38" s="1"/>
  <c r="Z171" i="38"/>
  <c r="Y171" i="38"/>
  <c r="AB170" i="38"/>
  <c r="AA170" i="38"/>
  <c r="AC170" i="38" s="1"/>
  <c r="Z170" i="38"/>
  <c r="Y170" i="38"/>
  <c r="AB169" i="38"/>
  <c r="AA169" i="38"/>
  <c r="AC169" i="38" s="1"/>
  <c r="Z169" i="38"/>
  <c r="Y169" i="38"/>
  <c r="AB168" i="38"/>
  <c r="AA168" i="38"/>
  <c r="AC168" i="38" s="1"/>
  <c r="Z168" i="38"/>
  <c r="Y168" i="38"/>
  <c r="AB167" i="38"/>
  <c r="AA167" i="38"/>
  <c r="AC167" i="38" s="1"/>
  <c r="Z167" i="38"/>
  <c r="Y167" i="38"/>
  <c r="AB166" i="38"/>
  <c r="AA166" i="38"/>
  <c r="AC166" i="38" s="1"/>
  <c r="Z166" i="38"/>
  <c r="Y166" i="38"/>
  <c r="AB165" i="38"/>
  <c r="AA165" i="38"/>
  <c r="AC165" i="38" s="1"/>
  <c r="Z165" i="38"/>
  <c r="Y165" i="38"/>
  <c r="AB164" i="38"/>
  <c r="AA164" i="38"/>
  <c r="AC164" i="38" s="1"/>
  <c r="Z164" i="38"/>
  <c r="Y164" i="38"/>
  <c r="AB163" i="38"/>
  <c r="AA163" i="38"/>
  <c r="AC163" i="38" s="1"/>
  <c r="Z163" i="38"/>
  <c r="Y163" i="38"/>
  <c r="AB162" i="38"/>
  <c r="AA162" i="38"/>
  <c r="AC162" i="38" s="1"/>
  <c r="Z162" i="38"/>
  <c r="Y162" i="38"/>
  <c r="AB161" i="38"/>
  <c r="AA161" i="38"/>
  <c r="AC161" i="38" s="1"/>
  <c r="Z161" i="38"/>
  <c r="Y161" i="38"/>
  <c r="AB160" i="38"/>
  <c r="AA160" i="38"/>
  <c r="AC160" i="38" s="1"/>
  <c r="Z160" i="38"/>
  <c r="Y160" i="38"/>
  <c r="AB159" i="38"/>
  <c r="AA159" i="38"/>
  <c r="AC159" i="38" s="1"/>
  <c r="Z159" i="38"/>
  <c r="Y159" i="38"/>
  <c r="AB158" i="38"/>
  <c r="AA158" i="38"/>
  <c r="AC158" i="38" s="1"/>
  <c r="Z158" i="38"/>
  <c r="Y158" i="38"/>
  <c r="AB157" i="38"/>
  <c r="AA157" i="38"/>
  <c r="AC157" i="38" s="1"/>
  <c r="Z157" i="38"/>
  <c r="Y157" i="38"/>
  <c r="AB156" i="38"/>
  <c r="AA156" i="38"/>
  <c r="AC156" i="38" s="1"/>
  <c r="Z156" i="38"/>
  <c r="Y156" i="38"/>
  <c r="AB155" i="38"/>
  <c r="AA155" i="38"/>
  <c r="AC155" i="38" s="1"/>
  <c r="Z155" i="38"/>
  <c r="Y155" i="38"/>
  <c r="AB154" i="38"/>
  <c r="AA154" i="38"/>
  <c r="AC154" i="38" s="1"/>
  <c r="Z154" i="38"/>
  <c r="Y154" i="38"/>
  <c r="AB153" i="38"/>
  <c r="AA153" i="38"/>
  <c r="AC153" i="38" s="1"/>
  <c r="Z153" i="38"/>
  <c r="Y153" i="38"/>
  <c r="AB152" i="38"/>
  <c r="AA152" i="38"/>
  <c r="AC152" i="38" s="1"/>
  <c r="Z152" i="38"/>
  <c r="Y152" i="38"/>
  <c r="AB151" i="38"/>
  <c r="AA151" i="38"/>
  <c r="AC151" i="38" s="1"/>
  <c r="Z151" i="38"/>
  <c r="Y151" i="38"/>
  <c r="AB150" i="38"/>
  <c r="AA150" i="38"/>
  <c r="AC150" i="38" s="1"/>
  <c r="Z150" i="38"/>
  <c r="Y150" i="38"/>
  <c r="AB149" i="38"/>
  <c r="AA149" i="38"/>
  <c r="AC149" i="38" s="1"/>
  <c r="Z149" i="38"/>
  <c r="Y149" i="38"/>
  <c r="AB148" i="38"/>
  <c r="AA148" i="38"/>
  <c r="AC148" i="38" s="1"/>
  <c r="Z148" i="38"/>
  <c r="Y148" i="38"/>
  <c r="AB147" i="38"/>
  <c r="AA147" i="38"/>
  <c r="AC147" i="38" s="1"/>
  <c r="Z147" i="38"/>
  <c r="Y147" i="38"/>
  <c r="AB146" i="38"/>
  <c r="AA146" i="38"/>
  <c r="AC146" i="38" s="1"/>
  <c r="Z146" i="38"/>
  <c r="Y146" i="38"/>
  <c r="AB145" i="38"/>
  <c r="AA145" i="38"/>
  <c r="AC145" i="38" s="1"/>
  <c r="Z145" i="38"/>
  <c r="Y145" i="38"/>
  <c r="AB144" i="38"/>
  <c r="AA144" i="38"/>
  <c r="AC144" i="38" s="1"/>
  <c r="Z144" i="38"/>
  <c r="Y144" i="38"/>
  <c r="AB143" i="38"/>
  <c r="AA143" i="38"/>
  <c r="AC143" i="38" s="1"/>
  <c r="Z143" i="38"/>
  <c r="Y143" i="38"/>
  <c r="AB142" i="38"/>
  <c r="AA142" i="38"/>
  <c r="AC142" i="38" s="1"/>
  <c r="Z142" i="38"/>
  <c r="Y142" i="38"/>
  <c r="AB141" i="38"/>
  <c r="AA141" i="38"/>
  <c r="AC141" i="38" s="1"/>
  <c r="Z141" i="38"/>
  <c r="Y141" i="38"/>
  <c r="AB140" i="38"/>
  <c r="AA140" i="38"/>
  <c r="AC140" i="38" s="1"/>
  <c r="Z140" i="38"/>
  <c r="Y140" i="38"/>
  <c r="AB139" i="38"/>
  <c r="AA139" i="38"/>
  <c r="AC139" i="38" s="1"/>
  <c r="Z139" i="38"/>
  <c r="Y139" i="38"/>
  <c r="AB138" i="38"/>
  <c r="AA138" i="38"/>
  <c r="AC138" i="38" s="1"/>
  <c r="Z138" i="38"/>
  <c r="Y138" i="38"/>
  <c r="AB137" i="38"/>
  <c r="AA137" i="38"/>
  <c r="AC137" i="38" s="1"/>
  <c r="Z137" i="38"/>
  <c r="Y137" i="38"/>
  <c r="AB136" i="38"/>
  <c r="AA136" i="38"/>
  <c r="AC136" i="38" s="1"/>
  <c r="Z136" i="38"/>
  <c r="Y136" i="38"/>
  <c r="AB135" i="38"/>
  <c r="AA135" i="38"/>
  <c r="AC135" i="38" s="1"/>
  <c r="Z135" i="38"/>
  <c r="Y135" i="38"/>
  <c r="AB134" i="38"/>
  <c r="AA134" i="38"/>
  <c r="AC134" i="38" s="1"/>
  <c r="Z134" i="38"/>
  <c r="Y134" i="38"/>
  <c r="AB133" i="38"/>
  <c r="AA133" i="38"/>
  <c r="AC133" i="38" s="1"/>
  <c r="Z133" i="38"/>
  <c r="Y133" i="38"/>
  <c r="AB132" i="38"/>
  <c r="AA132" i="38"/>
  <c r="AC132" i="38" s="1"/>
  <c r="Z132" i="38"/>
  <c r="Y132" i="38"/>
  <c r="AB131" i="38"/>
  <c r="AA131" i="38"/>
  <c r="AC131" i="38" s="1"/>
  <c r="Z131" i="38"/>
  <c r="Y131" i="38"/>
  <c r="AB130" i="38"/>
  <c r="AA130" i="38"/>
  <c r="AC130" i="38" s="1"/>
  <c r="Z130" i="38"/>
  <c r="Y130" i="38"/>
  <c r="AB129" i="38"/>
  <c r="AA129" i="38"/>
  <c r="AC129" i="38" s="1"/>
  <c r="Z129" i="38"/>
  <c r="Y129" i="38"/>
  <c r="AB128" i="38"/>
  <c r="AA128" i="38"/>
  <c r="AC128" i="38" s="1"/>
  <c r="Z128" i="38"/>
  <c r="Y128" i="38"/>
  <c r="AB127" i="38"/>
  <c r="AA127" i="38"/>
  <c r="AC127" i="38" s="1"/>
  <c r="Z127" i="38"/>
  <c r="Y127" i="38"/>
  <c r="AB126" i="38"/>
  <c r="AA126" i="38"/>
  <c r="AC126" i="38" s="1"/>
  <c r="Z126" i="38"/>
  <c r="Y126" i="38"/>
  <c r="AB125" i="38"/>
  <c r="AA125" i="38"/>
  <c r="AC125" i="38" s="1"/>
  <c r="Z125" i="38"/>
  <c r="Y125" i="38"/>
  <c r="AB124" i="38"/>
  <c r="AA124" i="38"/>
  <c r="AC124" i="38" s="1"/>
  <c r="Z124" i="38"/>
  <c r="Y124" i="38"/>
  <c r="AB123" i="38"/>
  <c r="AA123" i="38"/>
  <c r="AC123" i="38" s="1"/>
  <c r="Z123" i="38"/>
  <c r="Y123" i="38"/>
  <c r="AB122" i="38"/>
  <c r="AA122" i="38"/>
  <c r="AC122" i="38" s="1"/>
  <c r="Z122" i="38"/>
  <c r="Y122" i="38"/>
  <c r="AB121" i="38"/>
  <c r="AA121" i="38"/>
  <c r="AC121" i="38" s="1"/>
  <c r="Z121" i="38"/>
  <c r="Y121" i="38"/>
  <c r="AB120" i="38"/>
  <c r="AA120" i="38"/>
  <c r="AC120" i="38" s="1"/>
  <c r="Z120" i="38"/>
  <c r="Y120" i="38"/>
  <c r="AB119" i="38"/>
  <c r="AA119" i="38"/>
  <c r="AC119" i="38" s="1"/>
  <c r="Z119" i="38"/>
  <c r="Y119" i="38"/>
  <c r="AB118" i="38"/>
  <c r="AA118" i="38"/>
  <c r="AC118" i="38" s="1"/>
  <c r="Z118" i="38"/>
  <c r="Y118" i="38"/>
  <c r="AB117" i="38"/>
  <c r="AA117" i="38"/>
  <c r="AC117" i="38" s="1"/>
  <c r="Z117" i="38"/>
  <c r="Y117" i="38"/>
  <c r="AB116" i="38"/>
  <c r="AA116" i="38"/>
  <c r="AC116" i="38" s="1"/>
  <c r="Z116" i="38"/>
  <c r="Y116" i="38"/>
  <c r="AB115" i="38"/>
  <c r="AA115" i="38"/>
  <c r="AC115" i="38" s="1"/>
  <c r="Z115" i="38"/>
  <c r="Y115" i="38"/>
  <c r="AB114" i="38"/>
  <c r="AA114" i="38"/>
  <c r="AC114" i="38" s="1"/>
  <c r="Z114" i="38"/>
  <c r="Y114" i="38"/>
  <c r="AB113" i="38"/>
  <c r="AA113" i="38"/>
  <c r="AC113" i="38" s="1"/>
  <c r="Z113" i="38"/>
  <c r="Y113" i="38"/>
  <c r="AB112" i="38"/>
  <c r="AA112" i="38"/>
  <c r="AC112" i="38" s="1"/>
  <c r="Z112" i="38"/>
  <c r="Y112" i="38"/>
  <c r="AB111" i="38"/>
  <c r="AA111" i="38"/>
  <c r="AC111" i="38" s="1"/>
  <c r="Z111" i="38"/>
  <c r="Y111" i="38"/>
  <c r="AB110" i="38"/>
  <c r="AA110" i="38"/>
  <c r="AC110" i="38" s="1"/>
  <c r="Z110" i="38"/>
  <c r="Y110" i="38"/>
  <c r="AB109" i="38"/>
  <c r="AA109" i="38"/>
  <c r="AC109" i="38" s="1"/>
  <c r="Z109" i="38"/>
  <c r="Y109" i="38"/>
  <c r="AB108" i="38"/>
  <c r="AA108" i="38"/>
  <c r="AC108" i="38" s="1"/>
  <c r="Z108" i="38"/>
  <c r="Y108" i="38"/>
  <c r="AB107" i="38"/>
  <c r="AA107" i="38"/>
  <c r="AC107" i="38" s="1"/>
  <c r="Z107" i="38"/>
  <c r="Y107" i="38"/>
  <c r="AB106" i="38"/>
  <c r="AA106" i="38"/>
  <c r="AC106" i="38" s="1"/>
  <c r="Z106" i="38"/>
  <c r="Y106" i="38"/>
  <c r="AB105" i="38"/>
  <c r="AA105" i="38"/>
  <c r="AC105" i="38" s="1"/>
  <c r="Z105" i="38"/>
  <c r="Y105" i="38"/>
  <c r="AB104" i="38"/>
  <c r="AA104" i="38"/>
  <c r="AC104" i="38" s="1"/>
  <c r="Z104" i="38"/>
  <c r="Y104" i="38"/>
  <c r="AB103" i="38"/>
  <c r="AA103" i="38"/>
  <c r="AC103" i="38" s="1"/>
  <c r="Z103" i="38"/>
  <c r="Y103" i="38"/>
  <c r="AB102" i="38"/>
  <c r="AA102" i="38"/>
  <c r="AC102" i="38" s="1"/>
  <c r="Z102" i="38"/>
  <c r="Y102" i="38"/>
  <c r="AB101" i="38"/>
  <c r="AA101" i="38"/>
  <c r="AC101" i="38" s="1"/>
  <c r="Z101" i="38"/>
  <c r="Y101" i="38"/>
  <c r="AB100" i="38"/>
  <c r="AA100" i="38"/>
  <c r="AC100" i="38" s="1"/>
  <c r="Z100" i="38"/>
  <c r="Y100" i="38"/>
  <c r="AB99" i="38"/>
  <c r="AA99" i="38"/>
  <c r="AC99" i="38" s="1"/>
  <c r="Z99" i="38"/>
  <c r="Y99" i="38"/>
  <c r="AB98" i="38"/>
  <c r="AA98" i="38"/>
  <c r="AC98" i="38" s="1"/>
  <c r="Z98" i="38"/>
  <c r="Y98" i="38"/>
  <c r="AB97" i="38"/>
  <c r="AA97" i="38"/>
  <c r="AC97" i="38" s="1"/>
  <c r="Z97" i="38"/>
  <c r="Y97" i="38"/>
  <c r="AB96" i="38"/>
  <c r="AA96" i="38"/>
  <c r="AC96" i="38" s="1"/>
  <c r="Z96" i="38"/>
  <c r="Y96" i="38"/>
  <c r="AB95" i="38"/>
  <c r="AA95" i="38"/>
  <c r="AC95" i="38" s="1"/>
  <c r="Z95" i="38"/>
  <c r="Y95" i="38"/>
  <c r="AB94" i="38"/>
  <c r="AA94" i="38"/>
  <c r="AC94" i="38" s="1"/>
  <c r="Z94" i="38"/>
  <c r="Y94" i="38"/>
  <c r="AB93" i="38"/>
  <c r="AA93" i="38"/>
  <c r="AC93" i="38" s="1"/>
  <c r="Z93" i="38"/>
  <c r="Y93" i="38"/>
  <c r="AB92" i="38"/>
  <c r="AA92" i="38"/>
  <c r="AC92" i="38" s="1"/>
  <c r="Z92" i="38"/>
  <c r="Y92" i="38"/>
  <c r="AB91" i="38"/>
  <c r="AA91" i="38"/>
  <c r="AC91" i="38" s="1"/>
  <c r="Z91" i="38"/>
  <c r="Y91" i="38"/>
  <c r="AB90" i="38"/>
  <c r="AA90" i="38"/>
  <c r="AC90" i="38" s="1"/>
  <c r="Z90" i="38"/>
  <c r="Y90" i="38"/>
  <c r="AB89" i="38"/>
  <c r="AA89" i="38"/>
  <c r="AC89" i="38" s="1"/>
  <c r="Z89" i="38"/>
  <c r="Y89" i="38"/>
  <c r="AB88" i="38"/>
  <c r="AA88" i="38"/>
  <c r="AC88" i="38" s="1"/>
  <c r="Z88" i="38"/>
  <c r="Y88" i="38"/>
  <c r="AB87" i="38"/>
  <c r="AA87" i="38"/>
  <c r="AC87" i="38" s="1"/>
  <c r="Z87" i="38"/>
  <c r="Y87" i="38"/>
  <c r="AB86" i="38"/>
  <c r="AA86" i="38"/>
  <c r="AC86" i="38" s="1"/>
  <c r="Z86" i="38"/>
  <c r="Y86" i="38"/>
  <c r="AB85" i="38"/>
  <c r="AA85" i="38"/>
  <c r="AC85" i="38" s="1"/>
  <c r="Z85" i="38"/>
  <c r="Y85" i="38"/>
  <c r="AB84" i="38"/>
  <c r="AA84" i="38"/>
  <c r="AC84" i="38" s="1"/>
  <c r="Z84" i="38"/>
  <c r="Y84" i="38"/>
  <c r="AB83" i="38"/>
  <c r="AA83" i="38"/>
  <c r="AC83" i="38" s="1"/>
  <c r="Z83" i="38"/>
  <c r="Y83" i="38"/>
  <c r="AB82" i="38"/>
  <c r="AA82" i="38"/>
  <c r="AC82" i="38" s="1"/>
  <c r="Z82" i="38"/>
  <c r="Y82" i="38"/>
  <c r="AB81" i="38"/>
  <c r="AA81" i="38"/>
  <c r="AC81" i="38" s="1"/>
  <c r="Z81" i="38"/>
  <c r="Y81" i="38"/>
  <c r="AB80" i="38"/>
  <c r="AA80" i="38"/>
  <c r="AC80" i="38" s="1"/>
  <c r="Z80" i="38"/>
  <c r="Y80" i="38"/>
  <c r="AB79" i="38"/>
  <c r="AA79" i="38"/>
  <c r="AC79" i="38" s="1"/>
  <c r="Z79" i="38"/>
  <c r="Y79" i="38"/>
  <c r="AB78" i="38"/>
  <c r="AA78" i="38"/>
  <c r="AC78" i="38" s="1"/>
  <c r="Z78" i="38"/>
  <c r="Y78" i="38"/>
  <c r="AB77" i="38"/>
  <c r="AA77" i="38"/>
  <c r="AC77" i="38" s="1"/>
  <c r="Z77" i="38"/>
  <c r="Y77" i="38"/>
  <c r="AB76" i="38"/>
  <c r="AA76" i="38"/>
  <c r="AC76" i="38" s="1"/>
  <c r="Z76" i="38"/>
  <c r="Y76" i="38"/>
  <c r="AB75" i="38"/>
  <c r="AA75" i="38"/>
  <c r="AC75" i="38" s="1"/>
  <c r="Z75" i="38"/>
  <c r="Y75" i="38"/>
  <c r="AB74" i="38"/>
  <c r="AA74" i="38"/>
  <c r="AC74" i="38" s="1"/>
  <c r="Z74" i="38"/>
  <c r="Y74" i="38"/>
  <c r="AB73" i="38"/>
  <c r="AA73" i="38"/>
  <c r="AC73" i="38" s="1"/>
  <c r="Z73" i="38"/>
  <c r="Y73" i="38"/>
  <c r="AB72" i="38"/>
  <c r="AA72" i="38"/>
  <c r="AC72" i="38" s="1"/>
  <c r="Z72" i="38"/>
  <c r="Y72" i="38"/>
  <c r="AB71" i="38"/>
  <c r="AA71" i="38"/>
  <c r="AC71" i="38" s="1"/>
  <c r="Z71" i="38"/>
  <c r="Y71" i="38"/>
  <c r="AB70" i="38"/>
  <c r="AA70" i="38"/>
  <c r="AC70" i="38" s="1"/>
  <c r="Z70" i="38"/>
  <c r="Y70" i="38"/>
  <c r="AB69" i="38"/>
  <c r="AA69" i="38"/>
  <c r="AC69" i="38" s="1"/>
  <c r="Z69" i="38"/>
  <c r="Y69" i="38"/>
  <c r="AB68" i="38"/>
  <c r="AA68" i="38"/>
  <c r="AC68" i="38" s="1"/>
  <c r="Z68" i="38"/>
  <c r="Y68" i="38"/>
  <c r="AB67" i="38"/>
  <c r="AA67" i="38"/>
  <c r="AC67" i="38" s="1"/>
  <c r="Z67" i="38"/>
  <c r="Y67" i="38"/>
  <c r="AB66" i="38"/>
  <c r="AA66" i="38"/>
  <c r="AC66" i="38" s="1"/>
  <c r="Z66" i="38"/>
  <c r="Y66" i="38"/>
  <c r="AB65" i="38"/>
  <c r="AA65" i="38"/>
  <c r="AC65" i="38" s="1"/>
  <c r="Z65" i="38"/>
  <c r="Y65" i="38"/>
  <c r="AB64" i="38"/>
  <c r="AA64" i="38"/>
  <c r="AC64" i="38" s="1"/>
  <c r="Z64" i="38"/>
  <c r="Y64" i="38"/>
  <c r="AB63" i="38"/>
  <c r="AA63" i="38"/>
  <c r="AC63" i="38" s="1"/>
  <c r="Z63" i="38"/>
  <c r="Y63" i="38"/>
  <c r="AB62" i="38"/>
  <c r="AA62" i="38"/>
  <c r="AC62" i="38" s="1"/>
  <c r="Z62" i="38"/>
  <c r="Y62" i="38"/>
  <c r="AB61" i="38"/>
  <c r="AA61" i="38"/>
  <c r="AC61" i="38" s="1"/>
  <c r="Z61" i="38"/>
  <c r="Y61" i="38"/>
  <c r="AB60" i="38"/>
  <c r="AA60" i="38"/>
  <c r="AC60" i="38" s="1"/>
  <c r="Z60" i="38"/>
  <c r="Y60" i="38"/>
  <c r="AB59" i="38"/>
  <c r="AA59" i="38"/>
  <c r="AC59" i="38" s="1"/>
  <c r="Z59" i="38"/>
  <c r="Y59" i="38"/>
  <c r="AB58" i="38"/>
  <c r="AA58" i="38"/>
  <c r="AC58" i="38" s="1"/>
  <c r="Z58" i="38"/>
  <c r="Y58" i="38"/>
  <c r="AB57" i="38"/>
  <c r="AA57" i="38"/>
  <c r="AC57" i="38" s="1"/>
  <c r="Z57" i="38"/>
  <c r="Y57" i="38"/>
  <c r="AB56" i="38"/>
  <c r="AA56" i="38"/>
  <c r="AC56" i="38" s="1"/>
  <c r="Z56" i="38"/>
  <c r="Y56" i="38"/>
  <c r="AB55" i="38"/>
  <c r="AA55" i="38"/>
  <c r="AC55" i="38" s="1"/>
  <c r="Z55" i="38"/>
  <c r="Y55" i="38"/>
  <c r="AB54" i="38"/>
  <c r="AA54" i="38"/>
  <c r="AC54" i="38" s="1"/>
  <c r="Z54" i="38"/>
  <c r="Y54" i="38"/>
  <c r="AB53" i="38"/>
  <c r="AA53" i="38"/>
  <c r="AC53" i="38" s="1"/>
  <c r="Z53" i="38"/>
  <c r="Y53" i="38"/>
  <c r="AB52" i="38"/>
  <c r="AA52" i="38"/>
  <c r="AC52" i="38" s="1"/>
  <c r="Z52" i="38"/>
  <c r="Y52" i="38"/>
  <c r="AB51" i="38"/>
  <c r="AA51" i="38"/>
  <c r="AC51" i="38" s="1"/>
  <c r="Z51" i="38"/>
  <c r="Y51" i="38"/>
  <c r="AB50" i="38"/>
  <c r="AA50" i="38"/>
  <c r="AC50" i="38" s="1"/>
  <c r="Z50" i="38"/>
  <c r="Y50" i="38"/>
  <c r="AB49" i="38"/>
  <c r="AA49" i="38"/>
  <c r="AC49" i="38" s="1"/>
  <c r="Z49" i="38"/>
  <c r="Y49" i="38"/>
  <c r="AB48" i="38"/>
  <c r="AA48" i="38"/>
  <c r="AC48" i="38" s="1"/>
  <c r="Z48" i="38"/>
  <c r="Y48" i="38"/>
  <c r="AB47" i="38"/>
  <c r="AA47" i="38"/>
  <c r="AC47" i="38" s="1"/>
  <c r="Z47" i="38"/>
  <c r="Y47" i="38"/>
  <c r="AB46" i="38"/>
  <c r="AA46" i="38"/>
  <c r="AC46" i="38" s="1"/>
  <c r="Z46" i="38"/>
  <c r="Y46" i="38"/>
  <c r="AB45" i="38"/>
  <c r="AA45" i="38"/>
  <c r="AC45" i="38" s="1"/>
  <c r="Z45" i="38"/>
  <c r="Y45" i="38"/>
  <c r="AB44" i="38"/>
  <c r="AA44" i="38"/>
  <c r="AC44" i="38" s="1"/>
  <c r="Z44" i="38"/>
  <c r="Y44" i="38"/>
  <c r="AB43" i="38"/>
  <c r="AA43" i="38"/>
  <c r="AC43" i="38" s="1"/>
  <c r="Z43" i="38"/>
  <c r="Y43" i="38"/>
  <c r="AB42" i="38"/>
  <c r="AA42" i="38"/>
  <c r="AC42" i="38" s="1"/>
  <c r="Z42" i="38"/>
  <c r="Y42" i="38"/>
  <c r="AB41" i="38"/>
  <c r="AA41" i="38"/>
  <c r="AC41" i="38" s="1"/>
  <c r="Z41" i="38"/>
  <c r="Y41" i="38"/>
  <c r="AB40" i="38"/>
  <c r="AA40" i="38"/>
  <c r="AC40" i="38" s="1"/>
  <c r="Z40" i="38"/>
  <c r="Y40" i="38"/>
  <c r="AB39" i="38"/>
  <c r="AA39" i="38"/>
  <c r="AC39" i="38" s="1"/>
  <c r="Z39" i="38"/>
  <c r="Y39" i="38"/>
  <c r="AB38" i="38"/>
  <c r="AA38" i="38"/>
  <c r="AC38" i="38" s="1"/>
  <c r="Z38" i="38"/>
  <c r="Y38" i="38"/>
  <c r="AB37" i="38"/>
  <c r="AA37" i="38"/>
  <c r="AC37" i="38" s="1"/>
  <c r="Z37" i="38"/>
  <c r="Y37" i="38"/>
  <c r="AB36" i="38"/>
  <c r="AA36" i="38"/>
  <c r="AC36" i="38" s="1"/>
  <c r="Z36" i="38"/>
  <c r="Y36" i="38"/>
  <c r="AB35" i="38"/>
  <c r="AA35" i="38"/>
  <c r="AC35" i="38" s="1"/>
  <c r="Z35" i="38"/>
  <c r="Y35" i="38"/>
  <c r="AB34" i="38"/>
  <c r="AA34" i="38"/>
  <c r="AC34" i="38" s="1"/>
  <c r="Z34" i="38"/>
  <c r="Y34" i="38"/>
  <c r="AB33" i="38"/>
  <c r="AA33" i="38"/>
  <c r="AC33" i="38" s="1"/>
  <c r="Z33" i="38"/>
  <c r="Y33" i="38"/>
  <c r="AB32" i="38"/>
  <c r="AA32" i="38"/>
  <c r="AC32" i="38" s="1"/>
  <c r="Z32" i="38"/>
  <c r="Y32" i="38"/>
  <c r="AB31" i="38"/>
  <c r="AA31" i="38"/>
  <c r="AC31" i="38" s="1"/>
  <c r="Z31" i="38"/>
  <c r="Y31" i="38"/>
  <c r="AB30" i="38"/>
  <c r="AA30" i="38"/>
  <c r="AC30" i="38" s="1"/>
  <c r="Z30" i="38"/>
  <c r="Y30" i="38"/>
  <c r="AB29" i="38"/>
  <c r="AA29" i="38"/>
  <c r="AC29" i="38" s="1"/>
  <c r="Z29" i="38"/>
  <c r="Y29" i="38"/>
  <c r="AB28" i="38"/>
  <c r="AA28" i="38"/>
  <c r="AC28" i="38" s="1"/>
  <c r="Z28" i="38"/>
  <c r="Y28" i="38"/>
  <c r="AB27" i="38"/>
  <c r="AA27" i="38"/>
  <c r="AC27" i="38" s="1"/>
  <c r="Z27" i="38"/>
  <c r="Y27" i="38"/>
  <c r="AB26" i="38"/>
  <c r="AA26" i="38"/>
  <c r="AC26" i="38" s="1"/>
  <c r="Z26" i="38"/>
  <c r="Y26" i="38"/>
  <c r="AB25" i="38"/>
  <c r="AA25" i="38"/>
  <c r="AC25" i="38" s="1"/>
  <c r="Z25" i="38"/>
  <c r="Y25" i="38"/>
  <c r="AB24" i="38"/>
  <c r="AA24" i="38"/>
  <c r="AC24" i="38" s="1"/>
  <c r="Z24" i="38"/>
  <c r="Y24" i="38"/>
  <c r="AB23" i="38"/>
  <c r="AA23" i="38"/>
  <c r="AC23" i="38" s="1"/>
  <c r="Z23" i="38"/>
  <c r="Y23" i="38"/>
  <c r="AB22" i="38"/>
  <c r="AA22" i="38"/>
  <c r="AC22" i="38" s="1"/>
  <c r="Z22" i="38"/>
  <c r="Y22" i="38"/>
  <c r="AB21" i="38"/>
  <c r="AA21" i="38"/>
  <c r="AC21" i="38" s="1"/>
  <c r="Z21" i="38"/>
  <c r="Y21" i="38"/>
  <c r="AB20" i="38"/>
  <c r="AA20" i="38"/>
  <c r="AC20" i="38" s="1"/>
  <c r="Z20" i="38"/>
  <c r="Y20" i="38"/>
  <c r="AB19" i="38"/>
  <c r="AA19" i="38"/>
  <c r="AC19" i="38" s="1"/>
  <c r="Z19" i="38"/>
  <c r="Y19" i="38"/>
  <c r="AB18" i="38"/>
  <c r="AA18" i="38"/>
  <c r="AC18" i="38" s="1"/>
  <c r="Z18" i="38"/>
  <c r="Y18" i="38"/>
  <c r="AB17" i="38"/>
  <c r="AA17" i="38"/>
  <c r="AC17" i="38" s="1"/>
  <c r="Z17" i="38"/>
  <c r="Y17" i="38"/>
  <c r="AB16" i="38"/>
  <c r="AA16" i="38"/>
  <c r="AC16" i="38" s="1"/>
  <c r="Z16" i="38"/>
  <c r="Y16" i="38"/>
  <c r="AB15" i="38"/>
  <c r="AA15" i="38"/>
  <c r="AC15" i="38" s="1"/>
  <c r="Z15" i="38"/>
  <c r="Y15" i="38"/>
  <c r="AB14" i="38"/>
  <c r="AA14" i="38"/>
  <c r="AC14" i="38" s="1"/>
  <c r="Z14" i="38"/>
  <c r="Y14" i="38"/>
  <c r="AB13" i="38"/>
  <c r="AA13" i="38"/>
  <c r="AC13" i="38" s="1"/>
  <c r="Z13" i="38"/>
  <c r="Y13" i="38"/>
  <c r="AB12" i="38"/>
  <c r="AA12" i="38"/>
  <c r="AC12" i="38" s="1"/>
  <c r="Z12" i="38"/>
  <c r="Y12" i="38"/>
  <c r="AB11" i="38"/>
  <c r="AA11" i="38"/>
  <c r="AC11" i="38" s="1"/>
  <c r="Z11" i="38"/>
  <c r="Y11" i="38"/>
  <c r="AB10" i="38"/>
  <c r="AA10" i="38"/>
  <c r="AC10" i="38" s="1"/>
  <c r="Z10" i="38"/>
  <c r="Y10" i="38"/>
  <c r="AB9" i="38"/>
  <c r="AA9" i="38"/>
  <c r="AC9" i="38" s="1"/>
  <c r="Z9" i="38"/>
  <c r="Y9" i="38"/>
  <c r="AB8" i="38"/>
  <c r="AA8" i="38"/>
  <c r="AC8" i="38" s="1"/>
  <c r="Z8" i="38"/>
  <c r="Y8" i="38"/>
  <c r="AB7" i="38"/>
  <c r="AA7" i="38"/>
  <c r="AC7" i="38" s="1"/>
  <c r="Z7" i="38"/>
  <c r="Y7" i="38"/>
  <c r="AB6" i="38"/>
  <c r="AA6" i="38"/>
  <c r="AC6" i="38" s="1"/>
  <c r="Z6" i="38"/>
  <c r="Y6" i="38"/>
  <c r="AB5" i="38"/>
  <c r="AA5" i="38"/>
  <c r="AC5" i="38" s="1"/>
  <c r="Z5" i="38"/>
  <c r="Y5" i="38"/>
  <c r="AB4" i="38"/>
  <c r="AA4" i="38"/>
  <c r="AC4" i="38" s="1"/>
  <c r="Z4" i="38"/>
  <c r="Y4" i="38"/>
  <c r="AB3" i="38"/>
  <c r="AA3" i="38"/>
  <c r="AC3" i="38" s="1"/>
  <c r="Z3" i="38"/>
  <c r="Y3" i="38"/>
  <c r="AB2" i="38"/>
  <c r="AA2" i="38"/>
  <c r="AC2" i="38" s="1"/>
  <c r="Z2" i="38"/>
  <c r="Y2" i="38"/>
  <c r="AD1" i="38"/>
  <c r="O176" i="38" l="1"/>
  <c r="O161" i="38"/>
  <c r="O239" i="38"/>
  <c r="O151" i="38"/>
  <c r="O106" i="38"/>
  <c r="O199" i="38"/>
  <c r="O248" i="38"/>
  <c r="O250" i="38"/>
  <c r="O184" i="38"/>
  <c r="O139" i="38"/>
  <c r="O275" i="38"/>
  <c r="O226" i="38"/>
  <c r="O168" i="38"/>
  <c r="O123" i="38"/>
  <c r="O262" i="38"/>
  <c r="O173" i="38"/>
  <c r="O129" i="38"/>
  <c r="O222" i="38"/>
  <c r="O88" i="38"/>
  <c r="O89" i="38"/>
  <c r="O273" i="38"/>
  <c r="O207" i="38"/>
  <c r="O162" i="38"/>
  <c r="O114" i="38"/>
  <c r="O227" i="38"/>
  <c r="O101" i="38"/>
  <c r="O152" i="38"/>
  <c r="O245" i="38"/>
  <c r="O112" i="38"/>
  <c r="O230" i="38"/>
  <c r="O185" i="38"/>
  <c r="O137" i="38"/>
  <c r="O166" i="38"/>
  <c r="O175" i="38"/>
  <c r="O268" i="38"/>
  <c r="O135" i="38"/>
  <c r="O253" i="38"/>
  <c r="O208" i="38"/>
  <c r="O160" i="38"/>
  <c r="O267" i="38"/>
  <c r="O116" i="38"/>
  <c r="O242" i="38"/>
  <c r="O198" i="38"/>
  <c r="O107" i="38"/>
  <c r="O246" i="38"/>
  <c r="O157" i="38"/>
  <c r="O158" i="38"/>
  <c r="O276" i="38"/>
  <c r="O231" i="38"/>
  <c r="O221" i="38"/>
  <c r="O130" i="38"/>
  <c r="O269" i="38"/>
  <c r="O179" i="38"/>
  <c r="O181" i="38"/>
  <c r="O115" i="38"/>
  <c r="O254" i="38"/>
  <c r="O104" i="38"/>
  <c r="O244" i="38"/>
  <c r="O153" i="38"/>
  <c r="O204" i="38"/>
  <c r="O138" i="38"/>
  <c r="O277" i="38"/>
  <c r="O229" i="38"/>
  <c r="O94" i="38" l="1"/>
  <c r="O232" i="38"/>
  <c r="O163" i="38"/>
  <c r="O249" i="38"/>
  <c r="O111" i="38"/>
  <c r="O206" i="38"/>
  <c r="O147" i="38"/>
  <c r="O109" i="38"/>
  <c r="O220" i="38"/>
  <c r="O143" i="38"/>
  <c r="O178" i="38"/>
  <c r="O105" i="38"/>
  <c r="O82" i="38"/>
  <c r="O238" i="38"/>
  <c r="O169" i="38"/>
  <c r="O177" i="38"/>
  <c r="O193" i="38"/>
  <c r="O200" i="38"/>
  <c r="O191" i="38"/>
  <c r="O189" i="38"/>
  <c r="O99" i="38"/>
  <c r="O225" i="38"/>
  <c r="O265" i="38"/>
  <c r="O120" i="38"/>
  <c r="O170" i="38"/>
  <c r="O131" i="38"/>
  <c r="O260" i="38"/>
  <c r="O197" i="38"/>
  <c r="O133" i="38"/>
  <c r="O100" i="38"/>
  <c r="O219" i="38"/>
  <c r="O97" i="38"/>
  <c r="O235" i="38"/>
  <c r="O237" i="38"/>
  <c r="O124" i="38"/>
  <c r="O196" i="38"/>
  <c r="O183" i="38"/>
  <c r="O110" i="38"/>
  <c r="O214" i="38"/>
  <c r="O127" i="38"/>
  <c r="O202" i="38"/>
  <c r="O252" i="38"/>
  <c r="O271" i="38"/>
  <c r="O174" i="38"/>
  <c r="O108" i="38"/>
  <c r="O180" i="38"/>
  <c r="O212" i="38"/>
  <c r="O261" i="38"/>
  <c r="O95" i="38" l="1"/>
  <c r="O233" i="38"/>
  <c r="O164" i="38"/>
  <c r="O186" i="38"/>
  <c r="O209" i="38"/>
  <c r="O140" i="38"/>
  <c r="O117" i="38"/>
  <c r="O255" i="38"/>
  <c r="O270" i="38"/>
  <c r="O134" i="38"/>
  <c r="O122" i="38"/>
  <c r="O216" i="38"/>
  <c r="O154" i="38"/>
  <c r="O203" i="38"/>
  <c r="O215" i="38"/>
  <c r="O201" i="38"/>
  <c r="O192" i="38"/>
  <c r="O128" i="38"/>
  <c r="O266" i="38"/>
  <c r="O243" i="38"/>
  <c r="O258" i="38"/>
  <c r="O150" i="38"/>
  <c r="O272" i="38"/>
  <c r="O146" i="38"/>
  <c r="O156" i="38"/>
  <c r="O223" i="38"/>
  <c r="O247" i="38"/>
  <c r="O145" i="38"/>
  <c r="O187" i="38" l="1"/>
  <c r="O256" i="38"/>
  <c r="O141" i="38"/>
  <c r="O224" i="38"/>
  <c r="O132" i="38"/>
  <c r="O155" i="38"/>
  <c r="O210" i="38" l="1"/>
  <c r="O118" i="38"/>
  <c r="O96" i="38" l="1"/>
  <c r="O103" i="38" s="1"/>
  <c r="O102" i="38" s="1"/>
  <c r="O213" i="38"/>
  <c r="O136" i="38"/>
  <c r="O228" i="38"/>
  <c r="O205" i="38"/>
  <c r="O113" i="38"/>
  <c r="O234" i="38"/>
  <c r="O241" i="38" s="1"/>
  <c r="O240" i="38" s="1"/>
  <c r="O236" i="38"/>
  <c r="O182" i="38"/>
  <c r="O165" i="38"/>
  <c r="O172" i="38" s="1"/>
  <c r="O171" i="38" s="1"/>
  <c r="O121" i="38"/>
  <c r="O257" i="38"/>
  <c r="O264" i="38" s="1"/>
  <c r="O263" i="38" s="1"/>
  <c r="O190" i="38"/>
  <c r="O142" i="38"/>
  <c r="O149" i="38" s="1"/>
  <c r="O148" i="38" s="1"/>
  <c r="O211" i="38"/>
  <c r="O218" i="38" s="1"/>
  <c r="O217" i="38" s="1"/>
  <c r="O159" i="38"/>
  <c r="O98" i="38"/>
  <c r="O251" i="38"/>
  <c r="O188" i="38"/>
  <c r="O195" i="38" s="1"/>
  <c r="O194" i="38" s="1"/>
  <c r="O144" i="38"/>
  <c r="O274" i="38"/>
  <c r="O167" i="38"/>
  <c r="O119" i="38"/>
  <c r="O126" i="38" s="1"/>
  <c r="O125" i="38" s="1"/>
  <c r="O259" i="38"/>
  <c r="O3" i="38" l="1"/>
  <c r="O72" i="38"/>
  <c r="O49" i="38"/>
  <c r="O26" i="38"/>
  <c r="O2" i="38"/>
  <c r="O71" i="38"/>
  <c r="O48" i="38"/>
  <c r="O25" i="38"/>
  <c r="O18" i="38"/>
  <c r="O9" i="38"/>
  <c r="O22" i="38"/>
  <c r="O17" i="38"/>
  <c r="O14" i="38"/>
  <c r="O8" i="38"/>
  <c r="O24" i="38"/>
  <c r="O16" i="38"/>
  <c r="O12" i="38"/>
  <c r="O7" i="38"/>
  <c r="O23" i="38"/>
  <c r="O15" i="38"/>
  <c r="O5" i="38"/>
  <c r="O93" i="38"/>
  <c r="O85" i="38"/>
  <c r="O81" i="38"/>
  <c r="O76" i="38"/>
  <c r="O92" i="38"/>
  <c r="O59" i="38"/>
  <c r="O77" i="38"/>
  <c r="O84" i="38"/>
  <c r="O74" i="38"/>
  <c r="O86" i="38"/>
  <c r="O87" i="38"/>
  <c r="O78" i="38"/>
  <c r="O66" i="38"/>
  <c r="O65" i="38"/>
  <c r="O83" i="38"/>
  <c r="O91" i="38"/>
  <c r="O63" i="38"/>
  <c r="O60" i="38"/>
  <c r="O54" i="38"/>
  <c r="O43" i="38"/>
  <c r="O70" i="38"/>
  <c r="O42" i="38"/>
  <c r="O62" i="38"/>
  <c r="O58" i="38"/>
  <c r="O53" i="38"/>
  <c r="O69" i="38"/>
  <c r="O36" i="38"/>
  <c r="O61" i="38"/>
  <c r="O51" i="38"/>
  <c r="O64" i="38"/>
  <c r="O55" i="38"/>
  <c r="O68" i="38"/>
  <c r="O45" i="38"/>
  <c r="O20" i="38"/>
  <c r="O19" i="38"/>
  <c r="O32" i="38"/>
  <c r="O40" i="38"/>
  <c r="O37" i="38"/>
  <c r="O31" i="38"/>
  <c r="O47" i="38"/>
  <c r="O39" i="38"/>
  <c r="O35" i="38"/>
  <c r="O30" i="38"/>
  <c r="O46" i="38"/>
  <c r="O13" i="38"/>
  <c r="O38" i="38"/>
  <c r="O28" i="38"/>
  <c r="O41" i="38"/>
  <c r="O52" i="38" l="1"/>
  <c r="O27" i="38"/>
  <c r="O34" i="38" s="1"/>
  <c r="O33" i="38" s="1"/>
  <c r="O90" i="38"/>
  <c r="O44" i="38"/>
  <c r="O50" i="38"/>
  <c r="O57" i="38" s="1"/>
  <c r="O56" i="38" s="1"/>
  <c r="O67" i="38"/>
  <c r="O75" i="38"/>
  <c r="O6" i="38" l="1"/>
  <c r="O21" i="38"/>
  <c r="O4" i="38"/>
  <c r="O11" i="38" s="1"/>
  <c r="O10" i="38" s="1"/>
  <c r="O73" i="38"/>
  <c r="O80" i="38" s="1"/>
  <c r="O79" i="38" s="1"/>
  <c r="O29" i="38"/>
</calcChain>
</file>

<file path=xl/sharedStrings.xml><?xml version="1.0" encoding="utf-8"?>
<sst xmlns="http://schemas.openxmlformats.org/spreadsheetml/2006/main" count="2340" uniqueCount="705">
  <si>
    <t>1.02.1.</t>
  </si>
  <si>
    <t>1.02.2.</t>
  </si>
  <si>
    <t>1.04.1.</t>
  </si>
  <si>
    <t>1.04.2.</t>
  </si>
  <si>
    <t>1.05.1.</t>
  </si>
  <si>
    <t>1.05.2.</t>
  </si>
  <si>
    <t>1.05.3.</t>
  </si>
  <si>
    <t>1.06.2.</t>
  </si>
  <si>
    <t>1.06.3.</t>
  </si>
  <si>
    <t>1.06.4.</t>
  </si>
  <si>
    <t>1.06.5.</t>
  </si>
  <si>
    <t>1.06.6.</t>
  </si>
  <si>
    <t>1.06.7.1</t>
  </si>
  <si>
    <t>1.06.7.2</t>
  </si>
  <si>
    <t>1.07.</t>
  </si>
  <si>
    <t>1.08.1.</t>
  </si>
  <si>
    <t>1.08.2.</t>
  </si>
  <si>
    <t>1.10.1.1.</t>
  </si>
  <si>
    <t>1.10.1.2.</t>
  </si>
  <si>
    <t>1.10.1.3.</t>
  </si>
  <si>
    <t>1.10.1.4.</t>
  </si>
  <si>
    <t>1.10.2.</t>
  </si>
  <si>
    <t>1.10.3.</t>
  </si>
  <si>
    <t>1.10.4.</t>
  </si>
  <si>
    <t>1.10.5.</t>
  </si>
  <si>
    <t>1.10.6.</t>
  </si>
  <si>
    <t>1.10.7.</t>
  </si>
  <si>
    <t>1.12.2.</t>
  </si>
  <si>
    <t>1.12.5.</t>
  </si>
  <si>
    <t>1.12.6.</t>
  </si>
  <si>
    <t>1.12.7.</t>
  </si>
  <si>
    <t>1.12.8.</t>
  </si>
  <si>
    <t>1.12.10.</t>
  </si>
  <si>
    <t>2.01.1.</t>
  </si>
  <si>
    <t>2.01.2.</t>
  </si>
  <si>
    <t>2.01.3.</t>
  </si>
  <si>
    <t>2.01.4.1.</t>
  </si>
  <si>
    <t>2.01.4.2.</t>
  </si>
  <si>
    <t>2.02.</t>
  </si>
  <si>
    <t>2.03.1.1</t>
  </si>
  <si>
    <t>2.03.1.4</t>
  </si>
  <si>
    <t>2.03.1.5</t>
  </si>
  <si>
    <t>2.03.1.6</t>
  </si>
  <si>
    <t>2.03.1.9</t>
  </si>
  <si>
    <t>2.03.2.01</t>
  </si>
  <si>
    <t>2.03.2.06</t>
  </si>
  <si>
    <t>2.03.2.07</t>
  </si>
  <si>
    <t>2.03.2.08</t>
  </si>
  <si>
    <t>2.03.2.09</t>
  </si>
  <si>
    <t>2.04.1.</t>
  </si>
  <si>
    <t>2.04.2.</t>
  </si>
  <si>
    <t>2.04.3.</t>
  </si>
  <si>
    <t>2.05.1.</t>
  </si>
  <si>
    <t>2.05.2.</t>
  </si>
  <si>
    <t>2.06.1.</t>
  </si>
  <si>
    <t>2.06.2.</t>
  </si>
  <si>
    <t>2.06.3.</t>
  </si>
  <si>
    <t>2.07.1.</t>
  </si>
  <si>
    <t>2.07.2.</t>
  </si>
  <si>
    <t>2.08.</t>
  </si>
  <si>
    <t>2.09.1.1</t>
  </si>
  <si>
    <t>2.09.1.2</t>
  </si>
  <si>
    <t>2.09.1.3</t>
  </si>
  <si>
    <t>2.09.2.</t>
  </si>
  <si>
    <t>2.09.3.</t>
  </si>
  <si>
    <t>2.11.1.</t>
  </si>
  <si>
    <t>2.11.2.</t>
  </si>
  <si>
    <t>2.11.3.</t>
  </si>
  <si>
    <t>2.12.</t>
  </si>
  <si>
    <t>2.14.01</t>
  </si>
  <si>
    <t>2.14.02</t>
  </si>
  <si>
    <t>2.14.03</t>
  </si>
  <si>
    <t>2.14.04</t>
  </si>
  <si>
    <t>2.14.05</t>
  </si>
  <si>
    <t>2.14.06</t>
  </si>
  <si>
    <t>2.14.07</t>
  </si>
  <si>
    <t>2.14.08</t>
  </si>
  <si>
    <t>2.14.09</t>
  </si>
  <si>
    <t>2.14.10</t>
  </si>
  <si>
    <t>2.14.11</t>
  </si>
  <si>
    <t>2.14.12</t>
  </si>
  <si>
    <t>2.14.13</t>
  </si>
  <si>
    <t>2.14.14</t>
  </si>
  <si>
    <t>2.15.01</t>
  </si>
  <si>
    <t>2.15.02</t>
  </si>
  <si>
    <t>2.15.03</t>
  </si>
  <si>
    <t>2.15.04</t>
  </si>
  <si>
    <t>2.15.05</t>
  </si>
  <si>
    <t>2.15.06</t>
  </si>
  <si>
    <t>2.15.07</t>
  </si>
  <si>
    <t>2.15.08</t>
  </si>
  <si>
    <t>2.15.09</t>
  </si>
  <si>
    <t>2.15.10</t>
  </si>
  <si>
    <t>2.15.11</t>
  </si>
  <si>
    <t>2.15.12</t>
  </si>
  <si>
    <t>2.15.13</t>
  </si>
  <si>
    <t>2.15.14</t>
  </si>
  <si>
    <t>2.15.15</t>
  </si>
  <si>
    <t>2.15.16.01</t>
  </si>
  <si>
    <t>2.15.16.02</t>
  </si>
  <si>
    <t>2.15.16.03</t>
  </si>
  <si>
    <t>2.15.16.04</t>
  </si>
  <si>
    <t>2.15.16.05</t>
  </si>
  <si>
    <t>2.15.16.06</t>
  </si>
  <si>
    <t>2.15.16.07</t>
  </si>
  <si>
    <t>2.15.16.08</t>
  </si>
  <si>
    <t>2.15.16.09</t>
  </si>
  <si>
    <t>2.15.16.10</t>
  </si>
  <si>
    <t>2.15.16.11</t>
  </si>
  <si>
    <t>2.15.16.12</t>
  </si>
  <si>
    <t>2.15.16.13</t>
  </si>
  <si>
    <t>2.15.16.14</t>
  </si>
  <si>
    <t>2.15.16.15</t>
  </si>
  <si>
    <t>2.15.16.16</t>
  </si>
  <si>
    <t>2.15.16.17</t>
  </si>
  <si>
    <t>2.15.16.18</t>
  </si>
  <si>
    <t>2.15.16.19</t>
  </si>
  <si>
    <t>2.16.1.1</t>
  </si>
  <si>
    <t>2.16.1.2.1</t>
  </si>
  <si>
    <t>2.16.1.2.2</t>
  </si>
  <si>
    <t>2.16.1.3.1</t>
  </si>
  <si>
    <t>2.16.1.3.2</t>
  </si>
  <si>
    <t>2.16.1.4</t>
  </si>
  <si>
    <t>2.16.1.5.1</t>
  </si>
  <si>
    <t>2.16.1.5.2</t>
  </si>
  <si>
    <t>2.16.1.5.3</t>
  </si>
  <si>
    <t>2.16.1.5.4</t>
  </si>
  <si>
    <t>2.16.1.5.5</t>
  </si>
  <si>
    <t>2.16.1.5.6</t>
  </si>
  <si>
    <t>2.16.1.5.7</t>
  </si>
  <si>
    <t>2.16.2</t>
  </si>
  <si>
    <t>2.16.3</t>
  </si>
  <si>
    <t>2.17.1</t>
  </si>
  <si>
    <t>2.17.2</t>
  </si>
  <si>
    <t>2.17.3</t>
  </si>
  <si>
    <t>2.18.</t>
  </si>
  <si>
    <t>2.21.</t>
  </si>
  <si>
    <t>3.1.</t>
  </si>
  <si>
    <t>3.2.1.</t>
  </si>
  <si>
    <t>3.2.2.</t>
  </si>
  <si>
    <t>3.3.1.</t>
  </si>
  <si>
    <t>3.3.2.</t>
  </si>
  <si>
    <t>3.4.</t>
  </si>
  <si>
    <t>3.5.1.</t>
  </si>
  <si>
    <t>3.5.2.</t>
  </si>
  <si>
    <t>3.5.3.</t>
  </si>
  <si>
    <t>3.5.4.</t>
  </si>
  <si>
    <t>3.5.5.</t>
  </si>
  <si>
    <t>3.5.6.</t>
  </si>
  <si>
    <t>3.5.7.</t>
  </si>
  <si>
    <t>5.3.1.</t>
  </si>
  <si>
    <t>6.1.</t>
  </si>
  <si>
    <t>6.3.</t>
  </si>
  <si>
    <t>7.01</t>
  </si>
  <si>
    <t>7.02</t>
  </si>
  <si>
    <t>7.03</t>
  </si>
  <si>
    <t>7.04</t>
  </si>
  <si>
    <t>7.05</t>
  </si>
  <si>
    <t>7.06</t>
  </si>
  <si>
    <t>7.08</t>
  </si>
  <si>
    <t>7.09</t>
  </si>
  <si>
    <t>7.10</t>
  </si>
  <si>
    <t>7.11</t>
  </si>
  <si>
    <t>8.01</t>
  </si>
  <si>
    <t>8.02</t>
  </si>
  <si>
    <t>8.03</t>
  </si>
  <si>
    <t>8.04</t>
  </si>
  <si>
    <t>8.05</t>
  </si>
  <si>
    <t>8.06</t>
  </si>
  <si>
    <t>8.07</t>
  </si>
  <si>
    <t>8.08</t>
  </si>
  <si>
    <t>8.09</t>
  </si>
  <si>
    <t>8.11</t>
  </si>
  <si>
    <t>8.12</t>
  </si>
  <si>
    <t>8.14</t>
  </si>
  <si>
    <t>8.15</t>
  </si>
  <si>
    <t>8.16</t>
  </si>
  <si>
    <t>8.17</t>
  </si>
  <si>
    <t>8.18</t>
  </si>
  <si>
    <t>8.19</t>
  </si>
  <si>
    <t>8.22</t>
  </si>
  <si>
    <t>1.01.00.00.00.00</t>
  </si>
  <si>
    <t>1.02.00.00.00.00</t>
  </si>
  <si>
    <t>1.02.01.00.00.00</t>
  </si>
  <si>
    <t>1.02.02.00.00.00</t>
  </si>
  <si>
    <t>1.02.03.00.00.00</t>
  </si>
  <si>
    <t>1.02.04.00.00.00</t>
  </si>
  <si>
    <t>1.02.05.00.00.00</t>
  </si>
  <si>
    <t>1.02.06.00.00.00</t>
  </si>
  <si>
    <t>1.02.07.00.00.00</t>
  </si>
  <si>
    <t>1.02.07.01.00.00</t>
  </si>
  <si>
    <t>1.02.07.02.00.00</t>
  </si>
  <si>
    <t>1.02.09.00.00.00</t>
  </si>
  <si>
    <t>1.02.10.00.00.00</t>
  </si>
  <si>
    <t>1.02.11.00.00.00</t>
  </si>
  <si>
    <t>1.02.12.00.00.00</t>
  </si>
  <si>
    <t>1.02.13.00.00.00</t>
  </si>
  <si>
    <t>1.02.14.00.00.00</t>
  </si>
  <si>
    <t>1.02.15.00.00.00</t>
  </si>
  <si>
    <t>1.02.16.00.00.00</t>
  </si>
  <si>
    <t>1.02.17.00.00.00</t>
  </si>
  <si>
    <t>1.02.18.00.00.00</t>
  </si>
  <si>
    <t>1.03.00.00.00.00</t>
  </si>
  <si>
    <t>1.03.01.00.00.00</t>
  </si>
  <si>
    <t>1.03.02.00.00.00</t>
  </si>
  <si>
    <t>1.03.03.00.00.00</t>
  </si>
  <si>
    <t>1.03.04.00.00.00</t>
  </si>
  <si>
    <t>1.03.05.00.00.00</t>
  </si>
  <si>
    <t>1.03.06.00.00.00</t>
  </si>
  <si>
    <t>1.03.07.00.00.00</t>
  </si>
  <si>
    <t>1.03.08.00.00.00</t>
  </si>
  <si>
    <t>1.03.09.00.00.00</t>
  </si>
  <si>
    <t>1.04.00.00.00.00</t>
  </si>
  <si>
    <t>1.05.00.00.00.00</t>
  </si>
  <si>
    <t>1.05.01.00.00.00</t>
  </si>
  <si>
    <t>1.05.02.00.00.00</t>
  </si>
  <si>
    <t>1.06.00.00.00.00</t>
  </si>
  <si>
    <t>1.06.01.00.00.00</t>
  </si>
  <si>
    <t>1.06.02.00.00.00</t>
  </si>
  <si>
    <t>1.07.00.00.00.00</t>
  </si>
  <si>
    <t>1.08.00.00.00.00</t>
  </si>
  <si>
    <t>1.09.00.00.00.00</t>
  </si>
  <si>
    <t>1.10.00.00.00.00</t>
  </si>
  <si>
    <t>2.01.00.00.00.00</t>
  </si>
  <si>
    <t>2.01.01.01.00.00</t>
  </si>
  <si>
    <t>2.01.02.00.00.00</t>
  </si>
  <si>
    <t>2.01.04.00.00.00</t>
  </si>
  <si>
    <t>2.01.05.00.00.00</t>
  </si>
  <si>
    <t>2.01.05.01.00.00</t>
  </si>
  <si>
    <t>2.01.05.02.00.00</t>
  </si>
  <si>
    <t>2.02.00.00.00.00</t>
  </si>
  <si>
    <t>2.03.00.00.00.00</t>
  </si>
  <si>
    <t>2.03.01.00.00.00</t>
  </si>
  <si>
    <t>2.03.01.01.00.00</t>
  </si>
  <si>
    <t>2.03.01.02.00.00</t>
  </si>
  <si>
    <t>2.03.01.03.00.00</t>
  </si>
  <si>
    <t>2.03.01.04.00.00</t>
  </si>
  <si>
    <t>2.03.01.05.00.00</t>
  </si>
  <si>
    <t>2.03.01.06.00.00</t>
  </si>
  <si>
    <t>2.03.01.07.00.00</t>
  </si>
  <si>
    <t>2.03.01.08.00.00</t>
  </si>
  <si>
    <t>2.03.01.09.00.00</t>
  </si>
  <si>
    <t>2.03.01.10.00.00</t>
  </si>
  <si>
    <t>2.03.02.00.00.00</t>
  </si>
  <si>
    <t>2.03.02.01.00.00</t>
  </si>
  <si>
    <t>2.03.02.02.00.00</t>
  </si>
  <si>
    <t>2.03.02.03.00.00</t>
  </si>
  <si>
    <t>2.03.02.04.00.00</t>
  </si>
  <si>
    <t>2.03.02.05.00.00</t>
  </si>
  <si>
    <t>2.03.02.06.00.00</t>
  </si>
  <si>
    <t>2.03.02.07.00.00</t>
  </si>
  <si>
    <t>2.03.02.08.00.00</t>
  </si>
  <si>
    <t>2.03.02.09.00.00</t>
  </si>
  <si>
    <t>2.04.00.00.00.00</t>
  </si>
  <si>
    <t>2.04.01.00.00.00</t>
  </si>
  <si>
    <t>2.04.02.00.00.00</t>
  </si>
  <si>
    <t>2.04.03.00.00.00</t>
  </si>
  <si>
    <t>2.05.00.00.00.00</t>
  </si>
  <si>
    <t>2.05.01.00.00.00</t>
  </si>
  <si>
    <t>2.05.02.00.00.00</t>
  </si>
  <si>
    <t>2.06.00.00.00.00</t>
  </si>
  <si>
    <t>2.06.01.00.00.00</t>
  </si>
  <si>
    <t>2.06.02.00.00.00</t>
  </si>
  <si>
    <t>2.06.03.00.00.00</t>
  </si>
  <si>
    <t>2.07.00.00.00.00</t>
  </si>
  <si>
    <t>2.07.10.00.00.00</t>
  </si>
  <si>
    <t>2.07.10.01.00.00</t>
  </si>
  <si>
    <t>2.08.00.00.00.00</t>
  </si>
  <si>
    <t>2.09.00.00.00.00</t>
  </si>
  <si>
    <t>2.09.02.00.00.00</t>
  </si>
  <si>
    <t>2.09.02.01.00.00</t>
  </si>
  <si>
    <t>2.09.02.02.00.00</t>
  </si>
  <si>
    <t>2.09.02.03.00.00</t>
  </si>
  <si>
    <t>2.09.02.04.00.00</t>
  </si>
  <si>
    <t>2.09.02.05.00.00</t>
  </si>
  <si>
    <t>2.09.03.00.00.00</t>
  </si>
  <si>
    <t>2.10.00.00.00.00</t>
  </si>
  <si>
    <t>2.11.00.00.00.00</t>
  </si>
  <si>
    <t>2.11.01.00.00.00</t>
  </si>
  <si>
    <t>2.11.02.00.00.00</t>
  </si>
  <si>
    <t>2.11.03.00.00.00</t>
  </si>
  <si>
    <t>2.11.04.00.00.00</t>
  </si>
  <si>
    <t>2.12.00.00.00.00</t>
  </si>
  <si>
    <t>2.13.01.00.00.00</t>
  </si>
  <si>
    <t>2.14.00.00.00.00</t>
  </si>
  <si>
    <t>2.14.01.00.00.00</t>
  </si>
  <si>
    <t>2.14.02.01.00.00</t>
  </si>
  <si>
    <t>2.14.02.02.00.00</t>
  </si>
  <si>
    <t>2.14.03.00.00.00</t>
  </si>
  <si>
    <t>2.14.03.01.00.00</t>
  </si>
  <si>
    <t>2.14.03.02.00.00</t>
  </si>
  <si>
    <t>2.14.03.03.00.00</t>
  </si>
  <si>
    <t>2.14.03.04.00.00</t>
  </si>
  <si>
    <t>2.14.03.05.00.00</t>
  </si>
  <si>
    <t>2.14.03.06.00.00</t>
  </si>
  <si>
    <t>2.14.03.07.00.00</t>
  </si>
  <si>
    <t>2.14.03.08.00.00</t>
  </si>
  <si>
    <t>2.15.00.00.00.00</t>
  </si>
  <si>
    <t>2.15.01.01.00.00</t>
  </si>
  <si>
    <t>2.15.01.02.00.00</t>
  </si>
  <si>
    <t>2.15.01.03.00.00</t>
  </si>
  <si>
    <t>2.15.01.04.00.00</t>
  </si>
  <si>
    <t>2.15.01.05.00.00</t>
  </si>
  <si>
    <t>2.15.01.05.01.00</t>
  </si>
  <si>
    <t>2.15.01.05.02.00</t>
  </si>
  <si>
    <t>2.15.01.06.00.00</t>
  </si>
  <si>
    <t>2.15.01.07.00.00</t>
  </si>
  <si>
    <t>2.15.01.08.00.00</t>
  </si>
  <si>
    <t>2.15.01.09.00.00</t>
  </si>
  <si>
    <t>2.15.01.10.00.00</t>
  </si>
  <si>
    <t>2.15.01.11.00.00</t>
  </si>
  <si>
    <t>2.15.01.11.01.00</t>
  </si>
  <si>
    <t>2.15.01.11.02.00</t>
  </si>
  <si>
    <t>2.15.01.12.00.00</t>
  </si>
  <si>
    <t>2.15.01.13.00.00</t>
  </si>
  <si>
    <t>2.15.01.14.00.00</t>
  </si>
  <si>
    <t>2.15.01.15.00.00</t>
  </si>
  <si>
    <t>2.15.01.16.00.00</t>
  </si>
  <si>
    <t>2.15.01.17.00.00</t>
  </si>
  <si>
    <t>2.15.01.18.00.00</t>
  </si>
  <si>
    <t>2.15.02.00.00.00</t>
  </si>
  <si>
    <t>2.15.03.00.00.00</t>
  </si>
  <si>
    <t>2.15.04.00.00.00</t>
  </si>
  <si>
    <t>2.15.05.00.00.00</t>
  </si>
  <si>
    <t>2.15.06.00.00.00</t>
  </si>
  <si>
    <t>2.15.07.00.00.00</t>
  </si>
  <si>
    <t>2.15.08.00.00.00</t>
  </si>
  <si>
    <t>2.15.08.01.00.00</t>
  </si>
  <si>
    <t>2.15.08.02.00.00</t>
  </si>
  <si>
    <t>2.15.08.03.00.00</t>
  </si>
  <si>
    <t>2.15.08.04.00.00</t>
  </si>
  <si>
    <t>2.15.08.05.00.00</t>
  </si>
  <si>
    <t>2.15.08.06.00.00</t>
  </si>
  <si>
    <t>2.15.08.07.00.00</t>
  </si>
  <si>
    <t>2.15.08.08.00.00</t>
  </si>
  <si>
    <t>2.15.08.09.00.00</t>
  </si>
  <si>
    <t>2.15.08.10.00.00</t>
  </si>
  <si>
    <t>2.15.08.11.00.00</t>
  </si>
  <si>
    <t>2.15.08.12.00.00</t>
  </si>
  <si>
    <t>2.15.08.13.00.00</t>
  </si>
  <si>
    <t>2.15.08.14.00.00</t>
  </si>
  <si>
    <t>2.15.08.16.00.00</t>
  </si>
  <si>
    <t>2.15.08.17.00.00</t>
  </si>
  <si>
    <t>2.16.00.00.00.00</t>
  </si>
  <si>
    <t>2.16.01.00.00.00</t>
  </si>
  <si>
    <t>2.16.02.00.00.00</t>
  </si>
  <si>
    <t>2.16.03.00.00.00</t>
  </si>
  <si>
    <t>2.16.04.00.00.00</t>
  </si>
  <si>
    <t>2.16.05.00.00.00</t>
  </si>
  <si>
    <t>2.16.05.01.00.00</t>
  </si>
  <si>
    <t>2.16.06.00.00.00</t>
  </si>
  <si>
    <t>2.16.06.01.00.00</t>
  </si>
  <si>
    <t>2.16.06.02.00.00</t>
  </si>
  <si>
    <t>2.16.07.00.00.00</t>
  </si>
  <si>
    <t>2.16.07.01.00.00</t>
  </si>
  <si>
    <t>2.16.07.02.00.00</t>
  </si>
  <si>
    <t>2.16.08.00.00.00</t>
  </si>
  <si>
    <t>2.16.09.00.00.00</t>
  </si>
  <si>
    <t>2.16.09.01.00.00</t>
  </si>
  <si>
    <t>2.16.09.02.00.00</t>
  </si>
  <si>
    <t>2.16.09.03.00.00</t>
  </si>
  <si>
    <t>2.16.09.04.00.00</t>
  </si>
  <si>
    <t>2.16.09.05.00.00</t>
  </si>
  <si>
    <t>2.16.09.06.00.00</t>
  </si>
  <si>
    <t>2.16.09.07.00.00</t>
  </si>
  <si>
    <t>2.16.10.00.00.00</t>
  </si>
  <si>
    <t>2.17.00.00.00.00</t>
  </si>
  <si>
    <t>2.17.01.00.00.00</t>
  </si>
  <si>
    <t>2.17.02.00.00.00</t>
  </si>
  <si>
    <t>2.18.00.00.00.00</t>
  </si>
  <si>
    <t>2.19.00.00.00.00</t>
  </si>
  <si>
    <t>2.19.01.00.00.00</t>
  </si>
  <si>
    <t>2.19.02.00.00.00</t>
  </si>
  <si>
    <t>2.19.03.00.00.00</t>
  </si>
  <si>
    <t>2.21.00.00.00.00</t>
  </si>
  <si>
    <t>2.21.01.00.00.00</t>
  </si>
  <si>
    <t>2.21.01.01.00.00</t>
  </si>
  <si>
    <t>2.21.01.02.00.00</t>
  </si>
  <si>
    <t>2.21.01.03.00.00</t>
  </si>
  <si>
    <t>2.21.01.04.00.00</t>
  </si>
  <si>
    <t>2.22.00.00.00.00</t>
  </si>
  <si>
    <t>2.24.00.00.00.00</t>
  </si>
  <si>
    <t>2.25.01.00.00.00</t>
  </si>
  <si>
    <t>2.25.02.00.00.00</t>
  </si>
  <si>
    <t>2.25.02.01.00.00</t>
  </si>
  <si>
    <t>2.25.02.02.00.00</t>
  </si>
  <si>
    <t>2.25.03.00.00.00</t>
  </si>
  <si>
    <t>2.25.03.01.00.00</t>
  </si>
  <si>
    <t>2.25.03.02.00.00</t>
  </si>
  <si>
    <t>2.25.03.03.00.00</t>
  </si>
  <si>
    <t>2.25.03.04.00.00</t>
  </si>
  <si>
    <t>2.25.04.00.00.00</t>
  </si>
  <si>
    <t>2.25.05.00.00.00</t>
  </si>
  <si>
    <t>2.25.05.01.00.00</t>
  </si>
  <si>
    <t>2.25.05.01.01.00</t>
  </si>
  <si>
    <t>2.25.05.02.00.00</t>
  </si>
  <si>
    <t>2.25.05.03.00.00</t>
  </si>
  <si>
    <t>2.25.05.04.00.00</t>
  </si>
  <si>
    <t>2.25.05.05.00.00</t>
  </si>
  <si>
    <t>2.25.05.06.00.00</t>
  </si>
  <si>
    <t>2.25.05.07.00.00</t>
  </si>
  <si>
    <t>2.25.05.08.00.00</t>
  </si>
  <si>
    <t>2.25.05.09.00.00</t>
  </si>
  <si>
    <t>2.26.00.00.00.00</t>
  </si>
  <si>
    <t>SubItem</t>
  </si>
  <si>
    <t>Item</t>
  </si>
  <si>
    <t>DataType</t>
  </si>
  <si>
    <t>Source</t>
  </si>
  <si>
    <t>ReportPart</t>
  </si>
  <si>
    <t>Residual</t>
  </si>
  <si>
    <t>Account</t>
  </si>
  <si>
    <t>CashFlowType</t>
  </si>
  <si>
    <t>Advance</t>
  </si>
  <si>
    <t>Tranche</t>
  </si>
  <si>
    <t>SystemState</t>
  </si>
  <si>
    <t>Plan/Fact</t>
  </si>
  <si>
    <t>LoadDate</t>
  </si>
  <si>
    <t>PaymentDate</t>
  </si>
  <si>
    <t>SumPlan</t>
  </si>
  <si>
    <t>SumFact</t>
  </si>
  <si>
    <t>Comment</t>
  </si>
  <si>
    <t>ItemExtra</t>
  </si>
  <si>
    <t>FundsCenter</t>
  </si>
  <si>
    <t>Partner</t>
  </si>
  <si>
    <t>NumDoc</t>
  </si>
  <si>
    <t>ItemExtraName</t>
  </si>
  <si>
    <t>FundsCenterName</t>
  </si>
  <si>
    <t>HigherItem</t>
  </si>
  <si>
    <t>LoadMonth</t>
  </si>
  <si>
    <t>PaymentMonth</t>
  </si>
  <si>
    <t>PaymentYear</t>
  </si>
  <si>
    <t>LoadYear</t>
  </si>
  <si>
    <t>LimitYear</t>
  </si>
  <si>
    <t>EXTRA</t>
  </si>
  <si>
    <t>CommitmentItemLocal</t>
  </si>
  <si>
    <t>CIGlobal</t>
  </si>
  <si>
    <t>CIGlobalPast</t>
  </si>
  <si>
    <t>CIGlobalOFFBALANCE</t>
  </si>
  <si>
    <t>CIGlobalIncome</t>
  </si>
  <si>
    <t>In</t>
  </si>
  <si>
    <t>Out</t>
  </si>
  <si>
    <t>Ex</t>
  </si>
  <si>
    <t>04.1. SubItem 04.1.</t>
  </si>
  <si>
    <t>Centralized</t>
  </si>
  <si>
    <t>p</t>
  </si>
  <si>
    <t>IncomeStatement</t>
  </si>
  <si>
    <t>Decentralized</t>
  </si>
  <si>
    <t>03.1. SubItem 03.1.</t>
  </si>
  <si>
    <t>03. Item 03</t>
  </si>
  <si>
    <t>ItemE 1.02.1.</t>
  </si>
  <si>
    <t>_1. SubItem _1.</t>
  </si>
  <si>
    <t>_1. Item _1</t>
  </si>
  <si>
    <t>03.2. SubItem 03.2.</t>
  </si>
  <si>
    <t>ItemE 1.02.2.</t>
  </si>
  <si>
    <t>_2. Item _2</t>
  </si>
  <si>
    <t>03.3. SubItem 03.3.</t>
  </si>
  <si>
    <t>ItemE 1.04.1.</t>
  </si>
  <si>
    <t>_2.2. SubItem _2.2.</t>
  </si>
  <si>
    <t>_3. Item _3</t>
  </si>
  <si>
    <t>03.4. SubItem 03.4.</t>
  </si>
  <si>
    <t>ItemE 1.04.2.</t>
  </si>
  <si>
    <t>_4. Item _4</t>
  </si>
  <si>
    <t>03.5. SubItem 03.5.</t>
  </si>
  <si>
    <t>ItemE 1.05.1.</t>
  </si>
  <si>
    <t>_3. SubItem _3.</t>
  </si>
  <si>
    <t>_5. Item _5</t>
  </si>
  <si>
    <t>03.6. SubItem 03.6.</t>
  </si>
  <si>
    <t>ItemE 1.05.2.</t>
  </si>
  <si>
    <t>01. Item 01</t>
  </si>
  <si>
    <t>03.7. SubItem 03.7.</t>
  </si>
  <si>
    <t>ItemE 1.05.3.</t>
  </si>
  <si>
    <t>02. Item 02</t>
  </si>
  <si>
    <t>03.8. SubItem 03.8.</t>
  </si>
  <si>
    <t>ItemE 1.06.2.</t>
  </si>
  <si>
    <t>04.2. SubItem 04.2.</t>
  </si>
  <si>
    <t>04. Item 04</t>
  </si>
  <si>
    <t>ItemE 1.06.3.</t>
  </si>
  <si>
    <t>05.1. SubItem 05.1.</t>
  </si>
  <si>
    <t>05. Item 05</t>
  </si>
  <si>
    <t>ItemE 1.06.4.</t>
  </si>
  <si>
    <t>05.2. SubItem 05.2.</t>
  </si>
  <si>
    <t>ItemE 1.06.5.</t>
  </si>
  <si>
    <t>06. Item 06</t>
  </si>
  <si>
    <t>09.1. SubItem 09.1.</t>
  </si>
  <si>
    <t>09. Item 09</t>
  </si>
  <si>
    <t>ItemE 1.06.6.</t>
  </si>
  <si>
    <t>07. Item 07</t>
  </si>
  <si>
    <t>09.2. SubItem 09.2.</t>
  </si>
  <si>
    <t>ItemE 1.06.7.1</t>
  </si>
  <si>
    <t>08. Item 08</t>
  </si>
  <si>
    <t>09.3. SubItem 09.3.</t>
  </si>
  <si>
    <t>ItemE 1.06.7.2</t>
  </si>
  <si>
    <t>10.1. SubItem 10.1.</t>
  </si>
  <si>
    <t>10. Item 10</t>
  </si>
  <si>
    <t>ItemE 1.07.</t>
  </si>
  <si>
    <t>_2.1. SubItem _2.1.</t>
  </si>
  <si>
    <t>10.2. SubItem 10.2.</t>
  </si>
  <si>
    <t>ItemE 1.08.1.</t>
  </si>
  <si>
    <t>_4. SubItem _4.</t>
  </si>
  <si>
    <t>11. Item 11</t>
  </si>
  <si>
    <t>10.3. SubItem 10.3.</t>
  </si>
  <si>
    <t>ItemE 1.08.2.</t>
  </si>
  <si>
    <t>12. Item 12</t>
  </si>
  <si>
    <t>13.1. SubItem 13.1.</t>
  </si>
  <si>
    <t>13. Item 13</t>
  </si>
  <si>
    <t>ItemE 1.10.1.1.</t>
  </si>
  <si>
    <t>20. SubItem 20.</t>
  </si>
  <si>
    <t>13.2. SubItem 13.2.</t>
  </si>
  <si>
    <t>ItemE 1.10.1.2.</t>
  </si>
  <si>
    <t>_5. SubItem _5.</t>
  </si>
  <si>
    <t>14. Item 14</t>
  </si>
  <si>
    <t>13.3. SubItem 13.3.</t>
  </si>
  <si>
    <t>ItemE 1.10.1.3.</t>
  </si>
  <si>
    <t>15. Item 15</t>
  </si>
  <si>
    <t>13.4. SubItem 13.4.</t>
  </si>
  <si>
    <t>ItemE 1.10.1.4.</t>
  </si>
  <si>
    <t>16. Item 16</t>
  </si>
  <si>
    <t>13.5. SubItem 13.5.</t>
  </si>
  <si>
    <t>ItemE 1.10.2.</t>
  </si>
  <si>
    <t>17. Item 17</t>
  </si>
  <si>
    <t>13.8. SubItem 13.8.</t>
  </si>
  <si>
    <t>ItemE 1.10.3.</t>
  </si>
  <si>
    <t>18. Item 18</t>
  </si>
  <si>
    <t>13.9. SubItem 13.9.</t>
  </si>
  <si>
    <t>ItemE 1.10.4.</t>
  </si>
  <si>
    <t>19. Item 19</t>
  </si>
  <si>
    <t>01.1. SubItem 01.1.</t>
  </si>
  <si>
    <t>ItemE 1.10.5.</t>
  </si>
  <si>
    <t>20. Item 20</t>
  </si>
  <si>
    <t>02. SubItem 02.</t>
  </si>
  <si>
    <t>ItemE 1.10.6.</t>
  </si>
  <si>
    <t>21. Item 21</t>
  </si>
  <si>
    <t>ItemE 1.10.7.</t>
  </si>
  <si>
    <t>ItemE 1.12.2.</t>
  </si>
  <si>
    <t>ItemE 1.12.5.</t>
  </si>
  <si>
    <t>ItemE 1.12.6.</t>
  </si>
  <si>
    <t>ItemE 1.12.7.</t>
  </si>
  <si>
    <t>ItemE 1.12.8.</t>
  </si>
  <si>
    <t>01. SubItem 01.</t>
  </si>
  <si>
    <t>ItemE 1.12.10.</t>
  </si>
  <si>
    <t>06. SubItem 06.</t>
  </si>
  <si>
    <t>ItemE 2.01.1.</t>
  </si>
  <si>
    <t>07. SubItem 07.</t>
  </si>
  <si>
    <t>ItemE 2.01.2.</t>
  </si>
  <si>
    <t>08. SubItem 08.</t>
  </si>
  <si>
    <t>ItemE 2.01.3.</t>
  </si>
  <si>
    <t>11. SubItem 11.</t>
  </si>
  <si>
    <t>ItemE 2.01.4.1.</t>
  </si>
  <si>
    <t>12.1. SubItem 12.1.</t>
  </si>
  <si>
    <t>ItemE 2.01.4.2.</t>
  </si>
  <si>
    <t>12.2. SubItem 12.2.</t>
  </si>
  <si>
    <t>ItemE 2.02.</t>
  </si>
  <si>
    <t>14. SubItem 14.</t>
  </si>
  <si>
    <t>ItemE 2.03.1.1</t>
  </si>
  <si>
    <t>15. SubItem 15.</t>
  </si>
  <si>
    <t>ItemE 2.03.1.4</t>
  </si>
  <si>
    <t>16. SubItem 16.</t>
  </si>
  <si>
    <t>ItemE 2.03.1.5</t>
  </si>
  <si>
    <t>17. SubItem 17.</t>
  </si>
  <si>
    <t>ItemE 2.03.1.6</t>
  </si>
  <si>
    <t>18. SubItem 18.</t>
  </si>
  <si>
    <t>ItemE 2.03.1.9</t>
  </si>
  <si>
    <t>19. SubItem 19.</t>
  </si>
  <si>
    <t>ItemE 2.03.2.01</t>
  </si>
  <si>
    <t>ItemE 2.03.2.06</t>
  </si>
  <si>
    <t>09.4. SubItem 09.4.</t>
  </si>
  <si>
    <t>ItemE 2.03.2.07</t>
  </si>
  <si>
    <t>09.5. SubItem 09.5.</t>
  </si>
  <si>
    <t>ItemE 2.03.2.08</t>
  </si>
  <si>
    <t>ItemE 2.03.2.09</t>
  </si>
  <si>
    <t>02.1. SubItem 02.1</t>
  </si>
  <si>
    <t>ItemE 2.04.1.</t>
  </si>
  <si>
    <t>02.2. SubItem 02.2</t>
  </si>
  <si>
    <t>ItemE 2.04.2.</t>
  </si>
  <si>
    <t>ItemE 2.04.3.</t>
  </si>
  <si>
    <t>ItemE 2.05.1.</t>
  </si>
  <si>
    <t>ItemE 2.05.2.</t>
  </si>
  <si>
    <t>ItemE 2.06.1.</t>
  </si>
  <si>
    <t>ItemE 2.06.2.</t>
  </si>
  <si>
    <t>ItemE 2.06.3.</t>
  </si>
  <si>
    <t>ItemE 2.07.1.</t>
  </si>
  <si>
    <t>ItemE 2.07.2.</t>
  </si>
  <si>
    <t>ItemE 2.08.</t>
  </si>
  <si>
    <t>ItemE 2.09.1.1</t>
  </si>
  <si>
    <t>ItemE 2.09.1.2</t>
  </si>
  <si>
    <t>ItemE 2.09.1.3</t>
  </si>
  <si>
    <t>ItemE 2.09.2.</t>
  </si>
  <si>
    <t>ItemE 2.09.3.</t>
  </si>
  <si>
    <t>ItemE 2.11.1.</t>
  </si>
  <si>
    <t>ItemE 2.11.2.</t>
  </si>
  <si>
    <t>ItemE 2.11.3.</t>
  </si>
  <si>
    <t>ItemE 2.12.</t>
  </si>
  <si>
    <t>ItemE 2.14.01</t>
  </si>
  <si>
    <t>ItemE 2.14.02</t>
  </si>
  <si>
    <t>ItemE 2.14.03</t>
  </si>
  <si>
    <t>ItemE 2.14.04</t>
  </si>
  <si>
    <t>ItemE 2.14.05</t>
  </si>
  <si>
    <t>ItemE 2.14.06</t>
  </si>
  <si>
    <t>ItemE 2.14.07</t>
  </si>
  <si>
    <t>ItemE 2.14.08</t>
  </si>
  <si>
    <t>ItemE 2.14.09</t>
  </si>
  <si>
    <t>ItemE 2.14.10</t>
  </si>
  <si>
    <t>ItemE 2.14.11</t>
  </si>
  <si>
    <t>ItemE 2.14.12</t>
  </si>
  <si>
    <t>ItemE 2.14.13</t>
  </si>
  <si>
    <t>ItemE 2.14.14</t>
  </si>
  <si>
    <t>ItemE 2.15.01</t>
  </si>
  <si>
    <t>ItemE 2.15.02</t>
  </si>
  <si>
    <t>ItemE 2.15.03</t>
  </si>
  <si>
    <t>ItemE 2.15.04</t>
  </si>
  <si>
    <t>ItemE 2.15.05</t>
  </si>
  <si>
    <t>ItemE 2.15.06</t>
  </si>
  <si>
    <t>ItemE 2.15.07</t>
  </si>
  <si>
    <t>ItemE 2.15.08</t>
  </si>
  <si>
    <t>ItemE 2.15.09</t>
  </si>
  <si>
    <t>ItemE 2.15.10</t>
  </si>
  <si>
    <t>ItemE 2.15.11</t>
  </si>
  <si>
    <t>ItemE 2.15.12</t>
  </si>
  <si>
    <t>ItemE 2.15.13</t>
  </si>
  <si>
    <t>ItemE 2.15.14</t>
  </si>
  <si>
    <t>ItemE 2.15.15</t>
  </si>
  <si>
    <t>ItemE 2.15.16.01</t>
  </si>
  <si>
    <t>ItemE 2.15.16.02</t>
  </si>
  <si>
    <t>ItemE 2.15.16.03</t>
  </si>
  <si>
    <t>ItemE 2.15.16.04</t>
  </si>
  <si>
    <t>ItemE 2.15.16.05</t>
  </si>
  <si>
    <t>ItemE 2.15.16.06</t>
  </si>
  <si>
    <t>ItemE 2.15.16.07</t>
  </si>
  <si>
    <t>ItemE 2.15.16.08</t>
  </si>
  <si>
    <t>ItemE 2.15.16.09</t>
  </si>
  <si>
    <t>ItemE 2.15.16.10</t>
  </si>
  <si>
    <t>ItemE 2.15.16.11</t>
  </si>
  <si>
    <t>ItemE 2.15.16.12</t>
  </si>
  <si>
    <t>ItemE 2.15.16.13</t>
  </si>
  <si>
    <t>ItemE 2.15.16.14</t>
  </si>
  <si>
    <t>ItemE 2.15.16.15</t>
  </si>
  <si>
    <t>ItemE 2.15.16.16</t>
  </si>
  <si>
    <t>ItemE 2.15.16.17</t>
  </si>
  <si>
    <t>ItemE 2.15.16.18</t>
  </si>
  <si>
    <t>ItemE 2.15.16.19</t>
  </si>
  <si>
    <t>ItemE 2.16.1.1</t>
  </si>
  <si>
    <t>ItemE 2.16.1.2.1</t>
  </si>
  <si>
    <t>ItemE 2.16.1.2.2</t>
  </si>
  <si>
    <t>ItemE 2.16.1.3.1</t>
  </si>
  <si>
    <t>ItemE 2.16.1.3.2</t>
  </si>
  <si>
    <t>ItemE 2.16.1.4</t>
  </si>
  <si>
    <t>ItemE 2.16.1.5.1</t>
  </si>
  <si>
    <t>ItemE 2.16.1.5.2</t>
  </si>
  <si>
    <t>ItemE 2.16.1.5.3</t>
  </si>
  <si>
    <t>ItemE 2.16.1.5.4</t>
  </si>
  <si>
    <t>ItemE 2.16.1.5.5</t>
  </si>
  <si>
    <t>ItemE 2.16.1.5.6</t>
  </si>
  <si>
    <t>ItemE 2.16.1.5.7</t>
  </si>
  <si>
    <t>ItemE 2.16.2</t>
  </si>
  <si>
    <t>ItemE 2.16.3</t>
  </si>
  <si>
    <t>ItemE 2.17.1</t>
  </si>
  <si>
    <t>ItemE 2.17.2</t>
  </si>
  <si>
    <t>ItemE 2.17.3</t>
  </si>
  <si>
    <t>ItemE 2.18.</t>
  </si>
  <si>
    <t>ItemE 2.21.</t>
  </si>
  <si>
    <t>ItemE 3.1.</t>
  </si>
  <si>
    <t>ItemE 3.2.1.</t>
  </si>
  <si>
    <t>ItemE 3.2.2.</t>
  </si>
  <si>
    <t>ItemE 3.3.1.</t>
  </si>
  <si>
    <t>ItemE 3.3.2.</t>
  </si>
  <si>
    <t>ItemE 3.4.</t>
  </si>
  <si>
    <t>ItemE 3.5.1.</t>
  </si>
  <si>
    <t>ItemE 3.5.2.</t>
  </si>
  <si>
    <t>ItemE 3.5.3.</t>
  </si>
  <si>
    <t>ItemE 3.5.4.</t>
  </si>
  <si>
    <t>ItemE 3.5.5.</t>
  </si>
  <si>
    <t>ItemE 3.5.6.</t>
  </si>
  <si>
    <t>ItemE 3.5.7.</t>
  </si>
  <si>
    <t>ItemE 5.3.1.</t>
  </si>
  <si>
    <t>ItemE 6.1.</t>
  </si>
  <si>
    <t>ItemE 6.3.</t>
  </si>
  <si>
    <t>ItemE 7.01</t>
  </si>
  <si>
    <t>ItemE 7.02</t>
  </si>
  <si>
    <t>ItemE 7.03</t>
  </si>
  <si>
    <t>ItemE 7.04</t>
  </si>
  <si>
    <t>ItemE 7.05</t>
  </si>
  <si>
    <t>ItemE 7.06</t>
  </si>
  <si>
    <t>ItemE 7.08</t>
  </si>
  <si>
    <t>ItemE 7.09</t>
  </si>
  <si>
    <t>ItemE 7.10</t>
  </si>
  <si>
    <t>ItemE 7.11</t>
  </si>
  <si>
    <t>ItemE 8.01</t>
  </si>
  <si>
    <t>ItemE 8.02</t>
  </si>
  <si>
    <t>ItemE 8.03</t>
  </si>
  <si>
    <t>ItemE 8.04</t>
  </si>
  <si>
    <t>ItemE 8.05</t>
  </si>
  <si>
    <t>ItemE 8.06</t>
  </si>
  <si>
    <t>ItemE 8.07</t>
  </si>
  <si>
    <t>ItemE 8.08</t>
  </si>
  <si>
    <t>ItemE 8.09</t>
  </si>
  <si>
    <t>ItemE 8.11</t>
  </si>
  <si>
    <t>ItemE 8.12</t>
  </si>
  <si>
    <t>ItemE 8.14</t>
  </si>
  <si>
    <t>ItemE 8.15</t>
  </si>
  <si>
    <t>ItemE 8.16</t>
  </si>
  <si>
    <t>ItemE 8.17</t>
  </si>
  <si>
    <t>ItemE 8.18</t>
  </si>
  <si>
    <t>ItemE 8.19</t>
  </si>
  <si>
    <t>ItemE 8.22</t>
  </si>
  <si>
    <t>21. SubItem 21.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</si>
</sst>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\ _₽_-;\-* #,##0.00\ _₽_-;_-* &quot;-&quot;??\ _₽_-;_-@_-"/>
    <numFmt numFmtId="164" formatCode="mmmm"/>
    <numFmt numFmtId="165" formatCode="#,##0;\-#,##0;&quot;&quot;"/>
  </numFmts>
  <fonts count="9" x14ac:knownFonts="1">
    <font>
      <sz val="10"/>
      <name val="Arial Cyr"/>
      <charset val="204"/>
    </font>
    <font>
      <sz val="10"/>
      <name val="Arial Cyr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b/>
      <sz val="9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sz val="12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DDDDDD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7" fillId="0" borderId="0"/>
    <xf numFmtId="43" fontId="7" fillId="0" borderId="0" applyFont="0" applyFill="0" applyBorder="0" applyAlignment="0" applyProtection="0"/>
    <xf numFmtId="0" fontId="8" fillId="0" borderId="0"/>
  </cellStyleXfs>
  <cellXfs count="26">
    <xf numFmtId="0" fontId="0" fillId="0" borderId="0" xfId="0"/>
    <xf numFmtId="0" fontId="2" fillId="0" borderId="0" xfId="0" applyFont="1" applyFill="1"/>
    <xf numFmtId="0" fontId="2" fillId="0" borderId="0" xfId="0" applyFont="1" applyFill="1" applyBorder="1"/>
    <xf numFmtId="4" fontId="0" fillId="0" borderId="0" xfId="0" applyNumberFormat="1"/>
    <xf numFmtId="0" fontId="2" fillId="0" borderId="0" xfId="0" applyNumberFormat="1" applyFont="1" applyFill="1" applyBorder="1" applyAlignment="1">
      <alignment horizontal="center"/>
    </xf>
    <xf numFmtId="0" fontId="2" fillId="0" borderId="0" xfId="0" quotePrefix="1" applyFont="1" applyFill="1" applyBorder="1"/>
    <xf numFmtId="0" fontId="3" fillId="0" borderId="0" xfId="0" applyFont="1" applyFill="1" applyBorder="1" applyAlignment="1">
      <alignment horizontal="left" vertical="top" wrapText="1" indent="1"/>
    </xf>
    <xf numFmtId="14" fontId="3" fillId="0" borderId="0" xfId="1" applyNumberFormat="1" applyFont="1" applyFill="1" applyBorder="1" applyAlignment="1">
      <alignment horizontal="right" vertical="top" wrapText="1"/>
    </xf>
    <xf numFmtId="165" fontId="3" fillId="0" borderId="0" xfId="1" applyNumberFormat="1" applyFont="1" applyBorder="1" applyAlignment="1">
      <alignment horizontal="right" vertical="top" wrapText="1"/>
    </xf>
    <xf numFmtId="165" fontId="3" fillId="0" borderId="0" xfId="1" applyNumberFormat="1" applyFont="1" applyFill="1" applyBorder="1" applyAlignment="1">
      <alignment horizontal="right" vertical="top" wrapText="1"/>
    </xf>
    <xf numFmtId="165" fontId="5" fillId="0" borderId="0" xfId="1" applyNumberFormat="1" applyFont="1" applyBorder="1" applyAlignment="1">
      <alignment horizontal="right" vertical="top" wrapText="1"/>
    </xf>
    <xf numFmtId="0" fontId="2" fillId="0" borderId="0" xfId="0" applyFont="1" applyFill="1" applyBorder="1" applyAlignment="1"/>
    <xf numFmtId="164" fontId="6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4" fontId="3" fillId="0" borderId="0" xfId="1" applyNumberFormat="1" applyFont="1" applyFill="1" applyBorder="1" applyAlignment="1">
      <alignment horizontal="right" vertical="top" wrapText="1"/>
    </xf>
    <xf numFmtId="4" fontId="2" fillId="0" borderId="0" xfId="0" applyNumberFormat="1" applyFont="1" applyFill="1" applyBorder="1" applyAlignment="1"/>
    <xf numFmtId="0" fontId="2" fillId="2" borderId="0" xfId="0" applyFont="1" applyFill="1"/>
    <xf numFmtId="4" fontId="2" fillId="0" borderId="0" xfId="0" applyNumberFormat="1" applyFont="1" applyFill="1"/>
    <xf numFmtId="165" fontId="5" fillId="0" borderId="0" xfId="1" applyNumberFormat="1" applyFont="1" applyFill="1" applyBorder="1" applyAlignment="1">
      <alignment horizontal="right" vertical="top" wrapText="1"/>
    </xf>
    <xf numFmtId="49" fontId="0" fillId="0" borderId="0" xfId="0" applyNumberFormat="1"/>
    <xf numFmtId="0" fontId="8" fillId="3" borderId="1" xfId="4" applyFont="1" applyFill="1" applyBorder="1"/>
    <xf numFmtId="0" fontId="8" fillId="0" borderId="0" xfId="4" applyFont="1"/>
    <xf numFmtId="0" fontId="0" fillId="0" borderId="0" xfId="0" applyNumberFormat="1"/>
    <xf numFmtId="0" fontId="8" fillId="0" borderId="0" xfId="4" applyFont="1" applyFill="1"/>
    <xf numFmtId="0" fontId="4" fillId="0" borderId="0" xfId="0" applyNumberFormat="1" applyFont="1" applyFill="1" applyBorder="1" applyAlignment="1">
      <alignment horizontal="center" vertical="top" wrapText="1"/>
    </xf>
    <xf numFmtId="14" fontId="5" fillId="0" borderId="0" xfId="1" applyNumberFormat="1" applyFont="1" applyFill="1" applyBorder="1" applyAlignment="1">
      <alignment horizontal="right" vertical="top" wrapText="1"/>
    </xf>
  </cellXfs>
  <cellStyles count="5">
    <cellStyle name="Обычный" xfId="0" builtinId="0"/>
    <cellStyle name="Обычный 2" xfId="1"/>
    <cellStyle name="Обычный 3" xfId="2"/>
    <cellStyle name="Обычный_соответствие статей" xfId="4"/>
    <cellStyle name="Финансовый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sh_From_Budg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база"/>
      <sheetName val="IncomeStatement"/>
      <sheetName val="legend"/>
      <sheetName val="55газ"/>
      <sheetName val="ПУР"/>
      <sheetName val="C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7">
          <cell r="BV27">
            <v>36.622875381577899</v>
          </cell>
          <cell r="BW27">
            <v>30.188472691969341</v>
          </cell>
          <cell r="BX27">
            <v>29.786865086308424</v>
          </cell>
          <cell r="BY27">
            <v>30.316501519379763</v>
          </cell>
          <cell r="BZ27">
            <v>39.275296275690295</v>
          </cell>
          <cell r="CA27">
            <v>39.275296275690295</v>
          </cell>
          <cell r="CB27">
            <v>39.275296275690295</v>
          </cell>
          <cell r="CC27">
            <v>55.959148906683801</v>
          </cell>
          <cell r="CD27">
            <v>55.959148906683801</v>
          </cell>
          <cell r="CE27">
            <v>55.959148906683787</v>
          </cell>
          <cell r="CF27">
            <v>41.691763129899329</v>
          </cell>
          <cell r="CG27">
            <v>41.691763129899329</v>
          </cell>
        </row>
        <row r="28">
          <cell r="BV28">
            <v>7.3936865079365175</v>
          </cell>
          <cell r="BW28">
            <v>7.8150590277777932</v>
          </cell>
          <cell r="BX28">
            <v>7.8150590277777932</v>
          </cell>
          <cell r="BY28">
            <v>7.8150590277777932</v>
          </cell>
          <cell r="BZ28">
            <v>10.383138392857145</v>
          </cell>
          <cell r="CA28">
            <v>10.383138392857145</v>
          </cell>
          <cell r="CB28">
            <v>10.383138392857145</v>
          </cell>
          <cell r="CC28">
            <v>10.142281250000002</v>
          </cell>
          <cell r="CD28">
            <v>10.142281250000002</v>
          </cell>
          <cell r="CE28">
            <v>10.142281250000002</v>
          </cell>
          <cell r="CF28">
            <v>9.6074479166666666</v>
          </cell>
          <cell r="CG28">
            <v>9.6074479166666666</v>
          </cell>
        </row>
        <row r="29">
          <cell r="BV29">
            <v>0.37</v>
          </cell>
          <cell r="BW29">
            <v>0.34</v>
          </cell>
          <cell r="BX29">
            <v>0.34</v>
          </cell>
          <cell r="BY29">
            <v>0.34</v>
          </cell>
          <cell r="BZ29">
            <v>0.36</v>
          </cell>
          <cell r="CA29">
            <v>0.36</v>
          </cell>
          <cell r="CB29">
            <v>0.36</v>
          </cell>
          <cell r="CC29">
            <v>0.38</v>
          </cell>
          <cell r="CD29">
            <v>0.38</v>
          </cell>
          <cell r="CE29">
            <v>0.38</v>
          </cell>
          <cell r="CF29">
            <v>0.41000000000000003</v>
          </cell>
          <cell r="CG29">
            <v>0.41000000000000003</v>
          </cell>
        </row>
        <row r="30">
          <cell r="BV30">
            <v>0.10728941902315856</v>
          </cell>
          <cell r="BW30">
            <v>0.17239050852973942</v>
          </cell>
          <cell r="BX30">
            <v>0.17239050852973942</v>
          </cell>
          <cell r="BY30">
            <v>0.17239050852973942</v>
          </cell>
          <cell r="BZ30">
            <v>0.17233966107211238</v>
          </cell>
          <cell r="CA30">
            <v>0.17233966107211238</v>
          </cell>
          <cell r="CB30">
            <v>0.1723396610721124</v>
          </cell>
          <cell r="CC30">
            <v>0.17200406785177333</v>
          </cell>
          <cell r="CD30">
            <v>0.17200406785177333</v>
          </cell>
          <cell r="CE30">
            <v>0.17200406785177327</v>
          </cell>
          <cell r="CF30">
            <v>0.17185281017494664</v>
          </cell>
          <cell r="CG30">
            <v>0.17185281017494664</v>
          </cell>
        </row>
        <row r="32">
          <cell r="BV32">
            <v>5.6575396765873025E-2</v>
          </cell>
          <cell r="BW32">
            <v>5.4591269841269843E-2</v>
          </cell>
          <cell r="BX32">
            <v>5.4591269841269843E-2</v>
          </cell>
          <cell r="BY32">
            <v>5.4591269841269843E-2</v>
          </cell>
          <cell r="BZ32">
            <v>7.6734126984126974E-2</v>
          </cell>
          <cell r="CA32">
            <v>7.6734126984126974E-2</v>
          </cell>
          <cell r="CB32">
            <v>7.6734126984126974E-2</v>
          </cell>
          <cell r="CC32">
            <v>7.4670634920634915E-2</v>
          </cell>
          <cell r="CD32">
            <v>7.4670634920634915E-2</v>
          </cell>
          <cell r="CE32">
            <v>7.4670634920634929E-2</v>
          </cell>
          <cell r="CF32">
            <v>5.5384920634920634E-2</v>
          </cell>
          <cell r="CG32">
            <v>5.5384920634920634E-2</v>
          </cell>
        </row>
        <row r="33">
          <cell r="BV33">
            <v>5.7171297619047623</v>
          </cell>
          <cell r="BW33">
            <v>5.6535603614104524</v>
          </cell>
          <cell r="BX33">
            <v>5.6535603614104524</v>
          </cell>
          <cell r="BY33">
            <v>5.6535603614104524</v>
          </cell>
          <cell r="BZ33">
            <v>5.6535603614104604</v>
          </cell>
          <cell r="CA33">
            <v>5.6535603614104604</v>
          </cell>
          <cell r="CB33">
            <v>5.6535603614104621</v>
          </cell>
          <cell r="CC33">
            <v>7.6267349645850642</v>
          </cell>
          <cell r="CD33">
            <v>7.6267349645850642</v>
          </cell>
          <cell r="CE33">
            <v>7.6267349645850615</v>
          </cell>
          <cell r="CF33">
            <v>7.6267349645850642</v>
          </cell>
          <cell r="CG33">
            <v>7.6267349645850642</v>
          </cell>
        </row>
        <row r="34">
          <cell r="BV34">
            <v>3.3933896684099191E-3</v>
          </cell>
          <cell r="BW34">
            <v>4.9687445086904827E-2</v>
          </cell>
          <cell r="BX34">
            <v>4.9687445086904827E-2</v>
          </cell>
          <cell r="BY34">
            <v>4.9687445086904827E-2</v>
          </cell>
          <cell r="BZ34">
            <v>4.9750135563095238E-2</v>
          </cell>
          <cell r="CA34">
            <v>4.9750135563095238E-2</v>
          </cell>
          <cell r="CB34">
            <v>4.9750135563095231E-2</v>
          </cell>
          <cell r="CC34">
            <v>4.9726413340873007E-2</v>
          </cell>
          <cell r="CD34">
            <v>4.9726413340873007E-2</v>
          </cell>
          <cell r="CE34">
            <v>4.9726413340873021E-2</v>
          </cell>
          <cell r="CF34">
            <v>4.9726413340873007E-2</v>
          </cell>
          <cell r="CG34">
            <v>4.9726413340873007E-2</v>
          </cell>
        </row>
        <row r="35">
          <cell r="BV35">
            <v>5.2999047619047426</v>
          </cell>
          <cell r="BW35">
            <v>3.8752380952380863</v>
          </cell>
          <cell r="BX35">
            <v>3.8752380952380863</v>
          </cell>
          <cell r="BY35">
            <v>3.8752380952380863</v>
          </cell>
          <cell r="BZ35">
            <v>6.3306666666666667</v>
          </cell>
          <cell r="CA35">
            <v>6.3306666666666667</v>
          </cell>
          <cell r="CB35">
            <v>6.3306666666666649</v>
          </cell>
          <cell r="CC35">
            <v>6.0864761904761906</v>
          </cell>
          <cell r="CD35">
            <v>6.0864761904761906</v>
          </cell>
          <cell r="CE35">
            <v>6.0864761904761924</v>
          </cell>
          <cell r="CF35">
            <v>4.0953333333333335</v>
          </cell>
          <cell r="CG35">
            <v>4.0953333333333335</v>
          </cell>
        </row>
        <row r="37">
          <cell r="BV37">
            <v>10.294114285714286</v>
          </cell>
          <cell r="BW37">
            <v>8.3518285714285714</v>
          </cell>
          <cell r="BX37">
            <v>7.9504228571428577</v>
          </cell>
          <cell r="BY37">
            <v>8.4683657142857136</v>
          </cell>
          <cell r="BZ37">
            <v>9.6035238095238089</v>
          </cell>
          <cell r="CA37">
            <v>9.6035238095238089</v>
          </cell>
          <cell r="CB37">
            <v>9.6035238095238089</v>
          </cell>
          <cell r="CC37">
            <v>12.849300000000001</v>
          </cell>
          <cell r="CD37">
            <v>12.849300000000001</v>
          </cell>
          <cell r="CE37">
            <v>12.849300000000001</v>
          </cell>
          <cell r="CF37">
            <v>10.678289523809527</v>
          </cell>
          <cell r="CG37">
            <v>10.678289523809527</v>
          </cell>
        </row>
        <row r="38">
          <cell r="BV38">
            <v>0</v>
          </cell>
          <cell r="BW38">
            <v>0</v>
          </cell>
          <cell r="BX38">
            <v>0</v>
          </cell>
          <cell r="BY38">
            <v>0</v>
          </cell>
          <cell r="BZ38">
            <v>0</v>
          </cell>
          <cell r="CA38">
            <v>0</v>
          </cell>
          <cell r="CB38">
            <v>0</v>
          </cell>
          <cell r="CC38">
            <v>0</v>
          </cell>
          <cell r="CD38">
            <v>0</v>
          </cell>
          <cell r="CE38">
            <v>0</v>
          </cell>
          <cell r="CF38">
            <v>0</v>
          </cell>
          <cell r="CG38">
            <v>0</v>
          </cell>
        </row>
        <row r="39">
          <cell r="BV39">
            <v>0</v>
          </cell>
          <cell r="BW39">
            <v>0</v>
          </cell>
          <cell r="BX39">
            <v>0</v>
          </cell>
          <cell r="BY39">
            <v>0.95576536790476185</v>
          </cell>
          <cell r="BZ39">
            <v>0.95576536790476185</v>
          </cell>
          <cell r="CA39">
            <v>0.95576536790476219</v>
          </cell>
          <cell r="CB39">
            <v>0.72721346323809521</v>
          </cell>
          <cell r="CC39">
            <v>0.72721346323809521</v>
          </cell>
          <cell r="CD39">
            <v>0.7272134632380951</v>
          </cell>
          <cell r="CE39">
            <v>0.33874919552380944</v>
          </cell>
          <cell r="CF39">
            <v>0.33874919552380944</v>
          </cell>
          <cell r="CG39">
            <v>0.33874919552380961</v>
          </cell>
        </row>
        <row r="41">
          <cell r="BV41">
            <v>0</v>
          </cell>
          <cell r="BW41">
            <v>0</v>
          </cell>
          <cell r="BX41">
            <v>0</v>
          </cell>
          <cell r="BY41">
            <v>0</v>
          </cell>
          <cell r="BZ41">
            <v>0</v>
          </cell>
          <cell r="CA41">
            <v>0</v>
          </cell>
          <cell r="CB41">
            <v>0</v>
          </cell>
          <cell r="CC41">
            <v>0</v>
          </cell>
          <cell r="CD41">
            <v>0</v>
          </cell>
          <cell r="CE41">
            <v>0</v>
          </cell>
          <cell r="CF41">
            <v>0</v>
          </cell>
          <cell r="CG41">
            <v>0</v>
          </cell>
        </row>
        <row r="43">
          <cell r="BV43">
            <v>0</v>
          </cell>
          <cell r="BW43">
            <v>0</v>
          </cell>
          <cell r="BX43">
            <v>0</v>
          </cell>
          <cell r="BY43">
            <v>0</v>
          </cell>
          <cell r="BZ43">
            <v>0</v>
          </cell>
          <cell r="CA43">
            <v>0</v>
          </cell>
          <cell r="CB43">
            <v>0</v>
          </cell>
          <cell r="CC43">
            <v>0</v>
          </cell>
          <cell r="CD43">
            <v>0</v>
          </cell>
          <cell r="CE43">
            <v>0</v>
          </cell>
          <cell r="CF43">
            <v>0</v>
          </cell>
          <cell r="CG43">
            <v>0</v>
          </cell>
        </row>
        <row r="44">
          <cell r="BV44">
            <v>0.38971428571428568</v>
          </cell>
          <cell r="BW44">
            <v>0.30674428860060854</v>
          </cell>
          <cell r="BX44">
            <v>0.30674428860060854</v>
          </cell>
          <cell r="BY44">
            <v>0.30674428860060854</v>
          </cell>
          <cell r="BZ44">
            <v>0.28761093549612565</v>
          </cell>
          <cell r="CA44">
            <v>0.28761093549612565</v>
          </cell>
          <cell r="CB44">
            <v>0.28761093549612576</v>
          </cell>
          <cell r="CC44">
            <v>0.35175577934205715</v>
          </cell>
          <cell r="CD44">
            <v>0.35175577934205715</v>
          </cell>
          <cell r="CE44">
            <v>0.35175577934205721</v>
          </cell>
          <cell r="CF44">
            <v>0.38646042513263718</v>
          </cell>
          <cell r="CG44">
            <v>0.38646042513263718</v>
          </cell>
        </row>
        <row r="51">
          <cell r="BV51">
            <v>1.9461042766790697</v>
          </cell>
          <cell r="BW51">
            <v>1.1172020300105174</v>
          </cell>
          <cell r="BX51">
            <v>1.1172020300105174</v>
          </cell>
          <cell r="BY51">
            <v>1.1172020300105174</v>
          </cell>
          <cell r="BZ51">
            <v>2.0992932950183909</v>
          </cell>
          <cell r="CA51">
            <v>2.0992932950183909</v>
          </cell>
          <cell r="CB51">
            <v>2.09929329501839</v>
          </cell>
          <cell r="CC51">
            <v>2.5653597156919044</v>
          </cell>
          <cell r="CD51">
            <v>2.5653597156919044</v>
          </cell>
          <cell r="CE51">
            <v>2.5653597156919044</v>
          </cell>
          <cell r="CF51">
            <v>2.4995928122092805</v>
          </cell>
          <cell r="CG51">
            <v>2.4995928122092805</v>
          </cell>
        </row>
        <row r="52">
          <cell r="BV52">
            <v>7.8000000000000005E-3</v>
          </cell>
          <cell r="BW52">
            <v>0</v>
          </cell>
          <cell r="BX52">
            <v>0</v>
          </cell>
          <cell r="BY52">
            <v>0</v>
          </cell>
          <cell r="BZ52">
            <v>0</v>
          </cell>
          <cell r="CA52">
            <v>0</v>
          </cell>
          <cell r="CB52">
            <v>0</v>
          </cell>
          <cell r="CC52">
            <v>1.1183238095238095E-2</v>
          </cell>
          <cell r="CD52">
            <v>1.1183238095238095E-2</v>
          </cell>
          <cell r="CE52">
            <v>1.1183238095238092E-2</v>
          </cell>
          <cell r="CF52">
            <v>4.8276190476190473E-2</v>
          </cell>
          <cell r="CG52">
            <v>4.8276190476190473E-2</v>
          </cell>
        </row>
        <row r="53">
          <cell r="BV53">
            <v>0.55564198753691996</v>
          </cell>
          <cell r="BW53">
            <v>0.47511857502953714</v>
          </cell>
          <cell r="BX53">
            <v>0.59273943757228575</v>
          </cell>
          <cell r="BY53">
            <v>-0.15911904761904763</v>
          </cell>
          <cell r="BZ53">
            <v>-0.15911904761904763</v>
          </cell>
          <cell r="CA53">
            <v>-0.15911904761904755</v>
          </cell>
          <cell r="CB53">
            <v>0.54116666666666668</v>
          </cell>
          <cell r="CC53">
            <v>0.54116666666666668</v>
          </cell>
          <cell r="CD53">
            <v>0.5411666666666668</v>
          </cell>
          <cell r="CE53">
            <v>1.2650714285714286</v>
          </cell>
          <cell r="CF53">
            <v>1.2650714285714286</v>
          </cell>
          <cell r="CG53">
            <v>1.2650714285714286</v>
          </cell>
        </row>
        <row r="54">
          <cell r="BV54">
            <v>0</v>
          </cell>
          <cell r="BW54">
            <v>0</v>
          </cell>
          <cell r="BX54">
            <v>0</v>
          </cell>
          <cell r="BY54">
            <v>0</v>
          </cell>
          <cell r="BZ54">
            <v>0</v>
          </cell>
          <cell r="CA54">
            <v>0</v>
          </cell>
          <cell r="CB54">
            <v>0</v>
          </cell>
          <cell r="CC54">
            <v>0</v>
          </cell>
          <cell r="CD54">
            <v>0</v>
          </cell>
          <cell r="CE54">
            <v>0</v>
          </cell>
          <cell r="CF54">
            <v>0</v>
          </cell>
          <cell r="CG54">
            <v>0</v>
          </cell>
        </row>
        <row r="55">
          <cell r="BV55">
            <v>1.92</v>
          </cell>
          <cell r="BW55">
            <v>0.89</v>
          </cell>
          <cell r="BX55">
            <v>-4.17</v>
          </cell>
          <cell r="BY55">
            <v>3.2899999999999996</v>
          </cell>
          <cell r="BZ55">
            <v>0</v>
          </cell>
          <cell r="CA55">
            <v>0</v>
          </cell>
          <cell r="CB55">
            <v>0</v>
          </cell>
          <cell r="CC55">
            <v>0</v>
          </cell>
          <cell r="CD55">
            <v>0</v>
          </cell>
          <cell r="CE55">
            <v>0</v>
          </cell>
          <cell r="CF55">
            <v>0</v>
          </cell>
          <cell r="CG55">
            <v>0</v>
          </cell>
        </row>
        <row r="56">
          <cell r="BV56">
            <v>0</v>
          </cell>
          <cell r="BW56">
            <v>0</v>
          </cell>
          <cell r="BX56">
            <v>0</v>
          </cell>
          <cell r="BY56">
            <v>0</v>
          </cell>
          <cell r="BZ56">
            <v>0</v>
          </cell>
          <cell r="CA56">
            <v>0</v>
          </cell>
          <cell r="CB56">
            <v>0</v>
          </cell>
          <cell r="CC56">
            <v>0</v>
          </cell>
          <cell r="CD56">
            <v>0</v>
          </cell>
          <cell r="CE56">
            <v>0</v>
          </cell>
          <cell r="CF56">
            <v>0</v>
          </cell>
          <cell r="CG56">
            <v>0</v>
          </cell>
        </row>
        <row r="57">
          <cell r="BV57">
            <v>0</v>
          </cell>
          <cell r="BW57">
            <v>0</v>
          </cell>
          <cell r="BX57">
            <v>0</v>
          </cell>
          <cell r="BY57">
            <v>0</v>
          </cell>
          <cell r="BZ57">
            <v>0</v>
          </cell>
          <cell r="CA57">
            <v>0</v>
          </cell>
          <cell r="CB57">
            <v>0</v>
          </cell>
          <cell r="CC57">
            <v>0</v>
          </cell>
          <cell r="CD57">
            <v>0</v>
          </cell>
          <cell r="CE57">
            <v>0</v>
          </cell>
          <cell r="CF57">
            <v>0</v>
          </cell>
          <cell r="CG57">
            <v>0</v>
          </cell>
        </row>
        <row r="68">
          <cell r="BV68">
            <v>0</v>
          </cell>
          <cell r="BW68">
            <v>0</v>
          </cell>
          <cell r="BX68">
            <v>0</v>
          </cell>
          <cell r="BY68">
            <v>0</v>
          </cell>
          <cell r="BZ68">
            <v>0</v>
          </cell>
          <cell r="CA68">
            <v>0</v>
          </cell>
          <cell r="CB68">
            <v>0</v>
          </cell>
          <cell r="CC68">
            <v>0</v>
          </cell>
          <cell r="CD68">
            <v>0</v>
          </cell>
          <cell r="CE68">
            <v>0</v>
          </cell>
          <cell r="CF68">
            <v>0</v>
          </cell>
          <cell r="CG6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D279"/>
  <sheetViews>
    <sheetView tabSelected="1" zoomScaleNormal="100" zoomScaleSheetLayoutView="100" workbookViewId="0">
      <pane xSplit="1" ySplit="1" topLeftCell="B2" activePane="bottomRight" state="frozen"/>
      <selection activeCell="B2" sqref="B2"/>
      <selection pane="topRight" activeCell="B2" sqref="B2"/>
      <selection pane="bottomLeft" activeCell="B2" sqref="B2"/>
      <selection pane="bottomRight" activeCell="P2" sqref="P2"/>
    </sheetView>
  </sheetViews>
  <sheetFormatPr defaultColWidth="9.140625" defaultRowHeight="12.75" x14ac:dyDescent="0.2"/>
  <cols>
    <col min="1" max="1" width="44.140625" style="2" customWidth="1"/>
    <col min="2" max="2" width="30.28515625" style="2" customWidth="1"/>
    <col min="3" max="3" width="11.85546875" style="2" customWidth="1"/>
    <col min="4" max="4" width="14.85546875" style="2" customWidth="1"/>
    <col min="5" max="5" width="8.28515625" style="4" customWidth="1"/>
    <col min="6" max="6" width="7.28515625" style="2" customWidth="1"/>
    <col min="7" max="7" width="8" style="2" customWidth="1"/>
    <col min="8" max="8" width="8.7109375" style="2" customWidth="1"/>
    <col min="9" max="9" width="7" style="2" customWidth="1"/>
    <col min="10" max="10" width="3.42578125" style="2" customWidth="1"/>
    <col min="11" max="11" width="10.140625" style="2" customWidth="1"/>
    <col min="12" max="12" width="6.5703125" style="2" customWidth="1"/>
    <col min="13" max="14" width="9.85546875" style="2" customWidth="1"/>
    <col min="15" max="15" width="15.85546875" style="15" customWidth="1"/>
    <col min="16" max="16" width="15.7109375" style="15" customWidth="1"/>
    <col min="17" max="17" width="15.7109375" style="11" customWidth="1"/>
    <col min="18" max="18" width="6.5703125" style="11" customWidth="1"/>
    <col min="19" max="19" width="8.42578125" style="11" customWidth="1"/>
    <col min="20" max="20" width="10.140625" style="11" customWidth="1"/>
    <col min="21" max="21" width="9.140625" style="11" customWidth="1"/>
    <col min="22" max="23" width="17.7109375" style="1" customWidth="1"/>
    <col min="24" max="24" width="17.7109375" style="16" customWidth="1"/>
    <col min="25" max="25" width="6.85546875" style="16" customWidth="1"/>
    <col min="26" max="29" width="9.140625" style="16"/>
    <col min="30" max="30" width="15.5703125" style="1" bestFit="1" customWidth="1"/>
    <col min="31" max="16384" width="9.140625" style="1"/>
  </cols>
  <sheetData>
    <row r="1" spans="1:30" s="13" customFormat="1" ht="99.75" customHeight="1" x14ac:dyDescent="0.2">
      <c r="A1" s="12" t="s">
        <v>404</v>
      </c>
      <c r="B1" s="12" t="s">
        <v>405</v>
      </c>
      <c r="C1" s="12" t="s">
        <v>406</v>
      </c>
      <c r="D1" s="12" t="s">
        <v>407</v>
      </c>
      <c r="E1" s="12" t="s">
        <v>408</v>
      </c>
      <c r="F1" s="12" t="s">
        <v>409</v>
      </c>
      <c r="G1" s="12" t="s">
        <v>410</v>
      </c>
      <c r="H1" s="12" t="s">
        <v>411</v>
      </c>
      <c r="I1" s="12" t="s">
        <v>412</v>
      </c>
      <c r="J1" s="12" t="s">
        <v>413</v>
      </c>
      <c r="K1" s="12" t="s">
        <v>414</v>
      </c>
      <c r="L1" s="12" t="s">
        <v>415</v>
      </c>
      <c r="M1" s="12" t="s">
        <v>416</v>
      </c>
      <c r="N1" s="12" t="s">
        <v>417</v>
      </c>
      <c r="O1" s="12" t="s">
        <v>418</v>
      </c>
      <c r="P1" s="12" t="s">
        <v>419</v>
      </c>
      <c r="Q1" s="12" t="s">
        <v>420</v>
      </c>
      <c r="R1" s="12" t="s">
        <v>421</v>
      </c>
      <c r="S1" s="12" t="s">
        <v>422</v>
      </c>
      <c r="T1" s="12" t="s">
        <v>423</v>
      </c>
      <c r="U1" s="12" t="s">
        <v>424</v>
      </c>
      <c r="V1" s="12" t="s">
        <v>425</v>
      </c>
      <c r="W1" s="12" t="s">
        <v>426</v>
      </c>
      <c r="X1" s="12" t="s">
        <v>427</v>
      </c>
      <c r="Y1" s="12" t="s">
        <v>428</v>
      </c>
      <c r="Z1" s="12" t="s">
        <v>429</v>
      </c>
      <c r="AA1" s="12" t="s">
        <v>430</v>
      </c>
      <c r="AB1" s="12" t="s">
        <v>431</v>
      </c>
      <c r="AC1" s="12" t="s">
        <v>432</v>
      </c>
      <c r="AD1" s="17">
        <f>SUMIFS(input!P:P,input!C:C,"ПБ",input!D:D,"средства ПАО «Газпром»",input!E:E,"р",input!H:H,"",input!K:K,"ИСПОЛНЕН",input!A:A,"&lt;&gt;16. Инвестиционные договоры")</f>
        <v>0</v>
      </c>
    </row>
    <row r="2" spans="1:30" s="13" customFormat="1" ht="99.75" customHeight="1" x14ac:dyDescent="0.2">
      <c r="A2" s="6" t="s">
        <v>450</v>
      </c>
      <c r="B2" s="6"/>
      <c r="C2" s="2" t="s">
        <v>445</v>
      </c>
      <c r="D2" s="5" t="s">
        <v>446</v>
      </c>
      <c r="E2" s="24" t="s">
        <v>439</v>
      </c>
      <c r="F2" s="6"/>
      <c r="G2" s="6"/>
      <c r="H2" s="6"/>
      <c r="I2" s="6"/>
      <c r="J2" s="6"/>
      <c r="K2" s="6"/>
      <c r="L2" s="6" t="s">
        <v>444</v>
      </c>
      <c r="M2" s="7">
        <v>44197</v>
      </c>
      <c r="N2" s="7">
        <v>44197</v>
      </c>
      <c r="O2" s="14">
        <f>ROUND([1]CF!$BV$28*1000000,2)</f>
        <v>7393686.5099999998</v>
      </c>
      <c r="P2" s="14"/>
      <c r="Q2" s="25"/>
      <c r="R2" s="10"/>
      <c r="S2" s="10"/>
      <c r="T2" s="10"/>
      <c r="U2" s="10"/>
      <c r="V2" s="1"/>
      <c r="W2" s="1"/>
      <c r="X2" s="16" t="str">
        <f>IF(B2="",VLOOKUP(A2,items_lookup!A:B,2,FALSE),B2)</f>
        <v>_1. Item _1</v>
      </c>
      <c r="Y2" s="16">
        <f t="shared" ref="Y2:Z67" si="0">MONTH(M2)</f>
        <v>1</v>
      </c>
      <c r="Z2" s="16">
        <f t="shared" si="0"/>
        <v>1</v>
      </c>
      <c r="AA2" s="16">
        <f t="shared" ref="AA2:AA67" si="1">YEAR(N2)</f>
        <v>2021</v>
      </c>
      <c r="AB2" s="16">
        <f t="shared" ref="AB2:AB67" si="2">YEAR(M2)</f>
        <v>2021</v>
      </c>
      <c r="AC2" s="16">
        <f t="shared" ref="AC2:AC67" si="3">IF(F2="X",AA2-1,AA2)</f>
        <v>2021</v>
      </c>
      <c r="AD2" s="17"/>
    </row>
    <row r="3" spans="1:30" ht="15" customHeight="1" x14ac:dyDescent="0.2">
      <c r="A3" s="6" t="s">
        <v>450</v>
      </c>
      <c r="B3" s="6"/>
      <c r="C3" s="2" t="s">
        <v>445</v>
      </c>
      <c r="D3" s="5" t="s">
        <v>443</v>
      </c>
      <c r="E3" s="24" t="s">
        <v>439</v>
      </c>
      <c r="F3" s="6"/>
      <c r="G3" s="6"/>
      <c r="H3" s="6"/>
      <c r="I3" s="6"/>
      <c r="J3" s="6"/>
      <c r="K3" s="6"/>
      <c r="L3" s="6" t="s">
        <v>444</v>
      </c>
      <c r="M3" s="7">
        <v>44197</v>
      </c>
      <c r="N3" s="7">
        <v>44197</v>
      </c>
      <c r="O3" s="14">
        <f>ROUND([1]CF!$BV$27*1000000,2)</f>
        <v>36622875.380000003</v>
      </c>
      <c r="P3" s="14"/>
      <c r="Q3" s="25"/>
      <c r="R3" s="10"/>
      <c r="S3" s="10"/>
      <c r="T3" s="10"/>
      <c r="U3" s="10"/>
      <c r="X3" s="16" t="str">
        <f>IF(B3="",VLOOKUP(A3,items_lookup!A:B,2,FALSE),B3)</f>
        <v>_1. Item _1</v>
      </c>
      <c r="Y3" s="16">
        <f t="shared" si="0"/>
        <v>1</v>
      </c>
      <c r="Z3" s="16">
        <f t="shared" si="0"/>
        <v>1</v>
      </c>
      <c r="AA3" s="16">
        <f t="shared" si="1"/>
        <v>2021</v>
      </c>
      <c r="AB3" s="16">
        <f t="shared" si="2"/>
        <v>2021</v>
      </c>
      <c r="AC3" s="16">
        <f t="shared" si="3"/>
        <v>2021</v>
      </c>
    </row>
    <row r="4" spans="1:30" ht="15" customHeight="1" x14ac:dyDescent="0.2">
      <c r="A4" s="6" t="s">
        <v>457</v>
      </c>
      <c r="B4" s="6"/>
      <c r="C4" s="2" t="s">
        <v>445</v>
      </c>
      <c r="D4" s="5" t="s">
        <v>446</v>
      </c>
      <c r="E4" s="24" t="s">
        <v>439</v>
      </c>
      <c r="F4" s="6"/>
      <c r="G4" s="6"/>
      <c r="H4" s="6"/>
      <c r="I4" s="6"/>
      <c r="J4" s="6"/>
      <c r="K4" s="6"/>
      <c r="L4" s="6" t="s">
        <v>444</v>
      </c>
      <c r="M4" s="7">
        <v>44197</v>
      </c>
      <c r="N4" s="7">
        <v>44197</v>
      </c>
      <c r="O4" s="14">
        <f>ROUND([1]CF!$BV$29*1000000,2)</f>
        <v>370000</v>
      </c>
      <c r="P4" s="14"/>
      <c r="Q4" s="25"/>
      <c r="R4" s="10"/>
      <c r="S4" s="10"/>
      <c r="T4" s="10"/>
      <c r="U4" s="10"/>
      <c r="X4" s="16" t="str">
        <f>IF(B4="",VLOOKUP(A4,items_lookup!A:B,2,FALSE),B4)</f>
        <v>_2. Item _2</v>
      </c>
      <c r="Y4" s="16">
        <f t="shared" si="0"/>
        <v>1</v>
      </c>
      <c r="Z4" s="16">
        <f t="shared" si="0"/>
        <v>1</v>
      </c>
      <c r="AA4" s="16">
        <f t="shared" si="1"/>
        <v>2021</v>
      </c>
      <c r="AB4" s="16">
        <f t="shared" si="2"/>
        <v>2021</v>
      </c>
      <c r="AC4" s="16">
        <f t="shared" si="3"/>
        <v>2021</v>
      </c>
    </row>
    <row r="5" spans="1:30" ht="15" customHeight="1" x14ac:dyDescent="0.2">
      <c r="A5" s="6" t="s">
        <v>464</v>
      </c>
      <c r="B5" s="6"/>
      <c r="C5" s="2" t="s">
        <v>445</v>
      </c>
      <c r="D5" s="5" t="s">
        <v>446</v>
      </c>
      <c r="E5" s="24" t="s">
        <v>439</v>
      </c>
      <c r="F5" s="6"/>
      <c r="G5" s="6"/>
      <c r="H5" s="6"/>
      <c r="I5" s="6"/>
      <c r="J5" s="6"/>
      <c r="K5" s="6"/>
      <c r="L5" s="6" t="s">
        <v>444</v>
      </c>
      <c r="M5" s="7">
        <v>44197</v>
      </c>
      <c r="N5" s="7">
        <v>44197</v>
      </c>
      <c r="O5" s="14">
        <f>ROUND([1]CF!$BV$30*1000000,2)</f>
        <v>107289.42</v>
      </c>
      <c r="P5" s="14"/>
      <c r="Q5" s="25"/>
      <c r="R5" s="10"/>
      <c r="S5" s="10"/>
      <c r="T5" s="10"/>
      <c r="U5" s="10"/>
      <c r="X5" s="16" t="str">
        <f>IF(B5="",VLOOKUP(A5,items_lookup!A:B,2,FALSE),B5)</f>
        <v>_3. Item _3</v>
      </c>
      <c r="Y5" s="16">
        <f t="shared" si="0"/>
        <v>1</v>
      </c>
      <c r="Z5" s="16">
        <f t="shared" si="0"/>
        <v>1</v>
      </c>
      <c r="AA5" s="16">
        <f t="shared" si="1"/>
        <v>2021</v>
      </c>
      <c r="AB5" s="16">
        <f t="shared" si="2"/>
        <v>2021</v>
      </c>
      <c r="AC5" s="16">
        <f t="shared" si="3"/>
        <v>2021</v>
      </c>
    </row>
    <row r="6" spans="1:30" ht="15" customHeight="1" x14ac:dyDescent="0.2">
      <c r="A6" s="6" t="s">
        <v>538</v>
      </c>
      <c r="B6" s="6"/>
      <c r="C6" s="2" t="s">
        <v>445</v>
      </c>
      <c r="D6" s="5" t="s">
        <v>443</v>
      </c>
      <c r="E6" s="24" t="s">
        <v>440</v>
      </c>
      <c r="F6" s="6"/>
      <c r="G6" s="6"/>
      <c r="H6" s="6"/>
      <c r="I6" s="6"/>
      <c r="J6" s="6"/>
      <c r="K6" s="6"/>
      <c r="L6" s="6" t="s">
        <v>444</v>
      </c>
      <c r="M6" s="7">
        <v>44197</v>
      </c>
      <c r="N6" s="7">
        <v>44197</v>
      </c>
      <c r="O6" s="14">
        <f>ROUND([1]CF!$BV$32*1000000,2)</f>
        <v>56575.4</v>
      </c>
      <c r="P6" s="14"/>
      <c r="Q6" s="25"/>
      <c r="R6" s="8"/>
      <c r="S6" s="8"/>
      <c r="T6" s="8"/>
      <c r="U6" s="8"/>
      <c r="X6" s="16" t="str">
        <f>IF(B6="",VLOOKUP(A6,items_lookup!A:B,2,FALSE),B6)</f>
        <v>01. Item 01</v>
      </c>
      <c r="Y6" s="16">
        <f t="shared" si="0"/>
        <v>1</v>
      </c>
      <c r="Z6" s="16">
        <f t="shared" si="0"/>
        <v>1</v>
      </c>
      <c r="AA6" s="16">
        <f t="shared" si="1"/>
        <v>2021</v>
      </c>
      <c r="AB6" s="16">
        <f t="shared" si="2"/>
        <v>2021</v>
      </c>
      <c r="AC6" s="16">
        <f t="shared" si="3"/>
        <v>2021</v>
      </c>
    </row>
    <row r="7" spans="1:30" ht="15" customHeight="1" x14ac:dyDescent="0.2">
      <c r="A7" s="6" t="s">
        <v>529</v>
      </c>
      <c r="B7" s="6"/>
      <c r="C7" s="2" t="s">
        <v>445</v>
      </c>
      <c r="D7" s="5" t="s">
        <v>443</v>
      </c>
      <c r="E7" s="24" t="s">
        <v>440</v>
      </c>
      <c r="F7" s="6"/>
      <c r="G7" s="6"/>
      <c r="H7" s="6"/>
      <c r="I7" s="6"/>
      <c r="J7" s="6"/>
      <c r="K7" s="6"/>
      <c r="L7" s="6" t="s">
        <v>444</v>
      </c>
      <c r="M7" s="7">
        <v>44197</v>
      </c>
      <c r="N7" s="7">
        <v>44197</v>
      </c>
      <c r="O7" s="14">
        <f>ROUND([1]CF!$BV$33*1000000,2)</f>
        <v>5717129.7599999998</v>
      </c>
      <c r="P7" s="14"/>
      <c r="Q7" s="25"/>
      <c r="R7" s="8"/>
      <c r="S7" s="8"/>
      <c r="T7" s="8"/>
      <c r="U7" s="8"/>
      <c r="X7" s="16" t="str">
        <f>IF(B7="",VLOOKUP(A7,items_lookup!A:B,2,FALSE),B7)</f>
        <v>02. Item 02</v>
      </c>
      <c r="Y7" s="16">
        <f t="shared" si="0"/>
        <v>1</v>
      </c>
      <c r="Z7" s="16">
        <f t="shared" si="0"/>
        <v>1</v>
      </c>
      <c r="AA7" s="16">
        <f t="shared" si="1"/>
        <v>2021</v>
      </c>
      <c r="AB7" s="16">
        <f t="shared" si="2"/>
        <v>2021</v>
      </c>
      <c r="AC7" s="16">
        <f t="shared" si="3"/>
        <v>2021</v>
      </c>
    </row>
    <row r="8" spans="1:30" ht="27.75" customHeight="1" x14ac:dyDescent="0.2">
      <c r="A8" s="6"/>
      <c r="B8" s="6" t="s">
        <v>448</v>
      </c>
      <c r="C8" s="2" t="s">
        <v>445</v>
      </c>
      <c r="D8" s="5" t="s">
        <v>443</v>
      </c>
      <c r="E8" s="24" t="s">
        <v>440</v>
      </c>
      <c r="F8" s="6"/>
      <c r="G8" s="6"/>
      <c r="H8" s="6"/>
      <c r="I8" s="6"/>
      <c r="J8" s="6"/>
      <c r="K8" s="6"/>
      <c r="L8" s="6" t="s">
        <v>444</v>
      </c>
      <c r="M8" s="7">
        <v>44197</v>
      </c>
      <c r="N8" s="7">
        <v>44197</v>
      </c>
      <c r="O8" s="14">
        <f>ROUND([1]CF!$BV$34*1000000,2)</f>
        <v>3393.39</v>
      </c>
      <c r="P8" s="14"/>
      <c r="Q8" s="25"/>
      <c r="R8" s="9"/>
      <c r="S8" s="9"/>
      <c r="T8" s="9"/>
      <c r="U8" s="9"/>
      <c r="X8" s="16" t="str">
        <f>IF(B8="",VLOOKUP(A8,items_lookup!A:B,2,FALSE),B8)</f>
        <v>03. Item 03</v>
      </c>
      <c r="Y8" s="16">
        <f t="shared" si="0"/>
        <v>1</v>
      </c>
      <c r="Z8" s="16">
        <f t="shared" si="0"/>
        <v>1</v>
      </c>
      <c r="AA8" s="16">
        <f t="shared" si="1"/>
        <v>2021</v>
      </c>
      <c r="AB8" s="16">
        <f t="shared" si="2"/>
        <v>2021</v>
      </c>
      <c r="AC8" s="16">
        <f t="shared" si="3"/>
        <v>2021</v>
      </c>
    </row>
    <row r="9" spans="1:30" ht="12" customHeight="1" x14ac:dyDescent="0.2">
      <c r="A9" s="6"/>
      <c r="B9" s="6" t="s">
        <v>475</v>
      </c>
      <c r="C9" s="2" t="s">
        <v>445</v>
      </c>
      <c r="D9" s="5" t="s">
        <v>443</v>
      </c>
      <c r="E9" s="24" t="s">
        <v>440</v>
      </c>
      <c r="F9" s="6"/>
      <c r="G9" s="6"/>
      <c r="H9" s="6"/>
      <c r="I9" s="6"/>
      <c r="J9" s="6"/>
      <c r="K9" s="6"/>
      <c r="L9" s="6" t="s">
        <v>444</v>
      </c>
      <c r="M9" s="7">
        <v>44197</v>
      </c>
      <c r="N9" s="7">
        <v>44197</v>
      </c>
      <c r="O9" s="14">
        <f>ROUND([1]CF!$BV$35*1000000,2)</f>
        <v>5299904.76</v>
      </c>
      <c r="P9" s="14"/>
      <c r="Q9" s="25"/>
      <c r="R9" s="10"/>
      <c r="S9" s="10"/>
      <c r="T9" s="10"/>
      <c r="U9" s="10"/>
      <c r="X9" s="16" t="str">
        <f>IF(B9="",VLOOKUP(A9,items_lookup!A:B,2,FALSE),B9)</f>
        <v>04. Item 04</v>
      </c>
      <c r="Y9" s="16">
        <f t="shared" si="0"/>
        <v>1</v>
      </c>
      <c r="Z9" s="16">
        <f t="shared" si="0"/>
        <v>1</v>
      </c>
      <c r="AA9" s="16">
        <f t="shared" si="1"/>
        <v>2021</v>
      </c>
      <c r="AB9" s="16">
        <f t="shared" si="2"/>
        <v>2021</v>
      </c>
      <c r="AC9" s="16">
        <f t="shared" si="3"/>
        <v>2021</v>
      </c>
    </row>
    <row r="10" spans="1:30" ht="15" customHeight="1" x14ac:dyDescent="0.2">
      <c r="A10" s="6" t="s">
        <v>477</v>
      </c>
      <c r="B10" s="6"/>
      <c r="C10" s="2" t="s">
        <v>445</v>
      </c>
      <c r="D10" s="5" t="s">
        <v>443</v>
      </c>
      <c r="E10" s="24" t="s">
        <v>440</v>
      </c>
      <c r="F10" s="6"/>
      <c r="G10" s="6"/>
      <c r="H10" s="6"/>
      <c r="I10" s="6"/>
      <c r="J10" s="6"/>
      <c r="K10" s="6"/>
      <c r="L10" s="6" t="s">
        <v>444</v>
      </c>
      <c r="M10" s="7">
        <v>44197</v>
      </c>
      <c r="N10" s="7">
        <v>44197</v>
      </c>
      <c r="O10" s="14">
        <f>ROUND([1]CF!$BV$37*1000000,2)-O11</f>
        <v>2423138.3599999994</v>
      </c>
      <c r="P10" s="14"/>
      <c r="Q10" s="25"/>
      <c r="R10" s="9"/>
      <c r="S10" s="9"/>
      <c r="T10" s="9"/>
      <c r="U10" s="9"/>
      <c r="X10" s="16" t="str">
        <f>IF(B10="",VLOOKUP(A10,items_lookup!A:B,2,FALSE),B10)</f>
        <v>05. Item 05</v>
      </c>
      <c r="Y10" s="16">
        <f t="shared" si="0"/>
        <v>1</v>
      </c>
      <c r="Z10" s="16">
        <f t="shared" si="0"/>
        <v>1</v>
      </c>
      <c r="AA10" s="16">
        <f t="shared" si="1"/>
        <v>2021</v>
      </c>
      <c r="AB10" s="16">
        <f t="shared" si="2"/>
        <v>2021</v>
      </c>
      <c r="AC10" s="16">
        <f t="shared" si="3"/>
        <v>2021</v>
      </c>
    </row>
    <row r="11" spans="1:30" ht="15" customHeight="1" x14ac:dyDescent="0.2">
      <c r="A11" s="6" t="s">
        <v>477</v>
      </c>
      <c r="B11" s="6"/>
      <c r="C11" s="2" t="s">
        <v>445</v>
      </c>
      <c r="D11" s="5" t="s">
        <v>446</v>
      </c>
      <c r="E11" s="24" t="s">
        <v>440</v>
      </c>
      <c r="F11" s="6"/>
      <c r="G11" s="6"/>
      <c r="H11" s="6"/>
      <c r="I11" s="6"/>
      <c r="J11" s="6"/>
      <c r="K11" s="6"/>
      <c r="L11" s="6" t="s">
        <v>444</v>
      </c>
      <c r="M11" s="7">
        <v>44197</v>
      </c>
      <c r="N11" s="7">
        <v>44197</v>
      </c>
      <c r="O11" s="14">
        <f>O2+O4+O5-O23</f>
        <v>7870975.9299999997</v>
      </c>
      <c r="P11" s="14"/>
      <c r="Q11" s="25"/>
      <c r="R11" s="9"/>
      <c r="S11" s="9"/>
      <c r="T11" s="9"/>
      <c r="U11" s="9"/>
      <c r="X11" s="16" t="str">
        <f>IF(B11="",VLOOKUP(A11,items_lookup!A:B,2,FALSE),B11)</f>
        <v>05. Item 05</v>
      </c>
      <c r="Y11" s="16">
        <f t="shared" si="0"/>
        <v>1</v>
      </c>
      <c r="Z11" s="16">
        <f t="shared" si="0"/>
        <v>1</v>
      </c>
      <c r="AA11" s="16">
        <f t="shared" si="1"/>
        <v>2021</v>
      </c>
      <c r="AB11" s="16">
        <f t="shared" si="2"/>
        <v>2021</v>
      </c>
      <c r="AC11" s="16">
        <f t="shared" si="3"/>
        <v>2021</v>
      </c>
    </row>
    <row r="12" spans="1:30" ht="15" customHeight="1" x14ac:dyDescent="0.2">
      <c r="A12" s="6" t="s">
        <v>480</v>
      </c>
      <c r="B12" s="6"/>
      <c r="C12" s="2" t="s">
        <v>445</v>
      </c>
      <c r="D12" s="5" t="s">
        <v>443</v>
      </c>
      <c r="E12" s="24" t="s">
        <v>440</v>
      </c>
      <c r="F12" s="6"/>
      <c r="G12" s="6"/>
      <c r="H12" s="6"/>
      <c r="I12" s="6"/>
      <c r="J12" s="6"/>
      <c r="K12" s="6"/>
      <c r="L12" s="6" t="s">
        <v>444</v>
      </c>
      <c r="M12" s="7">
        <v>44197</v>
      </c>
      <c r="N12" s="7">
        <v>44197</v>
      </c>
      <c r="O12" s="14">
        <f>ROUND([1]CF!$BV$38*1000000,2)</f>
        <v>0</v>
      </c>
      <c r="P12" s="14"/>
      <c r="Q12" s="25"/>
      <c r="R12" s="9"/>
      <c r="S12" s="9"/>
      <c r="T12" s="9"/>
      <c r="U12" s="9"/>
      <c r="X12" s="16" t="str">
        <f>IF(B12="",VLOOKUP(A12,items_lookup!A:B,2,FALSE),B12)</f>
        <v>05. Item 05</v>
      </c>
      <c r="Y12" s="16">
        <f t="shared" si="0"/>
        <v>1</v>
      </c>
      <c r="Z12" s="16">
        <f t="shared" si="0"/>
        <v>1</v>
      </c>
      <c r="AA12" s="16">
        <f t="shared" si="1"/>
        <v>2021</v>
      </c>
      <c r="AB12" s="16">
        <f t="shared" si="2"/>
        <v>2021</v>
      </c>
      <c r="AC12" s="16">
        <f t="shared" si="3"/>
        <v>2021</v>
      </c>
    </row>
    <row r="13" spans="1:30" ht="15" customHeight="1" x14ac:dyDescent="0.2">
      <c r="A13" s="6" t="s">
        <v>540</v>
      </c>
      <c r="B13" s="6"/>
      <c r="C13" s="2" t="s">
        <v>445</v>
      </c>
      <c r="D13" s="5" t="s">
        <v>443</v>
      </c>
      <c r="E13" s="24" t="s">
        <v>440</v>
      </c>
      <c r="F13" s="6"/>
      <c r="G13" s="6"/>
      <c r="H13" s="6"/>
      <c r="I13" s="6"/>
      <c r="J13" s="6"/>
      <c r="K13" s="6"/>
      <c r="L13" s="6" t="s">
        <v>444</v>
      </c>
      <c r="M13" s="7">
        <v>44197</v>
      </c>
      <c r="N13" s="7">
        <v>44197</v>
      </c>
      <c r="O13" s="14">
        <f>ROUND([1]CF!$BV$39*1000000,2)</f>
        <v>0</v>
      </c>
      <c r="P13" s="14"/>
      <c r="Q13" s="25"/>
      <c r="R13" s="9"/>
      <c r="S13" s="9"/>
      <c r="T13" s="9"/>
      <c r="U13" s="9"/>
      <c r="X13" s="16" t="str">
        <f>IF(B13="",VLOOKUP(A13,items_lookup!A:B,2,FALSE),B13)</f>
        <v>06. Item 06</v>
      </c>
      <c r="Y13" s="16">
        <f t="shared" si="0"/>
        <v>1</v>
      </c>
      <c r="Z13" s="16">
        <f t="shared" si="0"/>
        <v>1</v>
      </c>
      <c r="AA13" s="16">
        <f t="shared" si="1"/>
        <v>2021</v>
      </c>
      <c r="AB13" s="16">
        <f t="shared" si="2"/>
        <v>2021</v>
      </c>
      <c r="AC13" s="16">
        <f t="shared" si="3"/>
        <v>2021</v>
      </c>
    </row>
    <row r="14" spans="1:30" ht="15" customHeight="1" x14ac:dyDescent="0.2">
      <c r="A14" s="6" t="s">
        <v>542</v>
      </c>
      <c r="B14" s="6"/>
      <c r="C14" s="2" t="s">
        <v>445</v>
      </c>
      <c r="D14" s="5" t="s">
        <v>443</v>
      </c>
      <c r="E14" s="24" t="s">
        <v>440</v>
      </c>
      <c r="F14" s="6"/>
      <c r="G14" s="6"/>
      <c r="H14" s="6"/>
      <c r="I14" s="6"/>
      <c r="J14" s="6"/>
      <c r="K14" s="6"/>
      <c r="L14" s="6" t="s">
        <v>444</v>
      </c>
      <c r="M14" s="7">
        <v>44197</v>
      </c>
      <c r="N14" s="7">
        <v>44197</v>
      </c>
      <c r="O14" s="14">
        <f>ROUND([1]CF!$BV$41*1000000,2)</f>
        <v>0</v>
      </c>
      <c r="P14" s="14"/>
      <c r="Q14" s="25"/>
      <c r="R14" s="9"/>
      <c r="S14" s="9"/>
      <c r="T14" s="9"/>
      <c r="U14" s="9"/>
      <c r="X14" s="16" t="str">
        <f>IF(B14="",VLOOKUP(A14,items_lookup!A:B,2,FALSE),B14)</f>
        <v>07. Item 07</v>
      </c>
      <c r="Y14" s="16">
        <f t="shared" si="0"/>
        <v>1</v>
      </c>
      <c r="Z14" s="16">
        <f t="shared" si="0"/>
        <v>1</v>
      </c>
      <c r="AA14" s="16">
        <f t="shared" si="1"/>
        <v>2021</v>
      </c>
      <c r="AB14" s="16">
        <f t="shared" si="2"/>
        <v>2021</v>
      </c>
      <c r="AC14" s="16">
        <f t="shared" si="3"/>
        <v>2021</v>
      </c>
    </row>
    <row r="15" spans="1:30" ht="13.5" customHeight="1" x14ac:dyDescent="0.2">
      <c r="A15" s="6" t="s">
        <v>544</v>
      </c>
      <c r="B15" s="6"/>
      <c r="C15" s="2" t="s">
        <v>445</v>
      </c>
      <c r="D15" s="5" t="s">
        <v>443</v>
      </c>
      <c r="E15" s="24" t="s">
        <v>440</v>
      </c>
      <c r="F15" s="6"/>
      <c r="G15" s="6"/>
      <c r="H15" s="6"/>
      <c r="I15" s="6"/>
      <c r="J15" s="6"/>
      <c r="K15" s="6"/>
      <c r="L15" s="6" t="s">
        <v>444</v>
      </c>
      <c r="M15" s="7">
        <v>44197</v>
      </c>
      <c r="N15" s="7">
        <v>44197</v>
      </c>
      <c r="O15" s="14">
        <f>ROUND([1]CF!$BV$43*1000000,2)</f>
        <v>0</v>
      </c>
      <c r="P15" s="14"/>
      <c r="Q15" s="25"/>
      <c r="R15" s="9"/>
      <c r="S15" s="9"/>
      <c r="T15" s="9"/>
      <c r="U15" s="9"/>
      <c r="X15" s="16" t="str">
        <f>IF(B15="",VLOOKUP(A15,items_lookup!A:B,2,FALSE),B15)</f>
        <v>08. Item 08</v>
      </c>
      <c r="Y15" s="16">
        <f t="shared" si="0"/>
        <v>1</v>
      </c>
      <c r="Z15" s="16">
        <f t="shared" si="0"/>
        <v>1</v>
      </c>
      <c r="AA15" s="16">
        <f t="shared" si="1"/>
        <v>2021</v>
      </c>
      <c r="AB15" s="16">
        <f t="shared" si="2"/>
        <v>2021</v>
      </c>
      <c r="AC15" s="16">
        <f t="shared" si="3"/>
        <v>2021</v>
      </c>
    </row>
    <row r="16" spans="1:30" ht="15" customHeight="1" x14ac:dyDescent="0.2">
      <c r="A16" s="6"/>
      <c r="B16" s="6" t="s">
        <v>484</v>
      </c>
      <c r="C16" s="2" t="s">
        <v>445</v>
      </c>
      <c r="D16" s="5" t="s">
        <v>443</v>
      </c>
      <c r="E16" s="24" t="s">
        <v>440</v>
      </c>
      <c r="F16" s="6"/>
      <c r="G16" s="6"/>
      <c r="H16" s="6"/>
      <c r="I16" s="6"/>
      <c r="J16" s="6"/>
      <c r="K16" s="6"/>
      <c r="L16" s="6" t="s">
        <v>444</v>
      </c>
      <c r="M16" s="7">
        <v>44197</v>
      </c>
      <c r="N16" s="7">
        <v>44197</v>
      </c>
      <c r="O16" s="14">
        <f>ROUND([1]CF!$BV$44*1000000,2)</f>
        <v>389714.29</v>
      </c>
      <c r="P16" s="14"/>
      <c r="Q16" s="25"/>
      <c r="R16" s="9"/>
      <c r="S16" s="9"/>
      <c r="T16" s="9"/>
      <c r="U16" s="9"/>
      <c r="X16" s="16" t="str">
        <f>IF(B16="",VLOOKUP(A16,items_lookup!A:B,2,FALSE),B16)</f>
        <v>09. Item 09</v>
      </c>
      <c r="Y16" s="16">
        <f t="shared" si="0"/>
        <v>1</v>
      </c>
      <c r="Z16" s="16">
        <f t="shared" si="0"/>
        <v>1</v>
      </c>
      <c r="AA16" s="16">
        <f t="shared" si="1"/>
        <v>2021</v>
      </c>
      <c r="AB16" s="16">
        <f t="shared" si="2"/>
        <v>2021</v>
      </c>
      <c r="AC16" s="16">
        <f t="shared" si="3"/>
        <v>2021</v>
      </c>
    </row>
    <row r="17" spans="1:29" ht="21.75" customHeight="1" x14ac:dyDescent="0.2">
      <c r="A17" s="6"/>
      <c r="B17" s="6" t="s">
        <v>493</v>
      </c>
      <c r="C17" s="2" t="s">
        <v>445</v>
      </c>
      <c r="D17" s="5" t="s">
        <v>443</v>
      </c>
      <c r="E17" s="24" t="s">
        <v>440</v>
      </c>
      <c r="F17" s="6"/>
      <c r="G17" s="6"/>
      <c r="H17" s="6"/>
      <c r="I17" s="6"/>
      <c r="J17" s="6"/>
      <c r="K17" s="6"/>
      <c r="L17" s="6" t="s">
        <v>444</v>
      </c>
      <c r="M17" s="7">
        <v>44197</v>
      </c>
      <c r="N17" s="7">
        <v>44197</v>
      </c>
      <c r="O17" s="14">
        <f>ROUND([1]CF!$BV$51*1000000,2)</f>
        <v>1946104.28</v>
      </c>
      <c r="P17" s="14"/>
      <c r="Q17" s="25"/>
      <c r="R17" s="10"/>
      <c r="S17" s="10"/>
      <c r="T17" s="10"/>
      <c r="U17" s="10"/>
      <c r="X17" s="16" t="str">
        <f>IF(B17="",VLOOKUP(A17,items_lookup!A:B,2,FALSE),B17)</f>
        <v>10. Item 10</v>
      </c>
      <c r="Y17" s="16">
        <f t="shared" si="0"/>
        <v>1</v>
      </c>
      <c r="Z17" s="16">
        <f t="shared" si="0"/>
        <v>1</v>
      </c>
      <c r="AA17" s="16">
        <f t="shared" si="1"/>
        <v>2021</v>
      </c>
      <c r="AB17" s="16">
        <f t="shared" si="2"/>
        <v>2021</v>
      </c>
      <c r="AC17" s="16">
        <f t="shared" si="3"/>
        <v>2021</v>
      </c>
    </row>
    <row r="18" spans="1:29" ht="15" customHeight="1" x14ac:dyDescent="0.2">
      <c r="A18" s="6" t="s">
        <v>546</v>
      </c>
      <c r="B18" s="6"/>
      <c r="C18" s="2" t="s">
        <v>445</v>
      </c>
      <c r="D18" s="5" t="s">
        <v>443</v>
      </c>
      <c r="E18" s="24" t="s">
        <v>440</v>
      </c>
      <c r="F18" s="6"/>
      <c r="G18" s="6"/>
      <c r="H18" s="6"/>
      <c r="I18" s="6"/>
      <c r="J18" s="6"/>
      <c r="K18" s="6"/>
      <c r="L18" s="6" t="s">
        <v>444</v>
      </c>
      <c r="M18" s="7">
        <v>44197</v>
      </c>
      <c r="N18" s="7">
        <v>44197</v>
      </c>
      <c r="O18" s="14">
        <f>ROUND([1]CF!$BV$52*1000000,2)</f>
        <v>7800</v>
      </c>
      <c r="P18" s="14"/>
      <c r="Q18" s="25"/>
      <c r="R18" s="10"/>
      <c r="S18" s="10"/>
      <c r="T18" s="10"/>
      <c r="U18" s="10"/>
      <c r="X18" s="16" t="str">
        <f>IF(B18="",VLOOKUP(A18,items_lookup!A:B,2,FALSE),B18)</f>
        <v>11. Item 11</v>
      </c>
      <c r="Y18" s="16">
        <f t="shared" si="0"/>
        <v>1</v>
      </c>
      <c r="Z18" s="16">
        <f t="shared" si="0"/>
        <v>1</v>
      </c>
      <c r="AA18" s="16">
        <f t="shared" si="1"/>
        <v>2021</v>
      </c>
      <c r="AB18" s="16">
        <f t="shared" si="2"/>
        <v>2021</v>
      </c>
      <c r="AC18" s="16">
        <f t="shared" si="3"/>
        <v>2021</v>
      </c>
    </row>
    <row r="19" spans="1:29" ht="15" customHeight="1" x14ac:dyDescent="0.2">
      <c r="A19" s="6" t="s">
        <v>704</v>
      </c>
      <c r="B19" s="6"/>
      <c r="C19" s="2" t="s">
        <v>445</v>
      </c>
      <c r="D19" s="5" t="s">
        <v>443</v>
      </c>
      <c r="E19" s="24" t="s">
        <v>440</v>
      </c>
      <c r="F19" s="6"/>
      <c r="G19" s="6"/>
      <c r="H19" s="6"/>
      <c r="I19" s="6"/>
      <c r="J19" s="6"/>
      <c r="K19" s="6"/>
      <c r="L19" s="6" t="s">
        <v>444</v>
      </c>
      <c r="M19" s="7">
        <v>44197</v>
      </c>
      <c r="N19" s="7">
        <v>44197</v>
      </c>
      <c r="O19" s="14">
        <f>ROUND([1]CF!$BV$53*1000000,2)</f>
        <v>555641.99</v>
      </c>
      <c r="P19" s="14"/>
      <c r="Q19" s="25"/>
      <c r="R19" s="18"/>
      <c r="S19" s="18"/>
      <c r="T19" s="18"/>
      <c r="U19" s="18"/>
      <c r="X19" s="16" t="e">
        <f>IF(B19="",VLOOKUP(A19,items_lookup!A:B,2,FALSE),B19)</f>
        <v>#N/A</v>
      </c>
      <c r="Y19" s="16">
        <f t="shared" si="0"/>
        <v>1</v>
      </c>
      <c r="Z19" s="16">
        <f t="shared" si="0"/>
        <v>1</v>
      </c>
      <c r="AA19" s="16">
        <f t="shared" si="1"/>
        <v>2021</v>
      </c>
      <c r="AB19" s="16">
        <f t="shared" si="2"/>
        <v>2021</v>
      </c>
      <c r="AC19" s="16">
        <f t="shared" si="3"/>
        <v>2021</v>
      </c>
    </row>
    <row r="20" spans="1:29" ht="15" customHeight="1" x14ac:dyDescent="0.2">
      <c r="A20" s="6"/>
      <c r="B20" s="6" t="s">
        <v>502</v>
      </c>
      <c r="C20" s="2" t="s">
        <v>445</v>
      </c>
      <c r="D20" s="5" t="s">
        <v>443</v>
      </c>
      <c r="E20" s="24" t="s">
        <v>440</v>
      </c>
      <c r="F20" s="6"/>
      <c r="G20" s="6"/>
      <c r="H20" s="6"/>
      <c r="I20" s="6"/>
      <c r="J20" s="6"/>
      <c r="K20" s="6"/>
      <c r="L20" s="6" t="s">
        <v>444</v>
      </c>
      <c r="M20" s="7">
        <v>44197</v>
      </c>
      <c r="N20" s="7">
        <v>44197</v>
      </c>
      <c r="O20" s="14">
        <f>ROUND([1]CF!$BV$54*1000000,2)</f>
        <v>0</v>
      </c>
      <c r="P20" s="14"/>
      <c r="Q20" s="25"/>
      <c r="R20" s="10"/>
      <c r="S20" s="10"/>
      <c r="T20" s="10"/>
      <c r="U20" s="10"/>
      <c r="X20" s="16" t="str">
        <f>IF(B20="",VLOOKUP(A20,items_lookup!A:B,2,FALSE),B20)</f>
        <v>12. Item 12</v>
      </c>
      <c r="Y20" s="16">
        <f t="shared" si="0"/>
        <v>1</v>
      </c>
      <c r="Z20" s="16">
        <f t="shared" si="0"/>
        <v>1</v>
      </c>
      <c r="AA20" s="16">
        <f t="shared" si="1"/>
        <v>2021</v>
      </c>
      <c r="AB20" s="16">
        <f t="shared" si="2"/>
        <v>2021</v>
      </c>
      <c r="AC20" s="16">
        <f t="shared" si="3"/>
        <v>2021</v>
      </c>
    </row>
    <row r="21" spans="1:29" ht="14.25" customHeight="1" x14ac:dyDescent="0.2">
      <c r="A21" s="6"/>
      <c r="B21" s="6" t="s">
        <v>504</v>
      </c>
      <c r="C21" s="2" t="s">
        <v>445</v>
      </c>
      <c r="D21" s="5" t="s">
        <v>443</v>
      </c>
      <c r="E21" s="24" t="s">
        <v>440</v>
      </c>
      <c r="F21" s="6"/>
      <c r="G21" s="6"/>
      <c r="H21" s="6"/>
      <c r="I21" s="6"/>
      <c r="J21" s="6"/>
      <c r="K21" s="6"/>
      <c r="L21" s="6" t="s">
        <v>444</v>
      </c>
      <c r="M21" s="7">
        <v>44197</v>
      </c>
      <c r="N21" s="7">
        <v>44197</v>
      </c>
      <c r="O21" s="14">
        <f>ROUND([1]CF!$BV$55*1000000,2)</f>
        <v>1920000</v>
      </c>
      <c r="P21" s="14"/>
      <c r="Q21" s="25"/>
      <c r="R21" s="10"/>
      <c r="S21" s="10"/>
      <c r="T21" s="10"/>
      <c r="U21" s="10"/>
      <c r="X21" s="16" t="str">
        <f>IF(B21="",VLOOKUP(A21,items_lookup!A:B,2,FALSE),B21)</f>
        <v>13. Item 13</v>
      </c>
      <c r="Y21" s="16">
        <f t="shared" si="0"/>
        <v>1</v>
      </c>
      <c r="Z21" s="16">
        <f t="shared" si="0"/>
        <v>1</v>
      </c>
      <c r="AA21" s="16">
        <f t="shared" si="1"/>
        <v>2021</v>
      </c>
      <c r="AB21" s="16">
        <f t="shared" si="2"/>
        <v>2021</v>
      </c>
      <c r="AC21" s="16">
        <f t="shared" si="3"/>
        <v>2021</v>
      </c>
    </row>
    <row r="22" spans="1:29" ht="15" customHeight="1" x14ac:dyDescent="0.2">
      <c r="A22" s="6" t="s">
        <v>552</v>
      </c>
      <c r="B22" s="6"/>
      <c r="C22" s="2" t="s">
        <v>445</v>
      </c>
      <c r="D22" s="5" t="s">
        <v>443</v>
      </c>
      <c r="E22" s="24" t="s">
        <v>440</v>
      </c>
      <c r="F22" s="6"/>
      <c r="G22" s="6"/>
      <c r="H22" s="6"/>
      <c r="I22" s="6"/>
      <c r="J22" s="6"/>
      <c r="K22" s="6"/>
      <c r="L22" s="6" t="s">
        <v>444</v>
      </c>
      <c r="M22" s="7">
        <v>44197</v>
      </c>
      <c r="N22" s="7">
        <v>44197</v>
      </c>
      <c r="O22" s="14">
        <f>ROUND([1]CF!$BV$68*1000000,2)</f>
        <v>0</v>
      </c>
      <c r="P22" s="14"/>
      <c r="Q22" s="25"/>
      <c r="R22" s="10"/>
      <c r="S22" s="10"/>
      <c r="T22" s="10"/>
      <c r="U22" s="10"/>
      <c r="X22" s="16" t="str">
        <f>IF(B22="",VLOOKUP(A22,items_lookup!A:B,2,FALSE),B22)</f>
        <v>14. Item 14</v>
      </c>
      <c r="Y22" s="16">
        <f t="shared" si="0"/>
        <v>1</v>
      </c>
      <c r="Z22" s="16">
        <f t="shared" si="0"/>
        <v>1</v>
      </c>
      <c r="AA22" s="16">
        <f t="shared" si="1"/>
        <v>2021</v>
      </c>
      <c r="AB22" s="16">
        <f t="shared" si="2"/>
        <v>2021</v>
      </c>
      <c r="AC22" s="16">
        <f t="shared" si="3"/>
        <v>2021</v>
      </c>
    </row>
    <row r="23" spans="1:29" ht="15" customHeight="1" x14ac:dyDescent="0.2">
      <c r="A23" s="6" t="s">
        <v>558</v>
      </c>
      <c r="B23" s="6"/>
      <c r="C23" s="2" t="s">
        <v>445</v>
      </c>
      <c r="D23" s="5" t="s">
        <v>446</v>
      </c>
      <c r="E23" s="24" t="s">
        <v>440</v>
      </c>
      <c r="F23" s="6"/>
      <c r="G23" s="6"/>
      <c r="H23" s="6"/>
      <c r="I23" s="6"/>
      <c r="J23" s="6"/>
      <c r="K23" s="6"/>
      <c r="L23" s="6" t="s">
        <v>444</v>
      </c>
      <c r="M23" s="7">
        <v>44197</v>
      </c>
      <c r="N23" s="7">
        <v>44197</v>
      </c>
      <c r="O23" s="14">
        <f>ROUND([1]CF!$BV$56*1000000,2)</f>
        <v>0</v>
      </c>
      <c r="P23" s="14"/>
      <c r="Q23" s="25"/>
      <c r="R23" s="10"/>
      <c r="S23" s="10"/>
      <c r="T23" s="10"/>
      <c r="U23" s="10"/>
      <c r="X23" s="16" t="str">
        <f>IF(B23="",VLOOKUP(A23,items_lookup!A:B,2,FALSE),B23)</f>
        <v>17. Item 17</v>
      </c>
      <c r="Y23" s="16">
        <f t="shared" si="0"/>
        <v>1</v>
      </c>
      <c r="Z23" s="16">
        <f t="shared" si="0"/>
        <v>1</v>
      </c>
      <c r="AA23" s="16">
        <f t="shared" si="1"/>
        <v>2021</v>
      </c>
      <c r="AB23" s="16">
        <f t="shared" si="2"/>
        <v>2021</v>
      </c>
      <c r="AC23" s="16">
        <f t="shared" si="3"/>
        <v>2021</v>
      </c>
    </row>
    <row r="24" spans="1:29" ht="15" customHeight="1" x14ac:dyDescent="0.2">
      <c r="A24" s="6" t="s">
        <v>562</v>
      </c>
      <c r="B24" s="6"/>
      <c r="C24" s="2" t="s">
        <v>445</v>
      </c>
      <c r="D24" s="5" t="s">
        <v>443</v>
      </c>
      <c r="E24" s="24" t="s">
        <v>440</v>
      </c>
      <c r="F24" s="6"/>
      <c r="G24" s="6"/>
      <c r="H24" s="6"/>
      <c r="I24" s="6"/>
      <c r="J24" s="6"/>
      <c r="K24" s="6"/>
      <c r="L24" s="6" t="s">
        <v>444</v>
      </c>
      <c r="M24" s="7">
        <v>44197</v>
      </c>
      <c r="N24" s="7">
        <v>44197</v>
      </c>
      <c r="O24" s="14">
        <f>ROUND([1]CF!$BV$57*1000000,2)</f>
        <v>0</v>
      </c>
      <c r="P24" s="14"/>
      <c r="Q24" s="25"/>
      <c r="R24" s="10"/>
      <c r="S24" s="10"/>
      <c r="T24" s="10"/>
      <c r="U24" s="10"/>
      <c r="X24" s="16" t="str">
        <f>IF(B24="",VLOOKUP(A24,items_lookup!A:B,2,FALSE),B24)</f>
        <v>19. Item 19</v>
      </c>
      <c r="Y24" s="16">
        <f t="shared" si="0"/>
        <v>1</v>
      </c>
      <c r="Z24" s="16">
        <f t="shared" si="0"/>
        <v>1</v>
      </c>
      <c r="AA24" s="16">
        <f t="shared" si="1"/>
        <v>2021</v>
      </c>
      <c r="AB24" s="16">
        <f t="shared" si="2"/>
        <v>2021</v>
      </c>
      <c r="AC24" s="16">
        <f t="shared" si="3"/>
        <v>2021</v>
      </c>
    </row>
    <row r="25" spans="1:29" ht="15" customHeight="1" x14ac:dyDescent="0.2">
      <c r="A25" s="6" t="s">
        <v>450</v>
      </c>
      <c r="B25" s="6"/>
      <c r="C25" s="2" t="s">
        <v>445</v>
      </c>
      <c r="D25" s="5" t="s">
        <v>446</v>
      </c>
      <c r="E25" s="24" t="s">
        <v>439</v>
      </c>
      <c r="F25" s="6"/>
      <c r="G25" s="6"/>
      <c r="H25" s="6"/>
      <c r="I25" s="6"/>
      <c r="J25" s="6"/>
      <c r="K25" s="6"/>
      <c r="L25" s="6" t="s">
        <v>444</v>
      </c>
      <c r="M25" s="7">
        <v>44228</v>
      </c>
      <c r="N25" s="7">
        <v>44228</v>
      </c>
      <c r="O25" s="14">
        <f>ROUND([1]CF!$BW$28*1000000,2)</f>
        <v>7815059.0300000003</v>
      </c>
      <c r="P25" s="14"/>
      <c r="Q25" s="25"/>
      <c r="R25" s="10"/>
      <c r="S25" s="10"/>
      <c r="T25" s="10"/>
      <c r="U25" s="10"/>
      <c r="X25" s="16" t="str">
        <f>IF(B25="",VLOOKUP(A25,items_lookup!A:B,2,FALSE),B25)</f>
        <v>_1. Item _1</v>
      </c>
      <c r="Y25" s="16">
        <f t="shared" si="0"/>
        <v>2</v>
      </c>
      <c r="Z25" s="16">
        <f t="shared" si="0"/>
        <v>2</v>
      </c>
      <c r="AA25" s="16">
        <f t="shared" si="1"/>
        <v>2021</v>
      </c>
      <c r="AB25" s="16">
        <f t="shared" si="2"/>
        <v>2021</v>
      </c>
      <c r="AC25" s="16">
        <f t="shared" si="3"/>
        <v>2021</v>
      </c>
    </row>
    <row r="26" spans="1:29" ht="15" customHeight="1" x14ac:dyDescent="0.2">
      <c r="A26" s="6" t="s">
        <v>450</v>
      </c>
      <c r="B26" s="6"/>
      <c r="C26" s="2" t="s">
        <v>445</v>
      </c>
      <c r="D26" s="5" t="s">
        <v>443</v>
      </c>
      <c r="E26" s="24" t="s">
        <v>439</v>
      </c>
      <c r="F26" s="6"/>
      <c r="G26" s="6"/>
      <c r="H26" s="6"/>
      <c r="I26" s="6"/>
      <c r="J26" s="6"/>
      <c r="K26" s="6"/>
      <c r="L26" s="6" t="s">
        <v>444</v>
      </c>
      <c r="M26" s="7">
        <v>44228</v>
      </c>
      <c r="N26" s="7">
        <v>44228</v>
      </c>
      <c r="O26" s="14">
        <f>ROUND([1]CF!$BW$27*1000000,2)</f>
        <v>30188472.690000001</v>
      </c>
      <c r="P26" s="14"/>
      <c r="Q26" s="25"/>
      <c r="R26" s="10"/>
      <c r="S26" s="10"/>
      <c r="T26" s="10"/>
      <c r="U26" s="10"/>
      <c r="X26" s="16" t="str">
        <f>IF(B26="",VLOOKUP(A26,items_lookup!A:B,2,FALSE),B26)</f>
        <v>_1. Item _1</v>
      </c>
      <c r="Y26" s="16">
        <f t="shared" si="0"/>
        <v>2</v>
      </c>
      <c r="Z26" s="16">
        <f t="shared" si="0"/>
        <v>2</v>
      </c>
      <c r="AA26" s="16">
        <f t="shared" si="1"/>
        <v>2021</v>
      </c>
      <c r="AB26" s="16">
        <f t="shared" si="2"/>
        <v>2021</v>
      </c>
      <c r="AC26" s="16">
        <f t="shared" si="3"/>
        <v>2021</v>
      </c>
    </row>
    <row r="27" spans="1:29" ht="15" customHeight="1" x14ac:dyDescent="0.2">
      <c r="A27" s="6" t="s">
        <v>457</v>
      </c>
      <c r="B27" s="6"/>
      <c r="C27" s="2" t="s">
        <v>445</v>
      </c>
      <c r="D27" s="5" t="s">
        <v>446</v>
      </c>
      <c r="E27" s="24" t="s">
        <v>439</v>
      </c>
      <c r="F27" s="6"/>
      <c r="G27" s="6"/>
      <c r="H27" s="6"/>
      <c r="I27" s="6"/>
      <c r="J27" s="6"/>
      <c r="K27" s="6"/>
      <c r="L27" s="6" t="s">
        <v>444</v>
      </c>
      <c r="M27" s="7">
        <v>44228</v>
      </c>
      <c r="N27" s="7">
        <v>44228</v>
      </c>
      <c r="O27" s="14">
        <f>ROUND([1]CF!$BW$29*1000000,2)</f>
        <v>340000</v>
      </c>
      <c r="P27" s="14"/>
      <c r="Q27" s="25"/>
      <c r="R27" s="10"/>
      <c r="S27" s="10"/>
      <c r="T27" s="10"/>
      <c r="U27" s="10"/>
      <c r="X27" s="16" t="str">
        <f>IF(B27="",VLOOKUP(A27,items_lookup!A:B,2,FALSE),B27)</f>
        <v>_2. Item _2</v>
      </c>
      <c r="Y27" s="16">
        <f t="shared" si="0"/>
        <v>2</v>
      </c>
      <c r="Z27" s="16">
        <f t="shared" si="0"/>
        <v>2</v>
      </c>
      <c r="AA27" s="16">
        <f t="shared" si="1"/>
        <v>2021</v>
      </c>
      <c r="AB27" s="16">
        <f t="shared" si="2"/>
        <v>2021</v>
      </c>
      <c r="AC27" s="16">
        <f t="shared" si="3"/>
        <v>2021</v>
      </c>
    </row>
    <row r="28" spans="1:29" ht="15" customHeight="1" x14ac:dyDescent="0.2">
      <c r="A28" s="6" t="s">
        <v>464</v>
      </c>
      <c r="B28" s="6"/>
      <c r="C28" s="2" t="s">
        <v>445</v>
      </c>
      <c r="D28" s="5" t="s">
        <v>446</v>
      </c>
      <c r="E28" s="24" t="s">
        <v>439</v>
      </c>
      <c r="F28" s="6"/>
      <c r="G28" s="6"/>
      <c r="H28" s="6"/>
      <c r="I28" s="6"/>
      <c r="J28" s="6"/>
      <c r="K28" s="6"/>
      <c r="L28" s="6" t="s">
        <v>444</v>
      </c>
      <c r="M28" s="7">
        <v>44228</v>
      </c>
      <c r="N28" s="7">
        <v>44228</v>
      </c>
      <c r="O28" s="14">
        <f>ROUND([1]CF!$BW$30*1000000,2)</f>
        <v>172390.51</v>
      </c>
      <c r="P28" s="14"/>
      <c r="Q28" s="25"/>
      <c r="R28" s="10"/>
      <c r="S28" s="10"/>
      <c r="T28" s="10"/>
      <c r="U28" s="10"/>
      <c r="X28" s="16" t="str">
        <f>IF(B28="",VLOOKUP(A28,items_lookup!A:B,2,FALSE),B28)</f>
        <v>_3. Item _3</v>
      </c>
      <c r="Y28" s="16">
        <f t="shared" si="0"/>
        <v>2</v>
      </c>
      <c r="Z28" s="16">
        <f t="shared" si="0"/>
        <v>2</v>
      </c>
      <c r="AA28" s="16">
        <f t="shared" si="1"/>
        <v>2021</v>
      </c>
      <c r="AB28" s="16">
        <f t="shared" si="2"/>
        <v>2021</v>
      </c>
      <c r="AC28" s="16">
        <f t="shared" si="3"/>
        <v>2021</v>
      </c>
    </row>
    <row r="29" spans="1:29" ht="15" customHeight="1" x14ac:dyDescent="0.2">
      <c r="A29" s="6" t="s">
        <v>538</v>
      </c>
      <c r="B29" s="6"/>
      <c r="C29" s="2" t="s">
        <v>445</v>
      </c>
      <c r="D29" s="5" t="s">
        <v>443</v>
      </c>
      <c r="E29" s="24" t="s">
        <v>440</v>
      </c>
      <c r="F29" s="6"/>
      <c r="G29" s="6"/>
      <c r="H29" s="6"/>
      <c r="I29" s="6"/>
      <c r="J29" s="6"/>
      <c r="K29" s="6"/>
      <c r="L29" s="6" t="s">
        <v>444</v>
      </c>
      <c r="M29" s="7">
        <v>44228</v>
      </c>
      <c r="N29" s="7">
        <v>44228</v>
      </c>
      <c r="O29" s="14">
        <f>ROUND([1]CF!$BW$32*1000000,2)</f>
        <v>54591.27</v>
      </c>
      <c r="P29" s="14"/>
      <c r="Q29" s="25"/>
      <c r="R29" s="8"/>
      <c r="S29" s="8"/>
      <c r="T29" s="8"/>
      <c r="U29" s="8"/>
      <c r="X29" s="16" t="str">
        <f>IF(B29="",VLOOKUP(A29,items_lookup!A:B,2,FALSE),B29)</f>
        <v>01. Item 01</v>
      </c>
      <c r="Y29" s="16">
        <f t="shared" si="0"/>
        <v>2</v>
      </c>
      <c r="Z29" s="16">
        <f t="shared" si="0"/>
        <v>2</v>
      </c>
      <c r="AA29" s="16">
        <f t="shared" si="1"/>
        <v>2021</v>
      </c>
      <c r="AB29" s="16">
        <f t="shared" si="2"/>
        <v>2021</v>
      </c>
      <c r="AC29" s="16">
        <f t="shared" si="3"/>
        <v>2021</v>
      </c>
    </row>
    <row r="30" spans="1:29" ht="15" customHeight="1" x14ac:dyDescent="0.2">
      <c r="A30" s="6" t="s">
        <v>529</v>
      </c>
      <c r="B30" s="6"/>
      <c r="C30" s="2" t="s">
        <v>445</v>
      </c>
      <c r="D30" s="5" t="s">
        <v>443</v>
      </c>
      <c r="E30" s="24" t="s">
        <v>440</v>
      </c>
      <c r="F30" s="6"/>
      <c r="G30" s="6"/>
      <c r="H30" s="6"/>
      <c r="I30" s="6"/>
      <c r="J30" s="6"/>
      <c r="K30" s="6"/>
      <c r="L30" s="6" t="s">
        <v>444</v>
      </c>
      <c r="M30" s="7">
        <v>44228</v>
      </c>
      <c r="N30" s="7">
        <v>44228</v>
      </c>
      <c r="O30" s="14">
        <f>ROUND([1]CF!$BW$33*1000000,2)</f>
        <v>5653560.3600000003</v>
      </c>
      <c r="P30" s="14"/>
      <c r="Q30" s="25"/>
      <c r="R30" s="8"/>
      <c r="S30" s="8"/>
      <c r="T30" s="8"/>
      <c r="U30" s="8"/>
      <c r="X30" s="16" t="str">
        <f>IF(B30="",VLOOKUP(A30,items_lookup!A:B,2,FALSE),B30)</f>
        <v>02. Item 02</v>
      </c>
      <c r="Y30" s="16">
        <f t="shared" si="0"/>
        <v>2</v>
      </c>
      <c r="Z30" s="16">
        <f t="shared" si="0"/>
        <v>2</v>
      </c>
      <c r="AA30" s="16">
        <f t="shared" si="1"/>
        <v>2021</v>
      </c>
      <c r="AB30" s="16">
        <f t="shared" si="2"/>
        <v>2021</v>
      </c>
      <c r="AC30" s="16">
        <f t="shared" si="3"/>
        <v>2021</v>
      </c>
    </row>
    <row r="31" spans="1:29" ht="27.75" customHeight="1" x14ac:dyDescent="0.2">
      <c r="A31" s="6"/>
      <c r="B31" s="6" t="s">
        <v>448</v>
      </c>
      <c r="C31" s="2" t="s">
        <v>445</v>
      </c>
      <c r="D31" s="5" t="s">
        <v>443</v>
      </c>
      <c r="E31" s="24" t="s">
        <v>440</v>
      </c>
      <c r="F31" s="6"/>
      <c r="G31" s="6"/>
      <c r="H31" s="6"/>
      <c r="I31" s="6"/>
      <c r="J31" s="6"/>
      <c r="K31" s="6"/>
      <c r="L31" s="6" t="s">
        <v>444</v>
      </c>
      <c r="M31" s="7">
        <v>44228</v>
      </c>
      <c r="N31" s="7">
        <v>44228</v>
      </c>
      <c r="O31" s="14">
        <f>ROUND([1]CF!$BW$34*1000000,2)</f>
        <v>49687.45</v>
      </c>
      <c r="P31" s="14"/>
      <c r="Q31" s="25"/>
      <c r="R31" s="9"/>
      <c r="S31" s="9"/>
      <c r="T31" s="9"/>
      <c r="U31" s="9"/>
      <c r="X31" s="16" t="str">
        <f>IF(B31="",VLOOKUP(A31,items_lookup!A:B,2,FALSE),B31)</f>
        <v>03. Item 03</v>
      </c>
      <c r="Y31" s="16">
        <f t="shared" si="0"/>
        <v>2</v>
      </c>
      <c r="Z31" s="16">
        <f t="shared" si="0"/>
        <v>2</v>
      </c>
      <c r="AA31" s="16">
        <f t="shared" si="1"/>
        <v>2021</v>
      </c>
      <c r="AB31" s="16">
        <f t="shared" si="2"/>
        <v>2021</v>
      </c>
      <c r="AC31" s="16">
        <f t="shared" si="3"/>
        <v>2021</v>
      </c>
    </row>
    <row r="32" spans="1:29" ht="12" customHeight="1" x14ac:dyDescent="0.2">
      <c r="A32" s="6"/>
      <c r="B32" s="6" t="s">
        <v>475</v>
      </c>
      <c r="C32" s="2" t="s">
        <v>445</v>
      </c>
      <c r="D32" s="5" t="s">
        <v>443</v>
      </c>
      <c r="E32" s="24" t="s">
        <v>440</v>
      </c>
      <c r="F32" s="6"/>
      <c r="G32" s="6"/>
      <c r="H32" s="6"/>
      <c r="I32" s="6"/>
      <c r="J32" s="6"/>
      <c r="K32" s="6"/>
      <c r="L32" s="6" t="s">
        <v>444</v>
      </c>
      <c r="M32" s="7">
        <v>44228</v>
      </c>
      <c r="N32" s="7">
        <v>44228</v>
      </c>
      <c r="O32" s="14">
        <f>ROUND([1]CF!$BW$35*1000000,2)</f>
        <v>3875238.1</v>
      </c>
      <c r="P32" s="14"/>
      <c r="Q32" s="25"/>
      <c r="R32" s="10"/>
      <c r="S32" s="10"/>
      <c r="T32" s="10"/>
      <c r="U32" s="10"/>
      <c r="X32" s="16" t="str">
        <f>IF(B32="",VLOOKUP(A32,items_lookup!A:B,2,FALSE),B32)</f>
        <v>04. Item 04</v>
      </c>
      <c r="Y32" s="16">
        <f t="shared" si="0"/>
        <v>2</v>
      </c>
      <c r="Z32" s="16">
        <f t="shared" si="0"/>
        <v>2</v>
      </c>
      <c r="AA32" s="16">
        <f t="shared" si="1"/>
        <v>2021</v>
      </c>
      <c r="AB32" s="16">
        <f t="shared" si="2"/>
        <v>2021</v>
      </c>
      <c r="AC32" s="16">
        <f t="shared" si="3"/>
        <v>2021</v>
      </c>
    </row>
    <row r="33" spans="1:29" ht="15" customHeight="1" x14ac:dyDescent="0.2">
      <c r="A33" s="6" t="s">
        <v>477</v>
      </c>
      <c r="B33" s="6"/>
      <c r="C33" s="2" t="s">
        <v>445</v>
      </c>
      <c r="D33" s="5" t="s">
        <v>443</v>
      </c>
      <c r="E33" s="24" t="s">
        <v>440</v>
      </c>
      <c r="F33" s="6"/>
      <c r="G33" s="6"/>
      <c r="H33" s="6"/>
      <c r="I33" s="6"/>
      <c r="J33" s="6"/>
      <c r="K33" s="6"/>
      <c r="L33" s="6" t="s">
        <v>444</v>
      </c>
      <c r="M33" s="7">
        <v>44228</v>
      </c>
      <c r="N33" s="7">
        <v>44228</v>
      </c>
      <c r="O33" s="14">
        <f>ROUND([1]CF!$BW$37*1000000,2)-O34</f>
        <v>24379.030000000261</v>
      </c>
      <c r="P33" s="14"/>
      <c r="Q33" s="25"/>
      <c r="R33" s="9"/>
      <c r="S33" s="9"/>
      <c r="T33" s="9"/>
      <c r="U33" s="9"/>
      <c r="X33" s="16" t="str">
        <f>IF(B33="",VLOOKUP(A33,items_lookup!A:B,2,FALSE),B33)</f>
        <v>05. Item 05</v>
      </c>
      <c r="Y33" s="16">
        <f t="shared" si="0"/>
        <v>2</v>
      </c>
      <c r="Z33" s="16">
        <f t="shared" si="0"/>
        <v>2</v>
      </c>
      <c r="AA33" s="16">
        <f t="shared" si="1"/>
        <v>2021</v>
      </c>
      <c r="AB33" s="16">
        <f t="shared" si="2"/>
        <v>2021</v>
      </c>
      <c r="AC33" s="16">
        <f t="shared" si="3"/>
        <v>2021</v>
      </c>
    </row>
    <row r="34" spans="1:29" ht="15" customHeight="1" x14ac:dyDescent="0.2">
      <c r="A34" s="6" t="s">
        <v>477</v>
      </c>
      <c r="B34" s="6"/>
      <c r="C34" s="2" t="s">
        <v>445</v>
      </c>
      <c r="D34" s="5" t="s">
        <v>446</v>
      </c>
      <c r="E34" s="24" t="s">
        <v>440</v>
      </c>
      <c r="F34" s="6"/>
      <c r="G34" s="6"/>
      <c r="H34" s="6"/>
      <c r="I34" s="6"/>
      <c r="J34" s="6"/>
      <c r="K34" s="6"/>
      <c r="L34" s="6" t="s">
        <v>444</v>
      </c>
      <c r="M34" s="7">
        <v>44228</v>
      </c>
      <c r="N34" s="7">
        <v>44228</v>
      </c>
      <c r="O34" s="14">
        <f>O25+O27+O28-O46</f>
        <v>8327449.54</v>
      </c>
      <c r="P34" s="14"/>
      <c r="Q34" s="25"/>
      <c r="R34" s="9"/>
      <c r="S34" s="9"/>
      <c r="T34" s="9"/>
      <c r="U34" s="9"/>
      <c r="X34" s="16" t="str">
        <f>IF(B34="",VLOOKUP(A34,items_lookup!A:B,2,FALSE),B34)</f>
        <v>05. Item 05</v>
      </c>
      <c r="Y34" s="16">
        <f t="shared" si="0"/>
        <v>2</v>
      </c>
      <c r="Z34" s="16">
        <f t="shared" si="0"/>
        <v>2</v>
      </c>
      <c r="AA34" s="16">
        <f t="shared" si="1"/>
        <v>2021</v>
      </c>
      <c r="AB34" s="16">
        <f t="shared" si="2"/>
        <v>2021</v>
      </c>
      <c r="AC34" s="16">
        <f t="shared" si="3"/>
        <v>2021</v>
      </c>
    </row>
    <row r="35" spans="1:29" ht="15" customHeight="1" x14ac:dyDescent="0.2">
      <c r="A35" s="6" t="s">
        <v>480</v>
      </c>
      <c r="B35" s="6"/>
      <c r="C35" s="2" t="s">
        <v>445</v>
      </c>
      <c r="D35" s="5" t="s">
        <v>443</v>
      </c>
      <c r="E35" s="24" t="s">
        <v>440</v>
      </c>
      <c r="F35" s="6"/>
      <c r="G35" s="6"/>
      <c r="H35" s="6"/>
      <c r="I35" s="6"/>
      <c r="J35" s="6"/>
      <c r="K35" s="6"/>
      <c r="L35" s="6" t="s">
        <v>444</v>
      </c>
      <c r="M35" s="7">
        <v>44228</v>
      </c>
      <c r="N35" s="7">
        <v>44228</v>
      </c>
      <c r="O35" s="14">
        <f>ROUND([1]CF!$BW$38*1000000,2)</f>
        <v>0</v>
      </c>
      <c r="P35" s="14"/>
      <c r="Q35" s="25"/>
      <c r="R35" s="9"/>
      <c r="S35" s="9"/>
      <c r="T35" s="9"/>
      <c r="U35" s="9"/>
      <c r="X35" s="16" t="str">
        <f>IF(B35="",VLOOKUP(A35,items_lookup!A:B,2,FALSE),B35)</f>
        <v>05. Item 05</v>
      </c>
      <c r="Y35" s="16">
        <f t="shared" si="0"/>
        <v>2</v>
      </c>
      <c r="Z35" s="16">
        <f t="shared" si="0"/>
        <v>2</v>
      </c>
      <c r="AA35" s="16">
        <f t="shared" si="1"/>
        <v>2021</v>
      </c>
      <c r="AB35" s="16">
        <f t="shared" si="2"/>
        <v>2021</v>
      </c>
      <c r="AC35" s="16">
        <f t="shared" si="3"/>
        <v>2021</v>
      </c>
    </row>
    <row r="36" spans="1:29" ht="15" customHeight="1" x14ac:dyDescent="0.2">
      <c r="A36" s="6" t="s">
        <v>540</v>
      </c>
      <c r="B36" s="6"/>
      <c r="C36" s="2" t="s">
        <v>445</v>
      </c>
      <c r="D36" s="5" t="s">
        <v>443</v>
      </c>
      <c r="E36" s="24" t="s">
        <v>440</v>
      </c>
      <c r="F36" s="6"/>
      <c r="G36" s="6"/>
      <c r="H36" s="6"/>
      <c r="I36" s="6"/>
      <c r="J36" s="6"/>
      <c r="K36" s="6"/>
      <c r="L36" s="6" t="s">
        <v>444</v>
      </c>
      <c r="M36" s="7">
        <v>44228</v>
      </c>
      <c r="N36" s="7">
        <v>44228</v>
      </c>
      <c r="O36" s="14">
        <f>ROUND([1]CF!$BW$39*1000000,2)</f>
        <v>0</v>
      </c>
      <c r="P36" s="14"/>
      <c r="Q36" s="25"/>
      <c r="R36" s="9"/>
      <c r="S36" s="9"/>
      <c r="T36" s="9"/>
      <c r="U36" s="9"/>
      <c r="X36" s="16" t="str">
        <f>IF(B36="",VLOOKUP(A36,items_lookup!A:B,2,FALSE),B36)</f>
        <v>06. Item 06</v>
      </c>
      <c r="Y36" s="16">
        <f t="shared" si="0"/>
        <v>2</v>
      </c>
      <c r="Z36" s="16">
        <f t="shared" si="0"/>
        <v>2</v>
      </c>
      <c r="AA36" s="16">
        <f t="shared" si="1"/>
        <v>2021</v>
      </c>
      <c r="AB36" s="16">
        <f t="shared" si="2"/>
        <v>2021</v>
      </c>
      <c r="AC36" s="16">
        <f t="shared" si="3"/>
        <v>2021</v>
      </c>
    </row>
    <row r="37" spans="1:29" ht="15" customHeight="1" x14ac:dyDescent="0.2">
      <c r="A37" s="6" t="s">
        <v>542</v>
      </c>
      <c r="B37" s="6"/>
      <c r="C37" s="2" t="s">
        <v>445</v>
      </c>
      <c r="D37" s="5" t="s">
        <v>443</v>
      </c>
      <c r="E37" s="24" t="s">
        <v>440</v>
      </c>
      <c r="F37" s="6"/>
      <c r="G37" s="6"/>
      <c r="H37" s="6"/>
      <c r="I37" s="6"/>
      <c r="J37" s="6"/>
      <c r="K37" s="6"/>
      <c r="L37" s="6" t="s">
        <v>444</v>
      </c>
      <c r="M37" s="7">
        <v>44228</v>
      </c>
      <c r="N37" s="7">
        <v>44228</v>
      </c>
      <c r="O37" s="14">
        <f>ROUND([1]CF!$BW$41*1000000,2)</f>
        <v>0</v>
      </c>
      <c r="P37" s="14"/>
      <c r="Q37" s="25"/>
      <c r="R37" s="9"/>
      <c r="S37" s="9"/>
      <c r="T37" s="9"/>
      <c r="U37" s="9"/>
      <c r="X37" s="16" t="str">
        <f>IF(B37="",VLOOKUP(A37,items_lookup!A:B,2,FALSE),B37)</f>
        <v>07. Item 07</v>
      </c>
      <c r="Y37" s="16">
        <f t="shared" si="0"/>
        <v>2</v>
      </c>
      <c r="Z37" s="16">
        <f t="shared" si="0"/>
        <v>2</v>
      </c>
      <c r="AA37" s="16">
        <f t="shared" si="1"/>
        <v>2021</v>
      </c>
      <c r="AB37" s="16">
        <f t="shared" si="2"/>
        <v>2021</v>
      </c>
      <c r="AC37" s="16">
        <f t="shared" si="3"/>
        <v>2021</v>
      </c>
    </row>
    <row r="38" spans="1:29" ht="13.5" customHeight="1" x14ac:dyDescent="0.2">
      <c r="A38" s="6" t="s">
        <v>544</v>
      </c>
      <c r="B38" s="6"/>
      <c r="C38" s="2" t="s">
        <v>445</v>
      </c>
      <c r="D38" s="5" t="s">
        <v>443</v>
      </c>
      <c r="E38" s="24" t="s">
        <v>440</v>
      </c>
      <c r="F38" s="6"/>
      <c r="G38" s="6"/>
      <c r="H38" s="6"/>
      <c r="I38" s="6"/>
      <c r="J38" s="6"/>
      <c r="K38" s="6"/>
      <c r="L38" s="6" t="s">
        <v>444</v>
      </c>
      <c r="M38" s="7">
        <v>44228</v>
      </c>
      <c r="N38" s="7">
        <v>44228</v>
      </c>
      <c r="O38" s="14">
        <f>ROUND([1]CF!$BW$43*1000000,2)</f>
        <v>0</v>
      </c>
      <c r="P38" s="14"/>
      <c r="Q38" s="25"/>
      <c r="R38" s="9"/>
      <c r="S38" s="9"/>
      <c r="T38" s="9"/>
      <c r="U38" s="9"/>
      <c r="X38" s="16" t="str">
        <f>IF(B38="",VLOOKUP(A38,items_lookup!A:B,2,FALSE),B38)</f>
        <v>08. Item 08</v>
      </c>
      <c r="Y38" s="16">
        <f t="shared" si="0"/>
        <v>2</v>
      </c>
      <c r="Z38" s="16">
        <f t="shared" si="0"/>
        <v>2</v>
      </c>
      <c r="AA38" s="16">
        <f t="shared" si="1"/>
        <v>2021</v>
      </c>
      <c r="AB38" s="16">
        <f t="shared" si="2"/>
        <v>2021</v>
      </c>
      <c r="AC38" s="16">
        <f t="shared" si="3"/>
        <v>2021</v>
      </c>
    </row>
    <row r="39" spans="1:29" ht="15" customHeight="1" x14ac:dyDescent="0.2">
      <c r="A39" s="6"/>
      <c r="B39" s="6" t="s">
        <v>484</v>
      </c>
      <c r="C39" s="2" t="s">
        <v>445</v>
      </c>
      <c r="D39" s="5" t="s">
        <v>443</v>
      </c>
      <c r="E39" s="24" t="s">
        <v>440</v>
      </c>
      <c r="F39" s="6"/>
      <c r="G39" s="6"/>
      <c r="H39" s="6"/>
      <c r="I39" s="6"/>
      <c r="J39" s="6"/>
      <c r="K39" s="6"/>
      <c r="L39" s="6" t="s">
        <v>444</v>
      </c>
      <c r="M39" s="7">
        <v>44228</v>
      </c>
      <c r="N39" s="7">
        <v>44228</v>
      </c>
      <c r="O39" s="14">
        <f>ROUND([1]CF!$BW$44*1000000,2)</f>
        <v>306744.28999999998</v>
      </c>
      <c r="P39" s="14"/>
      <c r="Q39" s="25"/>
      <c r="R39" s="9"/>
      <c r="S39" s="9"/>
      <c r="T39" s="9"/>
      <c r="U39" s="9"/>
      <c r="X39" s="16" t="str">
        <f>IF(B39="",VLOOKUP(A39,items_lookup!A:B,2,FALSE),B39)</f>
        <v>09. Item 09</v>
      </c>
      <c r="Y39" s="16">
        <f t="shared" si="0"/>
        <v>2</v>
      </c>
      <c r="Z39" s="16">
        <f t="shared" si="0"/>
        <v>2</v>
      </c>
      <c r="AA39" s="16">
        <f t="shared" si="1"/>
        <v>2021</v>
      </c>
      <c r="AB39" s="16">
        <f t="shared" si="2"/>
        <v>2021</v>
      </c>
      <c r="AC39" s="16">
        <f t="shared" si="3"/>
        <v>2021</v>
      </c>
    </row>
    <row r="40" spans="1:29" ht="21.75" customHeight="1" x14ac:dyDescent="0.2">
      <c r="A40" s="6"/>
      <c r="B40" s="6" t="s">
        <v>493</v>
      </c>
      <c r="C40" s="2" t="s">
        <v>445</v>
      </c>
      <c r="D40" s="5" t="s">
        <v>443</v>
      </c>
      <c r="E40" s="24" t="s">
        <v>440</v>
      </c>
      <c r="F40" s="6"/>
      <c r="G40" s="6"/>
      <c r="H40" s="6"/>
      <c r="I40" s="6"/>
      <c r="J40" s="6"/>
      <c r="K40" s="6"/>
      <c r="L40" s="6" t="s">
        <v>444</v>
      </c>
      <c r="M40" s="7">
        <v>44228</v>
      </c>
      <c r="N40" s="7">
        <v>44228</v>
      </c>
      <c r="O40" s="14">
        <f>ROUND([1]CF!$BW$51*1000000,2)</f>
        <v>1117202.03</v>
      </c>
      <c r="P40" s="14"/>
      <c r="Q40" s="25"/>
      <c r="R40" s="10"/>
      <c r="S40" s="10"/>
      <c r="T40" s="10"/>
      <c r="U40" s="10"/>
      <c r="X40" s="16" t="str">
        <f>IF(B40="",VLOOKUP(A40,items_lookup!A:B,2,FALSE),B40)</f>
        <v>10. Item 10</v>
      </c>
      <c r="Y40" s="16">
        <f t="shared" si="0"/>
        <v>2</v>
      </c>
      <c r="Z40" s="16">
        <f t="shared" si="0"/>
        <v>2</v>
      </c>
      <c r="AA40" s="16">
        <f t="shared" si="1"/>
        <v>2021</v>
      </c>
      <c r="AB40" s="16">
        <f t="shared" si="2"/>
        <v>2021</v>
      </c>
      <c r="AC40" s="16">
        <f t="shared" si="3"/>
        <v>2021</v>
      </c>
    </row>
    <row r="41" spans="1:29" ht="15" customHeight="1" x14ac:dyDescent="0.2">
      <c r="A41" s="6" t="s">
        <v>546</v>
      </c>
      <c r="B41" s="6"/>
      <c r="C41" s="2" t="s">
        <v>445</v>
      </c>
      <c r="D41" s="5" t="s">
        <v>443</v>
      </c>
      <c r="E41" s="24" t="s">
        <v>440</v>
      </c>
      <c r="F41" s="6"/>
      <c r="G41" s="6"/>
      <c r="H41" s="6"/>
      <c r="I41" s="6"/>
      <c r="J41" s="6"/>
      <c r="K41" s="6"/>
      <c r="L41" s="6" t="s">
        <v>444</v>
      </c>
      <c r="M41" s="7">
        <v>44228</v>
      </c>
      <c r="N41" s="7">
        <v>44228</v>
      </c>
      <c r="O41" s="14">
        <f>ROUND([1]CF!$BW$52*1000000,2)</f>
        <v>0</v>
      </c>
      <c r="P41" s="14"/>
      <c r="Q41" s="25"/>
      <c r="R41" s="10"/>
      <c r="S41" s="10"/>
      <c r="T41" s="10"/>
      <c r="U41" s="10"/>
      <c r="X41" s="16" t="str">
        <f>IF(B41="",VLOOKUP(A41,items_lookup!A:B,2,FALSE),B41)</f>
        <v>11. Item 11</v>
      </c>
      <c r="Y41" s="16">
        <f t="shared" si="0"/>
        <v>2</v>
      </c>
      <c r="Z41" s="16">
        <f t="shared" si="0"/>
        <v>2</v>
      </c>
      <c r="AA41" s="16">
        <f t="shared" si="1"/>
        <v>2021</v>
      </c>
      <c r="AB41" s="16">
        <f t="shared" si="2"/>
        <v>2021</v>
      </c>
      <c r="AC41" s="16">
        <f t="shared" si="3"/>
        <v>2021</v>
      </c>
    </row>
    <row r="42" spans="1:29" ht="15" customHeight="1" x14ac:dyDescent="0.2">
      <c r="A42" s="6" t="s">
        <v>704</v>
      </c>
      <c r="B42" s="6"/>
      <c r="C42" s="2" t="s">
        <v>445</v>
      </c>
      <c r="D42" s="5" t="s">
        <v>443</v>
      </c>
      <c r="E42" s="24" t="s">
        <v>440</v>
      </c>
      <c r="F42" s="6"/>
      <c r="G42" s="6"/>
      <c r="H42" s="6"/>
      <c r="I42" s="6"/>
      <c r="J42" s="6"/>
      <c r="K42" s="6"/>
      <c r="L42" s="6" t="s">
        <v>444</v>
      </c>
      <c r="M42" s="7">
        <v>44228</v>
      </c>
      <c r="N42" s="7">
        <v>44228</v>
      </c>
      <c r="O42" s="14">
        <f>ROUND([1]CF!$BW$53*1000000,2)</f>
        <v>475118.58</v>
      </c>
      <c r="P42" s="14"/>
      <c r="Q42" s="25"/>
      <c r="R42" s="18"/>
      <c r="S42" s="18"/>
      <c r="T42" s="18"/>
      <c r="U42" s="18"/>
      <c r="X42" s="16" t="e">
        <f>IF(B42="",VLOOKUP(A42,items_lookup!A:B,2,FALSE),B42)</f>
        <v>#N/A</v>
      </c>
      <c r="Y42" s="16">
        <f t="shared" si="0"/>
        <v>2</v>
      </c>
      <c r="Z42" s="16">
        <f t="shared" si="0"/>
        <v>2</v>
      </c>
      <c r="AA42" s="16">
        <f t="shared" si="1"/>
        <v>2021</v>
      </c>
      <c r="AB42" s="16">
        <f t="shared" si="2"/>
        <v>2021</v>
      </c>
      <c r="AC42" s="16">
        <f t="shared" si="3"/>
        <v>2021</v>
      </c>
    </row>
    <row r="43" spans="1:29" ht="15" customHeight="1" x14ac:dyDescent="0.2">
      <c r="A43" s="6"/>
      <c r="B43" s="6" t="s">
        <v>502</v>
      </c>
      <c r="C43" s="2" t="s">
        <v>445</v>
      </c>
      <c r="D43" s="5" t="s">
        <v>443</v>
      </c>
      <c r="E43" s="24" t="s">
        <v>440</v>
      </c>
      <c r="F43" s="6"/>
      <c r="G43" s="6"/>
      <c r="H43" s="6"/>
      <c r="I43" s="6"/>
      <c r="J43" s="6"/>
      <c r="K43" s="6"/>
      <c r="L43" s="6" t="s">
        <v>444</v>
      </c>
      <c r="M43" s="7">
        <v>44228</v>
      </c>
      <c r="N43" s="7">
        <v>44228</v>
      </c>
      <c r="O43" s="14">
        <f>ROUND([1]CF!$BW$54*1000000,2)</f>
        <v>0</v>
      </c>
      <c r="P43" s="14"/>
      <c r="Q43" s="25"/>
      <c r="R43" s="10"/>
      <c r="S43" s="10"/>
      <c r="T43" s="10"/>
      <c r="U43" s="10"/>
      <c r="X43" s="16" t="str">
        <f>IF(B43="",VLOOKUP(A43,items_lookup!A:B,2,FALSE),B43)</f>
        <v>12. Item 12</v>
      </c>
      <c r="Y43" s="16">
        <f t="shared" si="0"/>
        <v>2</v>
      </c>
      <c r="Z43" s="16">
        <f t="shared" si="0"/>
        <v>2</v>
      </c>
      <c r="AA43" s="16">
        <f t="shared" si="1"/>
        <v>2021</v>
      </c>
      <c r="AB43" s="16">
        <f t="shared" si="2"/>
        <v>2021</v>
      </c>
      <c r="AC43" s="16">
        <f t="shared" si="3"/>
        <v>2021</v>
      </c>
    </row>
    <row r="44" spans="1:29" ht="14.25" customHeight="1" x14ac:dyDescent="0.2">
      <c r="A44" s="6"/>
      <c r="B44" s="6" t="s">
        <v>504</v>
      </c>
      <c r="C44" s="2" t="s">
        <v>445</v>
      </c>
      <c r="D44" s="5" t="s">
        <v>443</v>
      </c>
      <c r="E44" s="24" t="s">
        <v>440</v>
      </c>
      <c r="F44" s="6"/>
      <c r="G44" s="6"/>
      <c r="H44" s="6"/>
      <c r="I44" s="6"/>
      <c r="J44" s="6"/>
      <c r="K44" s="6"/>
      <c r="L44" s="6" t="s">
        <v>444</v>
      </c>
      <c r="M44" s="7">
        <v>44228</v>
      </c>
      <c r="N44" s="7">
        <v>44228</v>
      </c>
      <c r="O44" s="14">
        <f>ROUND([1]CF!$BW$55*1000000,2)</f>
        <v>890000</v>
      </c>
      <c r="P44" s="14"/>
      <c r="Q44" s="25"/>
      <c r="R44" s="10"/>
      <c r="S44" s="10"/>
      <c r="T44" s="10"/>
      <c r="U44" s="10"/>
      <c r="X44" s="16" t="str">
        <f>IF(B44="",VLOOKUP(A44,items_lookup!A:B,2,FALSE),B44)</f>
        <v>13. Item 13</v>
      </c>
      <c r="Y44" s="16">
        <f t="shared" si="0"/>
        <v>2</v>
      </c>
      <c r="Z44" s="16">
        <f t="shared" si="0"/>
        <v>2</v>
      </c>
      <c r="AA44" s="16">
        <f t="shared" si="1"/>
        <v>2021</v>
      </c>
      <c r="AB44" s="16">
        <f t="shared" si="2"/>
        <v>2021</v>
      </c>
      <c r="AC44" s="16">
        <f t="shared" si="3"/>
        <v>2021</v>
      </c>
    </row>
    <row r="45" spans="1:29" ht="15" customHeight="1" x14ac:dyDescent="0.2">
      <c r="A45" s="6" t="s">
        <v>552</v>
      </c>
      <c r="B45" s="6"/>
      <c r="C45" s="2" t="s">
        <v>445</v>
      </c>
      <c r="D45" s="5" t="s">
        <v>443</v>
      </c>
      <c r="E45" s="24" t="s">
        <v>440</v>
      </c>
      <c r="F45" s="6"/>
      <c r="G45" s="6"/>
      <c r="H45" s="6"/>
      <c r="I45" s="6"/>
      <c r="J45" s="6"/>
      <c r="K45" s="6"/>
      <c r="L45" s="6" t="s">
        <v>444</v>
      </c>
      <c r="M45" s="7">
        <v>44228</v>
      </c>
      <c r="N45" s="7">
        <v>44228</v>
      </c>
      <c r="O45" s="14">
        <f>ROUND([1]CF!$BW$68*1000000,2)</f>
        <v>0</v>
      </c>
      <c r="P45" s="14"/>
      <c r="Q45" s="25"/>
      <c r="R45" s="10"/>
      <c r="S45" s="10"/>
      <c r="T45" s="10"/>
      <c r="U45" s="10"/>
      <c r="X45" s="16" t="str">
        <f>IF(B45="",VLOOKUP(A45,items_lookup!A:B,2,FALSE),B45)</f>
        <v>14. Item 14</v>
      </c>
      <c r="Y45" s="16">
        <f t="shared" si="0"/>
        <v>2</v>
      </c>
      <c r="Z45" s="16">
        <f t="shared" si="0"/>
        <v>2</v>
      </c>
      <c r="AA45" s="16">
        <f t="shared" si="1"/>
        <v>2021</v>
      </c>
      <c r="AB45" s="16">
        <f t="shared" si="2"/>
        <v>2021</v>
      </c>
      <c r="AC45" s="16">
        <f t="shared" si="3"/>
        <v>2021</v>
      </c>
    </row>
    <row r="46" spans="1:29" ht="15" customHeight="1" x14ac:dyDescent="0.2">
      <c r="A46" s="6" t="s">
        <v>558</v>
      </c>
      <c r="B46" s="6"/>
      <c r="C46" s="2" t="s">
        <v>445</v>
      </c>
      <c r="D46" s="5" t="s">
        <v>446</v>
      </c>
      <c r="E46" s="24" t="s">
        <v>440</v>
      </c>
      <c r="F46" s="6"/>
      <c r="G46" s="6"/>
      <c r="H46" s="6"/>
      <c r="I46" s="6"/>
      <c r="J46" s="6"/>
      <c r="K46" s="6"/>
      <c r="L46" s="6" t="s">
        <v>444</v>
      </c>
      <c r="M46" s="7">
        <v>44228</v>
      </c>
      <c r="N46" s="7">
        <v>44228</v>
      </c>
      <c r="O46" s="14">
        <f>ROUND([1]CF!$BW$56*1000000,2)</f>
        <v>0</v>
      </c>
      <c r="P46" s="14"/>
      <c r="Q46" s="25"/>
      <c r="R46" s="10"/>
      <c r="S46" s="10"/>
      <c r="T46" s="10"/>
      <c r="U46" s="10"/>
      <c r="X46" s="16" t="str">
        <f>IF(B46="",VLOOKUP(A46,items_lookup!A:B,2,FALSE),B46)</f>
        <v>17. Item 17</v>
      </c>
      <c r="Y46" s="16">
        <f t="shared" si="0"/>
        <v>2</v>
      </c>
      <c r="Z46" s="16">
        <f t="shared" si="0"/>
        <v>2</v>
      </c>
      <c r="AA46" s="16">
        <f t="shared" si="1"/>
        <v>2021</v>
      </c>
      <c r="AB46" s="16">
        <f t="shared" si="2"/>
        <v>2021</v>
      </c>
      <c r="AC46" s="16">
        <f t="shared" si="3"/>
        <v>2021</v>
      </c>
    </row>
    <row r="47" spans="1:29" ht="15" customHeight="1" x14ac:dyDescent="0.2">
      <c r="A47" s="6" t="s">
        <v>562</v>
      </c>
      <c r="B47" s="6"/>
      <c r="C47" s="2" t="s">
        <v>445</v>
      </c>
      <c r="D47" s="5" t="s">
        <v>443</v>
      </c>
      <c r="E47" s="24" t="s">
        <v>440</v>
      </c>
      <c r="F47" s="6"/>
      <c r="G47" s="6"/>
      <c r="H47" s="6"/>
      <c r="I47" s="6"/>
      <c r="J47" s="6"/>
      <c r="K47" s="6"/>
      <c r="L47" s="6" t="s">
        <v>444</v>
      </c>
      <c r="M47" s="7">
        <v>44228</v>
      </c>
      <c r="N47" s="7">
        <v>44228</v>
      </c>
      <c r="O47" s="14">
        <f>ROUND([1]CF!$BW$57*1000000,2)</f>
        <v>0</v>
      </c>
      <c r="P47" s="14"/>
      <c r="Q47" s="25"/>
      <c r="R47" s="10"/>
      <c r="S47" s="10"/>
      <c r="T47" s="10"/>
      <c r="U47" s="10"/>
      <c r="X47" s="16" t="str">
        <f>IF(B47="",VLOOKUP(A47,items_lookup!A:B,2,FALSE),B47)</f>
        <v>19. Item 19</v>
      </c>
      <c r="Y47" s="16">
        <f t="shared" si="0"/>
        <v>2</v>
      </c>
      <c r="Z47" s="16">
        <f t="shared" si="0"/>
        <v>2</v>
      </c>
      <c r="AA47" s="16">
        <f t="shared" si="1"/>
        <v>2021</v>
      </c>
      <c r="AB47" s="16">
        <f t="shared" si="2"/>
        <v>2021</v>
      </c>
      <c r="AC47" s="16">
        <f t="shared" si="3"/>
        <v>2021</v>
      </c>
    </row>
    <row r="48" spans="1:29" ht="15" customHeight="1" x14ac:dyDescent="0.2">
      <c r="A48" s="6" t="s">
        <v>450</v>
      </c>
      <c r="B48" s="6"/>
      <c r="C48" s="2" t="s">
        <v>445</v>
      </c>
      <c r="D48" s="5" t="s">
        <v>446</v>
      </c>
      <c r="E48" s="24" t="s">
        <v>439</v>
      </c>
      <c r="F48" s="6"/>
      <c r="G48" s="6"/>
      <c r="H48" s="6"/>
      <c r="I48" s="6"/>
      <c r="J48" s="6"/>
      <c r="K48" s="6"/>
      <c r="L48" s="6" t="s">
        <v>444</v>
      </c>
      <c r="M48" s="7">
        <v>44256</v>
      </c>
      <c r="N48" s="7">
        <v>44256</v>
      </c>
      <c r="O48" s="14">
        <f>ROUND([1]CF!$BX$28*1000000,2)</f>
        <v>7815059.0300000003</v>
      </c>
      <c r="P48" s="14"/>
      <c r="Q48" s="25"/>
      <c r="R48" s="10"/>
      <c r="S48" s="10"/>
      <c r="T48" s="10"/>
      <c r="U48" s="10"/>
      <c r="X48" s="16" t="str">
        <f>IF(B48="",VLOOKUP(A48,items_lookup!A:B,2,FALSE),B48)</f>
        <v>_1. Item _1</v>
      </c>
      <c r="Y48" s="16">
        <f t="shared" si="0"/>
        <v>3</v>
      </c>
      <c r="Z48" s="16">
        <f t="shared" si="0"/>
        <v>3</v>
      </c>
      <c r="AA48" s="16">
        <f t="shared" si="1"/>
        <v>2021</v>
      </c>
      <c r="AB48" s="16">
        <f t="shared" si="2"/>
        <v>2021</v>
      </c>
      <c r="AC48" s="16">
        <f t="shared" si="3"/>
        <v>2021</v>
      </c>
    </row>
    <row r="49" spans="1:29" ht="15" customHeight="1" x14ac:dyDescent="0.2">
      <c r="A49" s="6" t="s">
        <v>450</v>
      </c>
      <c r="B49" s="6"/>
      <c r="C49" s="2" t="s">
        <v>445</v>
      </c>
      <c r="D49" s="5" t="s">
        <v>443</v>
      </c>
      <c r="E49" s="24" t="s">
        <v>439</v>
      </c>
      <c r="F49" s="6"/>
      <c r="G49" s="6"/>
      <c r="H49" s="6"/>
      <c r="I49" s="6"/>
      <c r="J49" s="6"/>
      <c r="K49" s="6"/>
      <c r="L49" s="6" t="s">
        <v>444</v>
      </c>
      <c r="M49" s="7">
        <v>44256</v>
      </c>
      <c r="N49" s="7">
        <v>44256</v>
      </c>
      <c r="O49" s="14">
        <f>ROUND([1]CF!$BX$27*1000000,2)</f>
        <v>29786865.09</v>
      </c>
      <c r="P49" s="14"/>
      <c r="Q49" s="25"/>
      <c r="R49" s="10"/>
      <c r="S49" s="10"/>
      <c r="T49" s="10"/>
      <c r="U49" s="10"/>
      <c r="X49" s="16" t="str">
        <f>IF(B49="",VLOOKUP(A49,items_lookup!A:B,2,FALSE),B49)</f>
        <v>_1. Item _1</v>
      </c>
      <c r="Y49" s="16">
        <f t="shared" si="0"/>
        <v>3</v>
      </c>
      <c r="Z49" s="16">
        <f t="shared" si="0"/>
        <v>3</v>
      </c>
      <c r="AA49" s="16">
        <f t="shared" si="1"/>
        <v>2021</v>
      </c>
      <c r="AB49" s="16">
        <f t="shared" si="2"/>
        <v>2021</v>
      </c>
      <c r="AC49" s="16">
        <f t="shared" si="3"/>
        <v>2021</v>
      </c>
    </row>
    <row r="50" spans="1:29" ht="15" customHeight="1" x14ac:dyDescent="0.2">
      <c r="A50" s="6" t="s">
        <v>457</v>
      </c>
      <c r="B50" s="6"/>
      <c r="C50" s="2" t="s">
        <v>445</v>
      </c>
      <c r="D50" s="5" t="s">
        <v>446</v>
      </c>
      <c r="E50" s="24" t="s">
        <v>439</v>
      </c>
      <c r="F50" s="6"/>
      <c r="G50" s="6"/>
      <c r="H50" s="6"/>
      <c r="I50" s="6"/>
      <c r="J50" s="6"/>
      <c r="K50" s="6"/>
      <c r="L50" s="6" t="s">
        <v>444</v>
      </c>
      <c r="M50" s="7">
        <v>44256</v>
      </c>
      <c r="N50" s="7">
        <v>44256</v>
      </c>
      <c r="O50" s="14">
        <f>ROUND([1]CF!$BX$29*1000000,2)</f>
        <v>340000</v>
      </c>
      <c r="P50" s="14"/>
      <c r="Q50" s="25"/>
      <c r="R50" s="10"/>
      <c r="S50" s="10"/>
      <c r="T50" s="10"/>
      <c r="U50" s="10"/>
      <c r="X50" s="16" t="str">
        <f>IF(B50="",VLOOKUP(A50,items_lookup!A:B,2,FALSE),B50)</f>
        <v>_2. Item _2</v>
      </c>
      <c r="Y50" s="16">
        <f t="shared" si="0"/>
        <v>3</v>
      </c>
      <c r="Z50" s="16">
        <f t="shared" si="0"/>
        <v>3</v>
      </c>
      <c r="AA50" s="16">
        <f t="shared" si="1"/>
        <v>2021</v>
      </c>
      <c r="AB50" s="16">
        <f t="shared" si="2"/>
        <v>2021</v>
      </c>
      <c r="AC50" s="16">
        <f t="shared" si="3"/>
        <v>2021</v>
      </c>
    </row>
    <row r="51" spans="1:29" ht="15" customHeight="1" x14ac:dyDescent="0.2">
      <c r="A51" s="6" t="s">
        <v>464</v>
      </c>
      <c r="B51" s="6"/>
      <c r="C51" s="2" t="s">
        <v>445</v>
      </c>
      <c r="D51" s="5" t="s">
        <v>446</v>
      </c>
      <c r="E51" s="24" t="s">
        <v>439</v>
      </c>
      <c r="F51" s="6"/>
      <c r="G51" s="6"/>
      <c r="H51" s="6"/>
      <c r="I51" s="6"/>
      <c r="J51" s="6"/>
      <c r="K51" s="6"/>
      <c r="L51" s="6" t="s">
        <v>444</v>
      </c>
      <c r="M51" s="7">
        <v>44256</v>
      </c>
      <c r="N51" s="7">
        <v>44256</v>
      </c>
      <c r="O51" s="14">
        <f>ROUND([1]CF!$BX$30*1000000,2)</f>
        <v>172390.51</v>
      </c>
      <c r="P51" s="14"/>
      <c r="Q51" s="25"/>
      <c r="R51" s="10"/>
      <c r="S51" s="10"/>
      <c r="T51" s="10"/>
      <c r="U51" s="10"/>
      <c r="X51" s="16" t="str">
        <f>IF(B51="",VLOOKUP(A51,items_lookup!A:B,2,FALSE),B51)</f>
        <v>_3. Item _3</v>
      </c>
      <c r="Y51" s="16">
        <f t="shared" si="0"/>
        <v>3</v>
      </c>
      <c r="Z51" s="16">
        <f t="shared" si="0"/>
        <v>3</v>
      </c>
      <c r="AA51" s="16">
        <f t="shared" si="1"/>
        <v>2021</v>
      </c>
      <c r="AB51" s="16">
        <f t="shared" si="2"/>
        <v>2021</v>
      </c>
      <c r="AC51" s="16">
        <f t="shared" si="3"/>
        <v>2021</v>
      </c>
    </row>
    <row r="52" spans="1:29" ht="15" customHeight="1" x14ac:dyDescent="0.2">
      <c r="A52" s="6" t="s">
        <v>538</v>
      </c>
      <c r="B52" s="6"/>
      <c r="C52" s="2" t="s">
        <v>445</v>
      </c>
      <c r="D52" s="5" t="s">
        <v>443</v>
      </c>
      <c r="E52" s="24" t="s">
        <v>440</v>
      </c>
      <c r="F52" s="6"/>
      <c r="G52" s="6"/>
      <c r="H52" s="6"/>
      <c r="I52" s="6"/>
      <c r="J52" s="6"/>
      <c r="K52" s="6"/>
      <c r="L52" s="6" t="s">
        <v>444</v>
      </c>
      <c r="M52" s="7">
        <v>44256</v>
      </c>
      <c r="N52" s="7">
        <v>44256</v>
      </c>
      <c r="O52" s="14">
        <f>ROUND([1]CF!$BX$32*1000000,2)</f>
        <v>54591.27</v>
      </c>
      <c r="P52" s="14"/>
      <c r="Q52" s="25"/>
      <c r="R52" s="8"/>
      <c r="S52" s="8"/>
      <c r="T52" s="8"/>
      <c r="U52" s="8"/>
      <c r="X52" s="16" t="str">
        <f>IF(B52="",VLOOKUP(A52,items_lookup!A:B,2,FALSE),B52)</f>
        <v>01. Item 01</v>
      </c>
      <c r="Y52" s="16">
        <f t="shared" si="0"/>
        <v>3</v>
      </c>
      <c r="Z52" s="16">
        <f t="shared" si="0"/>
        <v>3</v>
      </c>
      <c r="AA52" s="16">
        <f t="shared" si="1"/>
        <v>2021</v>
      </c>
      <c r="AB52" s="16">
        <f t="shared" si="2"/>
        <v>2021</v>
      </c>
      <c r="AC52" s="16">
        <f t="shared" si="3"/>
        <v>2021</v>
      </c>
    </row>
    <row r="53" spans="1:29" ht="15" customHeight="1" x14ac:dyDescent="0.2">
      <c r="A53" s="6" t="s">
        <v>529</v>
      </c>
      <c r="B53" s="6"/>
      <c r="C53" s="2" t="s">
        <v>445</v>
      </c>
      <c r="D53" s="5" t="s">
        <v>443</v>
      </c>
      <c r="E53" s="24" t="s">
        <v>440</v>
      </c>
      <c r="F53" s="6"/>
      <c r="G53" s="6"/>
      <c r="H53" s="6"/>
      <c r="I53" s="6"/>
      <c r="J53" s="6"/>
      <c r="K53" s="6"/>
      <c r="L53" s="6" t="s">
        <v>444</v>
      </c>
      <c r="M53" s="7">
        <v>44256</v>
      </c>
      <c r="N53" s="7">
        <v>44256</v>
      </c>
      <c r="O53" s="14">
        <f>ROUND([1]CF!$BX$33*1000000,2)</f>
        <v>5653560.3600000003</v>
      </c>
      <c r="P53" s="14"/>
      <c r="Q53" s="25"/>
      <c r="R53" s="8"/>
      <c r="S53" s="8"/>
      <c r="T53" s="8"/>
      <c r="U53" s="8"/>
      <c r="X53" s="16" t="str">
        <f>IF(B53="",VLOOKUP(A53,items_lookup!A:B,2,FALSE),B53)</f>
        <v>02. Item 02</v>
      </c>
      <c r="Y53" s="16">
        <f t="shared" si="0"/>
        <v>3</v>
      </c>
      <c r="Z53" s="16">
        <f t="shared" si="0"/>
        <v>3</v>
      </c>
      <c r="AA53" s="16">
        <f t="shared" si="1"/>
        <v>2021</v>
      </c>
      <c r="AB53" s="16">
        <f t="shared" si="2"/>
        <v>2021</v>
      </c>
      <c r="AC53" s="16">
        <f t="shared" si="3"/>
        <v>2021</v>
      </c>
    </row>
    <row r="54" spans="1:29" ht="27.75" customHeight="1" x14ac:dyDescent="0.2">
      <c r="A54" s="6"/>
      <c r="B54" s="6" t="s">
        <v>448</v>
      </c>
      <c r="C54" s="2" t="s">
        <v>445</v>
      </c>
      <c r="D54" s="5" t="s">
        <v>443</v>
      </c>
      <c r="E54" s="24" t="s">
        <v>440</v>
      </c>
      <c r="F54" s="6"/>
      <c r="G54" s="6"/>
      <c r="H54" s="6"/>
      <c r="I54" s="6"/>
      <c r="J54" s="6"/>
      <c r="K54" s="6"/>
      <c r="L54" s="6" t="s">
        <v>444</v>
      </c>
      <c r="M54" s="7">
        <v>44256</v>
      </c>
      <c r="N54" s="7">
        <v>44256</v>
      </c>
      <c r="O54" s="14">
        <f>ROUND([1]CF!$BX$34*1000000,2)</f>
        <v>49687.45</v>
      </c>
      <c r="P54" s="14"/>
      <c r="Q54" s="25"/>
      <c r="R54" s="9"/>
      <c r="S54" s="9"/>
      <c r="T54" s="9"/>
      <c r="U54" s="9"/>
      <c r="X54" s="16" t="str">
        <f>IF(B54="",VLOOKUP(A54,items_lookup!A:B,2,FALSE),B54)</f>
        <v>03. Item 03</v>
      </c>
      <c r="Y54" s="16">
        <f t="shared" si="0"/>
        <v>3</v>
      </c>
      <c r="Z54" s="16">
        <f t="shared" si="0"/>
        <v>3</v>
      </c>
      <c r="AA54" s="16">
        <f t="shared" si="1"/>
        <v>2021</v>
      </c>
      <c r="AB54" s="16">
        <f t="shared" si="2"/>
        <v>2021</v>
      </c>
      <c r="AC54" s="16">
        <f t="shared" si="3"/>
        <v>2021</v>
      </c>
    </row>
    <row r="55" spans="1:29" ht="12" customHeight="1" x14ac:dyDescent="0.2">
      <c r="A55" s="6"/>
      <c r="B55" s="6" t="s">
        <v>475</v>
      </c>
      <c r="C55" s="2" t="s">
        <v>445</v>
      </c>
      <c r="D55" s="5" t="s">
        <v>443</v>
      </c>
      <c r="E55" s="24" t="s">
        <v>440</v>
      </c>
      <c r="F55" s="6"/>
      <c r="G55" s="6"/>
      <c r="H55" s="6"/>
      <c r="I55" s="6"/>
      <c r="J55" s="6"/>
      <c r="K55" s="6"/>
      <c r="L55" s="6" t="s">
        <v>444</v>
      </c>
      <c r="M55" s="7">
        <v>44256</v>
      </c>
      <c r="N55" s="7">
        <v>44256</v>
      </c>
      <c r="O55" s="14">
        <f>ROUND([1]CF!$BX$35*1000000,2)</f>
        <v>3875238.1</v>
      </c>
      <c r="P55" s="14"/>
      <c r="Q55" s="25"/>
      <c r="R55" s="10"/>
      <c r="S55" s="10"/>
      <c r="T55" s="10"/>
      <c r="U55" s="10"/>
      <c r="X55" s="16" t="str">
        <f>IF(B55="",VLOOKUP(A55,items_lookup!A:B,2,FALSE),B55)</f>
        <v>04. Item 04</v>
      </c>
      <c r="Y55" s="16">
        <f t="shared" si="0"/>
        <v>3</v>
      </c>
      <c r="Z55" s="16">
        <f t="shared" si="0"/>
        <v>3</v>
      </c>
      <c r="AA55" s="16">
        <f t="shared" si="1"/>
        <v>2021</v>
      </c>
      <c r="AB55" s="16">
        <f t="shared" si="2"/>
        <v>2021</v>
      </c>
      <c r="AC55" s="16">
        <f t="shared" si="3"/>
        <v>2021</v>
      </c>
    </row>
    <row r="56" spans="1:29" ht="15" customHeight="1" x14ac:dyDescent="0.2">
      <c r="A56" s="6" t="s">
        <v>477</v>
      </c>
      <c r="B56" s="6"/>
      <c r="C56" s="2" t="s">
        <v>445</v>
      </c>
      <c r="D56" s="5" t="s">
        <v>443</v>
      </c>
      <c r="E56" s="24" t="s">
        <v>440</v>
      </c>
      <c r="F56" s="6"/>
      <c r="G56" s="6"/>
      <c r="H56" s="6"/>
      <c r="I56" s="6"/>
      <c r="J56" s="6"/>
      <c r="K56" s="6"/>
      <c r="L56" s="6" t="s">
        <v>444</v>
      </c>
      <c r="M56" s="7">
        <v>44256</v>
      </c>
      <c r="N56" s="7">
        <v>44256</v>
      </c>
      <c r="O56" s="14">
        <f>ROUND([1]CF!$BX$37*1000000,2)-O57</f>
        <v>-377026.6799999997</v>
      </c>
      <c r="P56" s="14"/>
      <c r="Q56" s="25"/>
      <c r="R56" s="9"/>
      <c r="S56" s="9"/>
      <c r="T56" s="9"/>
      <c r="U56" s="9"/>
      <c r="X56" s="16" t="str">
        <f>IF(B56="",VLOOKUP(A56,items_lookup!A:B,2,FALSE),B56)</f>
        <v>05. Item 05</v>
      </c>
      <c r="Y56" s="16">
        <f t="shared" si="0"/>
        <v>3</v>
      </c>
      <c r="Z56" s="16">
        <f t="shared" si="0"/>
        <v>3</v>
      </c>
      <c r="AA56" s="16">
        <f t="shared" si="1"/>
        <v>2021</v>
      </c>
      <c r="AB56" s="16">
        <f t="shared" si="2"/>
        <v>2021</v>
      </c>
      <c r="AC56" s="16">
        <f t="shared" si="3"/>
        <v>2021</v>
      </c>
    </row>
    <row r="57" spans="1:29" ht="15" customHeight="1" x14ac:dyDescent="0.2">
      <c r="A57" s="6" t="s">
        <v>477</v>
      </c>
      <c r="B57" s="6"/>
      <c r="C57" s="2" t="s">
        <v>445</v>
      </c>
      <c r="D57" s="5" t="s">
        <v>446</v>
      </c>
      <c r="E57" s="24" t="s">
        <v>440</v>
      </c>
      <c r="F57" s="6"/>
      <c r="G57" s="6"/>
      <c r="H57" s="6"/>
      <c r="I57" s="6"/>
      <c r="J57" s="6"/>
      <c r="K57" s="6"/>
      <c r="L57" s="6" t="s">
        <v>444</v>
      </c>
      <c r="M57" s="7">
        <v>44256</v>
      </c>
      <c r="N57" s="7">
        <v>44256</v>
      </c>
      <c r="O57" s="14">
        <f>O48+O50+O51-O69</f>
        <v>8327449.54</v>
      </c>
      <c r="P57" s="14"/>
      <c r="Q57" s="25"/>
      <c r="R57" s="9"/>
      <c r="S57" s="9"/>
      <c r="T57" s="9"/>
      <c r="U57" s="9"/>
      <c r="X57" s="16" t="str">
        <f>IF(B57="",VLOOKUP(A57,items_lookup!A:B,2,FALSE),B57)</f>
        <v>05. Item 05</v>
      </c>
      <c r="Y57" s="16">
        <f t="shared" si="0"/>
        <v>3</v>
      </c>
      <c r="Z57" s="16">
        <f t="shared" si="0"/>
        <v>3</v>
      </c>
      <c r="AA57" s="16">
        <f t="shared" si="1"/>
        <v>2021</v>
      </c>
      <c r="AB57" s="16">
        <f t="shared" si="2"/>
        <v>2021</v>
      </c>
      <c r="AC57" s="16">
        <f t="shared" si="3"/>
        <v>2021</v>
      </c>
    </row>
    <row r="58" spans="1:29" ht="15" customHeight="1" x14ac:dyDescent="0.2">
      <c r="A58" s="6" t="s">
        <v>480</v>
      </c>
      <c r="B58" s="6"/>
      <c r="C58" s="2" t="s">
        <v>445</v>
      </c>
      <c r="D58" s="5" t="s">
        <v>443</v>
      </c>
      <c r="E58" s="24" t="s">
        <v>440</v>
      </c>
      <c r="F58" s="6"/>
      <c r="G58" s="6"/>
      <c r="H58" s="6"/>
      <c r="I58" s="6"/>
      <c r="J58" s="6"/>
      <c r="K58" s="6"/>
      <c r="L58" s="6" t="s">
        <v>444</v>
      </c>
      <c r="M58" s="7">
        <v>44256</v>
      </c>
      <c r="N58" s="7">
        <v>44256</v>
      </c>
      <c r="O58" s="14">
        <f>ROUND([1]CF!$BX$38*1000000,2)</f>
        <v>0</v>
      </c>
      <c r="P58" s="14"/>
      <c r="Q58" s="25"/>
      <c r="R58" s="9"/>
      <c r="S58" s="9"/>
      <c r="T58" s="9"/>
      <c r="U58" s="9"/>
      <c r="X58" s="16" t="str">
        <f>IF(B58="",VLOOKUP(A58,items_lookup!A:B,2,FALSE),B58)</f>
        <v>05. Item 05</v>
      </c>
      <c r="Y58" s="16">
        <f t="shared" si="0"/>
        <v>3</v>
      </c>
      <c r="Z58" s="16">
        <f t="shared" si="0"/>
        <v>3</v>
      </c>
      <c r="AA58" s="16">
        <f t="shared" si="1"/>
        <v>2021</v>
      </c>
      <c r="AB58" s="16">
        <f t="shared" si="2"/>
        <v>2021</v>
      </c>
      <c r="AC58" s="16">
        <f t="shared" si="3"/>
        <v>2021</v>
      </c>
    </row>
    <row r="59" spans="1:29" ht="15" customHeight="1" x14ac:dyDescent="0.2">
      <c r="A59" s="6" t="s">
        <v>540</v>
      </c>
      <c r="B59" s="6"/>
      <c r="C59" s="2" t="s">
        <v>445</v>
      </c>
      <c r="D59" s="5" t="s">
        <v>443</v>
      </c>
      <c r="E59" s="24" t="s">
        <v>440</v>
      </c>
      <c r="F59" s="6"/>
      <c r="G59" s="6"/>
      <c r="H59" s="6"/>
      <c r="I59" s="6"/>
      <c r="J59" s="6"/>
      <c r="K59" s="6"/>
      <c r="L59" s="6" t="s">
        <v>444</v>
      </c>
      <c r="M59" s="7">
        <v>44256</v>
      </c>
      <c r="N59" s="7">
        <v>44256</v>
      </c>
      <c r="O59" s="14">
        <f>ROUND([1]CF!$BX$39*1000000,2)</f>
        <v>0</v>
      </c>
      <c r="P59" s="14"/>
      <c r="Q59" s="25"/>
      <c r="R59" s="9"/>
      <c r="S59" s="9"/>
      <c r="T59" s="9"/>
      <c r="U59" s="9"/>
      <c r="X59" s="16" t="str">
        <f>IF(B59="",VLOOKUP(A59,items_lookup!A:B,2,FALSE),B59)</f>
        <v>06. Item 06</v>
      </c>
      <c r="Y59" s="16">
        <f t="shared" si="0"/>
        <v>3</v>
      </c>
      <c r="Z59" s="16">
        <f t="shared" si="0"/>
        <v>3</v>
      </c>
      <c r="AA59" s="16">
        <f t="shared" si="1"/>
        <v>2021</v>
      </c>
      <c r="AB59" s="16">
        <f t="shared" si="2"/>
        <v>2021</v>
      </c>
      <c r="AC59" s="16">
        <f t="shared" si="3"/>
        <v>2021</v>
      </c>
    </row>
    <row r="60" spans="1:29" ht="15" customHeight="1" x14ac:dyDescent="0.2">
      <c r="A60" s="6" t="s">
        <v>542</v>
      </c>
      <c r="B60" s="6"/>
      <c r="C60" s="2" t="s">
        <v>445</v>
      </c>
      <c r="D60" s="5" t="s">
        <v>443</v>
      </c>
      <c r="E60" s="24" t="s">
        <v>440</v>
      </c>
      <c r="F60" s="6"/>
      <c r="G60" s="6"/>
      <c r="H60" s="6"/>
      <c r="I60" s="6"/>
      <c r="J60" s="6"/>
      <c r="K60" s="6"/>
      <c r="L60" s="6" t="s">
        <v>444</v>
      </c>
      <c r="M60" s="7">
        <v>44256</v>
      </c>
      <c r="N60" s="7">
        <v>44256</v>
      </c>
      <c r="O60" s="14">
        <f>ROUND([1]CF!$BX$41*1000000,2)</f>
        <v>0</v>
      </c>
      <c r="P60" s="14"/>
      <c r="Q60" s="25"/>
      <c r="R60" s="9"/>
      <c r="S60" s="9"/>
      <c r="T60" s="9"/>
      <c r="U60" s="9"/>
      <c r="X60" s="16" t="str">
        <f>IF(B60="",VLOOKUP(A60,items_lookup!A:B,2,FALSE),B60)</f>
        <v>07. Item 07</v>
      </c>
      <c r="Y60" s="16">
        <f t="shared" si="0"/>
        <v>3</v>
      </c>
      <c r="Z60" s="16">
        <f t="shared" si="0"/>
        <v>3</v>
      </c>
      <c r="AA60" s="16">
        <f t="shared" si="1"/>
        <v>2021</v>
      </c>
      <c r="AB60" s="16">
        <f t="shared" si="2"/>
        <v>2021</v>
      </c>
      <c r="AC60" s="16">
        <f t="shared" si="3"/>
        <v>2021</v>
      </c>
    </row>
    <row r="61" spans="1:29" ht="13.5" customHeight="1" x14ac:dyDescent="0.2">
      <c r="A61" s="6" t="s">
        <v>544</v>
      </c>
      <c r="B61" s="6"/>
      <c r="C61" s="2" t="s">
        <v>445</v>
      </c>
      <c r="D61" s="5" t="s">
        <v>443</v>
      </c>
      <c r="E61" s="24" t="s">
        <v>440</v>
      </c>
      <c r="F61" s="6"/>
      <c r="G61" s="6"/>
      <c r="H61" s="6"/>
      <c r="I61" s="6"/>
      <c r="J61" s="6"/>
      <c r="K61" s="6"/>
      <c r="L61" s="6" t="s">
        <v>444</v>
      </c>
      <c r="M61" s="7">
        <v>44256</v>
      </c>
      <c r="N61" s="7">
        <v>44256</v>
      </c>
      <c r="O61" s="14">
        <f>ROUND([1]CF!$BX$43*1000000,2)</f>
        <v>0</v>
      </c>
      <c r="P61" s="14"/>
      <c r="Q61" s="25"/>
      <c r="R61" s="9"/>
      <c r="S61" s="9"/>
      <c r="T61" s="9"/>
      <c r="U61" s="9"/>
      <c r="X61" s="16" t="str">
        <f>IF(B61="",VLOOKUP(A61,items_lookup!A:B,2,FALSE),B61)</f>
        <v>08. Item 08</v>
      </c>
      <c r="Y61" s="16">
        <f t="shared" si="0"/>
        <v>3</v>
      </c>
      <c r="Z61" s="16">
        <f t="shared" si="0"/>
        <v>3</v>
      </c>
      <c r="AA61" s="16">
        <f t="shared" si="1"/>
        <v>2021</v>
      </c>
      <c r="AB61" s="16">
        <f t="shared" si="2"/>
        <v>2021</v>
      </c>
      <c r="AC61" s="16">
        <f t="shared" si="3"/>
        <v>2021</v>
      </c>
    </row>
    <row r="62" spans="1:29" ht="15" customHeight="1" x14ac:dyDescent="0.2">
      <c r="A62" s="6"/>
      <c r="B62" s="6" t="s">
        <v>484</v>
      </c>
      <c r="C62" s="2" t="s">
        <v>445</v>
      </c>
      <c r="D62" s="5" t="s">
        <v>443</v>
      </c>
      <c r="E62" s="24" t="s">
        <v>440</v>
      </c>
      <c r="F62" s="6"/>
      <c r="G62" s="6"/>
      <c r="H62" s="6"/>
      <c r="I62" s="6"/>
      <c r="J62" s="6"/>
      <c r="K62" s="6"/>
      <c r="L62" s="6" t="s">
        <v>444</v>
      </c>
      <c r="M62" s="7">
        <v>44256</v>
      </c>
      <c r="N62" s="7">
        <v>44256</v>
      </c>
      <c r="O62" s="14">
        <f>ROUND([1]CF!$BX$44*1000000,2)</f>
        <v>306744.28999999998</v>
      </c>
      <c r="P62" s="14"/>
      <c r="Q62" s="25"/>
      <c r="R62" s="9"/>
      <c r="S62" s="9"/>
      <c r="T62" s="9"/>
      <c r="U62" s="9"/>
      <c r="X62" s="16" t="str">
        <f>IF(B62="",VLOOKUP(A62,items_lookup!A:B,2,FALSE),B62)</f>
        <v>09. Item 09</v>
      </c>
      <c r="Y62" s="16">
        <f t="shared" si="0"/>
        <v>3</v>
      </c>
      <c r="Z62" s="16">
        <f t="shared" si="0"/>
        <v>3</v>
      </c>
      <c r="AA62" s="16">
        <f t="shared" si="1"/>
        <v>2021</v>
      </c>
      <c r="AB62" s="16">
        <f t="shared" si="2"/>
        <v>2021</v>
      </c>
      <c r="AC62" s="16">
        <f t="shared" si="3"/>
        <v>2021</v>
      </c>
    </row>
    <row r="63" spans="1:29" ht="21.75" customHeight="1" x14ac:dyDescent="0.2">
      <c r="A63" s="6"/>
      <c r="B63" s="6" t="s">
        <v>493</v>
      </c>
      <c r="C63" s="2" t="s">
        <v>445</v>
      </c>
      <c r="D63" s="5" t="s">
        <v>443</v>
      </c>
      <c r="E63" s="24" t="s">
        <v>440</v>
      </c>
      <c r="F63" s="6"/>
      <c r="G63" s="6"/>
      <c r="H63" s="6"/>
      <c r="I63" s="6"/>
      <c r="J63" s="6"/>
      <c r="K63" s="6"/>
      <c r="L63" s="6" t="s">
        <v>444</v>
      </c>
      <c r="M63" s="7">
        <v>44256</v>
      </c>
      <c r="N63" s="7">
        <v>44256</v>
      </c>
      <c r="O63" s="14">
        <f>ROUND([1]CF!$BX$51*1000000,2)</f>
        <v>1117202.03</v>
      </c>
      <c r="P63" s="14"/>
      <c r="Q63" s="25"/>
      <c r="R63" s="10"/>
      <c r="S63" s="10"/>
      <c r="T63" s="10"/>
      <c r="U63" s="10"/>
      <c r="X63" s="16" t="str">
        <f>IF(B63="",VLOOKUP(A63,items_lookup!A:B,2,FALSE),B63)</f>
        <v>10. Item 10</v>
      </c>
      <c r="Y63" s="16">
        <f t="shared" si="0"/>
        <v>3</v>
      </c>
      <c r="Z63" s="16">
        <f t="shared" si="0"/>
        <v>3</v>
      </c>
      <c r="AA63" s="16">
        <f t="shared" si="1"/>
        <v>2021</v>
      </c>
      <c r="AB63" s="16">
        <f t="shared" si="2"/>
        <v>2021</v>
      </c>
      <c r="AC63" s="16">
        <f t="shared" si="3"/>
        <v>2021</v>
      </c>
    </row>
    <row r="64" spans="1:29" ht="15" customHeight="1" x14ac:dyDescent="0.2">
      <c r="A64" s="6" t="s">
        <v>546</v>
      </c>
      <c r="B64" s="6"/>
      <c r="C64" s="2" t="s">
        <v>445</v>
      </c>
      <c r="D64" s="5" t="s">
        <v>443</v>
      </c>
      <c r="E64" s="24" t="s">
        <v>440</v>
      </c>
      <c r="F64" s="6"/>
      <c r="G64" s="6"/>
      <c r="H64" s="6"/>
      <c r="I64" s="6"/>
      <c r="J64" s="6"/>
      <c r="K64" s="6"/>
      <c r="L64" s="6" t="s">
        <v>444</v>
      </c>
      <c r="M64" s="7">
        <v>44256</v>
      </c>
      <c r="N64" s="7">
        <v>44256</v>
      </c>
      <c r="O64" s="14">
        <f>ROUND([1]CF!$BX$52*1000000,2)</f>
        <v>0</v>
      </c>
      <c r="P64" s="14"/>
      <c r="Q64" s="25"/>
      <c r="R64" s="10"/>
      <c r="S64" s="10"/>
      <c r="T64" s="10"/>
      <c r="U64" s="10"/>
      <c r="X64" s="16" t="str">
        <f>IF(B64="",VLOOKUP(A64,items_lookup!A:B,2,FALSE),B64)</f>
        <v>11. Item 11</v>
      </c>
      <c r="Y64" s="16">
        <f t="shared" si="0"/>
        <v>3</v>
      </c>
      <c r="Z64" s="16">
        <f t="shared" si="0"/>
        <v>3</v>
      </c>
      <c r="AA64" s="16">
        <f t="shared" si="1"/>
        <v>2021</v>
      </c>
      <c r="AB64" s="16">
        <f t="shared" si="2"/>
        <v>2021</v>
      </c>
      <c r="AC64" s="16">
        <f t="shared" si="3"/>
        <v>2021</v>
      </c>
    </row>
    <row r="65" spans="1:29" ht="15" customHeight="1" x14ac:dyDescent="0.2">
      <c r="A65" s="6" t="s">
        <v>704</v>
      </c>
      <c r="B65" s="6"/>
      <c r="C65" s="2" t="s">
        <v>445</v>
      </c>
      <c r="D65" s="5" t="s">
        <v>443</v>
      </c>
      <c r="E65" s="24" t="s">
        <v>440</v>
      </c>
      <c r="F65" s="6"/>
      <c r="G65" s="6"/>
      <c r="H65" s="6"/>
      <c r="I65" s="6"/>
      <c r="J65" s="6"/>
      <c r="K65" s="6"/>
      <c r="L65" s="6" t="s">
        <v>444</v>
      </c>
      <c r="M65" s="7">
        <v>44256</v>
      </c>
      <c r="N65" s="7">
        <v>44256</v>
      </c>
      <c r="O65" s="14">
        <f>ROUND([1]CF!$BX$53*1000000,2)</f>
        <v>592739.43999999994</v>
      </c>
      <c r="P65" s="14"/>
      <c r="Q65" s="25"/>
      <c r="R65" s="18"/>
      <c r="S65" s="18"/>
      <c r="T65" s="18"/>
      <c r="U65" s="18"/>
      <c r="X65" s="16" t="e">
        <f>IF(B65="",VLOOKUP(A65,items_lookup!A:B,2,FALSE),B65)</f>
        <v>#N/A</v>
      </c>
      <c r="Y65" s="16">
        <f t="shared" si="0"/>
        <v>3</v>
      </c>
      <c r="Z65" s="16">
        <f t="shared" si="0"/>
        <v>3</v>
      </c>
      <c r="AA65" s="16">
        <f t="shared" si="1"/>
        <v>2021</v>
      </c>
      <c r="AB65" s="16">
        <f t="shared" si="2"/>
        <v>2021</v>
      </c>
      <c r="AC65" s="16">
        <f t="shared" si="3"/>
        <v>2021</v>
      </c>
    </row>
    <row r="66" spans="1:29" ht="15" customHeight="1" x14ac:dyDescent="0.2">
      <c r="A66" s="6"/>
      <c r="B66" s="6" t="s">
        <v>502</v>
      </c>
      <c r="C66" s="2" t="s">
        <v>445</v>
      </c>
      <c r="D66" s="5" t="s">
        <v>443</v>
      </c>
      <c r="E66" s="24" t="s">
        <v>440</v>
      </c>
      <c r="F66" s="6"/>
      <c r="G66" s="6"/>
      <c r="H66" s="6"/>
      <c r="I66" s="6"/>
      <c r="J66" s="6"/>
      <c r="K66" s="6"/>
      <c r="L66" s="6" t="s">
        <v>444</v>
      </c>
      <c r="M66" s="7">
        <v>44256</v>
      </c>
      <c r="N66" s="7">
        <v>44256</v>
      </c>
      <c r="O66" s="14">
        <f>ROUND([1]CF!$BX$54*1000000,2)</f>
        <v>0</v>
      </c>
      <c r="P66" s="14"/>
      <c r="Q66" s="25"/>
      <c r="R66" s="10"/>
      <c r="S66" s="10"/>
      <c r="T66" s="10"/>
      <c r="U66" s="10"/>
      <c r="X66" s="16" t="str">
        <f>IF(B66="",VLOOKUP(A66,items_lookup!A:B,2,FALSE),B66)</f>
        <v>12. Item 12</v>
      </c>
      <c r="Y66" s="16">
        <f t="shared" si="0"/>
        <v>3</v>
      </c>
      <c r="Z66" s="16">
        <f t="shared" si="0"/>
        <v>3</v>
      </c>
      <c r="AA66" s="16">
        <f t="shared" si="1"/>
        <v>2021</v>
      </c>
      <c r="AB66" s="16">
        <f t="shared" si="2"/>
        <v>2021</v>
      </c>
      <c r="AC66" s="16">
        <f t="shared" si="3"/>
        <v>2021</v>
      </c>
    </row>
    <row r="67" spans="1:29" ht="14.25" customHeight="1" x14ac:dyDescent="0.2">
      <c r="A67" s="6"/>
      <c r="B67" s="6" t="s">
        <v>504</v>
      </c>
      <c r="C67" s="2" t="s">
        <v>445</v>
      </c>
      <c r="D67" s="5" t="s">
        <v>443</v>
      </c>
      <c r="E67" s="24" t="s">
        <v>440</v>
      </c>
      <c r="F67" s="6"/>
      <c r="G67" s="6"/>
      <c r="H67" s="6"/>
      <c r="I67" s="6"/>
      <c r="J67" s="6"/>
      <c r="K67" s="6"/>
      <c r="L67" s="6" t="s">
        <v>444</v>
      </c>
      <c r="M67" s="7">
        <v>44256</v>
      </c>
      <c r="N67" s="7">
        <v>44256</v>
      </c>
      <c r="O67" s="14">
        <f>ROUND([1]CF!$BX$55*1000000,2)</f>
        <v>-4170000</v>
      </c>
      <c r="P67" s="14"/>
      <c r="Q67" s="25"/>
      <c r="R67" s="10"/>
      <c r="S67" s="10"/>
      <c r="T67" s="10"/>
      <c r="U67" s="10"/>
      <c r="X67" s="16" t="str">
        <f>IF(B67="",VLOOKUP(A67,items_lookup!A:B,2,FALSE),B67)</f>
        <v>13. Item 13</v>
      </c>
      <c r="Y67" s="16">
        <f t="shared" si="0"/>
        <v>3</v>
      </c>
      <c r="Z67" s="16">
        <f t="shared" si="0"/>
        <v>3</v>
      </c>
      <c r="AA67" s="16">
        <f t="shared" si="1"/>
        <v>2021</v>
      </c>
      <c r="AB67" s="16">
        <f t="shared" si="2"/>
        <v>2021</v>
      </c>
      <c r="AC67" s="16">
        <f t="shared" si="3"/>
        <v>2021</v>
      </c>
    </row>
    <row r="68" spans="1:29" ht="15" customHeight="1" x14ac:dyDescent="0.2">
      <c r="A68" s="6" t="s">
        <v>552</v>
      </c>
      <c r="B68" s="6"/>
      <c r="C68" s="2" t="s">
        <v>445</v>
      </c>
      <c r="D68" s="5" t="s">
        <v>443</v>
      </c>
      <c r="E68" s="24" t="s">
        <v>440</v>
      </c>
      <c r="F68" s="6"/>
      <c r="G68" s="6"/>
      <c r="H68" s="6"/>
      <c r="I68" s="6"/>
      <c r="J68" s="6"/>
      <c r="K68" s="6"/>
      <c r="L68" s="6" t="s">
        <v>444</v>
      </c>
      <c r="M68" s="7">
        <v>44256</v>
      </c>
      <c r="N68" s="7">
        <v>44256</v>
      </c>
      <c r="O68" s="14">
        <f>ROUND([1]CF!$BX$68*1000000,2)</f>
        <v>0</v>
      </c>
      <c r="P68" s="14"/>
      <c r="Q68" s="25"/>
      <c r="R68" s="10"/>
      <c r="S68" s="10"/>
      <c r="T68" s="10"/>
      <c r="U68" s="10"/>
      <c r="X68" s="16" t="str">
        <f>IF(B68="",VLOOKUP(A68,items_lookup!A:B,2,FALSE),B68)</f>
        <v>14. Item 14</v>
      </c>
      <c r="Y68" s="16">
        <f t="shared" ref="Y68:Z134" si="4">MONTH(M68)</f>
        <v>3</v>
      </c>
      <c r="Z68" s="16">
        <f t="shared" si="4"/>
        <v>3</v>
      </c>
      <c r="AA68" s="16">
        <f t="shared" ref="AA68:AA134" si="5">YEAR(N68)</f>
        <v>2021</v>
      </c>
      <c r="AB68" s="16">
        <f t="shared" ref="AB68:AB134" si="6">YEAR(M68)</f>
        <v>2021</v>
      </c>
      <c r="AC68" s="16">
        <f t="shared" ref="AC68:AC134" si="7">IF(F68="X",AA68-1,AA68)</f>
        <v>2021</v>
      </c>
    </row>
    <row r="69" spans="1:29" ht="15" customHeight="1" x14ac:dyDescent="0.2">
      <c r="A69" s="6" t="s">
        <v>558</v>
      </c>
      <c r="B69" s="6"/>
      <c r="C69" s="2" t="s">
        <v>445</v>
      </c>
      <c r="D69" s="5" t="s">
        <v>446</v>
      </c>
      <c r="E69" s="24" t="s">
        <v>440</v>
      </c>
      <c r="F69" s="6"/>
      <c r="G69" s="6"/>
      <c r="H69" s="6"/>
      <c r="I69" s="6"/>
      <c r="J69" s="6"/>
      <c r="K69" s="6"/>
      <c r="L69" s="6" t="s">
        <v>444</v>
      </c>
      <c r="M69" s="7">
        <v>44256</v>
      </c>
      <c r="N69" s="7">
        <v>44256</v>
      </c>
      <c r="O69" s="14">
        <f>ROUND([1]CF!$BX$56*1000000,2)</f>
        <v>0</v>
      </c>
      <c r="P69" s="14"/>
      <c r="Q69" s="25"/>
      <c r="R69" s="10"/>
      <c r="S69" s="10"/>
      <c r="T69" s="10"/>
      <c r="U69" s="10"/>
      <c r="X69" s="16" t="str">
        <f>IF(B69="",VLOOKUP(A69,items_lookup!A:B,2,FALSE),B69)</f>
        <v>17. Item 17</v>
      </c>
      <c r="Y69" s="16">
        <f t="shared" si="4"/>
        <v>3</v>
      </c>
      <c r="Z69" s="16">
        <f t="shared" si="4"/>
        <v>3</v>
      </c>
      <c r="AA69" s="16">
        <f t="shared" si="5"/>
        <v>2021</v>
      </c>
      <c r="AB69" s="16">
        <f t="shared" si="6"/>
        <v>2021</v>
      </c>
      <c r="AC69" s="16">
        <f t="shared" si="7"/>
        <v>2021</v>
      </c>
    </row>
    <row r="70" spans="1:29" ht="15" customHeight="1" x14ac:dyDescent="0.2">
      <c r="A70" s="6" t="s">
        <v>562</v>
      </c>
      <c r="B70" s="6"/>
      <c r="C70" s="2" t="s">
        <v>445</v>
      </c>
      <c r="D70" s="5" t="s">
        <v>443</v>
      </c>
      <c r="E70" s="24" t="s">
        <v>440</v>
      </c>
      <c r="F70" s="6"/>
      <c r="G70" s="6"/>
      <c r="H70" s="6"/>
      <c r="I70" s="6"/>
      <c r="J70" s="6"/>
      <c r="K70" s="6"/>
      <c r="L70" s="6" t="s">
        <v>444</v>
      </c>
      <c r="M70" s="7">
        <v>44256</v>
      </c>
      <c r="N70" s="7">
        <v>44256</v>
      </c>
      <c r="O70" s="14">
        <f>ROUND([1]CF!$BX$57*1000000,2)</f>
        <v>0</v>
      </c>
      <c r="P70" s="14"/>
      <c r="Q70" s="25"/>
      <c r="R70" s="10"/>
      <c r="S70" s="10"/>
      <c r="T70" s="10"/>
      <c r="U70" s="10"/>
      <c r="X70" s="16" t="str">
        <f>IF(B70="",VLOOKUP(A70,items_lookup!A:B,2,FALSE),B70)</f>
        <v>19. Item 19</v>
      </c>
      <c r="Y70" s="16">
        <f t="shared" si="4"/>
        <v>3</v>
      </c>
      <c r="Z70" s="16">
        <f t="shared" si="4"/>
        <v>3</v>
      </c>
      <c r="AA70" s="16">
        <f t="shared" si="5"/>
        <v>2021</v>
      </c>
      <c r="AB70" s="16">
        <f t="shared" si="6"/>
        <v>2021</v>
      </c>
      <c r="AC70" s="16">
        <f t="shared" si="7"/>
        <v>2021</v>
      </c>
    </row>
    <row r="71" spans="1:29" ht="15" customHeight="1" x14ac:dyDescent="0.2">
      <c r="A71" s="6" t="s">
        <v>450</v>
      </c>
      <c r="B71" s="6"/>
      <c r="C71" s="2" t="s">
        <v>445</v>
      </c>
      <c r="D71" s="5" t="s">
        <v>446</v>
      </c>
      <c r="E71" s="24" t="s">
        <v>439</v>
      </c>
      <c r="F71" s="6"/>
      <c r="G71" s="6"/>
      <c r="H71" s="6"/>
      <c r="I71" s="6"/>
      <c r="J71" s="6"/>
      <c r="K71" s="6"/>
      <c r="L71" s="6" t="s">
        <v>444</v>
      </c>
      <c r="M71" s="7">
        <v>44287</v>
      </c>
      <c r="N71" s="7">
        <v>44287</v>
      </c>
      <c r="O71" s="14">
        <f>ROUND([1]CF!$BY$28*1000000,2)</f>
        <v>7815059.0300000003</v>
      </c>
      <c r="P71" s="14"/>
      <c r="Q71" s="25"/>
      <c r="R71" s="10"/>
      <c r="S71" s="10"/>
      <c r="T71" s="10"/>
      <c r="U71" s="10"/>
      <c r="X71" s="16" t="str">
        <f>IF(B71="",VLOOKUP(A71,items_lookup!A:B,2,FALSE),B71)</f>
        <v>_1. Item _1</v>
      </c>
      <c r="Y71" s="16">
        <f t="shared" si="4"/>
        <v>4</v>
      </c>
      <c r="Z71" s="16">
        <f t="shared" si="4"/>
        <v>4</v>
      </c>
      <c r="AA71" s="16">
        <f t="shared" si="5"/>
        <v>2021</v>
      </c>
      <c r="AB71" s="16">
        <f t="shared" si="6"/>
        <v>2021</v>
      </c>
      <c r="AC71" s="16">
        <f t="shared" si="7"/>
        <v>2021</v>
      </c>
    </row>
    <row r="72" spans="1:29" ht="15" customHeight="1" x14ac:dyDescent="0.2">
      <c r="A72" s="6" t="s">
        <v>450</v>
      </c>
      <c r="B72" s="6"/>
      <c r="C72" s="2" t="s">
        <v>445</v>
      </c>
      <c r="D72" s="5" t="s">
        <v>443</v>
      </c>
      <c r="E72" s="24" t="s">
        <v>439</v>
      </c>
      <c r="F72" s="6"/>
      <c r="G72" s="6"/>
      <c r="H72" s="6"/>
      <c r="I72" s="6"/>
      <c r="J72" s="6"/>
      <c r="K72" s="6"/>
      <c r="L72" s="6" t="s">
        <v>444</v>
      </c>
      <c r="M72" s="7">
        <v>44287</v>
      </c>
      <c r="N72" s="7">
        <v>44287</v>
      </c>
      <c r="O72" s="14">
        <f>ROUND([1]CF!$BY$27*1000000,2)</f>
        <v>30316501.52</v>
      </c>
      <c r="P72" s="14"/>
      <c r="Q72" s="25"/>
      <c r="R72" s="10"/>
      <c r="S72" s="10"/>
      <c r="T72" s="10"/>
      <c r="U72" s="10"/>
      <c r="X72" s="16" t="str">
        <f>IF(B72="",VLOOKUP(A72,items_lookup!A:B,2,FALSE),B72)</f>
        <v>_1. Item _1</v>
      </c>
      <c r="Y72" s="16">
        <f t="shared" si="4"/>
        <v>4</v>
      </c>
      <c r="Z72" s="16">
        <f t="shared" si="4"/>
        <v>4</v>
      </c>
      <c r="AA72" s="16">
        <f t="shared" si="5"/>
        <v>2021</v>
      </c>
      <c r="AB72" s="16">
        <f t="shared" si="6"/>
        <v>2021</v>
      </c>
      <c r="AC72" s="16">
        <f t="shared" si="7"/>
        <v>2021</v>
      </c>
    </row>
    <row r="73" spans="1:29" ht="15" customHeight="1" x14ac:dyDescent="0.2">
      <c r="A73" s="6" t="s">
        <v>457</v>
      </c>
      <c r="B73" s="6"/>
      <c r="C73" s="2" t="s">
        <v>445</v>
      </c>
      <c r="D73" s="5" t="s">
        <v>446</v>
      </c>
      <c r="E73" s="24" t="s">
        <v>439</v>
      </c>
      <c r="F73" s="6"/>
      <c r="G73" s="6"/>
      <c r="H73" s="6"/>
      <c r="I73" s="6"/>
      <c r="J73" s="6"/>
      <c r="K73" s="6"/>
      <c r="L73" s="6" t="s">
        <v>444</v>
      </c>
      <c r="M73" s="7">
        <v>44287</v>
      </c>
      <c r="N73" s="7">
        <v>44287</v>
      </c>
      <c r="O73" s="14">
        <f>ROUND([1]CF!$BY$29*1000000,2)</f>
        <v>340000</v>
      </c>
      <c r="P73" s="14"/>
      <c r="Q73" s="25"/>
      <c r="R73" s="10"/>
      <c r="S73" s="10"/>
      <c r="T73" s="10"/>
      <c r="U73" s="10"/>
      <c r="X73" s="16" t="str">
        <f>IF(B73="",VLOOKUP(A73,items_lookup!A:B,2,FALSE),B73)</f>
        <v>_2. Item _2</v>
      </c>
      <c r="Y73" s="16">
        <f t="shared" si="4"/>
        <v>4</v>
      </c>
      <c r="Z73" s="16">
        <f t="shared" si="4"/>
        <v>4</v>
      </c>
      <c r="AA73" s="16">
        <f t="shared" si="5"/>
        <v>2021</v>
      </c>
      <c r="AB73" s="16">
        <f t="shared" si="6"/>
        <v>2021</v>
      </c>
      <c r="AC73" s="16">
        <f t="shared" si="7"/>
        <v>2021</v>
      </c>
    </row>
    <row r="74" spans="1:29" ht="15" customHeight="1" x14ac:dyDescent="0.2">
      <c r="A74" s="6" t="s">
        <v>464</v>
      </c>
      <c r="B74" s="6"/>
      <c r="C74" s="2" t="s">
        <v>445</v>
      </c>
      <c r="D74" s="5" t="s">
        <v>446</v>
      </c>
      <c r="E74" s="24" t="s">
        <v>439</v>
      </c>
      <c r="F74" s="6"/>
      <c r="G74" s="6"/>
      <c r="H74" s="6"/>
      <c r="I74" s="6"/>
      <c r="J74" s="6"/>
      <c r="K74" s="6"/>
      <c r="L74" s="6" t="s">
        <v>444</v>
      </c>
      <c r="M74" s="7">
        <v>44287</v>
      </c>
      <c r="N74" s="7">
        <v>44287</v>
      </c>
      <c r="O74" s="14">
        <f>ROUND([1]CF!$BY$30*1000000,2)</f>
        <v>172390.51</v>
      </c>
      <c r="P74" s="14"/>
      <c r="Q74" s="25"/>
      <c r="R74" s="10"/>
      <c r="S74" s="10"/>
      <c r="T74" s="10"/>
      <c r="U74" s="10"/>
      <c r="X74" s="16" t="str">
        <f>IF(B74="",VLOOKUP(A74,items_lookup!A:B,2,FALSE),B74)</f>
        <v>_3. Item _3</v>
      </c>
      <c r="Y74" s="16">
        <f t="shared" si="4"/>
        <v>4</v>
      </c>
      <c r="Z74" s="16">
        <f t="shared" si="4"/>
        <v>4</v>
      </c>
      <c r="AA74" s="16">
        <f t="shared" si="5"/>
        <v>2021</v>
      </c>
      <c r="AB74" s="16">
        <f t="shared" si="6"/>
        <v>2021</v>
      </c>
      <c r="AC74" s="16">
        <f t="shared" si="7"/>
        <v>2021</v>
      </c>
    </row>
    <row r="75" spans="1:29" ht="15" customHeight="1" x14ac:dyDescent="0.2">
      <c r="A75" s="6" t="s">
        <v>538</v>
      </c>
      <c r="B75" s="6"/>
      <c r="C75" s="2" t="s">
        <v>445</v>
      </c>
      <c r="D75" s="5" t="s">
        <v>443</v>
      </c>
      <c r="E75" s="24" t="s">
        <v>440</v>
      </c>
      <c r="F75" s="6"/>
      <c r="G75" s="6"/>
      <c r="H75" s="6"/>
      <c r="I75" s="6"/>
      <c r="J75" s="6"/>
      <c r="K75" s="6"/>
      <c r="L75" s="6" t="s">
        <v>444</v>
      </c>
      <c r="M75" s="7">
        <v>44287</v>
      </c>
      <c r="N75" s="7">
        <v>44287</v>
      </c>
      <c r="O75" s="14">
        <f>ROUND([1]CF!$BY$32*1000000,2)</f>
        <v>54591.27</v>
      </c>
      <c r="P75" s="14"/>
      <c r="Q75" s="25"/>
      <c r="R75" s="8"/>
      <c r="S75" s="8"/>
      <c r="T75" s="8"/>
      <c r="U75" s="8"/>
      <c r="X75" s="16" t="str">
        <f>IF(B75="",VLOOKUP(A75,items_lookup!A:B,2,FALSE),B75)</f>
        <v>01. Item 01</v>
      </c>
      <c r="Y75" s="16">
        <f t="shared" si="4"/>
        <v>4</v>
      </c>
      <c r="Z75" s="16">
        <f t="shared" si="4"/>
        <v>4</v>
      </c>
      <c r="AA75" s="16">
        <f t="shared" si="5"/>
        <v>2021</v>
      </c>
      <c r="AB75" s="16">
        <f t="shared" si="6"/>
        <v>2021</v>
      </c>
      <c r="AC75" s="16">
        <f t="shared" si="7"/>
        <v>2021</v>
      </c>
    </row>
    <row r="76" spans="1:29" ht="15" customHeight="1" x14ac:dyDescent="0.2">
      <c r="A76" s="6" t="s">
        <v>529</v>
      </c>
      <c r="B76" s="6"/>
      <c r="C76" s="2" t="s">
        <v>445</v>
      </c>
      <c r="D76" s="5" t="s">
        <v>443</v>
      </c>
      <c r="E76" s="24" t="s">
        <v>440</v>
      </c>
      <c r="F76" s="6"/>
      <c r="G76" s="6"/>
      <c r="H76" s="6"/>
      <c r="I76" s="6"/>
      <c r="J76" s="6"/>
      <c r="K76" s="6"/>
      <c r="L76" s="6" t="s">
        <v>444</v>
      </c>
      <c r="M76" s="7">
        <v>44287</v>
      </c>
      <c r="N76" s="7">
        <v>44287</v>
      </c>
      <c r="O76" s="14">
        <f>ROUND([1]CF!$BY$33*1000000,2)</f>
        <v>5653560.3600000003</v>
      </c>
      <c r="P76" s="14"/>
      <c r="Q76" s="25"/>
      <c r="R76" s="8"/>
      <c r="S76" s="8"/>
      <c r="T76" s="8"/>
      <c r="U76" s="8"/>
      <c r="X76" s="16" t="str">
        <f>IF(B76="",VLOOKUP(A76,items_lookup!A:B,2,FALSE),B76)</f>
        <v>02. Item 02</v>
      </c>
      <c r="Y76" s="16">
        <f t="shared" si="4"/>
        <v>4</v>
      </c>
      <c r="Z76" s="16">
        <f t="shared" si="4"/>
        <v>4</v>
      </c>
      <c r="AA76" s="16">
        <f t="shared" si="5"/>
        <v>2021</v>
      </c>
      <c r="AB76" s="16">
        <f t="shared" si="6"/>
        <v>2021</v>
      </c>
      <c r="AC76" s="16">
        <f t="shared" si="7"/>
        <v>2021</v>
      </c>
    </row>
    <row r="77" spans="1:29" ht="27.75" customHeight="1" x14ac:dyDescent="0.2">
      <c r="A77" s="6"/>
      <c r="B77" s="6" t="s">
        <v>448</v>
      </c>
      <c r="C77" s="2" t="s">
        <v>445</v>
      </c>
      <c r="D77" s="5" t="s">
        <v>443</v>
      </c>
      <c r="E77" s="24" t="s">
        <v>440</v>
      </c>
      <c r="F77" s="6"/>
      <c r="G77" s="6"/>
      <c r="H77" s="6"/>
      <c r="I77" s="6"/>
      <c r="J77" s="6"/>
      <c r="K77" s="6"/>
      <c r="L77" s="6" t="s">
        <v>444</v>
      </c>
      <c r="M77" s="7">
        <v>44287</v>
      </c>
      <c r="N77" s="7">
        <v>44287</v>
      </c>
      <c r="O77" s="14">
        <f>ROUND([1]CF!$BY$34*1000000,2)</f>
        <v>49687.45</v>
      </c>
      <c r="P77" s="14"/>
      <c r="Q77" s="25"/>
      <c r="R77" s="9"/>
      <c r="S77" s="9"/>
      <c r="T77" s="9"/>
      <c r="U77" s="9"/>
      <c r="X77" s="16" t="str">
        <f>IF(B77="",VLOOKUP(A77,items_lookup!A:B,2,FALSE),B77)</f>
        <v>03. Item 03</v>
      </c>
      <c r="Y77" s="16">
        <f t="shared" si="4"/>
        <v>4</v>
      </c>
      <c r="Z77" s="16">
        <f t="shared" si="4"/>
        <v>4</v>
      </c>
      <c r="AA77" s="16">
        <f t="shared" si="5"/>
        <v>2021</v>
      </c>
      <c r="AB77" s="16">
        <f t="shared" si="6"/>
        <v>2021</v>
      </c>
      <c r="AC77" s="16">
        <f t="shared" si="7"/>
        <v>2021</v>
      </c>
    </row>
    <row r="78" spans="1:29" ht="12" customHeight="1" x14ac:dyDescent="0.2">
      <c r="A78" s="6"/>
      <c r="B78" s="6" t="s">
        <v>475</v>
      </c>
      <c r="C78" s="2" t="s">
        <v>445</v>
      </c>
      <c r="D78" s="5" t="s">
        <v>443</v>
      </c>
      <c r="E78" s="24" t="s">
        <v>440</v>
      </c>
      <c r="F78" s="6"/>
      <c r="G78" s="6"/>
      <c r="H78" s="6"/>
      <c r="I78" s="6"/>
      <c r="J78" s="6"/>
      <c r="K78" s="6"/>
      <c r="L78" s="6" t="s">
        <v>444</v>
      </c>
      <c r="M78" s="7">
        <v>44287</v>
      </c>
      <c r="N78" s="7">
        <v>44287</v>
      </c>
      <c r="O78" s="14">
        <f>ROUND([1]CF!$BY$35*1000000,2)</f>
        <v>3875238.1</v>
      </c>
      <c r="P78" s="14"/>
      <c r="Q78" s="25"/>
      <c r="R78" s="10"/>
      <c r="S78" s="10"/>
      <c r="T78" s="10"/>
      <c r="U78" s="10"/>
      <c r="X78" s="16" t="str">
        <f>IF(B78="",VLOOKUP(A78,items_lookup!A:B,2,FALSE),B78)</f>
        <v>04. Item 04</v>
      </c>
      <c r="Y78" s="16">
        <f t="shared" si="4"/>
        <v>4</v>
      </c>
      <c r="Z78" s="16">
        <f t="shared" si="4"/>
        <v>4</v>
      </c>
      <c r="AA78" s="16">
        <f t="shared" si="5"/>
        <v>2021</v>
      </c>
      <c r="AB78" s="16">
        <f t="shared" si="6"/>
        <v>2021</v>
      </c>
      <c r="AC78" s="16">
        <f t="shared" si="7"/>
        <v>2021</v>
      </c>
    </row>
    <row r="79" spans="1:29" ht="15" customHeight="1" x14ac:dyDescent="0.2">
      <c r="A79" s="6" t="s">
        <v>477</v>
      </c>
      <c r="B79" s="6"/>
      <c r="C79" s="2" t="s">
        <v>445</v>
      </c>
      <c r="D79" s="5" t="s">
        <v>443</v>
      </c>
      <c r="E79" s="24" t="s">
        <v>440</v>
      </c>
      <c r="F79" s="6"/>
      <c r="G79" s="6"/>
      <c r="H79" s="6"/>
      <c r="I79" s="6"/>
      <c r="J79" s="6"/>
      <c r="K79" s="6"/>
      <c r="L79" s="6" t="s">
        <v>444</v>
      </c>
      <c r="M79" s="7">
        <v>44287</v>
      </c>
      <c r="N79" s="7">
        <v>44287</v>
      </c>
      <c r="O79" s="14">
        <f>ROUND([1]CF!$BY$37*1000000,2)-O80</f>
        <v>140916.17000000086</v>
      </c>
      <c r="P79" s="14"/>
      <c r="Q79" s="25"/>
      <c r="R79" s="9"/>
      <c r="S79" s="9"/>
      <c r="T79" s="9"/>
      <c r="U79" s="9"/>
      <c r="X79" s="16" t="str">
        <f>IF(B79="",VLOOKUP(A79,items_lookup!A:B,2,FALSE),B79)</f>
        <v>05. Item 05</v>
      </c>
      <c r="Y79" s="16">
        <f t="shared" si="4"/>
        <v>4</v>
      </c>
      <c r="Z79" s="16">
        <f t="shared" si="4"/>
        <v>4</v>
      </c>
      <c r="AA79" s="16">
        <f t="shared" si="5"/>
        <v>2021</v>
      </c>
      <c r="AB79" s="16">
        <f t="shared" si="6"/>
        <v>2021</v>
      </c>
      <c r="AC79" s="16">
        <f t="shared" si="7"/>
        <v>2021</v>
      </c>
    </row>
    <row r="80" spans="1:29" ht="15" customHeight="1" x14ac:dyDescent="0.2">
      <c r="A80" s="6" t="s">
        <v>477</v>
      </c>
      <c r="B80" s="6"/>
      <c r="C80" s="2" t="s">
        <v>445</v>
      </c>
      <c r="D80" s="5" t="s">
        <v>446</v>
      </c>
      <c r="E80" s="24" t="s">
        <v>440</v>
      </c>
      <c r="F80" s="6"/>
      <c r="G80" s="6"/>
      <c r="H80" s="6"/>
      <c r="I80" s="6"/>
      <c r="J80" s="6"/>
      <c r="K80" s="6"/>
      <c r="L80" s="6" t="s">
        <v>444</v>
      </c>
      <c r="M80" s="7">
        <v>44287</v>
      </c>
      <c r="N80" s="7">
        <v>44287</v>
      </c>
      <c r="O80" s="14">
        <f>O71+O73+O74-O92</f>
        <v>8327449.54</v>
      </c>
      <c r="P80" s="14"/>
      <c r="Q80" s="25"/>
      <c r="R80" s="9"/>
      <c r="S80" s="9"/>
      <c r="T80" s="9"/>
      <c r="U80" s="9"/>
      <c r="X80" s="16" t="str">
        <f>IF(B80="",VLOOKUP(A80,items_lookup!A:B,2,FALSE),B80)</f>
        <v>05. Item 05</v>
      </c>
      <c r="Y80" s="16">
        <f t="shared" si="4"/>
        <v>4</v>
      </c>
      <c r="Z80" s="16">
        <f t="shared" si="4"/>
        <v>4</v>
      </c>
      <c r="AA80" s="16">
        <f t="shared" si="5"/>
        <v>2021</v>
      </c>
      <c r="AB80" s="16">
        <f t="shared" si="6"/>
        <v>2021</v>
      </c>
      <c r="AC80" s="16">
        <f t="shared" si="7"/>
        <v>2021</v>
      </c>
    </row>
    <row r="81" spans="1:29" ht="15" customHeight="1" x14ac:dyDescent="0.2">
      <c r="A81" s="6" t="s">
        <v>480</v>
      </c>
      <c r="B81" s="6"/>
      <c r="C81" s="2" t="s">
        <v>445</v>
      </c>
      <c r="D81" s="5" t="s">
        <v>443</v>
      </c>
      <c r="E81" s="24" t="s">
        <v>440</v>
      </c>
      <c r="F81" s="6"/>
      <c r="G81" s="6"/>
      <c r="H81" s="6"/>
      <c r="I81" s="6"/>
      <c r="J81" s="6"/>
      <c r="K81" s="6"/>
      <c r="L81" s="6" t="s">
        <v>444</v>
      </c>
      <c r="M81" s="7">
        <v>44287</v>
      </c>
      <c r="N81" s="7">
        <v>44287</v>
      </c>
      <c r="O81" s="14">
        <f>ROUND([1]CF!$BY$38*1000000,2)</f>
        <v>0</v>
      </c>
      <c r="P81" s="14"/>
      <c r="Q81" s="25"/>
      <c r="R81" s="9"/>
      <c r="S81" s="9"/>
      <c r="T81" s="9"/>
      <c r="U81" s="9"/>
      <c r="X81" s="16" t="str">
        <f>IF(B81="",VLOOKUP(A81,items_lookup!A:B,2,FALSE),B81)</f>
        <v>05. Item 05</v>
      </c>
      <c r="Y81" s="16">
        <f t="shared" si="4"/>
        <v>4</v>
      </c>
      <c r="Z81" s="16">
        <f t="shared" si="4"/>
        <v>4</v>
      </c>
      <c r="AA81" s="16">
        <f t="shared" si="5"/>
        <v>2021</v>
      </c>
      <c r="AB81" s="16">
        <f t="shared" si="6"/>
        <v>2021</v>
      </c>
      <c r="AC81" s="16">
        <f t="shared" si="7"/>
        <v>2021</v>
      </c>
    </row>
    <row r="82" spans="1:29" ht="15" customHeight="1" x14ac:dyDescent="0.2">
      <c r="A82" s="6" t="s">
        <v>540</v>
      </c>
      <c r="B82" s="6"/>
      <c r="C82" s="2" t="s">
        <v>445</v>
      </c>
      <c r="D82" s="5" t="s">
        <v>443</v>
      </c>
      <c r="E82" s="24" t="s">
        <v>440</v>
      </c>
      <c r="F82" s="6"/>
      <c r="G82" s="6"/>
      <c r="H82" s="6"/>
      <c r="I82" s="6"/>
      <c r="J82" s="6"/>
      <c r="K82" s="6"/>
      <c r="L82" s="6" t="s">
        <v>444</v>
      </c>
      <c r="M82" s="7">
        <v>44287</v>
      </c>
      <c r="N82" s="7">
        <v>44287</v>
      </c>
      <c r="O82" s="14">
        <f>ROUND([1]CF!$BY$39*1000000,2)</f>
        <v>955765.37</v>
      </c>
      <c r="P82" s="14"/>
      <c r="Q82" s="25"/>
      <c r="R82" s="9"/>
      <c r="S82" s="9"/>
      <c r="T82" s="9"/>
      <c r="U82" s="9"/>
      <c r="X82" s="16" t="str">
        <f>IF(B82="",VLOOKUP(A82,items_lookup!A:B,2,FALSE),B82)</f>
        <v>06. Item 06</v>
      </c>
      <c r="Y82" s="16">
        <f t="shared" si="4"/>
        <v>4</v>
      </c>
      <c r="Z82" s="16">
        <f t="shared" si="4"/>
        <v>4</v>
      </c>
      <c r="AA82" s="16">
        <f t="shared" si="5"/>
        <v>2021</v>
      </c>
      <c r="AB82" s="16">
        <f t="shared" si="6"/>
        <v>2021</v>
      </c>
      <c r="AC82" s="16">
        <f t="shared" si="7"/>
        <v>2021</v>
      </c>
    </row>
    <row r="83" spans="1:29" ht="15" customHeight="1" x14ac:dyDescent="0.2">
      <c r="A83" s="6" t="s">
        <v>542</v>
      </c>
      <c r="B83" s="6"/>
      <c r="C83" s="2" t="s">
        <v>445</v>
      </c>
      <c r="D83" s="5" t="s">
        <v>443</v>
      </c>
      <c r="E83" s="24" t="s">
        <v>440</v>
      </c>
      <c r="F83" s="6"/>
      <c r="G83" s="6"/>
      <c r="H83" s="6"/>
      <c r="I83" s="6"/>
      <c r="J83" s="6"/>
      <c r="K83" s="6"/>
      <c r="L83" s="6" t="s">
        <v>444</v>
      </c>
      <c r="M83" s="7">
        <v>44287</v>
      </c>
      <c r="N83" s="7">
        <v>44287</v>
      </c>
      <c r="O83" s="14">
        <f>ROUND([1]CF!$BY$41*1000000,2)</f>
        <v>0</v>
      </c>
      <c r="P83" s="14"/>
      <c r="Q83" s="25"/>
      <c r="R83" s="9"/>
      <c r="S83" s="9"/>
      <c r="T83" s="9"/>
      <c r="U83" s="9"/>
      <c r="X83" s="16" t="str">
        <f>IF(B83="",VLOOKUP(A83,items_lookup!A:B,2,FALSE),B83)</f>
        <v>07. Item 07</v>
      </c>
      <c r="Y83" s="16">
        <f t="shared" si="4"/>
        <v>4</v>
      </c>
      <c r="Z83" s="16">
        <f t="shared" si="4"/>
        <v>4</v>
      </c>
      <c r="AA83" s="16">
        <f t="shared" si="5"/>
        <v>2021</v>
      </c>
      <c r="AB83" s="16">
        <f t="shared" si="6"/>
        <v>2021</v>
      </c>
      <c r="AC83" s="16">
        <f t="shared" si="7"/>
        <v>2021</v>
      </c>
    </row>
    <row r="84" spans="1:29" ht="13.5" customHeight="1" x14ac:dyDescent="0.2">
      <c r="A84" s="6" t="s">
        <v>544</v>
      </c>
      <c r="B84" s="6"/>
      <c r="C84" s="2" t="s">
        <v>445</v>
      </c>
      <c r="D84" s="5" t="s">
        <v>443</v>
      </c>
      <c r="E84" s="24" t="s">
        <v>440</v>
      </c>
      <c r="F84" s="6"/>
      <c r="G84" s="6"/>
      <c r="H84" s="6"/>
      <c r="I84" s="6"/>
      <c r="J84" s="6"/>
      <c r="K84" s="6"/>
      <c r="L84" s="6" t="s">
        <v>444</v>
      </c>
      <c r="M84" s="7">
        <v>44287</v>
      </c>
      <c r="N84" s="7">
        <v>44287</v>
      </c>
      <c r="O84" s="14">
        <f>ROUND([1]CF!$BY$43*1000000,2)</f>
        <v>0</v>
      </c>
      <c r="P84" s="14"/>
      <c r="Q84" s="25"/>
      <c r="R84" s="9"/>
      <c r="S84" s="9"/>
      <c r="T84" s="9"/>
      <c r="U84" s="9"/>
      <c r="X84" s="16" t="str">
        <f>IF(B84="",VLOOKUP(A84,items_lookup!A:B,2,FALSE),B84)</f>
        <v>08. Item 08</v>
      </c>
      <c r="Y84" s="16">
        <f t="shared" si="4"/>
        <v>4</v>
      </c>
      <c r="Z84" s="16">
        <f t="shared" si="4"/>
        <v>4</v>
      </c>
      <c r="AA84" s="16">
        <f t="shared" si="5"/>
        <v>2021</v>
      </c>
      <c r="AB84" s="16">
        <f t="shared" si="6"/>
        <v>2021</v>
      </c>
      <c r="AC84" s="16">
        <f t="shared" si="7"/>
        <v>2021</v>
      </c>
    </row>
    <row r="85" spans="1:29" ht="15" customHeight="1" x14ac:dyDescent="0.2">
      <c r="A85" s="6"/>
      <c r="B85" s="6" t="s">
        <v>484</v>
      </c>
      <c r="C85" s="2" t="s">
        <v>445</v>
      </c>
      <c r="D85" s="5" t="s">
        <v>443</v>
      </c>
      <c r="E85" s="24" t="s">
        <v>440</v>
      </c>
      <c r="F85" s="6"/>
      <c r="G85" s="6"/>
      <c r="H85" s="6"/>
      <c r="I85" s="6"/>
      <c r="J85" s="6"/>
      <c r="K85" s="6"/>
      <c r="L85" s="6" t="s">
        <v>444</v>
      </c>
      <c r="M85" s="7">
        <v>44287</v>
      </c>
      <c r="N85" s="7">
        <v>44287</v>
      </c>
      <c r="O85" s="14">
        <f>ROUND([1]CF!$BY$44*1000000,2)</f>
        <v>306744.28999999998</v>
      </c>
      <c r="P85" s="14"/>
      <c r="Q85" s="25"/>
      <c r="R85" s="9"/>
      <c r="S85" s="9"/>
      <c r="T85" s="9"/>
      <c r="U85" s="9"/>
      <c r="X85" s="16" t="str">
        <f>IF(B85="",VLOOKUP(A85,items_lookup!A:B,2,FALSE),B85)</f>
        <v>09. Item 09</v>
      </c>
      <c r="Y85" s="16">
        <f t="shared" si="4"/>
        <v>4</v>
      </c>
      <c r="Z85" s="16">
        <f t="shared" si="4"/>
        <v>4</v>
      </c>
      <c r="AA85" s="16">
        <f t="shared" si="5"/>
        <v>2021</v>
      </c>
      <c r="AB85" s="16">
        <f t="shared" si="6"/>
        <v>2021</v>
      </c>
      <c r="AC85" s="16">
        <f t="shared" si="7"/>
        <v>2021</v>
      </c>
    </row>
    <row r="86" spans="1:29" ht="21.75" customHeight="1" x14ac:dyDescent="0.2">
      <c r="A86" s="6"/>
      <c r="B86" s="6" t="s">
        <v>493</v>
      </c>
      <c r="C86" s="2" t="s">
        <v>445</v>
      </c>
      <c r="D86" s="5" t="s">
        <v>443</v>
      </c>
      <c r="E86" s="24" t="s">
        <v>440</v>
      </c>
      <c r="F86" s="6"/>
      <c r="G86" s="6"/>
      <c r="H86" s="6"/>
      <c r="I86" s="6"/>
      <c r="J86" s="6"/>
      <c r="K86" s="6"/>
      <c r="L86" s="6" t="s">
        <v>444</v>
      </c>
      <c r="M86" s="7">
        <v>44287</v>
      </c>
      <c r="N86" s="7">
        <v>44287</v>
      </c>
      <c r="O86" s="14">
        <f>ROUND([1]CF!$BY$51*1000000,2)</f>
        <v>1117202.03</v>
      </c>
      <c r="P86" s="14"/>
      <c r="Q86" s="25"/>
      <c r="R86" s="10"/>
      <c r="S86" s="10"/>
      <c r="T86" s="10"/>
      <c r="U86" s="10"/>
      <c r="X86" s="16" t="str">
        <f>IF(B86="",VLOOKUP(A86,items_lookup!A:B,2,FALSE),B86)</f>
        <v>10. Item 10</v>
      </c>
      <c r="Y86" s="16">
        <f t="shared" si="4"/>
        <v>4</v>
      </c>
      <c r="Z86" s="16">
        <f t="shared" si="4"/>
        <v>4</v>
      </c>
      <c r="AA86" s="16">
        <f t="shared" si="5"/>
        <v>2021</v>
      </c>
      <c r="AB86" s="16">
        <f t="shared" si="6"/>
        <v>2021</v>
      </c>
      <c r="AC86" s="16">
        <f t="shared" si="7"/>
        <v>2021</v>
      </c>
    </row>
    <row r="87" spans="1:29" ht="15" customHeight="1" x14ac:dyDescent="0.2">
      <c r="A87" s="6" t="s">
        <v>546</v>
      </c>
      <c r="B87" s="6"/>
      <c r="C87" s="2" t="s">
        <v>445</v>
      </c>
      <c r="D87" s="5" t="s">
        <v>443</v>
      </c>
      <c r="E87" s="24" t="s">
        <v>440</v>
      </c>
      <c r="F87" s="6"/>
      <c r="G87" s="6"/>
      <c r="H87" s="6"/>
      <c r="I87" s="6"/>
      <c r="J87" s="6"/>
      <c r="K87" s="6"/>
      <c r="L87" s="6" t="s">
        <v>444</v>
      </c>
      <c r="M87" s="7">
        <v>44287</v>
      </c>
      <c r="N87" s="7">
        <v>44287</v>
      </c>
      <c r="O87" s="14">
        <f>ROUND([1]CF!$BY$52*1000000,2)</f>
        <v>0</v>
      </c>
      <c r="P87" s="14"/>
      <c r="Q87" s="25"/>
      <c r="R87" s="10"/>
      <c r="S87" s="10"/>
      <c r="T87" s="10"/>
      <c r="U87" s="10"/>
      <c r="X87" s="16" t="str">
        <f>IF(B87="",VLOOKUP(A87,items_lookup!A:B,2,FALSE),B87)</f>
        <v>11. Item 11</v>
      </c>
      <c r="Y87" s="16">
        <f t="shared" si="4"/>
        <v>4</v>
      </c>
      <c r="Z87" s="16">
        <f t="shared" si="4"/>
        <v>4</v>
      </c>
      <c r="AA87" s="16">
        <f t="shared" si="5"/>
        <v>2021</v>
      </c>
      <c r="AB87" s="16">
        <f t="shared" si="6"/>
        <v>2021</v>
      </c>
      <c r="AC87" s="16">
        <f t="shared" si="7"/>
        <v>2021</v>
      </c>
    </row>
    <row r="88" spans="1:29" ht="15" customHeight="1" x14ac:dyDescent="0.2">
      <c r="A88" s="6" t="s">
        <v>704</v>
      </c>
      <c r="B88" s="6"/>
      <c r="C88" s="2" t="s">
        <v>445</v>
      </c>
      <c r="D88" s="5" t="s">
        <v>443</v>
      </c>
      <c r="E88" s="24" t="s">
        <v>440</v>
      </c>
      <c r="F88" s="6"/>
      <c r="G88" s="6"/>
      <c r="H88" s="6"/>
      <c r="I88" s="6"/>
      <c r="J88" s="6"/>
      <c r="K88" s="6"/>
      <c r="L88" s="6" t="s">
        <v>444</v>
      </c>
      <c r="M88" s="7">
        <v>44287</v>
      </c>
      <c r="N88" s="7">
        <v>44287</v>
      </c>
      <c r="O88" s="14">
        <f>ROUND([1]CF!$BY$53*1000000,2)</f>
        <v>-159119.04999999999</v>
      </c>
      <c r="P88" s="14"/>
      <c r="Q88" s="25"/>
      <c r="R88" s="18"/>
      <c r="S88" s="18"/>
      <c r="T88" s="18"/>
      <c r="U88" s="18"/>
      <c r="X88" s="16" t="e">
        <f>IF(B88="",VLOOKUP(A88,items_lookup!A:B,2,FALSE),B88)</f>
        <v>#N/A</v>
      </c>
      <c r="Y88" s="16">
        <f t="shared" si="4"/>
        <v>4</v>
      </c>
      <c r="Z88" s="16">
        <f t="shared" si="4"/>
        <v>4</v>
      </c>
      <c r="AA88" s="16">
        <f t="shared" si="5"/>
        <v>2021</v>
      </c>
      <c r="AB88" s="16">
        <f t="shared" si="6"/>
        <v>2021</v>
      </c>
      <c r="AC88" s="16">
        <f t="shared" si="7"/>
        <v>2021</v>
      </c>
    </row>
    <row r="89" spans="1:29" ht="15" customHeight="1" x14ac:dyDescent="0.2">
      <c r="A89" s="6"/>
      <c r="B89" s="6" t="s">
        <v>502</v>
      </c>
      <c r="C89" s="2" t="s">
        <v>445</v>
      </c>
      <c r="D89" s="5" t="s">
        <v>443</v>
      </c>
      <c r="E89" s="24" t="s">
        <v>440</v>
      </c>
      <c r="F89" s="6"/>
      <c r="G89" s="6"/>
      <c r="H89" s="6"/>
      <c r="I89" s="6"/>
      <c r="J89" s="6"/>
      <c r="K89" s="6"/>
      <c r="L89" s="6" t="s">
        <v>444</v>
      </c>
      <c r="M89" s="7">
        <v>44287</v>
      </c>
      <c r="N89" s="7">
        <v>44287</v>
      </c>
      <c r="O89" s="14">
        <f>ROUND([1]CF!$BY$54*1000000,2)</f>
        <v>0</v>
      </c>
      <c r="P89" s="14"/>
      <c r="Q89" s="25"/>
      <c r="R89" s="10"/>
      <c r="S89" s="10"/>
      <c r="T89" s="10"/>
      <c r="U89" s="10"/>
      <c r="X89" s="16" t="str">
        <f>IF(B89="",VLOOKUP(A89,items_lookup!A:B,2,FALSE),B89)</f>
        <v>12. Item 12</v>
      </c>
      <c r="Y89" s="16">
        <f t="shared" si="4"/>
        <v>4</v>
      </c>
      <c r="Z89" s="16">
        <f t="shared" si="4"/>
        <v>4</v>
      </c>
      <c r="AA89" s="16">
        <f t="shared" si="5"/>
        <v>2021</v>
      </c>
      <c r="AB89" s="16">
        <f t="shared" si="6"/>
        <v>2021</v>
      </c>
      <c r="AC89" s="16">
        <f t="shared" si="7"/>
        <v>2021</v>
      </c>
    </row>
    <row r="90" spans="1:29" ht="14.25" customHeight="1" x14ac:dyDescent="0.2">
      <c r="A90" s="6"/>
      <c r="B90" s="6" t="s">
        <v>504</v>
      </c>
      <c r="C90" s="2" t="s">
        <v>445</v>
      </c>
      <c r="D90" s="5" t="s">
        <v>443</v>
      </c>
      <c r="E90" s="24" t="s">
        <v>440</v>
      </c>
      <c r="F90" s="6"/>
      <c r="G90" s="6"/>
      <c r="H90" s="6"/>
      <c r="I90" s="6"/>
      <c r="J90" s="6"/>
      <c r="K90" s="6"/>
      <c r="L90" s="6" t="s">
        <v>444</v>
      </c>
      <c r="M90" s="7">
        <v>44287</v>
      </c>
      <c r="N90" s="7">
        <v>44287</v>
      </c>
      <c r="O90" s="14">
        <f>ROUND([1]CF!$BY$55*1000000,2)</f>
        <v>3290000</v>
      </c>
      <c r="P90" s="14"/>
      <c r="Q90" s="25"/>
      <c r="R90" s="10"/>
      <c r="S90" s="10"/>
      <c r="T90" s="10"/>
      <c r="U90" s="10"/>
      <c r="X90" s="16" t="str">
        <f>IF(B90="",VLOOKUP(A90,items_lookup!A:B,2,FALSE),B90)</f>
        <v>13. Item 13</v>
      </c>
      <c r="Y90" s="16">
        <f t="shared" si="4"/>
        <v>4</v>
      </c>
      <c r="Z90" s="16">
        <f t="shared" si="4"/>
        <v>4</v>
      </c>
      <c r="AA90" s="16">
        <f t="shared" si="5"/>
        <v>2021</v>
      </c>
      <c r="AB90" s="16">
        <f t="shared" si="6"/>
        <v>2021</v>
      </c>
      <c r="AC90" s="16">
        <f t="shared" si="7"/>
        <v>2021</v>
      </c>
    </row>
    <row r="91" spans="1:29" ht="15" customHeight="1" x14ac:dyDescent="0.2">
      <c r="A91" s="6" t="s">
        <v>552</v>
      </c>
      <c r="B91" s="6"/>
      <c r="C91" s="2" t="s">
        <v>445</v>
      </c>
      <c r="D91" s="5" t="s">
        <v>443</v>
      </c>
      <c r="E91" s="24" t="s">
        <v>440</v>
      </c>
      <c r="F91" s="6"/>
      <c r="G91" s="6"/>
      <c r="H91" s="6"/>
      <c r="I91" s="6"/>
      <c r="J91" s="6"/>
      <c r="K91" s="6"/>
      <c r="L91" s="6" t="s">
        <v>444</v>
      </c>
      <c r="M91" s="7">
        <v>44287</v>
      </c>
      <c r="N91" s="7">
        <v>44287</v>
      </c>
      <c r="O91" s="14">
        <f>ROUND([1]CF!$BY$68*1000000,2)</f>
        <v>0</v>
      </c>
      <c r="P91" s="14"/>
      <c r="Q91" s="25"/>
      <c r="R91" s="10"/>
      <c r="S91" s="10"/>
      <c r="T91" s="10"/>
      <c r="U91" s="10"/>
      <c r="X91" s="16" t="str">
        <f>IF(B91="",VLOOKUP(A91,items_lookup!A:B,2,FALSE),B91)</f>
        <v>14. Item 14</v>
      </c>
      <c r="Y91" s="16">
        <f t="shared" si="4"/>
        <v>4</v>
      </c>
      <c r="Z91" s="16">
        <f t="shared" si="4"/>
        <v>4</v>
      </c>
      <c r="AA91" s="16">
        <f t="shared" si="5"/>
        <v>2021</v>
      </c>
      <c r="AB91" s="16">
        <f t="shared" si="6"/>
        <v>2021</v>
      </c>
      <c r="AC91" s="16">
        <f t="shared" si="7"/>
        <v>2021</v>
      </c>
    </row>
    <row r="92" spans="1:29" ht="15" customHeight="1" x14ac:dyDescent="0.2">
      <c r="A92" s="6" t="s">
        <v>558</v>
      </c>
      <c r="B92" s="6"/>
      <c r="C92" s="2" t="s">
        <v>445</v>
      </c>
      <c r="D92" s="5" t="s">
        <v>446</v>
      </c>
      <c r="E92" s="24" t="s">
        <v>440</v>
      </c>
      <c r="F92" s="6"/>
      <c r="G92" s="6"/>
      <c r="H92" s="6"/>
      <c r="I92" s="6"/>
      <c r="J92" s="6"/>
      <c r="K92" s="6"/>
      <c r="L92" s="6" t="s">
        <v>444</v>
      </c>
      <c r="M92" s="7">
        <v>44287</v>
      </c>
      <c r="N92" s="7">
        <v>44287</v>
      </c>
      <c r="O92" s="14">
        <f>ROUND([1]CF!$BY$56*1000000,2)</f>
        <v>0</v>
      </c>
      <c r="P92" s="14"/>
      <c r="Q92" s="25"/>
      <c r="R92" s="10"/>
      <c r="S92" s="10"/>
      <c r="T92" s="10"/>
      <c r="U92" s="10"/>
      <c r="X92" s="16" t="str">
        <f>IF(B92="",VLOOKUP(A92,items_lookup!A:B,2,FALSE),B92)</f>
        <v>17. Item 17</v>
      </c>
      <c r="Y92" s="16">
        <f t="shared" si="4"/>
        <v>4</v>
      </c>
      <c r="Z92" s="16">
        <f t="shared" si="4"/>
        <v>4</v>
      </c>
      <c r="AA92" s="16">
        <f t="shared" si="5"/>
        <v>2021</v>
      </c>
      <c r="AB92" s="16">
        <f t="shared" si="6"/>
        <v>2021</v>
      </c>
      <c r="AC92" s="16">
        <f t="shared" si="7"/>
        <v>2021</v>
      </c>
    </row>
    <row r="93" spans="1:29" ht="15" customHeight="1" x14ac:dyDescent="0.2">
      <c r="A93" s="6" t="s">
        <v>562</v>
      </c>
      <c r="B93" s="6"/>
      <c r="C93" s="2" t="s">
        <v>445</v>
      </c>
      <c r="D93" s="5" t="s">
        <v>443</v>
      </c>
      <c r="E93" s="24" t="s">
        <v>440</v>
      </c>
      <c r="F93" s="6"/>
      <c r="G93" s="6"/>
      <c r="H93" s="6"/>
      <c r="I93" s="6"/>
      <c r="J93" s="6"/>
      <c r="K93" s="6"/>
      <c r="L93" s="6" t="s">
        <v>444</v>
      </c>
      <c r="M93" s="7">
        <v>44287</v>
      </c>
      <c r="N93" s="7">
        <v>44287</v>
      </c>
      <c r="O93" s="14">
        <f>ROUND([1]CF!$BY$57*1000000,2)</f>
        <v>0</v>
      </c>
      <c r="P93" s="14"/>
      <c r="Q93" s="25"/>
      <c r="R93" s="10"/>
      <c r="S93" s="10"/>
      <c r="T93" s="10"/>
      <c r="U93" s="10"/>
      <c r="X93" s="16" t="str">
        <f>IF(B93="",VLOOKUP(A93,items_lookup!A:B,2,FALSE),B93)</f>
        <v>19. Item 19</v>
      </c>
      <c r="Y93" s="16">
        <f t="shared" si="4"/>
        <v>4</v>
      </c>
      <c r="Z93" s="16">
        <f t="shared" si="4"/>
        <v>4</v>
      </c>
      <c r="AA93" s="16">
        <f t="shared" si="5"/>
        <v>2021</v>
      </c>
      <c r="AB93" s="16">
        <f t="shared" si="6"/>
        <v>2021</v>
      </c>
      <c r="AC93" s="16">
        <f t="shared" si="7"/>
        <v>2021</v>
      </c>
    </row>
    <row r="94" spans="1:29" ht="15" customHeight="1" x14ac:dyDescent="0.2">
      <c r="A94" s="6" t="s">
        <v>450</v>
      </c>
      <c r="B94" s="6"/>
      <c r="C94" s="2" t="s">
        <v>445</v>
      </c>
      <c r="D94" s="5" t="s">
        <v>446</v>
      </c>
      <c r="E94" s="24" t="s">
        <v>439</v>
      </c>
      <c r="F94" s="6"/>
      <c r="G94" s="6"/>
      <c r="H94" s="6"/>
      <c r="I94" s="6"/>
      <c r="J94" s="6"/>
      <c r="K94" s="6"/>
      <c r="L94" s="6" t="s">
        <v>444</v>
      </c>
      <c r="M94" s="7">
        <v>44317</v>
      </c>
      <c r="N94" s="7">
        <v>44317</v>
      </c>
      <c r="O94" s="14">
        <f>ROUND([1]CF!$BZ$28*1000000,2)</f>
        <v>10383138.390000001</v>
      </c>
      <c r="P94" s="14"/>
      <c r="Q94" s="25"/>
      <c r="R94" s="10"/>
      <c r="S94" s="10"/>
      <c r="T94" s="10"/>
      <c r="U94" s="10"/>
      <c r="X94" s="16" t="str">
        <f>IF(B94="",VLOOKUP(A94,items_lookup!A:B,2,FALSE),B94)</f>
        <v>_1. Item _1</v>
      </c>
      <c r="Y94" s="16">
        <f t="shared" si="4"/>
        <v>5</v>
      </c>
      <c r="Z94" s="16">
        <f t="shared" si="4"/>
        <v>5</v>
      </c>
      <c r="AA94" s="16">
        <f t="shared" si="5"/>
        <v>2021</v>
      </c>
      <c r="AB94" s="16">
        <f t="shared" si="6"/>
        <v>2021</v>
      </c>
      <c r="AC94" s="16">
        <f t="shared" si="7"/>
        <v>2021</v>
      </c>
    </row>
    <row r="95" spans="1:29" ht="15" customHeight="1" x14ac:dyDescent="0.2">
      <c r="A95" s="6" t="s">
        <v>450</v>
      </c>
      <c r="B95" s="6"/>
      <c r="C95" s="2" t="s">
        <v>445</v>
      </c>
      <c r="D95" s="5" t="s">
        <v>443</v>
      </c>
      <c r="E95" s="24" t="s">
        <v>439</v>
      </c>
      <c r="F95" s="6"/>
      <c r="G95" s="6"/>
      <c r="H95" s="6"/>
      <c r="I95" s="6"/>
      <c r="J95" s="6"/>
      <c r="K95" s="6"/>
      <c r="L95" s="6" t="s">
        <v>444</v>
      </c>
      <c r="M95" s="7">
        <v>44317</v>
      </c>
      <c r="N95" s="7">
        <v>44317</v>
      </c>
      <c r="O95" s="14">
        <f>ROUND([1]CF!$BZ$27*1000000,2)</f>
        <v>39275296.280000001</v>
      </c>
      <c r="P95" s="14"/>
      <c r="Q95" s="25"/>
      <c r="R95" s="10"/>
      <c r="S95" s="10"/>
      <c r="T95" s="10"/>
      <c r="U95" s="10"/>
      <c r="X95" s="16" t="str">
        <f>IF(B95="",VLOOKUP(A95,items_lookup!A:B,2,FALSE),B95)</f>
        <v>_1. Item _1</v>
      </c>
      <c r="Y95" s="16">
        <f t="shared" si="4"/>
        <v>5</v>
      </c>
      <c r="Z95" s="16">
        <f t="shared" si="4"/>
        <v>5</v>
      </c>
      <c r="AA95" s="16">
        <f t="shared" si="5"/>
        <v>2021</v>
      </c>
      <c r="AB95" s="16">
        <f t="shared" si="6"/>
        <v>2021</v>
      </c>
      <c r="AC95" s="16">
        <f t="shared" si="7"/>
        <v>2021</v>
      </c>
    </row>
    <row r="96" spans="1:29" ht="15" customHeight="1" x14ac:dyDescent="0.2">
      <c r="A96" s="6" t="s">
        <v>457</v>
      </c>
      <c r="B96" s="6"/>
      <c r="C96" s="2" t="s">
        <v>445</v>
      </c>
      <c r="D96" s="5" t="s">
        <v>446</v>
      </c>
      <c r="E96" s="24" t="s">
        <v>439</v>
      </c>
      <c r="F96" s="6"/>
      <c r="G96" s="6"/>
      <c r="H96" s="6"/>
      <c r="I96" s="6"/>
      <c r="J96" s="6"/>
      <c r="K96" s="6"/>
      <c r="L96" s="6" t="s">
        <v>444</v>
      </c>
      <c r="M96" s="7">
        <v>44317</v>
      </c>
      <c r="N96" s="7">
        <v>44317</v>
      </c>
      <c r="O96" s="14">
        <f>ROUND([1]CF!$BZ$29*1000000,2)</f>
        <v>360000</v>
      </c>
      <c r="P96" s="14"/>
      <c r="Q96" s="25"/>
      <c r="R96" s="10"/>
      <c r="S96" s="10"/>
      <c r="T96" s="10"/>
      <c r="U96" s="10"/>
      <c r="X96" s="16" t="str">
        <f>IF(B96="",VLOOKUP(A96,items_lookup!A:B,2,FALSE),B96)</f>
        <v>_2. Item _2</v>
      </c>
      <c r="Y96" s="16">
        <f t="shared" si="4"/>
        <v>5</v>
      </c>
      <c r="Z96" s="16">
        <f t="shared" si="4"/>
        <v>5</v>
      </c>
      <c r="AA96" s="16">
        <f t="shared" si="5"/>
        <v>2021</v>
      </c>
      <c r="AB96" s="16">
        <f t="shared" si="6"/>
        <v>2021</v>
      </c>
      <c r="AC96" s="16">
        <f t="shared" si="7"/>
        <v>2021</v>
      </c>
    </row>
    <row r="97" spans="1:29" ht="15" customHeight="1" x14ac:dyDescent="0.2">
      <c r="A97" s="6" t="s">
        <v>464</v>
      </c>
      <c r="B97" s="6"/>
      <c r="C97" s="2" t="s">
        <v>445</v>
      </c>
      <c r="D97" s="5" t="s">
        <v>446</v>
      </c>
      <c r="E97" s="24" t="s">
        <v>439</v>
      </c>
      <c r="F97" s="6"/>
      <c r="G97" s="6"/>
      <c r="H97" s="6"/>
      <c r="I97" s="6"/>
      <c r="J97" s="6"/>
      <c r="K97" s="6"/>
      <c r="L97" s="6" t="s">
        <v>444</v>
      </c>
      <c r="M97" s="7">
        <v>44317</v>
      </c>
      <c r="N97" s="7">
        <v>44317</v>
      </c>
      <c r="O97" s="14">
        <f>ROUND([1]CF!$BZ$30*1000000,2)</f>
        <v>172339.66</v>
      </c>
      <c r="P97" s="14"/>
      <c r="Q97" s="25"/>
      <c r="R97" s="10"/>
      <c r="S97" s="10"/>
      <c r="T97" s="10"/>
      <c r="U97" s="10"/>
      <c r="X97" s="16" t="str">
        <f>IF(B97="",VLOOKUP(A97,items_lookup!A:B,2,FALSE),B97)</f>
        <v>_3. Item _3</v>
      </c>
      <c r="Y97" s="16">
        <f t="shared" si="4"/>
        <v>5</v>
      </c>
      <c r="Z97" s="16">
        <f t="shared" si="4"/>
        <v>5</v>
      </c>
      <c r="AA97" s="16">
        <f t="shared" si="5"/>
        <v>2021</v>
      </c>
      <c r="AB97" s="16">
        <f t="shared" si="6"/>
        <v>2021</v>
      </c>
      <c r="AC97" s="16">
        <f t="shared" si="7"/>
        <v>2021</v>
      </c>
    </row>
    <row r="98" spans="1:29" ht="15" customHeight="1" x14ac:dyDescent="0.2">
      <c r="A98" s="6" t="s">
        <v>538</v>
      </c>
      <c r="B98" s="6"/>
      <c r="C98" s="2" t="s">
        <v>445</v>
      </c>
      <c r="D98" s="5" t="s">
        <v>443</v>
      </c>
      <c r="E98" s="24" t="s">
        <v>440</v>
      </c>
      <c r="F98" s="6"/>
      <c r="G98" s="6"/>
      <c r="H98" s="6"/>
      <c r="I98" s="6"/>
      <c r="J98" s="6"/>
      <c r="K98" s="6"/>
      <c r="L98" s="6" t="s">
        <v>444</v>
      </c>
      <c r="M98" s="7">
        <v>44317</v>
      </c>
      <c r="N98" s="7">
        <v>44317</v>
      </c>
      <c r="O98" s="14">
        <f>ROUND([1]CF!$BZ$32*1000000,2)</f>
        <v>76734.13</v>
      </c>
      <c r="P98" s="14"/>
      <c r="Q98" s="25"/>
      <c r="R98" s="8"/>
      <c r="S98" s="8"/>
      <c r="T98" s="8"/>
      <c r="U98" s="8"/>
      <c r="X98" s="16" t="str">
        <f>IF(B98="",VLOOKUP(A98,items_lookup!A:B,2,FALSE),B98)</f>
        <v>01. Item 01</v>
      </c>
      <c r="Y98" s="16">
        <f t="shared" si="4"/>
        <v>5</v>
      </c>
      <c r="Z98" s="16">
        <f t="shared" si="4"/>
        <v>5</v>
      </c>
      <c r="AA98" s="16">
        <f t="shared" si="5"/>
        <v>2021</v>
      </c>
      <c r="AB98" s="16">
        <f t="shared" si="6"/>
        <v>2021</v>
      </c>
      <c r="AC98" s="16">
        <f t="shared" si="7"/>
        <v>2021</v>
      </c>
    </row>
    <row r="99" spans="1:29" ht="15" customHeight="1" x14ac:dyDescent="0.2">
      <c r="A99" s="6" t="s">
        <v>529</v>
      </c>
      <c r="B99" s="6"/>
      <c r="C99" s="2" t="s">
        <v>445</v>
      </c>
      <c r="D99" s="5" t="s">
        <v>443</v>
      </c>
      <c r="E99" s="24" t="s">
        <v>440</v>
      </c>
      <c r="F99" s="6"/>
      <c r="G99" s="6"/>
      <c r="H99" s="6"/>
      <c r="I99" s="6"/>
      <c r="J99" s="6"/>
      <c r="K99" s="6"/>
      <c r="L99" s="6" t="s">
        <v>444</v>
      </c>
      <c r="M99" s="7">
        <v>44317</v>
      </c>
      <c r="N99" s="7">
        <v>44317</v>
      </c>
      <c r="O99" s="14">
        <f>ROUND([1]CF!$BZ$33*1000000,2)</f>
        <v>5653560.3600000003</v>
      </c>
      <c r="P99" s="14"/>
      <c r="Q99" s="25"/>
      <c r="R99" s="8"/>
      <c r="S99" s="8"/>
      <c r="T99" s="8"/>
      <c r="U99" s="8"/>
      <c r="X99" s="16" t="str">
        <f>IF(B99="",VLOOKUP(A99,items_lookup!A:B,2,FALSE),B99)</f>
        <v>02. Item 02</v>
      </c>
      <c r="Y99" s="16">
        <f t="shared" si="4"/>
        <v>5</v>
      </c>
      <c r="Z99" s="16">
        <f t="shared" si="4"/>
        <v>5</v>
      </c>
      <c r="AA99" s="16">
        <f t="shared" si="5"/>
        <v>2021</v>
      </c>
      <c r="AB99" s="16">
        <f t="shared" si="6"/>
        <v>2021</v>
      </c>
      <c r="AC99" s="16">
        <f t="shared" si="7"/>
        <v>2021</v>
      </c>
    </row>
    <row r="100" spans="1:29" ht="27.75" customHeight="1" x14ac:dyDescent="0.2">
      <c r="A100" s="6"/>
      <c r="B100" s="6" t="s">
        <v>448</v>
      </c>
      <c r="C100" s="2" t="s">
        <v>445</v>
      </c>
      <c r="D100" s="5" t="s">
        <v>443</v>
      </c>
      <c r="E100" s="24" t="s">
        <v>440</v>
      </c>
      <c r="F100" s="6"/>
      <c r="G100" s="6"/>
      <c r="H100" s="6"/>
      <c r="I100" s="6"/>
      <c r="J100" s="6"/>
      <c r="K100" s="6"/>
      <c r="L100" s="6" t="s">
        <v>444</v>
      </c>
      <c r="M100" s="7">
        <v>44317</v>
      </c>
      <c r="N100" s="7">
        <v>44317</v>
      </c>
      <c r="O100" s="14">
        <f>ROUND([1]CF!$BZ$34*1000000,2)</f>
        <v>49750.14</v>
      </c>
      <c r="P100" s="14"/>
      <c r="Q100" s="25"/>
      <c r="R100" s="9"/>
      <c r="S100" s="9"/>
      <c r="T100" s="9"/>
      <c r="U100" s="9"/>
      <c r="X100" s="16" t="str">
        <f>IF(B100="",VLOOKUP(A100,items_lookup!A:B,2,FALSE),B100)</f>
        <v>03. Item 03</v>
      </c>
      <c r="Y100" s="16">
        <f t="shared" si="4"/>
        <v>5</v>
      </c>
      <c r="Z100" s="16">
        <f t="shared" si="4"/>
        <v>5</v>
      </c>
      <c r="AA100" s="16">
        <f t="shared" si="5"/>
        <v>2021</v>
      </c>
      <c r="AB100" s="16">
        <f t="shared" si="6"/>
        <v>2021</v>
      </c>
      <c r="AC100" s="16">
        <f t="shared" si="7"/>
        <v>2021</v>
      </c>
    </row>
    <row r="101" spans="1:29" ht="12" customHeight="1" x14ac:dyDescent="0.2">
      <c r="A101" s="6"/>
      <c r="B101" s="6" t="s">
        <v>475</v>
      </c>
      <c r="C101" s="2" t="s">
        <v>445</v>
      </c>
      <c r="D101" s="5" t="s">
        <v>443</v>
      </c>
      <c r="E101" s="24" t="s">
        <v>440</v>
      </c>
      <c r="F101" s="6"/>
      <c r="G101" s="6"/>
      <c r="H101" s="6"/>
      <c r="I101" s="6"/>
      <c r="J101" s="6"/>
      <c r="K101" s="6"/>
      <c r="L101" s="6" t="s">
        <v>444</v>
      </c>
      <c r="M101" s="7">
        <v>44317</v>
      </c>
      <c r="N101" s="7">
        <v>44317</v>
      </c>
      <c r="O101" s="14">
        <f>ROUND([1]CF!$BZ$35*1000000,2)</f>
        <v>6330666.6699999999</v>
      </c>
      <c r="P101" s="14"/>
      <c r="Q101" s="25"/>
      <c r="R101" s="10"/>
      <c r="S101" s="10"/>
      <c r="T101" s="10"/>
      <c r="U101" s="10"/>
      <c r="X101" s="16" t="str">
        <f>IF(B101="",VLOOKUP(A101,items_lookup!A:B,2,FALSE),B101)</f>
        <v>04. Item 04</v>
      </c>
      <c r="Y101" s="16">
        <f t="shared" si="4"/>
        <v>5</v>
      </c>
      <c r="Z101" s="16">
        <f t="shared" si="4"/>
        <v>5</v>
      </c>
      <c r="AA101" s="16">
        <f t="shared" si="5"/>
        <v>2021</v>
      </c>
      <c r="AB101" s="16">
        <f t="shared" si="6"/>
        <v>2021</v>
      </c>
      <c r="AC101" s="16">
        <f t="shared" si="7"/>
        <v>2021</v>
      </c>
    </row>
    <row r="102" spans="1:29" ht="15" customHeight="1" x14ac:dyDescent="0.2">
      <c r="A102" s="6" t="s">
        <v>477</v>
      </c>
      <c r="B102" s="6"/>
      <c r="C102" s="2" t="s">
        <v>445</v>
      </c>
      <c r="D102" s="5" t="s">
        <v>443</v>
      </c>
      <c r="E102" s="24" t="s">
        <v>440</v>
      </c>
      <c r="F102" s="6"/>
      <c r="G102" s="6"/>
      <c r="H102" s="6"/>
      <c r="I102" s="6"/>
      <c r="J102" s="6"/>
      <c r="K102" s="6"/>
      <c r="L102" s="6" t="s">
        <v>444</v>
      </c>
      <c r="M102" s="7">
        <v>44317</v>
      </c>
      <c r="N102" s="7">
        <v>44317</v>
      </c>
      <c r="O102" s="14">
        <f>ROUND([1]CF!$BZ$37*1000000,2)-O103</f>
        <v>-1311954.2400000002</v>
      </c>
      <c r="P102" s="14"/>
      <c r="Q102" s="25"/>
      <c r="R102" s="9"/>
      <c r="S102" s="9"/>
      <c r="T102" s="9"/>
      <c r="U102" s="9"/>
      <c r="X102" s="16" t="str">
        <f>IF(B102="",VLOOKUP(A102,items_lookup!A:B,2,FALSE),B102)</f>
        <v>05. Item 05</v>
      </c>
      <c r="Y102" s="16">
        <f t="shared" si="4"/>
        <v>5</v>
      </c>
      <c r="Z102" s="16">
        <f t="shared" si="4"/>
        <v>5</v>
      </c>
      <c r="AA102" s="16">
        <f t="shared" si="5"/>
        <v>2021</v>
      </c>
      <c r="AB102" s="16">
        <f t="shared" si="6"/>
        <v>2021</v>
      </c>
      <c r="AC102" s="16">
        <f t="shared" si="7"/>
        <v>2021</v>
      </c>
    </row>
    <row r="103" spans="1:29" ht="15" customHeight="1" x14ac:dyDescent="0.2">
      <c r="A103" s="6" t="s">
        <v>477</v>
      </c>
      <c r="B103" s="6"/>
      <c r="C103" s="2" t="s">
        <v>445</v>
      </c>
      <c r="D103" s="5" t="s">
        <v>446</v>
      </c>
      <c r="E103" s="24" t="s">
        <v>440</v>
      </c>
      <c r="F103" s="6"/>
      <c r="G103" s="6"/>
      <c r="H103" s="6"/>
      <c r="I103" s="6"/>
      <c r="J103" s="6"/>
      <c r="K103" s="6"/>
      <c r="L103" s="6" t="s">
        <v>444</v>
      </c>
      <c r="M103" s="7">
        <v>44317</v>
      </c>
      <c r="N103" s="7">
        <v>44317</v>
      </c>
      <c r="O103" s="14">
        <f>O94+O96+O97-O115</f>
        <v>10915478.050000001</v>
      </c>
      <c r="P103" s="14"/>
      <c r="Q103" s="25"/>
      <c r="R103" s="9"/>
      <c r="S103" s="9"/>
      <c r="T103" s="9"/>
      <c r="U103" s="9"/>
      <c r="X103" s="16" t="str">
        <f>IF(B103="",VLOOKUP(A103,items_lookup!A:B,2,FALSE),B103)</f>
        <v>05. Item 05</v>
      </c>
      <c r="Y103" s="16">
        <f t="shared" si="4"/>
        <v>5</v>
      </c>
      <c r="Z103" s="16">
        <f t="shared" si="4"/>
        <v>5</v>
      </c>
      <c r="AA103" s="16">
        <f t="shared" si="5"/>
        <v>2021</v>
      </c>
      <c r="AB103" s="16">
        <f t="shared" si="6"/>
        <v>2021</v>
      </c>
      <c r="AC103" s="16">
        <f t="shared" si="7"/>
        <v>2021</v>
      </c>
    </row>
    <row r="104" spans="1:29" ht="15" customHeight="1" x14ac:dyDescent="0.2">
      <c r="A104" s="6" t="s">
        <v>480</v>
      </c>
      <c r="B104" s="6"/>
      <c r="C104" s="2" t="s">
        <v>445</v>
      </c>
      <c r="D104" s="5" t="s">
        <v>443</v>
      </c>
      <c r="E104" s="24" t="s">
        <v>440</v>
      </c>
      <c r="F104" s="6"/>
      <c r="G104" s="6"/>
      <c r="H104" s="6"/>
      <c r="I104" s="6"/>
      <c r="J104" s="6"/>
      <c r="K104" s="6"/>
      <c r="L104" s="6" t="s">
        <v>444</v>
      </c>
      <c r="M104" s="7">
        <v>44317</v>
      </c>
      <c r="N104" s="7">
        <v>44317</v>
      </c>
      <c r="O104" s="14">
        <f>ROUND([1]CF!$BZ$38*1000000,2)</f>
        <v>0</v>
      </c>
      <c r="P104" s="14"/>
      <c r="Q104" s="25"/>
      <c r="R104" s="9"/>
      <c r="S104" s="9"/>
      <c r="T104" s="9"/>
      <c r="U104" s="9"/>
      <c r="X104" s="16" t="str">
        <f>IF(B104="",VLOOKUP(A104,items_lookup!A:B,2,FALSE),B104)</f>
        <v>05. Item 05</v>
      </c>
      <c r="Y104" s="16">
        <f t="shared" si="4"/>
        <v>5</v>
      </c>
      <c r="Z104" s="16">
        <f t="shared" si="4"/>
        <v>5</v>
      </c>
      <c r="AA104" s="16">
        <f t="shared" si="5"/>
        <v>2021</v>
      </c>
      <c r="AB104" s="16">
        <f t="shared" si="6"/>
        <v>2021</v>
      </c>
      <c r="AC104" s="16">
        <f t="shared" si="7"/>
        <v>2021</v>
      </c>
    </row>
    <row r="105" spans="1:29" ht="15" customHeight="1" x14ac:dyDescent="0.2">
      <c r="A105" s="6" t="s">
        <v>540</v>
      </c>
      <c r="B105" s="6"/>
      <c r="C105" s="2" t="s">
        <v>445</v>
      </c>
      <c r="D105" s="5" t="s">
        <v>443</v>
      </c>
      <c r="E105" s="24" t="s">
        <v>440</v>
      </c>
      <c r="F105" s="6"/>
      <c r="G105" s="6"/>
      <c r="H105" s="6"/>
      <c r="I105" s="6"/>
      <c r="J105" s="6"/>
      <c r="K105" s="6"/>
      <c r="L105" s="6" t="s">
        <v>444</v>
      </c>
      <c r="M105" s="7">
        <v>44317</v>
      </c>
      <c r="N105" s="7">
        <v>44317</v>
      </c>
      <c r="O105" s="14">
        <f>ROUND([1]CF!$BZ$39*1000000,2)</f>
        <v>955765.37</v>
      </c>
      <c r="P105" s="14"/>
      <c r="Q105" s="25"/>
      <c r="R105" s="9"/>
      <c r="S105" s="9"/>
      <c r="T105" s="9"/>
      <c r="U105" s="9"/>
      <c r="X105" s="16" t="str">
        <f>IF(B105="",VLOOKUP(A105,items_lookup!A:B,2,FALSE),B105)</f>
        <v>06. Item 06</v>
      </c>
      <c r="Y105" s="16">
        <f t="shared" si="4"/>
        <v>5</v>
      </c>
      <c r="Z105" s="16">
        <f t="shared" si="4"/>
        <v>5</v>
      </c>
      <c r="AA105" s="16">
        <f t="shared" si="5"/>
        <v>2021</v>
      </c>
      <c r="AB105" s="16">
        <f t="shared" si="6"/>
        <v>2021</v>
      </c>
      <c r="AC105" s="16">
        <f t="shared" si="7"/>
        <v>2021</v>
      </c>
    </row>
    <row r="106" spans="1:29" ht="15" customHeight="1" x14ac:dyDescent="0.2">
      <c r="A106" s="6" t="s">
        <v>542</v>
      </c>
      <c r="B106" s="6"/>
      <c r="C106" s="2" t="s">
        <v>445</v>
      </c>
      <c r="D106" s="5" t="s">
        <v>443</v>
      </c>
      <c r="E106" s="24" t="s">
        <v>440</v>
      </c>
      <c r="F106" s="6"/>
      <c r="G106" s="6"/>
      <c r="H106" s="6"/>
      <c r="I106" s="6"/>
      <c r="J106" s="6"/>
      <c r="K106" s="6"/>
      <c r="L106" s="6" t="s">
        <v>444</v>
      </c>
      <c r="M106" s="7">
        <v>44317</v>
      </c>
      <c r="N106" s="7">
        <v>44317</v>
      </c>
      <c r="O106" s="14">
        <f>ROUND([1]CF!$BZ$41*1000000,2)</f>
        <v>0</v>
      </c>
      <c r="P106" s="14"/>
      <c r="Q106" s="25"/>
      <c r="R106" s="9"/>
      <c r="S106" s="9"/>
      <c r="T106" s="9"/>
      <c r="U106" s="9"/>
      <c r="X106" s="16" t="str">
        <f>IF(B106="",VLOOKUP(A106,items_lookup!A:B,2,FALSE),B106)</f>
        <v>07. Item 07</v>
      </c>
      <c r="Y106" s="16">
        <f t="shared" si="4"/>
        <v>5</v>
      </c>
      <c r="Z106" s="16">
        <f t="shared" si="4"/>
        <v>5</v>
      </c>
      <c r="AA106" s="16">
        <f t="shared" si="5"/>
        <v>2021</v>
      </c>
      <c r="AB106" s="16">
        <f t="shared" si="6"/>
        <v>2021</v>
      </c>
      <c r="AC106" s="16">
        <f t="shared" si="7"/>
        <v>2021</v>
      </c>
    </row>
    <row r="107" spans="1:29" ht="13.5" customHeight="1" x14ac:dyDescent="0.2">
      <c r="A107" s="6" t="s">
        <v>544</v>
      </c>
      <c r="B107" s="6"/>
      <c r="C107" s="2" t="s">
        <v>445</v>
      </c>
      <c r="D107" s="5" t="s">
        <v>443</v>
      </c>
      <c r="E107" s="24" t="s">
        <v>440</v>
      </c>
      <c r="F107" s="6"/>
      <c r="G107" s="6"/>
      <c r="H107" s="6"/>
      <c r="I107" s="6"/>
      <c r="J107" s="6"/>
      <c r="K107" s="6"/>
      <c r="L107" s="6" t="s">
        <v>444</v>
      </c>
      <c r="M107" s="7">
        <v>44317</v>
      </c>
      <c r="N107" s="7">
        <v>44317</v>
      </c>
      <c r="O107" s="14">
        <f>ROUND([1]CF!$BZ$43*1000000,2)</f>
        <v>0</v>
      </c>
      <c r="P107" s="14"/>
      <c r="Q107" s="25"/>
      <c r="R107" s="9"/>
      <c r="S107" s="9"/>
      <c r="T107" s="9"/>
      <c r="U107" s="9"/>
      <c r="X107" s="16" t="str">
        <f>IF(B107="",VLOOKUP(A107,items_lookup!A:B,2,FALSE),B107)</f>
        <v>08. Item 08</v>
      </c>
      <c r="Y107" s="16">
        <f t="shared" si="4"/>
        <v>5</v>
      </c>
      <c r="Z107" s="16">
        <f t="shared" si="4"/>
        <v>5</v>
      </c>
      <c r="AA107" s="16">
        <f t="shared" si="5"/>
        <v>2021</v>
      </c>
      <c r="AB107" s="16">
        <f t="shared" si="6"/>
        <v>2021</v>
      </c>
      <c r="AC107" s="16">
        <f t="shared" si="7"/>
        <v>2021</v>
      </c>
    </row>
    <row r="108" spans="1:29" ht="15" customHeight="1" x14ac:dyDescent="0.2">
      <c r="A108" s="6"/>
      <c r="B108" s="6" t="s">
        <v>484</v>
      </c>
      <c r="C108" s="2" t="s">
        <v>445</v>
      </c>
      <c r="D108" s="5" t="s">
        <v>443</v>
      </c>
      <c r="E108" s="24" t="s">
        <v>440</v>
      </c>
      <c r="F108" s="6"/>
      <c r="G108" s="6"/>
      <c r="H108" s="6"/>
      <c r="I108" s="6"/>
      <c r="J108" s="6"/>
      <c r="K108" s="6"/>
      <c r="L108" s="6" t="s">
        <v>444</v>
      </c>
      <c r="M108" s="7">
        <v>44317</v>
      </c>
      <c r="N108" s="7">
        <v>44317</v>
      </c>
      <c r="O108" s="14">
        <f>ROUND([1]CF!$BZ$44*1000000,2)</f>
        <v>287610.94</v>
      </c>
      <c r="P108" s="14"/>
      <c r="Q108" s="25"/>
      <c r="R108" s="9"/>
      <c r="S108" s="9"/>
      <c r="T108" s="9"/>
      <c r="U108" s="9"/>
      <c r="X108" s="16" t="str">
        <f>IF(B108="",VLOOKUP(A108,items_lookup!A:B,2,FALSE),B108)</f>
        <v>09. Item 09</v>
      </c>
      <c r="Y108" s="16">
        <f t="shared" si="4"/>
        <v>5</v>
      </c>
      <c r="Z108" s="16">
        <f t="shared" si="4"/>
        <v>5</v>
      </c>
      <c r="AA108" s="16">
        <f t="shared" si="5"/>
        <v>2021</v>
      </c>
      <c r="AB108" s="16">
        <f t="shared" si="6"/>
        <v>2021</v>
      </c>
      <c r="AC108" s="16">
        <f t="shared" si="7"/>
        <v>2021</v>
      </c>
    </row>
    <row r="109" spans="1:29" ht="21.75" customHeight="1" x14ac:dyDescent="0.2">
      <c r="A109" s="6"/>
      <c r="B109" s="6" t="s">
        <v>493</v>
      </c>
      <c r="C109" s="2" t="s">
        <v>445</v>
      </c>
      <c r="D109" s="5" t="s">
        <v>443</v>
      </c>
      <c r="E109" s="24" t="s">
        <v>440</v>
      </c>
      <c r="F109" s="6"/>
      <c r="G109" s="6"/>
      <c r="H109" s="6"/>
      <c r="I109" s="6"/>
      <c r="J109" s="6"/>
      <c r="K109" s="6"/>
      <c r="L109" s="6" t="s">
        <v>444</v>
      </c>
      <c r="M109" s="7">
        <v>44317</v>
      </c>
      <c r="N109" s="7">
        <v>44317</v>
      </c>
      <c r="O109" s="14">
        <f>ROUND([1]CF!$BZ$51*1000000,2)</f>
        <v>2099293.2999999998</v>
      </c>
      <c r="P109" s="14"/>
      <c r="Q109" s="25"/>
      <c r="R109" s="10"/>
      <c r="S109" s="10"/>
      <c r="T109" s="10"/>
      <c r="U109" s="10"/>
      <c r="X109" s="16" t="str">
        <f>IF(B109="",VLOOKUP(A109,items_lookup!A:B,2,FALSE),B109)</f>
        <v>10. Item 10</v>
      </c>
      <c r="Y109" s="16">
        <f t="shared" si="4"/>
        <v>5</v>
      </c>
      <c r="Z109" s="16">
        <f t="shared" si="4"/>
        <v>5</v>
      </c>
      <c r="AA109" s="16">
        <f t="shared" si="5"/>
        <v>2021</v>
      </c>
      <c r="AB109" s="16">
        <f t="shared" si="6"/>
        <v>2021</v>
      </c>
      <c r="AC109" s="16">
        <f t="shared" si="7"/>
        <v>2021</v>
      </c>
    </row>
    <row r="110" spans="1:29" ht="15" customHeight="1" x14ac:dyDescent="0.2">
      <c r="A110" s="6" t="s">
        <v>546</v>
      </c>
      <c r="B110" s="6"/>
      <c r="C110" s="2" t="s">
        <v>445</v>
      </c>
      <c r="D110" s="5" t="s">
        <v>443</v>
      </c>
      <c r="E110" s="24" t="s">
        <v>440</v>
      </c>
      <c r="F110" s="6"/>
      <c r="G110" s="6"/>
      <c r="H110" s="6"/>
      <c r="I110" s="6"/>
      <c r="J110" s="6"/>
      <c r="K110" s="6"/>
      <c r="L110" s="6" t="s">
        <v>444</v>
      </c>
      <c r="M110" s="7">
        <v>44317</v>
      </c>
      <c r="N110" s="7">
        <v>44317</v>
      </c>
      <c r="O110" s="14">
        <f>ROUND([1]CF!$BZ$52*1000000,2)</f>
        <v>0</v>
      </c>
      <c r="P110" s="14"/>
      <c r="Q110" s="25"/>
      <c r="R110" s="10"/>
      <c r="S110" s="10"/>
      <c r="T110" s="10"/>
      <c r="U110" s="10"/>
      <c r="X110" s="16" t="str">
        <f>IF(B110="",VLOOKUP(A110,items_lookup!A:B,2,FALSE),B110)</f>
        <v>11. Item 11</v>
      </c>
      <c r="Y110" s="16">
        <f t="shared" si="4"/>
        <v>5</v>
      </c>
      <c r="Z110" s="16">
        <f t="shared" si="4"/>
        <v>5</v>
      </c>
      <c r="AA110" s="16">
        <f t="shared" si="5"/>
        <v>2021</v>
      </c>
      <c r="AB110" s="16">
        <f t="shared" si="6"/>
        <v>2021</v>
      </c>
      <c r="AC110" s="16">
        <f t="shared" si="7"/>
        <v>2021</v>
      </c>
    </row>
    <row r="111" spans="1:29" ht="15" customHeight="1" x14ac:dyDescent="0.2">
      <c r="A111" s="6" t="s">
        <v>704</v>
      </c>
      <c r="B111" s="6"/>
      <c r="C111" s="2" t="s">
        <v>445</v>
      </c>
      <c r="D111" s="5" t="s">
        <v>443</v>
      </c>
      <c r="E111" s="24" t="s">
        <v>440</v>
      </c>
      <c r="F111" s="6"/>
      <c r="G111" s="6"/>
      <c r="H111" s="6"/>
      <c r="I111" s="6"/>
      <c r="J111" s="6"/>
      <c r="K111" s="6"/>
      <c r="L111" s="6" t="s">
        <v>444</v>
      </c>
      <c r="M111" s="7">
        <v>44317</v>
      </c>
      <c r="N111" s="7">
        <v>44317</v>
      </c>
      <c r="O111" s="14">
        <f>ROUND([1]CF!$BZ$53*1000000,2)</f>
        <v>-159119.04999999999</v>
      </c>
      <c r="P111" s="14"/>
      <c r="Q111" s="25"/>
      <c r="R111" s="18"/>
      <c r="S111" s="18"/>
      <c r="T111" s="18"/>
      <c r="U111" s="18"/>
      <c r="X111" s="16" t="e">
        <f>IF(B111="",VLOOKUP(A111,items_lookup!A:B,2,FALSE),B111)</f>
        <v>#N/A</v>
      </c>
      <c r="Y111" s="16">
        <f t="shared" si="4"/>
        <v>5</v>
      </c>
      <c r="Z111" s="16">
        <f t="shared" si="4"/>
        <v>5</v>
      </c>
      <c r="AA111" s="16">
        <f t="shared" si="5"/>
        <v>2021</v>
      </c>
      <c r="AB111" s="16">
        <f t="shared" si="6"/>
        <v>2021</v>
      </c>
      <c r="AC111" s="16">
        <f t="shared" si="7"/>
        <v>2021</v>
      </c>
    </row>
    <row r="112" spans="1:29" ht="15" customHeight="1" x14ac:dyDescent="0.2">
      <c r="A112" s="6"/>
      <c r="B112" s="6" t="s">
        <v>502</v>
      </c>
      <c r="C112" s="2" t="s">
        <v>445</v>
      </c>
      <c r="D112" s="5" t="s">
        <v>443</v>
      </c>
      <c r="E112" s="24" t="s">
        <v>440</v>
      </c>
      <c r="F112" s="6"/>
      <c r="G112" s="6"/>
      <c r="H112" s="6"/>
      <c r="I112" s="6"/>
      <c r="J112" s="6"/>
      <c r="K112" s="6"/>
      <c r="L112" s="6" t="s">
        <v>444</v>
      </c>
      <c r="M112" s="7">
        <v>44317</v>
      </c>
      <c r="N112" s="7">
        <v>44317</v>
      </c>
      <c r="O112" s="14">
        <f>ROUND([1]CF!$BZ$54*1000000,2)</f>
        <v>0</v>
      </c>
      <c r="P112" s="14"/>
      <c r="Q112" s="25"/>
      <c r="R112" s="10"/>
      <c r="S112" s="10"/>
      <c r="T112" s="10"/>
      <c r="U112" s="10"/>
      <c r="X112" s="16" t="str">
        <f>IF(B112="",VLOOKUP(A112,items_lookup!A:B,2,FALSE),B112)</f>
        <v>12. Item 12</v>
      </c>
      <c r="Y112" s="16">
        <f t="shared" si="4"/>
        <v>5</v>
      </c>
      <c r="Z112" s="16">
        <f t="shared" si="4"/>
        <v>5</v>
      </c>
      <c r="AA112" s="16">
        <f t="shared" si="5"/>
        <v>2021</v>
      </c>
      <c r="AB112" s="16">
        <f t="shared" si="6"/>
        <v>2021</v>
      </c>
      <c r="AC112" s="16">
        <f t="shared" si="7"/>
        <v>2021</v>
      </c>
    </row>
    <row r="113" spans="1:29" ht="14.25" customHeight="1" x14ac:dyDescent="0.2">
      <c r="A113" s="6"/>
      <c r="B113" s="6" t="s">
        <v>504</v>
      </c>
      <c r="C113" s="2" t="s">
        <v>445</v>
      </c>
      <c r="D113" s="5" t="s">
        <v>443</v>
      </c>
      <c r="E113" s="24" t="s">
        <v>440</v>
      </c>
      <c r="F113" s="6"/>
      <c r="G113" s="6"/>
      <c r="H113" s="6"/>
      <c r="I113" s="6"/>
      <c r="J113" s="6"/>
      <c r="K113" s="6"/>
      <c r="L113" s="6" t="s">
        <v>444</v>
      </c>
      <c r="M113" s="7">
        <v>44317</v>
      </c>
      <c r="N113" s="7">
        <v>44317</v>
      </c>
      <c r="O113" s="14">
        <f>ROUND([1]CF!$BZ$55*1000000,2)</f>
        <v>0</v>
      </c>
      <c r="P113" s="14"/>
      <c r="Q113" s="25"/>
      <c r="R113" s="10"/>
      <c r="S113" s="10"/>
      <c r="T113" s="10"/>
      <c r="U113" s="10"/>
      <c r="X113" s="16" t="str">
        <f>IF(B113="",VLOOKUP(A113,items_lookup!A:B,2,FALSE),B113)</f>
        <v>13. Item 13</v>
      </c>
      <c r="Y113" s="16">
        <f t="shared" si="4"/>
        <v>5</v>
      </c>
      <c r="Z113" s="16">
        <f t="shared" si="4"/>
        <v>5</v>
      </c>
      <c r="AA113" s="16">
        <f t="shared" si="5"/>
        <v>2021</v>
      </c>
      <c r="AB113" s="16">
        <f t="shared" si="6"/>
        <v>2021</v>
      </c>
      <c r="AC113" s="16">
        <f t="shared" si="7"/>
        <v>2021</v>
      </c>
    </row>
    <row r="114" spans="1:29" ht="15" customHeight="1" x14ac:dyDescent="0.2">
      <c r="A114" s="6" t="s">
        <v>552</v>
      </c>
      <c r="B114" s="6"/>
      <c r="C114" s="2" t="s">
        <v>445</v>
      </c>
      <c r="D114" s="5" t="s">
        <v>443</v>
      </c>
      <c r="E114" s="24" t="s">
        <v>440</v>
      </c>
      <c r="F114" s="6"/>
      <c r="G114" s="6"/>
      <c r="H114" s="6"/>
      <c r="I114" s="6"/>
      <c r="J114" s="6"/>
      <c r="K114" s="6"/>
      <c r="L114" s="6" t="s">
        <v>444</v>
      </c>
      <c r="M114" s="7">
        <v>44317</v>
      </c>
      <c r="N114" s="7">
        <v>44317</v>
      </c>
      <c r="O114" s="14">
        <f>ROUND([1]CF!$BZ$68*1000000,2)</f>
        <v>0</v>
      </c>
      <c r="P114" s="14"/>
      <c r="Q114" s="25"/>
      <c r="R114" s="10"/>
      <c r="S114" s="10"/>
      <c r="T114" s="10"/>
      <c r="U114" s="10"/>
      <c r="X114" s="16" t="str">
        <f>IF(B114="",VLOOKUP(A114,items_lookup!A:B,2,FALSE),B114)</f>
        <v>14. Item 14</v>
      </c>
      <c r="Y114" s="16">
        <f t="shared" si="4"/>
        <v>5</v>
      </c>
      <c r="Z114" s="16">
        <f t="shared" si="4"/>
        <v>5</v>
      </c>
      <c r="AA114" s="16">
        <f t="shared" si="5"/>
        <v>2021</v>
      </c>
      <c r="AB114" s="16">
        <f t="shared" si="6"/>
        <v>2021</v>
      </c>
      <c r="AC114" s="16">
        <f t="shared" si="7"/>
        <v>2021</v>
      </c>
    </row>
    <row r="115" spans="1:29" ht="15" customHeight="1" x14ac:dyDescent="0.2">
      <c r="A115" s="6" t="s">
        <v>558</v>
      </c>
      <c r="B115" s="6"/>
      <c r="C115" s="2" t="s">
        <v>445</v>
      </c>
      <c r="D115" s="5" t="s">
        <v>446</v>
      </c>
      <c r="E115" s="24" t="s">
        <v>440</v>
      </c>
      <c r="F115" s="6"/>
      <c r="G115" s="6"/>
      <c r="H115" s="6"/>
      <c r="I115" s="6"/>
      <c r="J115" s="6"/>
      <c r="K115" s="6"/>
      <c r="L115" s="6" t="s">
        <v>444</v>
      </c>
      <c r="M115" s="7">
        <v>44317</v>
      </c>
      <c r="N115" s="7">
        <v>44317</v>
      </c>
      <c r="O115" s="14">
        <f>ROUND([1]CF!$BZ$56*1000000,2)</f>
        <v>0</v>
      </c>
      <c r="P115" s="14"/>
      <c r="Q115" s="25"/>
      <c r="R115" s="10"/>
      <c r="S115" s="10"/>
      <c r="T115" s="10"/>
      <c r="U115" s="10"/>
      <c r="X115" s="16" t="str">
        <f>IF(B115="",VLOOKUP(A115,items_lookup!A:B,2,FALSE),B115)</f>
        <v>17. Item 17</v>
      </c>
      <c r="Y115" s="16">
        <f t="shared" si="4"/>
        <v>5</v>
      </c>
      <c r="Z115" s="16">
        <f t="shared" si="4"/>
        <v>5</v>
      </c>
      <c r="AA115" s="16">
        <f t="shared" si="5"/>
        <v>2021</v>
      </c>
      <c r="AB115" s="16">
        <f t="shared" si="6"/>
        <v>2021</v>
      </c>
      <c r="AC115" s="16">
        <f t="shared" si="7"/>
        <v>2021</v>
      </c>
    </row>
    <row r="116" spans="1:29" ht="15" customHeight="1" x14ac:dyDescent="0.2">
      <c r="A116" s="6" t="s">
        <v>562</v>
      </c>
      <c r="B116" s="6"/>
      <c r="C116" s="2" t="s">
        <v>445</v>
      </c>
      <c r="D116" s="5" t="s">
        <v>443</v>
      </c>
      <c r="E116" s="24" t="s">
        <v>440</v>
      </c>
      <c r="F116" s="6"/>
      <c r="G116" s="6"/>
      <c r="H116" s="6"/>
      <c r="I116" s="6"/>
      <c r="J116" s="6"/>
      <c r="K116" s="6"/>
      <c r="L116" s="6" t="s">
        <v>444</v>
      </c>
      <c r="M116" s="7">
        <v>44317</v>
      </c>
      <c r="N116" s="7">
        <v>44317</v>
      </c>
      <c r="O116" s="14">
        <f>ROUND([1]CF!$BZ$57*1000000,2)</f>
        <v>0</v>
      </c>
      <c r="P116" s="14"/>
      <c r="Q116" s="25"/>
      <c r="R116" s="10"/>
      <c r="S116" s="10"/>
      <c r="T116" s="10"/>
      <c r="U116" s="10"/>
      <c r="X116" s="16" t="str">
        <f>IF(B116="",VLOOKUP(A116,items_lookup!A:B,2,FALSE),B116)</f>
        <v>19. Item 19</v>
      </c>
      <c r="Y116" s="16">
        <f t="shared" si="4"/>
        <v>5</v>
      </c>
      <c r="Z116" s="16">
        <f t="shared" si="4"/>
        <v>5</v>
      </c>
      <c r="AA116" s="16">
        <f t="shared" si="5"/>
        <v>2021</v>
      </c>
      <c r="AB116" s="16">
        <f t="shared" si="6"/>
        <v>2021</v>
      </c>
      <c r="AC116" s="16">
        <f t="shared" si="7"/>
        <v>2021</v>
      </c>
    </row>
    <row r="117" spans="1:29" ht="15" customHeight="1" x14ac:dyDescent="0.2">
      <c r="A117" s="6" t="s">
        <v>450</v>
      </c>
      <c r="B117" s="6"/>
      <c r="C117" s="2" t="s">
        <v>445</v>
      </c>
      <c r="D117" s="5" t="s">
        <v>446</v>
      </c>
      <c r="E117" s="24" t="s">
        <v>439</v>
      </c>
      <c r="F117" s="6"/>
      <c r="G117" s="6"/>
      <c r="H117" s="6"/>
      <c r="I117" s="6"/>
      <c r="J117" s="6"/>
      <c r="K117" s="6"/>
      <c r="L117" s="6" t="s">
        <v>444</v>
      </c>
      <c r="M117" s="7">
        <v>44348</v>
      </c>
      <c r="N117" s="7">
        <v>44348</v>
      </c>
      <c r="O117" s="14">
        <f>ROUND([1]CF!$CA$28*1000000,2)</f>
        <v>10383138.390000001</v>
      </c>
      <c r="P117" s="14"/>
      <c r="Q117" s="25"/>
      <c r="R117" s="10"/>
      <c r="S117" s="10"/>
      <c r="T117" s="10"/>
      <c r="U117" s="10"/>
      <c r="X117" s="16" t="str">
        <f>IF(B117="",VLOOKUP(A117,items_lookup!A:B,2,FALSE),B117)</f>
        <v>_1. Item _1</v>
      </c>
      <c r="Y117" s="16">
        <f t="shared" si="4"/>
        <v>6</v>
      </c>
      <c r="Z117" s="16">
        <f t="shared" si="4"/>
        <v>6</v>
      </c>
      <c r="AA117" s="16">
        <f t="shared" si="5"/>
        <v>2021</v>
      </c>
      <c r="AB117" s="16">
        <f t="shared" si="6"/>
        <v>2021</v>
      </c>
      <c r="AC117" s="16">
        <f t="shared" si="7"/>
        <v>2021</v>
      </c>
    </row>
    <row r="118" spans="1:29" ht="15" customHeight="1" x14ac:dyDescent="0.2">
      <c r="A118" s="6" t="s">
        <v>450</v>
      </c>
      <c r="B118" s="6"/>
      <c r="C118" s="2" t="s">
        <v>445</v>
      </c>
      <c r="D118" s="5" t="s">
        <v>443</v>
      </c>
      <c r="E118" s="24" t="s">
        <v>439</v>
      </c>
      <c r="F118" s="6"/>
      <c r="G118" s="6"/>
      <c r="H118" s="6"/>
      <c r="I118" s="6"/>
      <c r="J118" s="6"/>
      <c r="K118" s="6"/>
      <c r="L118" s="6" t="s">
        <v>444</v>
      </c>
      <c r="M118" s="7">
        <v>44348</v>
      </c>
      <c r="N118" s="7">
        <v>44348</v>
      </c>
      <c r="O118" s="14">
        <f>ROUND([1]CF!$CA$27*1000000,2)</f>
        <v>39275296.280000001</v>
      </c>
      <c r="P118" s="14"/>
      <c r="Q118" s="25"/>
      <c r="R118" s="10"/>
      <c r="S118" s="10"/>
      <c r="T118" s="10"/>
      <c r="U118" s="10"/>
      <c r="X118" s="16" t="str">
        <f>IF(B118="",VLOOKUP(A118,items_lookup!A:B,2,FALSE),B118)</f>
        <v>_1. Item _1</v>
      </c>
      <c r="Y118" s="16">
        <f t="shared" si="4"/>
        <v>6</v>
      </c>
      <c r="Z118" s="16">
        <f t="shared" si="4"/>
        <v>6</v>
      </c>
      <c r="AA118" s="16">
        <f t="shared" si="5"/>
        <v>2021</v>
      </c>
      <c r="AB118" s="16">
        <f t="shared" si="6"/>
        <v>2021</v>
      </c>
      <c r="AC118" s="16">
        <f t="shared" si="7"/>
        <v>2021</v>
      </c>
    </row>
    <row r="119" spans="1:29" ht="15" customHeight="1" x14ac:dyDescent="0.2">
      <c r="A119" s="6" t="s">
        <v>457</v>
      </c>
      <c r="B119" s="6"/>
      <c r="C119" s="2" t="s">
        <v>445</v>
      </c>
      <c r="D119" s="5" t="s">
        <v>446</v>
      </c>
      <c r="E119" s="24" t="s">
        <v>439</v>
      </c>
      <c r="F119" s="6"/>
      <c r="G119" s="6"/>
      <c r="H119" s="6"/>
      <c r="I119" s="6"/>
      <c r="J119" s="6"/>
      <c r="K119" s="6"/>
      <c r="L119" s="6" t="s">
        <v>444</v>
      </c>
      <c r="M119" s="7">
        <v>44348</v>
      </c>
      <c r="N119" s="7">
        <v>44348</v>
      </c>
      <c r="O119" s="14">
        <f>ROUND([1]CF!$CA$29*1000000,2)</f>
        <v>360000</v>
      </c>
      <c r="P119" s="14"/>
      <c r="Q119" s="25"/>
      <c r="R119" s="10"/>
      <c r="S119" s="10"/>
      <c r="T119" s="10"/>
      <c r="U119" s="10"/>
      <c r="X119" s="16" t="str">
        <f>IF(B119="",VLOOKUP(A119,items_lookup!A:B,2,FALSE),B119)</f>
        <v>_2. Item _2</v>
      </c>
      <c r="Y119" s="16">
        <f t="shared" si="4"/>
        <v>6</v>
      </c>
      <c r="Z119" s="16">
        <f t="shared" si="4"/>
        <v>6</v>
      </c>
      <c r="AA119" s="16">
        <f t="shared" si="5"/>
        <v>2021</v>
      </c>
      <c r="AB119" s="16">
        <f t="shared" si="6"/>
        <v>2021</v>
      </c>
      <c r="AC119" s="16">
        <f t="shared" si="7"/>
        <v>2021</v>
      </c>
    </row>
    <row r="120" spans="1:29" ht="15" customHeight="1" x14ac:dyDescent="0.2">
      <c r="A120" s="6" t="s">
        <v>464</v>
      </c>
      <c r="B120" s="6"/>
      <c r="C120" s="2" t="s">
        <v>445</v>
      </c>
      <c r="D120" s="5" t="s">
        <v>446</v>
      </c>
      <c r="E120" s="24" t="s">
        <v>439</v>
      </c>
      <c r="F120" s="6"/>
      <c r="G120" s="6"/>
      <c r="H120" s="6"/>
      <c r="I120" s="6"/>
      <c r="J120" s="6"/>
      <c r="K120" s="6"/>
      <c r="L120" s="6" t="s">
        <v>444</v>
      </c>
      <c r="M120" s="7">
        <v>44348</v>
      </c>
      <c r="N120" s="7">
        <v>44348</v>
      </c>
      <c r="O120" s="14">
        <f>ROUND([1]CF!$CA$30*1000000,2)</f>
        <v>172339.66</v>
      </c>
      <c r="P120" s="14"/>
      <c r="Q120" s="25"/>
      <c r="R120" s="10"/>
      <c r="S120" s="10"/>
      <c r="T120" s="10"/>
      <c r="U120" s="10"/>
      <c r="X120" s="16" t="str">
        <f>IF(B120="",VLOOKUP(A120,items_lookup!A:B,2,FALSE),B120)</f>
        <v>_3. Item _3</v>
      </c>
      <c r="Y120" s="16">
        <f t="shared" si="4"/>
        <v>6</v>
      </c>
      <c r="Z120" s="16">
        <f t="shared" si="4"/>
        <v>6</v>
      </c>
      <c r="AA120" s="16">
        <f t="shared" si="5"/>
        <v>2021</v>
      </c>
      <c r="AB120" s="16">
        <f t="shared" si="6"/>
        <v>2021</v>
      </c>
      <c r="AC120" s="16">
        <f t="shared" si="7"/>
        <v>2021</v>
      </c>
    </row>
    <row r="121" spans="1:29" ht="15" customHeight="1" x14ac:dyDescent="0.2">
      <c r="A121" s="6" t="s">
        <v>538</v>
      </c>
      <c r="B121" s="6"/>
      <c r="C121" s="2" t="s">
        <v>445</v>
      </c>
      <c r="D121" s="5" t="s">
        <v>443</v>
      </c>
      <c r="E121" s="24" t="s">
        <v>440</v>
      </c>
      <c r="F121" s="6"/>
      <c r="G121" s="6"/>
      <c r="H121" s="6"/>
      <c r="I121" s="6"/>
      <c r="J121" s="6"/>
      <c r="K121" s="6"/>
      <c r="L121" s="6" t="s">
        <v>444</v>
      </c>
      <c r="M121" s="7">
        <v>44348</v>
      </c>
      <c r="N121" s="7">
        <v>44348</v>
      </c>
      <c r="O121" s="14">
        <f>ROUND([1]CF!$CA$32*1000000,2)</f>
        <v>76734.13</v>
      </c>
      <c r="P121" s="14"/>
      <c r="Q121" s="25"/>
      <c r="R121" s="8"/>
      <c r="S121" s="8"/>
      <c r="T121" s="8"/>
      <c r="U121" s="8"/>
      <c r="X121" s="16" t="str">
        <f>IF(B121="",VLOOKUP(A121,items_lookup!A:B,2,FALSE),B121)</f>
        <v>01. Item 01</v>
      </c>
      <c r="Y121" s="16">
        <f t="shared" si="4"/>
        <v>6</v>
      </c>
      <c r="Z121" s="16">
        <f t="shared" si="4"/>
        <v>6</v>
      </c>
      <c r="AA121" s="16">
        <f t="shared" si="5"/>
        <v>2021</v>
      </c>
      <c r="AB121" s="16">
        <f t="shared" si="6"/>
        <v>2021</v>
      </c>
      <c r="AC121" s="16">
        <f t="shared" si="7"/>
        <v>2021</v>
      </c>
    </row>
    <row r="122" spans="1:29" ht="15" customHeight="1" x14ac:dyDescent="0.2">
      <c r="A122" s="6" t="s">
        <v>529</v>
      </c>
      <c r="B122" s="6"/>
      <c r="C122" s="2" t="s">
        <v>445</v>
      </c>
      <c r="D122" s="5" t="s">
        <v>443</v>
      </c>
      <c r="E122" s="24" t="s">
        <v>440</v>
      </c>
      <c r="F122" s="6"/>
      <c r="G122" s="6"/>
      <c r="H122" s="6"/>
      <c r="I122" s="6"/>
      <c r="J122" s="6"/>
      <c r="K122" s="6"/>
      <c r="L122" s="6" t="s">
        <v>444</v>
      </c>
      <c r="M122" s="7">
        <v>44348</v>
      </c>
      <c r="N122" s="7">
        <v>44348</v>
      </c>
      <c r="O122" s="14">
        <f>ROUND([1]CF!$CA$33*1000000,2)</f>
        <v>5653560.3600000003</v>
      </c>
      <c r="P122" s="14"/>
      <c r="Q122" s="25"/>
      <c r="R122" s="8"/>
      <c r="S122" s="8"/>
      <c r="T122" s="8"/>
      <c r="U122" s="8"/>
      <c r="X122" s="16" t="str">
        <f>IF(B122="",VLOOKUP(A122,items_lookup!A:B,2,FALSE),B122)</f>
        <v>02. Item 02</v>
      </c>
      <c r="Y122" s="16">
        <f t="shared" si="4"/>
        <v>6</v>
      </c>
      <c r="Z122" s="16">
        <f t="shared" si="4"/>
        <v>6</v>
      </c>
      <c r="AA122" s="16">
        <f t="shared" si="5"/>
        <v>2021</v>
      </c>
      <c r="AB122" s="16">
        <f t="shared" si="6"/>
        <v>2021</v>
      </c>
      <c r="AC122" s="16">
        <f t="shared" si="7"/>
        <v>2021</v>
      </c>
    </row>
    <row r="123" spans="1:29" ht="27.75" customHeight="1" x14ac:dyDescent="0.2">
      <c r="A123" s="6"/>
      <c r="B123" s="6" t="s">
        <v>448</v>
      </c>
      <c r="C123" s="2" t="s">
        <v>445</v>
      </c>
      <c r="D123" s="5" t="s">
        <v>443</v>
      </c>
      <c r="E123" s="24" t="s">
        <v>440</v>
      </c>
      <c r="F123" s="6"/>
      <c r="G123" s="6"/>
      <c r="H123" s="6"/>
      <c r="I123" s="6"/>
      <c r="J123" s="6"/>
      <c r="K123" s="6"/>
      <c r="L123" s="6" t="s">
        <v>444</v>
      </c>
      <c r="M123" s="7">
        <v>44348</v>
      </c>
      <c r="N123" s="7">
        <v>44348</v>
      </c>
      <c r="O123" s="14">
        <f>ROUND([1]CF!$CA$34*1000000,2)</f>
        <v>49750.14</v>
      </c>
      <c r="P123" s="14"/>
      <c r="Q123" s="25"/>
      <c r="R123" s="9"/>
      <c r="S123" s="9"/>
      <c r="T123" s="9"/>
      <c r="U123" s="9"/>
      <c r="X123" s="16" t="str">
        <f>IF(B123="",VLOOKUP(A123,items_lookup!A:B,2,FALSE),B123)</f>
        <v>03. Item 03</v>
      </c>
      <c r="Y123" s="16">
        <f t="shared" si="4"/>
        <v>6</v>
      </c>
      <c r="Z123" s="16">
        <f t="shared" si="4"/>
        <v>6</v>
      </c>
      <c r="AA123" s="16">
        <f t="shared" si="5"/>
        <v>2021</v>
      </c>
      <c r="AB123" s="16">
        <f t="shared" si="6"/>
        <v>2021</v>
      </c>
      <c r="AC123" s="16">
        <f t="shared" si="7"/>
        <v>2021</v>
      </c>
    </row>
    <row r="124" spans="1:29" ht="12" customHeight="1" x14ac:dyDescent="0.2">
      <c r="A124" s="6"/>
      <c r="B124" s="6" t="s">
        <v>475</v>
      </c>
      <c r="C124" s="2" t="s">
        <v>445</v>
      </c>
      <c r="D124" s="5" t="s">
        <v>443</v>
      </c>
      <c r="E124" s="24" t="s">
        <v>440</v>
      </c>
      <c r="F124" s="6"/>
      <c r="G124" s="6"/>
      <c r="H124" s="6"/>
      <c r="I124" s="6"/>
      <c r="J124" s="6"/>
      <c r="K124" s="6"/>
      <c r="L124" s="6" t="s">
        <v>444</v>
      </c>
      <c r="M124" s="7">
        <v>44348</v>
      </c>
      <c r="N124" s="7">
        <v>44348</v>
      </c>
      <c r="O124" s="14">
        <f>ROUND([1]CF!$CA$35*1000000,2)</f>
        <v>6330666.6699999999</v>
      </c>
      <c r="P124" s="14"/>
      <c r="Q124" s="25"/>
      <c r="R124" s="10"/>
      <c r="S124" s="10"/>
      <c r="T124" s="10"/>
      <c r="U124" s="10"/>
      <c r="X124" s="16" t="str">
        <f>IF(B124="",VLOOKUP(A124,items_lookup!A:B,2,FALSE),B124)</f>
        <v>04. Item 04</v>
      </c>
      <c r="Y124" s="16">
        <f t="shared" si="4"/>
        <v>6</v>
      </c>
      <c r="Z124" s="16">
        <f t="shared" si="4"/>
        <v>6</v>
      </c>
      <c r="AA124" s="16">
        <f t="shared" si="5"/>
        <v>2021</v>
      </c>
      <c r="AB124" s="16">
        <f t="shared" si="6"/>
        <v>2021</v>
      </c>
      <c r="AC124" s="16">
        <f t="shared" si="7"/>
        <v>2021</v>
      </c>
    </row>
    <row r="125" spans="1:29" ht="15" customHeight="1" x14ac:dyDescent="0.2">
      <c r="A125" s="6" t="s">
        <v>477</v>
      </c>
      <c r="B125" s="6"/>
      <c r="C125" s="2" t="s">
        <v>445</v>
      </c>
      <c r="D125" s="5" t="s">
        <v>443</v>
      </c>
      <c r="E125" s="24" t="s">
        <v>440</v>
      </c>
      <c r="F125" s="6"/>
      <c r="G125" s="6"/>
      <c r="H125" s="6"/>
      <c r="I125" s="6"/>
      <c r="J125" s="6"/>
      <c r="K125" s="6"/>
      <c r="L125" s="6" t="s">
        <v>444</v>
      </c>
      <c r="M125" s="7">
        <v>44348</v>
      </c>
      <c r="N125" s="7">
        <v>44348</v>
      </c>
      <c r="O125" s="14">
        <f>ROUND([1]CF!$CA$37*1000000,2)-O126</f>
        <v>-1311954.2400000002</v>
      </c>
      <c r="P125" s="14"/>
      <c r="Q125" s="25"/>
      <c r="R125" s="9"/>
      <c r="S125" s="9"/>
      <c r="T125" s="9"/>
      <c r="U125" s="9"/>
      <c r="X125" s="16" t="str">
        <f>IF(B125="",VLOOKUP(A125,items_lookup!A:B,2,FALSE),B125)</f>
        <v>05. Item 05</v>
      </c>
      <c r="Y125" s="16">
        <f t="shared" si="4"/>
        <v>6</v>
      </c>
      <c r="Z125" s="16">
        <f t="shared" si="4"/>
        <v>6</v>
      </c>
      <c r="AA125" s="16">
        <f t="shared" si="5"/>
        <v>2021</v>
      </c>
      <c r="AB125" s="16">
        <f t="shared" si="6"/>
        <v>2021</v>
      </c>
      <c r="AC125" s="16">
        <f t="shared" si="7"/>
        <v>2021</v>
      </c>
    </row>
    <row r="126" spans="1:29" ht="15" customHeight="1" x14ac:dyDescent="0.2">
      <c r="A126" s="6" t="s">
        <v>477</v>
      </c>
      <c r="B126" s="6"/>
      <c r="C126" s="2" t="s">
        <v>445</v>
      </c>
      <c r="D126" s="5" t="s">
        <v>446</v>
      </c>
      <c r="E126" s="24" t="s">
        <v>440</v>
      </c>
      <c r="F126" s="6"/>
      <c r="G126" s="6"/>
      <c r="H126" s="6"/>
      <c r="I126" s="6"/>
      <c r="J126" s="6"/>
      <c r="K126" s="6"/>
      <c r="L126" s="6" t="s">
        <v>444</v>
      </c>
      <c r="M126" s="7">
        <v>44348</v>
      </c>
      <c r="N126" s="7">
        <v>44348</v>
      </c>
      <c r="O126" s="14">
        <f>O117+O119+O120-O138</f>
        <v>10915478.050000001</v>
      </c>
      <c r="P126" s="14"/>
      <c r="Q126" s="25"/>
      <c r="R126" s="9"/>
      <c r="S126" s="9"/>
      <c r="T126" s="9"/>
      <c r="U126" s="9"/>
      <c r="X126" s="16" t="str">
        <f>IF(B126="",VLOOKUP(A126,items_lookup!A:B,2,FALSE),B126)</f>
        <v>05. Item 05</v>
      </c>
      <c r="Y126" s="16">
        <f t="shared" si="4"/>
        <v>6</v>
      </c>
      <c r="Z126" s="16">
        <f t="shared" si="4"/>
        <v>6</v>
      </c>
      <c r="AA126" s="16">
        <f t="shared" si="5"/>
        <v>2021</v>
      </c>
      <c r="AB126" s="16">
        <f t="shared" si="6"/>
        <v>2021</v>
      </c>
      <c r="AC126" s="16">
        <f t="shared" si="7"/>
        <v>2021</v>
      </c>
    </row>
    <row r="127" spans="1:29" ht="15" customHeight="1" x14ac:dyDescent="0.2">
      <c r="A127" s="6" t="s">
        <v>480</v>
      </c>
      <c r="B127" s="6"/>
      <c r="C127" s="2" t="s">
        <v>445</v>
      </c>
      <c r="D127" s="5" t="s">
        <v>443</v>
      </c>
      <c r="E127" s="24" t="s">
        <v>440</v>
      </c>
      <c r="F127" s="6"/>
      <c r="G127" s="6"/>
      <c r="H127" s="6"/>
      <c r="I127" s="6"/>
      <c r="J127" s="6"/>
      <c r="K127" s="6"/>
      <c r="L127" s="6" t="s">
        <v>444</v>
      </c>
      <c r="M127" s="7">
        <v>44348</v>
      </c>
      <c r="N127" s="7">
        <v>44348</v>
      </c>
      <c r="O127" s="14">
        <f>ROUND([1]CF!$CA$38*1000000,2)</f>
        <v>0</v>
      </c>
      <c r="P127" s="14"/>
      <c r="Q127" s="25"/>
      <c r="R127" s="9"/>
      <c r="S127" s="9"/>
      <c r="T127" s="9"/>
      <c r="U127" s="9"/>
      <c r="X127" s="16" t="str">
        <f>IF(B127="",VLOOKUP(A127,items_lookup!A:B,2,FALSE),B127)</f>
        <v>05. Item 05</v>
      </c>
      <c r="Y127" s="16">
        <f t="shared" si="4"/>
        <v>6</v>
      </c>
      <c r="Z127" s="16">
        <f t="shared" si="4"/>
        <v>6</v>
      </c>
      <c r="AA127" s="16">
        <f t="shared" si="5"/>
        <v>2021</v>
      </c>
      <c r="AB127" s="16">
        <f t="shared" si="6"/>
        <v>2021</v>
      </c>
      <c r="AC127" s="16">
        <f t="shared" si="7"/>
        <v>2021</v>
      </c>
    </row>
    <row r="128" spans="1:29" ht="15" customHeight="1" x14ac:dyDescent="0.2">
      <c r="A128" s="6" t="s">
        <v>540</v>
      </c>
      <c r="B128" s="6"/>
      <c r="C128" s="2" t="s">
        <v>445</v>
      </c>
      <c r="D128" s="5" t="s">
        <v>443</v>
      </c>
      <c r="E128" s="24" t="s">
        <v>440</v>
      </c>
      <c r="F128" s="6"/>
      <c r="G128" s="6"/>
      <c r="H128" s="6"/>
      <c r="I128" s="6"/>
      <c r="J128" s="6"/>
      <c r="K128" s="6"/>
      <c r="L128" s="6" t="s">
        <v>444</v>
      </c>
      <c r="M128" s="7">
        <v>44348</v>
      </c>
      <c r="N128" s="7">
        <v>44348</v>
      </c>
      <c r="O128" s="14">
        <f>ROUND([1]CF!$CA$39*1000000,2)</f>
        <v>955765.37</v>
      </c>
      <c r="P128" s="14"/>
      <c r="Q128" s="25"/>
      <c r="R128" s="9"/>
      <c r="S128" s="9"/>
      <c r="T128" s="9"/>
      <c r="U128" s="9"/>
      <c r="X128" s="16" t="str">
        <f>IF(B128="",VLOOKUP(A128,items_lookup!A:B,2,FALSE),B128)</f>
        <v>06. Item 06</v>
      </c>
      <c r="Y128" s="16">
        <f t="shared" si="4"/>
        <v>6</v>
      </c>
      <c r="Z128" s="16">
        <f t="shared" si="4"/>
        <v>6</v>
      </c>
      <c r="AA128" s="16">
        <f t="shared" si="5"/>
        <v>2021</v>
      </c>
      <c r="AB128" s="16">
        <f t="shared" si="6"/>
        <v>2021</v>
      </c>
      <c r="AC128" s="16">
        <f t="shared" si="7"/>
        <v>2021</v>
      </c>
    </row>
    <row r="129" spans="1:29" ht="15" customHeight="1" x14ac:dyDescent="0.2">
      <c r="A129" s="6" t="s">
        <v>542</v>
      </c>
      <c r="B129" s="6"/>
      <c r="C129" s="2" t="s">
        <v>445</v>
      </c>
      <c r="D129" s="5" t="s">
        <v>443</v>
      </c>
      <c r="E129" s="24" t="s">
        <v>440</v>
      </c>
      <c r="F129" s="6"/>
      <c r="G129" s="6"/>
      <c r="H129" s="6"/>
      <c r="I129" s="6"/>
      <c r="J129" s="6"/>
      <c r="K129" s="6"/>
      <c r="L129" s="6" t="s">
        <v>444</v>
      </c>
      <c r="M129" s="7">
        <v>44348</v>
      </c>
      <c r="N129" s="7">
        <v>44348</v>
      </c>
      <c r="O129" s="14">
        <f>ROUND([1]CF!$CA$41*1000000,2)</f>
        <v>0</v>
      </c>
      <c r="P129" s="14"/>
      <c r="Q129" s="25"/>
      <c r="R129" s="9"/>
      <c r="S129" s="9"/>
      <c r="T129" s="9"/>
      <c r="U129" s="9"/>
      <c r="X129" s="16" t="str">
        <f>IF(B129="",VLOOKUP(A129,items_lookup!A:B,2,FALSE),B129)</f>
        <v>07. Item 07</v>
      </c>
      <c r="Y129" s="16">
        <f t="shared" si="4"/>
        <v>6</v>
      </c>
      <c r="Z129" s="16">
        <f t="shared" si="4"/>
        <v>6</v>
      </c>
      <c r="AA129" s="16">
        <f t="shared" si="5"/>
        <v>2021</v>
      </c>
      <c r="AB129" s="16">
        <f t="shared" si="6"/>
        <v>2021</v>
      </c>
      <c r="AC129" s="16">
        <f t="shared" si="7"/>
        <v>2021</v>
      </c>
    </row>
    <row r="130" spans="1:29" ht="13.5" customHeight="1" x14ac:dyDescent="0.2">
      <c r="A130" s="6" t="s">
        <v>544</v>
      </c>
      <c r="B130" s="6"/>
      <c r="C130" s="2" t="s">
        <v>445</v>
      </c>
      <c r="D130" s="5" t="s">
        <v>443</v>
      </c>
      <c r="E130" s="24" t="s">
        <v>440</v>
      </c>
      <c r="F130" s="6"/>
      <c r="G130" s="6"/>
      <c r="H130" s="6"/>
      <c r="I130" s="6"/>
      <c r="J130" s="6"/>
      <c r="K130" s="6"/>
      <c r="L130" s="6" t="s">
        <v>444</v>
      </c>
      <c r="M130" s="7">
        <v>44348</v>
      </c>
      <c r="N130" s="7">
        <v>44348</v>
      </c>
      <c r="O130" s="14">
        <f>ROUND([1]CF!$CA$43*1000000,2)</f>
        <v>0</v>
      </c>
      <c r="P130" s="14"/>
      <c r="Q130" s="25"/>
      <c r="R130" s="9"/>
      <c r="S130" s="9"/>
      <c r="T130" s="9"/>
      <c r="U130" s="9"/>
      <c r="X130" s="16" t="str">
        <f>IF(B130="",VLOOKUP(A130,items_lookup!A:B,2,FALSE),B130)</f>
        <v>08. Item 08</v>
      </c>
      <c r="Y130" s="16">
        <f t="shared" si="4"/>
        <v>6</v>
      </c>
      <c r="Z130" s="16">
        <f t="shared" si="4"/>
        <v>6</v>
      </c>
      <c r="AA130" s="16">
        <f t="shared" si="5"/>
        <v>2021</v>
      </c>
      <c r="AB130" s="16">
        <f t="shared" si="6"/>
        <v>2021</v>
      </c>
      <c r="AC130" s="16">
        <f t="shared" si="7"/>
        <v>2021</v>
      </c>
    </row>
    <row r="131" spans="1:29" ht="15" customHeight="1" x14ac:dyDescent="0.2">
      <c r="A131" s="6"/>
      <c r="B131" s="6" t="s">
        <v>484</v>
      </c>
      <c r="C131" s="2" t="s">
        <v>445</v>
      </c>
      <c r="D131" s="5" t="s">
        <v>443</v>
      </c>
      <c r="E131" s="24" t="s">
        <v>440</v>
      </c>
      <c r="F131" s="6"/>
      <c r="G131" s="6"/>
      <c r="H131" s="6"/>
      <c r="I131" s="6"/>
      <c r="J131" s="6"/>
      <c r="K131" s="6"/>
      <c r="L131" s="6" t="s">
        <v>444</v>
      </c>
      <c r="M131" s="7">
        <v>44348</v>
      </c>
      <c r="N131" s="7">
        <v>44348</v>
      </c>
      <c r="O131" s="14">
        <f>ROUND([1]CF!$CA$44*1000000,2)</f>
        <v>287610.94</v>
      </c>
      <c r="P131" s="14"/>
      <c r="Q131" s="25"/>
      <c r="R131" s="9"/>
      <c r="S131" s="9"/>
      <c r="T131" s="9"/>
      <c r="U131" s="9"/>
      <c r="X131" s="16" t="str">
        <f>IF(B131="",VLOOKUP(A131,items_lookup!A:B,2,FALSE),B131)</f>
        <v>09. Item 09</v>
      </c>
      <c r="Y131" s="16">
        <f t="shared" si="4"/>
        <v>6</v>
      </c>
      <c r="Z131" s="16">
        <f t="shared" si="4"/>
        <v>6</v>
      </c>
      <c r="AA131" s="16">
        <f t="shared" si="5"/>
        <v>2021</v>
      </c>
      <c r="AB131" s="16">
        <f t="shared" si="6"/>
        <v>2021</v>
      </c>
      <c r="AC131" s="16">
        <f t="shared" si="7"/>
        <v>2021</v>
      </c>
    </row>
    <row r="132" spans="1:29" ht="21.75" customHeight="1" x14ac:dyDescent="0.2">
      <c r="A132" s="6"/>
      <c r="B132" s="6" t="s">
        <v>493</v>
      </c>
      <c r="C132" s="2" t="s">
        <v>445</v>
      </c>
      <c r="D132" s="5" t="s">
        <v>443</v>
      </c>
      <c r="E132" s="24" t="s">
        <v>440</v>
      </c>
      <c r="F132" s="6"/>
      <c r="G132" s="6"/>
      <c r="H132" s="6"/>
      <c r="I132" s="6"/>
      <c r="J132" s="6"/>
      <c r="K132" s="6"/>
      <c r="L132" s="6" t="s">
        <v>444</v>
      </c>
      <c r="M132" s="7">
        <v>44348</v>
      </c>
      <c r="N132" s="7">
        <v>44348</v>
      </c>
      <c r="O132" s="14">
        <f>ROUND([1]CF!$CA$51*1000000,2)</f>
        <v>2099293.2999999998</v>
      </c>
      <c r="P132" s="14"/>
      <c r="Q132" s="25"/>
      <c r="R132" s="10"/>
      <c r="S132" s="10"/>
      <c r="T132" s="10"/>
      <c r="U132" s="10"/>
      <c r="X132" s="16" t="str">
        <f>IF(B132="",VLOOKUP(A132,items_lookup!A:B,2,FALSE),B132)</f>
        <v>10. Item 10</v>
      </c>
      <c r="Y132" s="16">
        <f t="shared" si="4"/>
        <v>6</v>
      </c>
      <c r="Z132" s="16">
        <f t="shared" si="4"/>
        <v>6</v>
      </c>
      <c r="AA132" s="16">
        <f t="shared" si="5"/>
        <v>2021</v>
      </c>
      <c r="AB132" s="16">
        <f t="shared" si="6"/>
        <v>2021</v>
      </c>
      <c r="AC132" s="16">
        <f t="shared" si="7"/>
        <v>2021</v>
      </c>
    </row>
    <row r="133" spans="1:29" ht="15" customHeight="1" x14ac:dyDescent="0.2">
      <c r="A133" s="6" t="s">
        <v>546</v>
      </c>
      <c r="B133" s="6"/>
      <c r="C133" s="2" t="s">
        <v>445</v>
      </c>
      <c r="D133" s="5" t="s">
        <v>443</v>
      </c>
      <c r="E133" s="24" t="s">
        <v>440</v>
      </c>
      <c r="F133" s="6"/>
      <c r="G133" s="6"/>
      <c r="H133" s="6"/>
      <c r="I133" s="6"/>
      <c r="J133" s="6"/>
      <c r="K133" s="6"/>
      <c r="L133" s="6" t="s">
        <v>444</v>
      </c>
      <c r="M133" s="7">
        <v>44348</v>
      </c>
      <c r="N133" s="7">
        <v>44348</v>
      </c>
      <c r="O133" s="14">
        <f>ROUND([1]CF!$CA$52*1000000,2)</f>
        <v>0</v>
      </c>
      <c r="P133" s="14"/>
      <c r="Q133" s="25"/>
      <c r="R133" s="10"/>
      <c r="S133" s="10"/>
      <c r="T133" s="10"/>
      <c r="U133" s="10"/>
      <c r="X133" s="16" t="str">
        <f>IF(B133="",VLOOKUP(A133,items_lookup!A:B,2,FALSE),B133)</f>
        <v>11. Item 11</v>
      </c>
      <c r="Y133" s="16">
        <f t="shared" si="4"/>
        <v>6</v>
      </c>
      <c r="Z133" s="16">
        <f t="shared" si="4"/>
        <v>6</v>
      </c>
      <c r="AA133" s="16">
        <f t="shared" si="5"/>
        <v>2021</v>
      </c>
      <c r="AB133" s="16">
        <f t="shared" si="6"/>
        <v>2021</v>
      </c>
      <c r="AC133" s="16">
        <f t="shared" si="7"/>
        <v>2021</v>
      </c>
    </row>
    <row r="134" spans="1:29" ht="15" customHeight="1" x14ac:dyDescent="0.2">
      <c r="A134" s="6" t="s">
        <v>704</v>
      </c>
      <c r="B134" s="6"/>
      <c r="C134" s="2" t="s">
        <v>445</v>
      </c>
      <c r="D134" s="5" t="s">
        <v>443</v>
      </c>
      <c r="E134" s="24" t="s">
        <v>440</v>
      </c>
      <c r="F134" s="6"/>
      <c r="G134" s="6"/>
      <c r="H134" s="6"/>
      <c r="I134" s="6"/>
      <c r="J134" s="6"/>
      <c r="K134" s="6"/>
      <c r="L134" s="6" t="s">
        <v>444</v>
      </c>
      <c r="M134" s="7">
        <v>44348</v>
      </c>
      <c r="N134" s="7">
        <v>44348</v>
      </c>
      <c r="O134" s="14">
        <f>ROUND([1]CF!$CA$53*1000000,2)</f>
        <v>-159119.04999999999</v>
      </c>
      <c r="P134" s="14"/>
      <c r="Q134" s="25"/>
      <c r="R134" s="18"/>
      <c r="S134" s="18"/>
      <c r="T134" s="18"/>
      <c r="U134" s="18"/>
      <c r="X134" s="16" t="e">
        <f>IF(B134="",VLOOKUP(A134,items_lookup!A:B,2,FALSE),B134)</f>
        <v>#N/A</v>
      </c>
      <c r="Y134" s="16">
        <f t="shared" si="4"/>
        <v>6</v>
      </c>
      <c r="Z134" s="16">
        <f t="shared" si="4"/>
        <v>6</v>
      </c>
      <c r="AA134" s="16">
        <f t="shared" si="5"/>
        <v>2021</v>
      </c>
      <c r="AB134" s="16">
        <f t="shared" si="6"/>
        <v>2021</v>
      </c>
      <c r="AC134" s="16">
        <f t="shared" si="7"/>
        <v>2021</v>
      </c>
    </row>
    <row r="135" spans="1:29" ht="15" customHeight="1" x14ac:dyDescent="0.2">
      <c r="A135" s="6"/>
      <c r="B135" s="6" t="s">
        <v>502</v>
      </c>
      <c r="C135" s="2" t="s">
        <v>445</v>
      </c>
      <c r="D135" s="5" t="s">
        <v>443</v>
      </c>
      <c r="E135" s="24" t="s">
        <v>440</v>
      </c>
      <c r="F135" s="6"/>
      <c r="G135" s="6"/>
      <c r="H135" s="6"/>
      <c r="I135" s="6"/>
      <c r="J135" s="6"/>
      <c r="K135" s="6"/>
      <c r="L135" s="6" t="s">
        <v>444</v>
      </c>
      <c r="M135" s="7">
        <v>44348</v>
      </c>
      <c r="N135" s="7">
        <v>44348</v>
      </c>
      <c r="O135" s="14">
        <f>ROUND([1]CF!$CA$54*1000000,2)</f>
        <v>0</v>
      </c>
      <c r="P135" s="14"/>
      <c r="Q135" s="25"/>
      <c r="R135" s="10"/>
      <c r="S135" s="10"/>
      <c r="T135" s="10"/>
      <c r="U135" s="10"/>
      <c r="X135" s="16" t="str">
        <f>IF(B135="",VLOOKUP(A135,items_lookup!A:B,2,FALSE),B135)</f>
        <v>12. Item 12</v>
      </c>
      <c r="Y135" s="16">
        <f t="shared" ref="Y135:Z201" si="8">MONTH(M135)</f>
        <v>6</v>
      </c>
      <c r="Z135" s="16">
        <f t="shared" si="8"/>
        <v>6</v>
      </c>
      <c r="AA135" s="16">
        <f t="shared" ref="AA135:AA201" si="9">YEAR(N135)</f>
        <v>2021</v>
      </c>
      <c r="AB135" s="16">
        <f t="shared" ref="AB135:AB201" si="10">YEAR(M135)</f>
        <v>2021</v>
      </c>
      <c r="AC135" s="16">
        <f t="shared" ref="AC135:AC201" si="11">IF(F135="X",AA135-1,AA135)</f>
        <v>2021</v>
      </c>
    </row>
    <row r="136" spans="1:29" ht="14.25" customHeight="1" x14ac:dyDescent="0.2">
      <c r="A136" s="6"/>
      <c r="B136" s="6" t="s">
        <v>504</v>
      </c>
      <c r="C136" s="2" t="s">
        <v>445</v>
      </c>
      <c r="D136" s="5" t="s">
        <v>443</v>
      </c>
      <c r="E136" s="24" t="s">
        <v>440</v>
      </c>
      <c r="F136" s="6"/>
      <c r="G136" s="6"/>
      <c r="H136" s="6"/>
      <c r="I136" s="6"/>
      <c r="J136" s="6"/>
      <c r="K136" s="6"/>
      <c r="L136" s="6" t="s">
        <v>444</v>
      </c>
      <c r="M136" s="7">
        <v>44348</v>
      </c>
      <c r="N136" s="7">
        <v>44348</v>
      </c>
      <c r="O136" s="14">
        <f>ROUND([1]CF!$CA$55*1000000,2)</f>
        <v>0</v>
      </c>
      <c r="P136" s="14"/>
      <c r="Q136" s="25"/>
      <c r="R136" s="10"/>
      <c r="S136" s="10"/>
      <c r="T136" s="10"/>
      <c r="U136" s="10"/>
      <c r="X136" s="16" t="str">
        <f>IF(B136="",VLOOKUP(A136,items_lookup!A:B,2,FALSE),B136)</f>
        <v>13. Item 13</v>
      </c>
      <c r="Y136" s="16">
        <f t="shared" si="8"/>
        <v>6</v>
      </c>
      <c r="Z136" s="16">
        <f t="shared" si="8"/>
        <v>6</v>
      </c>
      <c r="AA136" s="16">
        <f t="shared" si="9"/>
        <v>2021</v>
      </c>
      <c r="AB136" s="16">
        <f t="shared" si="10"/>
        <v>2021</v>
      </c>
      <c r="AC136" s="16">
        <f t="shared" si="11"/>
        <v>2021</v>
      </c>
    </row>
    <row r="137" spans="1:29" ht="15" customHeight="1" x14ac:dyDescent="0.2">
      <c r="A137" s="6" t="s">
        <v>552</v>
      </c>
      <c r="B137" s="6"/>
      <c r="C137" s="2" t="s">
        <v>445</v>
      </c>
      <c r="D137" s="5" t="s">
        <v>443</v>
      </c>
      <c r="E137" s="24" t="s">
        <v>440</v>
      </c>
      <c r="F137" s="6"/>
      <c r="G137" s="6"/>
      <c r="H137" s="6"/>
      <c r="I137" s="6"/>
      <c r="J137" s="6"/>
      <c r="K137" s="6"/>
      <c r="L137" s="6" t="s">
        <v>444</v>
      </c>
      <c r="M137" s="7">
        <v>44348</v>
      </c>
      <c r="N137" s="7">
        <v>44348</v>
      </c>
      <c r="O137" s="14">
        <f>ROUND([1]CF!$CA$68*1000000,2)</f>
        <v>0</v>
      </c>
      <c r="P137" s="14"/>
      <c r="Q137" s="25"/>
      <c r="R137" s="10"/>
      <c r="S137" s="10"/>
      <c r="T137" s="10"/>
      <c r="U137" s="10"/>
      <c r="X137" s="16" t="str">
        <f>IF(B137="",VLOOKUP(A137,items_lookup!A:B,2,FALSE),B137)</f>
        <v>14. Item 14</v>
      </c>
      <c r="Y137" s="16">
        <f t="shared" si="8"/>
        <v>6</v>
      </c>
      <c r="Z137" s="16">
        <f t="shared" si="8"/>
        <v>6</v>
      </c>
      <c r="AA137" s="16">
        <f t="shared" si="9"/>
        <v>2021</v>
      </c>
      <c r="AB137" s="16">
        <f t="shared" si="10"/>
        <v>2021</v>
      </c>
      <c r="AC137" s="16">
        <f t="shared" si="11"/>
        <v>2021</v>
      </c>
    </row>
    <row r="138" spans="1:29" ht="15" customHeight="1" x14ac:dyDescent="0.2">
      <c r="A138" s="6" t="s">
        <v>558</v>
      </c>
      <c r="B138" s="6"/>
      <c r="C138" s="2" t="s">
        <v>445</v>
      </c>
      <c r="D138" s="5" t="s">
        <v>446</v>
      </c>
      <c r="E138" s="24" t="s">
        <v>440</v>
      </c>
      <c r="F138" s="6"/>
      <c r="G138" s="6"/>
      <c r="H138" s="6"/>
      <c r="I138" s="6"/>
      <c r="J138" s="6"/>
      <c r="K138" s="6"/>
      <c r="L138" s="6" t="s">
        <v>444</v>
      </c>
      <c r="M138" s="7">
        <v>44348</v>
      </c>
      <c r="N138" s="7">
        <v>44348</v>
      </c>
      <c r="O138" s="14">
        <f>ROUND([1]CF!$CA$56*1000000,2)</f>
        <v>0</v>
      </c>
      <c r="P138" s="14"/>
      <c r="Q138" s="25"/>
      <c r="R138" s="10"/>
      <c r="S138" s="10"/>
      <c r="T138" s="10"/>
      <c r="U138" s="10"/>
      <c r="X138" s="16" t="str">
        <f>IF(B138="",VLOOKUP(A138,items_lookup!A:B,2,FALSE),B138)</f>
        <v>17. Item 17</v>
      </c>
      <c r="Y138" s="16">
        <f t="shared" si="8"/>
        <v>6</v>
      </c>
      <c r="Z138" s="16">
        <f t="shared" si="8"/>
        <v>6</v>
      </c>
      <c r="AA138" s="16">
        <f t="shared" si="9"/>
        <v>2021</v>
      </c>
      <c r="AB138" s="16">
        <f t="shared" si="10"/>
        <v>2021</v>
      </c>
      <c r="AC138" s="16">
        <f t="shared" si="11"/>
        <v>2021</v>
      </c>
    </row>
    <row r="139" spans="1:29" ht="15" customHeight="1" x14ac:dyDescent="0.2">
      <c r="A139" s="6" t="s">
        <v>562</v>
      </c>
      <c r="B139" s="6"/>
      <c r="C139" s="2" t="s">
        <v>445</v>
      </c>
      <c r="D139" s="5" t="s">
        <v>443</v>
      </c>
      <c r="E139" s="24" t="s">
        <v>440</v>
      </c>
      <c r="F139" s="6"/>
      <c r="G139" s="6"/>
      <c r="H139" s="6"/>
      <c r="I139" s="6"/>
      <c r="J139" s="6"/>
      <c r="K139" s="6"/>
      <c r="L139" s="6" t="s">
        <v>444</v>
      </c>
      <c r="M139" s="7">
        <v>44348</v>
      </c>
      <c r="N139" s="7">
        <v>44348</v>
      </c>
      <c r="O139" s="14">
        <f>ROUND([1]CF!$CA$57*1000000,2)</f>
        <v>0</v>
      </c>
      <c r="P139" s="14"/>
      <c r="Q139" s="25"/>
      <c r="R139" s="10"/>
      <c r="S139" s="10"/>
      <c r="T139" s="10"/>
      <c r="U139" s="10"/>
      <c r="X139" s="16" t="str">
        <f>IF(B139="",VLOOKUP(A139,items_lookup!A:B,2,FALSE),B139)</f>
        <v>19. Item 19</v>
      </c>
      <c r="Y139" s="16">
        <f t="shared" si="8"/>
        <v>6</v>
      </c>
      <c r="Z139" s="16">
        <f t="shared" si="8"/>
        <v>6</v>
      </c>
      <c r="AA139" s="16">
        <f t="shared" si="9"/>
        <v>2021</v>
      </c>
      <c r="AB139" s="16">
        <f t="shared" si="10"/>
        <v>2021</v>
      </c>
      <c r="AC139" s="16">
        <f t="shared" si="11"/>
        <v>2021</v>
      </c>
    </row>
    <row r="140" spans="1:29" ht="15" customHeight="1" x14ac:dyDescent="0.2">
      <c r="A140" s="6" t="s">
        <v>450</v>
      </c>
      <c r="B140" s="6"/>
      <c r="C140" s="2" t="s">
        <v>445</v>
      </c>
      <c r="D140" s="5" t="s">
        <v>446</v>
      </c>
      <c r="E140" s="24" t="s">
        <v>439</v>
      </c>
      <c r="F140" s="6"/>
      <c r="G140" s="6"/>
      <c r="H140" s="6"/>
      <c r="I140" s="6"/>
      <c r="J140" s="6"/>
      <c r="K140" s="6"/>
      <c r="L140" s="6" t="s">
        <v>444</v>
      </c>
      <c r="M140" s="7">
        <v>44378</v>
      </c>
      <c r="N140" s="7">
        <v>44378</v>
      </c>
      <c r="O140" s="14">
        <f>ROUND([1]CF!$CB$28*1000000,2)</f>
        <v>10383138.390000001</v>
      </c>
      <c r="P140" s="14"/>
      <c r="Q140" s="25"/>
      <c r="R140" s="10"/>
      <c r="S140" s="10"/>
      <c r="T140" s="10"/>
      <c r="U140" s="10"/>
      <c r="X140" s="16" t="str">
        <f>IF(B140="",VLOOKUP(A140,items_lookup!A:B,2,FALSE),B140)</f>
        <v>_1. Item _1</v>
      </c>
      <c r="Y140" s="16">
        <f t="shared" si="8"/>
        <v>7</v>
      </c>
      <c r="Z140" s="16">
        <f t="shared" si="8"/>
        <v>7</v>
      </c>
      <c r="AA140" s="16">
        <f t="shared" si="9"/>
        <v>2021</v>
      </c>
      <c r="AB140" s="16">
        <f t="shared" si="10"/>
        <v>2021</v>
      </c>
      <c r="AC140" s="16">
        <f t="shared" si="11"/>
        <v>2021</v>
      </c>
    </row>
    <row r="141" spans="1:29" ht="15" customHeight="1" x14ac:dyDescent="0.2">
      <c r="A141" s="6" t="s">
        <v>450</v>
      </c>
      <c r="B141" s="6"/>
      <c r="C141" s="2" t="s">
        <v>445</v>
      </c>
      <c r="D141" s="5" t="s">
        <v>443</v>
      </c>
      <c r="E141" s="24" t="s">
        <v>439</v>
      </c>
      <c r="F141" s="6"/>
      <c r="G141" s="6"/>
      <c r="H141" s="6"/>
      <c r="I141" s="6"/>
      <c r="J141" s="6"/>
      <c r="K141" s="6"/>
      <c r="L141" s="6" t="s">
        <v>444</v>
      </c>
      <c r="M141" s="7">
        <v>44378</v>
      </c>
      <c r="N141" s="7">
        <v>44378</v>
      </c>
      <c r="O141" s="14">
        <f>ROUND([1]CF!$CB$27*1000000,2)</f>
        <v>39275296.280000001</v>
      </c>
      <c r="P141" s="14"/>
      <c r="Q141" s="25"/>
      <c r="R141" s="10"/>
      <c r="S141" s="10"/>
      <c r="T141" s="10"/>
      <c r="U141" s="10"/>
      <c r="X141" s="16" t="str">
        <f>IF(B141="",VLOOKUP(A141,items_lookup!A:B,2,FALSE),B141)</f>
        <v>_1. Item _1</v>
      </c>
      <c r="Y141" s="16">
        <f t="shared" si="8"/>
        <v>7</v>
      </c>
      <c r="Z141" s="16">
        <f t="shared" si="8"/>
        <v>7</v>
      </c>
      <c r="AA141" s="16">
        <f t="shared" si="9"/>
        <v>2021</v>
      </c>
      <c r="AB141" s="16">
        <f t="shared" si="10"/>
        <v>2021</v>
      </c>
      <c r="AC141" s="16">
        <f t="shared" si="11"/>
        <v>2021</v>
      </c>
    </row>
    <row r="142" spans="1:29" ht="15" customHeight="1" x14ac:dyDescent="0.2">
      <c r="A142" s="6" t="s">
        <v>457</v>
      </c>
      <c r="B142" s="6"/>
      <c r="C142" s="2" t="s">
        <v>445</v>
      </c>
      <c r="D142" s="5" t="s">
        <v>446</v>
      </c>
      <c r="E142" s="24" t="s">
        <v>439</v>
      </c>
      <c r="F142" s="6"/>
      <c r="G142" s="6"/>
      <c r="H142" s="6"/>
      <c r="I142" s="6"/>
      <c r="J142" s="6"/>
      <c r="K142" s="6"/>
      <c r="L142" s="6" t="s">
        <v>444</v>
      </c>
      <c r="M142" s="7">
        <v>44378</v>
      </c>
      <c r="N142" s="7">
        <v>44378</v>
      </c>
      <c r="O142" s="14">
        <f>ROUND([1]CF!$CB$29*1000000,2)</f>
        <v>360000</v>
      </c>
      <c r="P142" s="14"/>
      <c r="Q142" s="25"/>
      <c r="R142" s="10"/>
      <c r="S142" s="10"/>
      <c r="T142" s="10"/>
      <c r="U142" s="10"/>
      <c r="X142" s="16" t="str">
        <f>IF(B142="",VLOOKUP(A142,items_lookup!A:B,2,FALSE),B142)</f>
        <v>_2. Item _2</v>
      </c>
      <c r="Y142" s="16">
        <f t="shared" si="8"/>
        <v>7</v>
      </c>
      <c r="Z142" s="16">
        <f t="shared" si="8"/>
        <v>7</v>
      </c>
      <c r="AA142" s="16">
        <f t="shared" si="9"/>
        <v>2021</v>
      </c>
      <c r="AB142" s="16">
        <f t="shared" si="10"/>
        <v>2021</v>
      </c>
      <c r="AC142" s="16">
        <f t="shared" si="11"/>
        <v>2021</v>
      </c>
    </row>
    <row r="143" spans="1:29" ht="15" customHeight="1" x14ac:dyDescent="0.2">
      <c r="A143" s="6" t="s">
        <v>464</v>
      </c>
      <c r="B143" s="6"/>
      <c r="C143" s="2" t="s">
        <v>445</v>
      </c>
      <c r="D143" s="5" t="s">
        <v>446</v>
      </c>
      <c r="E143" s="24" t="s">
        <v>439</v>
      </c>
      <c r="F143" s="6"/>
      <c r="G143" s="6"/>
      <c r="H143" s="6"/>
      <c r="I143" s="6"/>
      <c r="J143" s="6"/>
      <c r="K143" s="6"/>
      <c r="L143" s="6" t="s">
        <v>444</v>
      </c>
      <c r="M143" s="7">
        <v>44378</v>
      </c>
      <c r="N143" s="7">
        <v>44378</v>
      </c>
      <c r="O143" s="14">
        <f>ROUND([1]CF!$CB$30*1000000,2)</f>
        <v>172339.66</v>
      </c>
      <c r="P143" s="14"/>
      <c r="Q143" s="25"/>
      <c r="R143" s="10"/>
      <c r="S143" s="10"/>
      <c r="T143" s="10"/>
      <c r="U143" s="10"/>
      <c r="X143" s="16" t="str">
        <f>IF(B143="",VLOOKUP(A143,items_lookup!A:B,2,FALSE),B143)</f>
        <v>_3. Item _3</v>
      </c>
      <c r="Y143" s="16">
        <f t="shared" si="8"/>
        <v>7</v>
      </c>
      <c r="Z143" s="16">
        <f t="shared" si="8"/>
        <v>7</v>
      </c>
      <c r="AA143" s="16">
        <f t="shared" si="9"/>
        <v>2021</v>
      </c>
      <c r="AB143" s="16">
        <f t="shared" si="10"/>
        <v>2021</v>
      </c>
      <c r="AC143" s="16">
        <f t="shared" si="11"/>
        <v>2021</v>
      </c>
    </row>
    <row r="144" spans="1:29" ht="15" customHeight="1" x14ac:dyDescent="0.2">
      <c r="A144" s="6" t="s">
        <v>538</v>
      </c>
      <c r="B144" s="6"/>
      <c r="C144" s="2" t="s">
        <v>445</v>
      </c>
      <c r="D144" s="5" t="s">
        <v>443</v>
      </c>
      <c r="E144" s="24" t="s">
        <v>440</v>
      </c>
      <c r="F144" s="6"/>
      <c r="G144" s="6"/>
      <c r="H144" s="6"/>
      <c r="I144" s="6"/>
      <c r="J144" s="6"/>
      <c r="K144" s="6"/>
      <c r="L144" s="6" t="s">
        <v>444</v>
      </c>
      <c r="M144" s="7">
        <v>44378</v>
      </c>
      <c r="N144" s="7">
        <v>44378</v>
      </c>
      <c r="O144" s="14">
        <f>ROUND([1]CF!$CB$32*1000000,2)</f>
        <v>76734.13</v>
      </c>
      <c r="P144" s="14"/>
      <c r="Q144" s="25"/>
      <c r="R144" s="8"/>
      <c r="S144" s="8"/>
      <c r="T144" s="8"/>
      <c r="U144" s="8"/>
      <c r="X144" s="16" t="str">
        <f>IF(B144="",VLOOKUP(A144,items_lookup!A:B,2,FALSE),B144)</f>
        <v>01. Item 01</v>
      </c>
      <c r="Y144" s="16">
        <f t="shared" si="8"/>
        <v>7</v>
      </c>
      <c r="Z144" s="16">
        <f t="shared" si="8"/>
        <v>7</v>
      </c>
      <c r="AA144" s="16">
        <f t="shared" si="9"/>
        <v>2021</v>
      </c>
      <c r="AB144" s="16">
        <f t="shared" si="10"/>
        <v>2021</v>
      </c>
      <c r="AC144" s="16">
        <f t="shared" si="11"/>
        <v>2021</v>
      </c>
    </row>
    <row r="145" spans="1:29" ht="15" customHeight="1" x14ac:dyDescent="0.2">
      <c r="A145" s="6" t="s">
        <v>529</v>
      </c>
      <c r="B145" s="6"/>
      <c r="C145" s="2" t="s">
        <v>445</v>
      </c>
      <c r="D145" s="5" t="s">
        <v>443</v>
      </c>
      <c r="E145" s="24" t="s">
        <v>440</v>
      </c>
      <c r="F145" s="6"/>
      <c r="G145" s="6"/>
      <c r="H145" s="6"/>
      <c r="I145" s="6"/>
      <c r="J145" s="6"/>
      <c r="K145" s="6"/>
      <c r="L145" s="6" t="s">
        <v>444</v>
      </c>
      <c r="M145" s="7">
        <v>44378</v>
      </c>
      <c r="N145" s="7">
        <v>44378</v>
      </c>
      <c r="O145" s="14">
        <f>ROUND([1]CF!$CB$33*1000000,2)</f>
        <v>5653560.3600000003</v>
      </c>
      <c r="P145" s="14"/>
      <c r="Q145" s="25"/>
      <c r="R145" s="8"/>
      <c r="S145" s="8"/>
      <c r="T145" s="8"/>
      <c r="U145" s="8"/>
      <c r="X145" s="16" t="str">
        <f>IF(B145="",VLOOKUP(A145,items_lookup!A:B,2,FALSE),B145)</f>
        <v>02. Item 02</v>
      </c>
      <c r="Y145" s="16">
        <f t="shared" si="8"/>
        <v>7</v>
      </c>
      <c r="Z145" s="16">
        <f t="shared" si="8"/>
        <v>7</v>
      </c>
      <c r="AA145" s="16">
        <f t="shared" si="9"/>
        <v>2021</v>
      </c>
      <c r="AB145" s="16">
        <f t="shared" si="10"/>
        <v>2021</v>
      </c>
      <c r="AC145" s="16">
        <f t="shared" si="11"/>
        <v>2021</v>
      </c>
    </row>
    <row r="146" spans="1:29" ht="27.75" customHeight="1" x14ac:dyDescent="0.2">
      <c r="A146" s="6"/>
      <c r="B146" s="6" t="s">
        <v>448</v>
      </c>
      <c r="C146" s="2" t="s">
        <v>445</v>
      </c>
      <c r="D146" s="5" t="s">
        <v>443</v>
      </c>
      <c r="E146" s="24" t="s">
        <v>440</v>
      </c>
      <c r="F146" s="6"/>
      <c r="G146" s="6"/>
      <c r="H146" s="6"/>
      <c r="I146" s="6"/>
      <c r="J146" s="6"/>
      <c r="K146" s="6"/>
      <c r="L146" s="6" t="s">
        <v>444</v>
      </c>
      <c r="M146" s="7">
        <v>44378</v>
      </c>
      <c r="N146" s="7">
        <v>44378</v>
      </c>
      <c r="O146" s="14">
        <f>ROUND([1]CF!$CB$34*1000000,2)</f>
        <v>49750.14</v>
      </c>
      <c r="P146" s="14"/>
      <c r="Q146" s="25"/>
      <c r="R146" s="9"/>
      <c r="S146" s="9"/>
      <c r="T146" s="9"/>
      <c r="U146" s="9"/>
      <c r="X146" s="16" t="str">
        <f>IF(B146="",VLOOKUP(A146,items_lookup!A:B,2,FALSE),B146)</f>
        <v>03. Item 03</v>
      </c>
      <c r="Y146" s="16">
        <f t="shared" si="8"/>
        <v>7</v>
      </c>
      <c r="Z146" s="16">
        <f t="shared" si="8"/>
        <v>7</v>
      </c>
      <c r="AA146" s="16">
        <f t="shared" si="9"/>
        <v>2021</v>
      </c>
      <c r="AB146" s="16">
        <f t="shared" si="10"/>
        <v>2021</v>
      </c>
      <c r="AC146" s="16">
        <f t="shared" si="11"/>
        <v>2021</v>
      </c>
    </row>
    <row r="147" spans="1:29" ht="12" customHeight="1" x14ac:dyDescent="0.2">
      <c r="A147" s="6"/>
      <c r="B147" s="6" t="s">
        <v>475</v>
      </c>
      <c r="C147" s="2" t="s">
        <v>445</v>
      </c>
      <c r="D147" s="5" t="s">
        <v>443</v>
      </c>
      <c r="E147" s="24" t="s">
        <v>440</v>
      </c>
      <c r="F147" s="6"/>
      <c r="G147" s="6"/>
      <c r="H147" s="6"/>
      <c r="I147" s="6"/>
      <c r="J147" s="6"/>
      <c r="K147" s="6"/>
      <c r="L147" s="6" t="s">
        <v>444</v>
      </c>
      <c r="M147" s="7">
        <v>44378</v>
      </c>
      <c r="N147" s="7">
        <v>44378</v>
      </c>
      <c r="O147" s="14">
        <f>ROUND([1]CF!$CB$35*1000000,2)</f>
        <v>6330666.6699999999</v>
      </c>
      <c r="P147" s="14"/>
      <c r="Q147" s="25"/>
      <c r="R147" s="10"/>
      <c r="S147" s="10"/>
      <c r="T147" s="10"/>
      <c r="U147" s="10"/>
      <c r="X147" s="16" t="str">
        <f>IF(B147="",VLOOKUP(A147,items_lookup!A:B,2,FALSE),B147)</f>
        <v>04. Item 04</v>
      </c>
      <c r="Y147" s="16">
        <f t="shared" si="8"/>
        <v>7</v>
      </c>
      <c r="Z147" s="16">
        <f t="shared" si="8"/>
        <v>7</v>
      </c>
      <c r="AA147" s="16">
        <f t="shared" si="9"/>
        <v>2021</v>
      </c>
      <c r="AB147" s="16">
        <f t="shared" si="10"/>
        <v>2021</v>
      </c>
      <c r="AC147" s="16">
        <f t="shared" si="11"/>
        <v>2021</v>
      </c>
    </row>
    <row r="148" spans="1:29" ht="15" customHeight="1" x14ac:dyDescent="0.2">
      <c r="A148" s="6" t="s">
        <v>477</v>
      </c>
      <c r="B148" s="6"/>
      <c r="C148" s="2" t="s">
        <v>445</v>
      </c>
      <c r="D148" s="5" t="s">
        <v>443</v>
      </c>
      <c r="E148" s="24" t="s">
        <v>440</v>
      </c>
      <c r="F148" s="6"/>
      <c r="G148" s="6"/>
      <c r="H148" s="6"/>
      <c r="I148" s="6"/>
      <c r="J148" s="6"/>
      <c r="K148" s="6"/>
      <c r="L148" s="6" t="s">
        <v>444</v>
      </c>
      <c r="M148" s="7">
        <v>44378</v>
      </c>
      <c r="N148" s="7">
        <v>44378</v>
      </c>
      <c r="O148" s="14">
        <f>ROUND([1]CF!$CB$37*1000000,2)-O149</f>
        <v>-1311954.2400000002</v>
      </c>
      <c r="P148" s="14"/>
      <c r="Q148" s="25"/>
      <c r="R148" s="9"/>
      <c r="S148" s="9"/>
      <c r="T148" s="9"/>
      <c r="U148" s="9"/>
      <c r="X148" s="16" t="str">
        <f>IF(B148="",VLOOKUP(A148,items_lookup!A:B,2,FALSE),B148)</f>
        <v>05. Item 05</v>
      </c>
      <c r="Y148" s="16">
        <f t="shared" si="8"/>
        <v>7</v>
      </c>
      <c r="Z148" s="16">
        <f t="shared" si="8"/>
        <v>7</v>
      </c>
      <c r="AA148" s="16">
        <f t="shared" si="9"/>
        <v>2021</v>
      </c>
      <c r="AB148" s="16">
        <f t="shared" si="10"/>
        <v>2021</v>
      </c>
      <c r="AC148" s="16">
        <f t="shared" si="11"/>
        <v>2021</v>
      </c>
    </row>
    <row r="149" spans="1:29" ht="15" customHeight="1" x14ac:dyDescent="0.2">
      <c r="A149" s="6" t="s">
        <v>477</v>
      </c>
      <c r="B149" s="6"/>
      <c r="C149" s="2" t="s">
        <v>445</v>
      </c>
      <c r="D149" s="5" t="s">
        <v>446</v>
      </c>
      <c r="E149" s="24" t="s">
        <v>440</v>
      </c>
      <c r="F149" s="6"/>
      <c r="G149" s="6"/>
      <c r="H149" s="6"/>
      <c r="I149" s="6"/>
      <c r="J149" s="6"/>
      <c r="K149" s="6"/>
      <c r="L149" s="6" t="s">
        <v>444</v>
      </c>
      <c r="M149" s="7">
        <v>44378</v>
      </c>
      <c r="N149" s="7">
        <v>44378</v>
      </c>
      <c r="O149" s="14">
        <f>O140+O142+O143-O161</f>
        <v>10915478.050000001</v>
      </c>
      <c r="P149" s="14"/>
      <c r="Q149" s="25"/>
      <c r="R149" s="9"/>
      <c r="S149" s="9"/>
      <c r="T149" s="9"/>
      <c r="U149" s="9"/>
      <c r="X149" s="16" t="str">
        <f>IF(B149="",VLOOKUP(A149,items_lookup!A:B,2,FALSE),B149)</f>
        <v>05. Item 05</v>
      </c>
      <c r="Y149" s="16">
        <f t="shared" si="8"/>
        <v>7</v>
      </c>
      <c r="Z149" s="16">
        <f t="shared" si="8"/>
        <v>7</v>
      </c>
      <c r="AA149" s="16">
        <f t="shared" si="9"/>
        <v>2021</v>
      </c>
      <c r="AB149" s="16">
        <f t="shared" si="10"/>
        <v>2021</v>
      </c>
      <c r="AC149" s="16">
        <f t="shared" si="11"/>
        <v>2021</v>
      </c>
    </row>
    <row r="150" spans="1:29" ht="15" customHeight="1" x14ac:dyDescent="0.2">
      <c r="A150" s="6" t="s">
        <v>480</v>
      </c>
      <c r="B150" s="6"/>
      <c r="C150" s="2" t="s">
        <v>445</v>
      </c>
      <c r="D150" s="5" t="s">
        <v>443</v>
      </c>
      <c r="E150" s="24" t="s">
        <v>440</v>
      </c>
      <c r="F150" s="6"/>
      <c r="G150" s="6"/>
      <c r="H150" s="6"/>
      <c r="I150" s="6"/>
      <c r="J150" s="6"/>
      <c r="K150" s="6"/>
      <c r="L150" s="6" t="s">
        <v>444</v>
      </c>
      <c r="M150" s="7">
        <v>44378</v>
      </c>
      <c r="N150" s="7">
        <v>44378</v>
      </c>
      <c r="O150" s="14">
        <f>ROUND([1]CF!$CB$38*1000000,2)</f>
        <v>0</v>
      </c>
      <c r="P150" s="14"/>
      <c r="Q150" s="25"/>
      <c r="R150" s="9"/>
      <c r="S150" s="9"/>
      <c r="T150" s="9"/>
      <c r="U150" s="9"/>
      <c r="X150" s="16" t="str">
        <f>IF(B150="",VLOOKUP(A150,items_lookup!A:B,2,FALSE),B150)</f>
        <v>05. Item 05</v>
      </c>
      <c r="Y150" s="16">
        <f t="shared" si="8"/>
        <v>7</v>
      </c>
      <c r="Z150" s="16">
        <f t="shared" si="8"/>
        <v>7</v>
      </c>
      <c r="AA150" s="16">
        <f t="shared" si="9"/>
        <v>2021</v>
      </c>
      <c r="AB150" s="16">
        <f t="shared" si="10"/>
        <v>2021</v>
      </c>
      <c r="AC150" s="16">
        <f t="shared" si="11"/>
        <v>2021</v>
      </c>
    </row>
    <row r="151" spans="1:29" ht="15" customHeight="1" x14ac:dyDescent="0.2">
      <c r="A151" s="6" t="s">
        <v>540</v>
      </c>
      <c r="B151" s="6"/>
      <c r="C151" s="2" t="s">
        <v>445</v>
      </c>
      <c r="D151" s="5" t="s">
        <v>443</v>
      </c>
      <c r="E151" s="24" t="s">
        <v>440</v>
      </c>
      <c r="F151" s="6"/>
      <c r="G151" s="6"/>
      <c r="H151" s="6"/>
      <c r="I151" s="6"/>
      <c r="J151" s="6"/>
      <c r="K151" s="6"/>
      <c r="L151" s="6" t="s">
        <v>444</v>
      </c>
      <c r="M151" s="7">
        <v>44378</v>
      </c>
      <c r="N151" s="7">
        <v>44378</v>
      </c>
      <c r="O151" s="14">
        <f>ROUND([1]CF!$CB$39*1000000,2)</f>
        <v>727213.46</v>
      </c>
      <c r="P151" s="14"/>
      <c r="Q151" s="25"/>
      <c r="R151" s="9"/>
      <c r="S151" s="9"/>
      <c r="T151" s="9"/>
      <c r="U151" s="9"/>
      <c r="X151" s="16" t="str">
        <f>IF(B151="",VLOOKUP(A151,items_lookup!A:B,2,FALSE),B151)</f>
        <v>06. Item 06</v>
      </c>
      <c r="Y151" s="16">
        <f t="shared" si="8"/>
        <v>7</v>
      </c>
      <c r="Z151" s="16">
        <f t="shared" si="8"/>
        <v>7</v>
      </c>
      <c r="AA151" s="16">
        <f t="shared" si="9"/>
        <v>2021</v>
      </c>
      <c r="AB151" s="16">
        <f t="shared" si="10"/>
        <v>2021</v>
      </c>
      <c r="AC151" s="16">
        <f t="shared" si="11"/>
        <v>2021</v>
      </c>
    </row>
    <row r="152" spans="1:29" ht="15" customHeight="1" x14ac:dyDescent="0.2">
      <c r="A152" s="6" t="s">
        <v>542</v>
      </c>
      <c r="B152" s="6"/>
      <c r="C152" s="2" t="s">
        <v>445</v>
      </c>
      <c r="D152" s="5" t="s">
        <v>443</v>
      </c>
      <c r="E152" s="24" t="s">
        <v>440</v>
      </c>
      <c r="F152" s="6"/>
      <c r="G152" s="6"/>
      <c r="H152" s="6"/>
      <c r="I152" s="6"/>
      <c r="J152" s="6"/>
      <c r="K152" s="6"/>
      <c r="L152" s="6" t="s">
        <v>444</v>
      </c>
      <c r="M152" s="7">
        <v>44378</v>
      </c>
      <c r="N152" s="7">
        <v>44378</v>
      </c>
      <c r="O152" s="14">
        <f>ROUND([1]CF!$CB$41*1000000,2)</f>
        <v>0</v>
      </c>
      <c r="P152" s="14"/>
      <c r="Q152" s="25"/>
      <c r="R152" s="9"/>
      <c r="S152" s="9"/>
      <c r="T152" s="9"/>
      <c r="U152" s="9"/>
      <c r="X152" s="16" t="str">
        <f>IF(B152="",VLOOKUP(A152,items_lookup!A:B,2,FALSE),B152)</f>
        <v>07. Item 07</v>
      </c>
      <c r="Y152" s="16">
        <f t="shared" si="8"/>
        <v>7</v>
      </c>
      <c r="Z152" s="16">
        <f t="shared" si="8"/>
        <v>7</v>
      </c>
      <c r="AA152" s="16">
        <f t="shared" si="9"/>
        <v>2021</v>
      </c>
      <c r="AB152" s="16">
        <f t="shared" si="10"/>
        <v>2021</v>
      </c>
      <c r="AC152" s="16">
        <f t="shared" si="11"/>
        <v>2021</v>
      </c>
    </row>
    <row r="153" spans="1:29" ht="13.5" customHeight="1" x14ac:dyDescent="0.2">
      <c r="A153" s="6" t="s">
        <v>544</v>
      </c>
      <c r="B153" s="6"/>
      <c r="C153" s="2" t="s">
        <v>445</v>
      </c>
      <c r="D153" s="5" t="s">
        <v>443</v>
      </c>
      <c r="E153" s="24" t="s">
        <v>440</v>
      </c>
      <c r="F153" s="6"/>
      <c r="G153" s="6"/>
      <c r="H153" s="6"/>
      <c r="I153" s="6"/>
      <c r="J153" s="6"/>
      <c r="K153" s="6"/>
      <c r="L153" s="6" t="s">
        <v>444</v>
      </c>
      <c r="M153" s="7">
        <v>44378</v>
      </c>
      <c r="N153" s="7">
        <v>44378</v>
      </c>
      <c r="O153" s="14">
        <f>ROUND([1]CF!$CB$43*1000000,2)</f>
        <v>0</v>
      </c>
      <c r="P153" s="14"/>
      <c r="Q153" s="25"/>
      <c r="R153" s="9"/>
      <c r="S153" s="9"/>
      <c r="T153" s="9"/>
      <c r="U153" s="9"/>
      <c r="X153" s="16" t="str">
        <f>IF(B153="",VLOOKUP(A153,items_lookup!A:B,2,FALSE),B153)</f>
        <v>08. Item 08</v>
      </c>
      <c r="Y153" s="16">
        <f t="shared" si="8"/>
        <v>7</v>
      </c>
      <c r="Z153" s="16">
        <f t="shared" si="8"/>
        <v>7</v>
      </c>
      <c r="AA153" s="16">
        <f t="shared" si="9"/>
        <v>2021</v>
      </c>
      <c r="AB153" s="16">
        <f t="shared" si="10"/>
        <v>2021</v>
      </c>
      <c r="AC153" s="16">
        <f t="shared" si="11"/>
        <v>2021</v>
      </c>
    </row>
    <row r="154" spans="1:29" ht="15" customHeight="1" x14ac:dyDescent="0.2">
      <c r="A154" s="6"/>
      <c r="B154" s="6" t="s">
        <v>484</v>
      </c>
      <c r="C154" s="2" t="s">
        <v>445</v>
      </c>
      <c r="D154" s="5" t="s">
        <v>443</v>
      </c>
      <c r="E154" s="24" t="s">
        <v>440</v>
      </c>
      <c r="F154" s="6"/>
      <c r="G154" s="6"/>
      <c r="H154" s="6"/>
      <c r="I154" s="6"/>
      <c r="J154" s="6"/>
      <c r="K154" s="6"/>
      <c r="L154" s="6" t="s">
        <v>444</v>
      </c>
      <c r="M154" s="7">
        <v>44378</v>
      </c>
      <c r="N154" s="7">
        <v>44378</v>
      </c>
      <c r="O154" s="14">
        <f>ROUND([1]CF!$CB$44*1000000,2)</f>
        <v>287610.94</v>
      </c>
      <c r="P154" s="14"/>
      <c r="Q154" s="25"/>
      <c r="R154" s="9"/>
      <c r="S154" s="9"/>
      <c r="T154" s="9"/>
      <c r="U154" s="9"/>
      <c r="X154" s="16" t="str">
        <f>IF(B154="",VLOOKUP(A154,items_lookup!A:B,2,FALSE),B154)</f>
        <v>09. Item 09</v>
      </c>
      <c r="Y154" s="16">
        <f t="shared" si="8"/>
        <v>7</v>
      </c>
      <c r="Z154" s="16">
        <f t="shared" si="8"/>
        <v>7</v>
      </c>
      <c r="AA154" s="16">
        <f t="shared" si="9"/>
        <v>2021</v>
      </c>
      <c r="AB154" s="16">
        <f t="shared" si="10"/>
        <v>2021</v>
      </c>
      <c r="AC154" s="16">
        <f t="shared" si="11"/>
        <v>2021</v>
      </c>
    </row>
    <row r="155" spans="1:29" ht="21.75" customHeight="1" x14ac:dyDescent="0.2">
      <c r="A155" s="6"/>
      <c r="B155" s="6" t="s">
        <v>493</v>
      </c>
      <c r="C155" s="2" t="s">
        <v>445</v>
      </c>
      <c r="D155" s="5" t="s">
        <v>443</v>
      </c>
      <c r="E155" s="24" t="s">
        <v>440</v>
      </c>
      <c r="F155" s="6"/>
      <c r="G155" s="6"/>
      <c r="H155" s="6"/>
      <c r="I155" s="6"/>
      <c r="J155" s="6"/>
      <c r="K155" s="6"/>
      <c r="L155" s="6" t="s">
        <v>444</v>
      </c>
      <c r="M155" s="7">
        <v>44378</v>
      </c>
      <c r="N155" s="7">
        <v>44378</v>
      </c>
      <c r="O155" s="14">
        <f>ROUND([1]CF!$CB$51*1000000,2)</f>
        <v>2099293.2999999998</v>
      </c>
      <c r="P155" s="14"/>
      <c r="Q155" s="25"/>
      <c r="R155" s="10"/>
      <c r="S155" s="10"/>
      <c r="T155" s="10"/>
      <c r="U155" s="10"/>
      <c r="X155" s="16" t="str">
        <f>IF(B155="",VLOOKUP(A155,items_lookup!A:B,2,FALSE),B155)</f>
        <v>10. Item 10</v>
      </c>
      <c r="Y155" s="16">
        <f t="shared" si="8"/>
        <v>7</v>
      </c>
      <c r="Z155" s="16">
        <f t="shared" si="8"/>
        <v>7</v>
      </c>
      <c r="AA155" s="16">
        <f t="shared" si="9"/>
        <v>2021</v>
      </c>
      <c r="AB155" s="16">
        <f t="shared" si="10"/>
        <v>2021</v>
      </c>
      <c r="AC155" s="16">
        <f t="shared" si="11"/>
        <v>2021</v>
      </c>
    </row>
    <row r="156" spans="1:29" ht="15" customHeight="1" x14ac:dyDescent="0.2">
      <c r="A156" s="6" t="s">
        <v>546</v>
      </c>
      <c r="B156" s="6"/>
      <c r="C156" s="2" t="s">
        <v>445</v>
      </c>
      <c r="D156" s="5" t="s">
        <v>443</v>
      </c>
      <c r="E156" s="24" t="s">
        <v>440</v>
      </c>
      <c r="F156" s="6"/>
      <c r="G156" s="6"/>
      <c r="H156" s="6"/>
      <c r="I156" s="6"/>
      <c r="J156" s="6"/>
      <c r="K156" s="6"/>
      <c r="L156" s="6" t="s">
        <v>444</v>
      </c>
      <c r="M156" s="7">
        <v>44378</v>
      </c>
      <c r="N156" s="7">
        <v>44378</v>
      </c>
      <c r="O156" s="14">
        <f>ROUND([1]CF!$CB$52*1000000,2)</f>
        <v>0</v>
      </c>
      <c r="P156" s="14"/>
      <c r="Q156" s="25"/>
      <c r="R156" s="10"/>
      <c r="S156" s="10"/>
      <c r="T156" s="10"/>
      <c r="U156" s="10"/>
      <c r="X156" s="16" t="str">
        <f>IF(B156="",VLOOKUP(A156,items_lookup!A:B,2,FALSE),B156)</f>
        <v>11. Item 11</v>
      </c>
      <c r="Y156" s="16">
        <f t="shared" si="8"/>
        <v>7</v>
      </c>
      <c r="Z156" s="16">
        <f t="shared" si="8"/>
        <v>7</v>
      </c>
      <c r="AA156" s="16">
        <f t="shared" si="9"/>
        <v>2021</v>
      </c>
      <c r="AB156" s="16">
        <f t="shared" si="10"/>
        <v>2021</v>
      </c>
      <c r="AC156" s="16">
        <f t="shared" si="11"/>
        <v>2021</v>
      </c>
    </row>
    <row r="157" spans="1:29" ht="15" customHeight="1" x14ac:dyDescent="0.2">
      <c r="A157" s="6" t="s">
        <v>704</v>
      </c>
      <c r="B157" s="6"/>
      <c r="C157" s="2" t="s">
        <v>445</v>
      </c>
      <c r="D157" s="5" t="s">
        <v>443</v>
      </c>
      <c r="E157" s="24" t="s">
        <v>440</v>
      </c>
      <c r="F157" s="6"/>
      <c r="G157" s="6"/>
      <c r="H157" s="6"/>
      <c r="I157" s="6"/>
      <c r="J157" s="6"/>
      <c r="K157" s="6"/>
      <c r="L157" s="6" t="s">
        <v>444</v>
      </c>
      <c r="M157" s="7">
        <v>44378</v>
      </c>
      <c r="N157" s="7">
        <v>44378</v>
      </c>
      <c r="O157" s="14">
        <f>ROUND([1]CF!$CB$53*1000000,2)</f>
        <v>541166.67000000004</v>
      </c>
      <c r="P157" s="14"/>
      <c r="Q157" s="25"/>
      <c r="R157" s="18"/>
      <c r="S157" s="18"/>
      <c r="T157" s="18"/>
      <c r="U157" s="18"/>
      <c r="X157" s="16" t="e">
        <f>IF(B157="",VLOOKUP(A157,items_lookup!A:B,2,FALSE),B157)</f>
        <v>#N/A</v>
      </c>
      <c r="Y157" s="16">
        <f t="shared" si="8"/>
        <v>7</v>
      </c>
      <c r="Z157" s="16">
        <f t="shared" si="8"/>
        <v>7</v>
      </c>
      <c r="AA157" s="16">
        <f t="shared" si="9"/>
        <v>2021</v>
      </c>
      <c r="AB157" s="16">
        <f t="shared" si="10"/>
        <v>2021</v>
      </c>
      <c r="AC157" s="16">
        <f t="shared" si="11"/>
        <v>2021</v>
      </c>
    </row>
    <row r="158" spans="1:29" ht="15" customHeight="1" x14ac:dyDescent="0.2">
      <c r="A158" s="6"/>
      <c r="B158" s="6" t="s">
        <v>502</v>
      </c>
      <c r="C158" s="2" t="s">
        <v>445</v>
      </c>
      <c r="D158" s="5" t="s">
        <v>443</v>
      </c>
      <c r="E158" s="24" t="s">
        <v>440</v>
      </c>
      <c r="F158" s="6"/>
      <c r="G158" s="6"/>
      <c r="H158" s="6"/>
      <c r="I158" s="6"/>
      <c r="J158" s="6"/>
      <c r="K158" s="6"/>
      <c r="L158" s="6" t="s">
        <v>444</v>
      </c>
      <c r="M158" s="7">
        <v>44378</v>
      </c>
      <c r="N158" s="7">
        <v>44378</v>
      </c>
      <c r="O158" s="14">
        <f>ROUND([1]CF!$CB$54*1000000,2)</f>
        <v>0</v>
      </c>
      <c r="P158" s="14"/>
      <c r="Q158" s="25"/>
      <c r="R158" s="10"/>
      <c r="S158" s="10"/>
      <c r="T158" s="10"/>
      <c r="U158" s="10"/>
      <c r="X158" s="16" t="str">
        <f>IF(B158="",VLOOKUP(A158,items_lookup!A:B,2,FALSE),B158)</f>
        <v>12. Item 12</v>
      </c>
      <c r="Y158" s="16">
        <f t="shared" si="8"/>
        <v>7</v>
      </c>
      <c r="Z158" s="16">
        <f t="shared" si="8"/>
        <v>7</v>
      </c>
      <c r="AA158" s="16">
        <f t="shared" si="9"/>
        <v>2021</v>
      </c>
      <c r="AB158" s="16">
        <f t="shared" si="10"/>
        <v>2021</v>
      </c>
      <c r="AC158" s="16">
        <f t="shared" si="11"/>
        <v>2021</v>
      </c>
    </row>
    <row r="159" spans="1:29" ht="14.25" customHeight="1" x14ac:dyDescent="0.2">
      <c r="A159" s="6"/>
      <c r="B159" s="6" t="s">
        <v>504</v>
      </c>
      <c r="C159" s="2" t="s">
        <v>445</v>
      </c>
      <c r="D159" s="5" t="s">
        <v>443</v>
      </c>
      <c r="E159" s="24" t="s">
        <v>440</v>
      </c>
      <c r="F159" s="6"/>
      <c r="G159" s="6"/>
      <c r="H159" s="6"/>
      <c r="I159" s="6"/>
      <c r="J159" s="6"/>
      <c r="K159" s="6"/>
      <c r="L159" s="6" t="s">
        <v>444</v>
      </c>
      <c r="M159" s="7">
        <v>44378</v>
      </c>
      <c r="N159" s="7">
        <v>44378</v>
      </c>
      <c r="O159" s="14">
        <f>ROUND([1]CF!$CB$55*1000000,2)</f>
        <v>0</v>
      </c>
      <c r="P159" s="14"/>
      <c r="Q159" s="25"/>
      <c r="R159" s="10"/>
      <c r="S159" s="10"/>
      <c r="T159" s="10"/>
      <c r="U159" s="10"/>
      <c r="X159" s="16" t="str">
        <f>IF(B159="",VLOOKUP(A159,items_lookup!A:B,2,FALSE),B159)</f>
        <v>13. Item 13</v>
      </c>
      <c r="Y159" s="16">
        <f t="shared" si="8"/>
        <v>7</v>
      </c>
      <c r="Z159" s="16">
        <f t="shared" si="8"/>
        <v>7</v>
      </c>
      <c r="AA159" s="16">
        <f t="shared" si="9"/>
        <v>2021</v>
      </c>
      <c r="AB159" s="16">
        <f t="shared" si="10"/>
        <v>2021</v>
      </c>
      <c r="AC159" s="16">
        <f t="shared" si="11"/>
        <v>2021</v>
      </c>
    </row>
    <row r="160" spans="1:29" ht="15" customHeight="1" x14ac:dyDescent="0.2">
      <c r="A160" s="6" t="s">
        <v>552</v>
      </c>
      <c r="B160" s="6"/>
      <c r="C160" s="2" t="s">
        <v>445</v>
      </c>
      <c r="D160" s="5" t="s">
        <v>443</v>
      </c>
      <c r="E160" s="24" t="s">
        <v>440</v>
      </c>
      <c r="F160" s="6"/>
      <c r="G160" s="6"/>
      <c r="H160" s="6"/>
      <c r="I160" s="6"/>
      <c r="J160" s="6"/>
      <c r="K160" s="6"/>
      <c r="L160" s="6" t="s">
        <v>444</v>
      </c>
      <c r="M160" s="7">
        <v>44378</v>
      </c>
      <c r="N160" s="7">
        <v>44378</v>
      </c>
      <c r="O160" s="14">
        <f>ROUND([1]CF!$CB$68*1000000,2)</f>
        <v>0</v>
      </c>
      <c r="P160" s="14"/>
      <c r="Q160" s="25"/>
      <c r="R160" s="10"/>
      <c r="S160" s="10"/>
      <c r="T160" s="10"/>
      <c r="U160" s="10"/>
      <c r="X160" s="16" t="str">
        <f>IF(B160="",VLOOKUP(A160,items_lookup!A:B,2,FALSE),B160)</f>
        <v>14. Item 14</v>
      </c>
      <c r="Y160" s="16">
        <f t="shared" si="8"/>
        <v>7</v>
      </c>
      <c r="Z160" s="16">
        <f t="shared" si="8"/>
        <v>7</v>
      </c>
      <c r="AA160" s="16">
        <f t="shared" si="9"/>
        <v>2021</v>
      </c>
      <c r="AB160" s="16">
        <f t="shared" si="10"/>
        <v>2021</v>
      </c>
      <c r="AC160" s="16">
        <f t="shared" si="11"/>
        <v>2021</v>
      </c>
    </row>
    <row r="161" spans="1:29" ht="15" customHeight="1" x14ac:dyDescent="0.2">
      <c r="A161" s="6" t="s">
        <v>558</v>
      </c>
      <c r="B161" s="6"/>
      <c r="C161" s="2" t="s">
        <v>445</v>
      </c>
      <c r="D161" s="5" t="s">
        <v>446</v>
      </c>
      <c r="E161" s="24" t="s">
        <v>440</v>
      </c>
      <c r="F161" s="6"/>
      <c r="G161" s="6"/>
      <c r="H161" s="6"/>
      <c r="I161" s="6"/>
      <c r="J161" s="6"/>
      <c r="K161" s="6"/>
      <c r="L161" s="6" t="s">
        <v>444</v>
      </c>
      <c r="M161" s="7">
        <v>44378</v>
      </c>
      <c r="N161" s="7">
        <v>44378</v>
      </c>
      <c r="O161" s="14">
        <f>ROUND([1]CF!$CB$56*1000000,2)</f>
        <v>0</v>
      </c>
      <c r="P161" s="14"/>
      <c r="Q161" s="25"/>
      <c r="R161" s="10"/>
      <c r="S161" s="10"/>
      <c r="T161" s="10"/>
      <c r="U161" s="10"/>
      <c r="X161" s="16" t="str">
        <f>IF(B161="",VLOOKUP(A161,items_lookup!A:B,2,FALSE),B161)</f>
        <v>17. Item 17</v>
      </c>
      <c r="Y161" s="16">
        <f t="shared" si="8"/>
        <v>7</v>
      </c>
      <c r="Z161" s="16">
        <f t="shared" si="8"/>
        <v>7</v>
      </c>
      <c r="AA161" s="16">
        <f t="shared" si="9"/>
        <v>2021</v>
      </c>
      <c r="AB161" s="16">
        <f t="shared" si="10"/>
        <v>2021</v>
      </c>
      <c r="AC161" s="16">
        <f t="shared" si="11"/>
        <v>2021</v>
      </c>
    </row>
    <row r="162" spans="1:29" ht="15" customHeight="1" x14ac:dyDescent="0.2">
      <c r="A162" s="6" t="s">
        <v>562</v>
      </c>
      <c r="B162" s="6"/>
      <c r="C162" s="2" t="s">
        <v>445</v>
      </c>
      <c r="D162" s="5" t="s">
        <v>443</v>
      </c>
      <c r="E162" s="24" t="s">
        <v>440</v>
      </c>
      <c r="F162" s="6"/>
      <c r="G162" s="6"/>
      <c r="H162" s="6"/>
      <c r="I162" s="6"/>
      <c r="J162" s="6"/>
      <c r="K162" s="6"/>
      <c r="L162" s="6" t="s">
        <v>444</v>
      </c>
      <c r="M162" s="7">
        <v>44378</v>
      </c>
      <c r="N162" s="7">
        <v>44378</v>
      </c>
      <c r="O162" s="14">
        <f>ROUND([1]CF!$CB$57*1000000,2)</f>
        <v>0</v>
      </c>
      <c r="P162" s="14"/>
      <c r="Q162" s="25"/>
      <c r="R162" s="10"/>
      <c r="S162" s="10"/>
      <c r="T162" s="10"/>
      <c r="U162" s="10"/>
      <c r="X162" s="16" t="str">
        <f>IF(B162="",VLOOKUP(A162,items_lookup!A:B,2,FALSE),B162)</f>
        <v>19. Item 19</v>
      </c>
      <c r="Y162" s="16">
        <f t="shared" si="8"/>
        <v>7</v>
      </c>
      <c r="Z162" s="16">
        <f t="shared" si="8"/>
        <v>7</v>
      </c>
      <c r="AA162" s="16">
        <f t="shared" si="9"/>
        <v>2021</v>
      </c>
      <c r="AB162" s="16">
        <f t="shared" si="10"/>
        <v>2021</v>
      </c>
      <c r="AC162" s="16">
        <f t="shared" si="11"/>
        <v>2021</v>
      </c>
    </row>
    <row r="163" spans="1:29" ht="15" customHeight="1" x14ac:dyDescent="0.2">
      <c r="A163" s="6" t="s">
        <v>450</v>
      </c>
      <c r="B163" s="6"/>
      <c r="C163" s="2" t="s">
        <v>445</v>
      </c>
      <c r="D163" s="5" t="s">
        <v>446</v>
      </c>
      <c r="E163" s="24" t="s">
        <v>439</v>
      </c>
      <c r="F163" s="6"/>
      <c r="G163" s="6"/>
      <c r="H163" s="6"/>
      <c r="I163" s="6"/>
      <c r="J163" s="6"/>
      <c r="K163" s="6"/>
      <c r="L163" s="6" t="s">
        <v>444</v>
      </c>
      <c r="M163" s="7">
        <v>44409</v>
      </c>
      <c r="N163" s="7">
        <v>44409</v>
      </c>
      <c r="O163" s="14">
        <f>ROUND([1]CF!$CC$28*1000000,2)</f>
        <v>10142281.25</v>
      </c>
      <c r="P163" s="14"/>
      <c r="Q163" s="25"/>
      <c r="R163" s="10"/>
      <c r="S163" s="10"/>
      <c r="T163" s="10"/>
      <c r="U163" s="10"/>
      <c r="X163" s="16" t="str">
        <f>IF(B163="",VLOOKUP(A163,items_lookup!A:B,2,FALSE),B163)</f>
        <v>_1. Item _1</v>
      </c>
      <c r="Y163" s="16">
        <f t="shared" si="8"/>
        <v>8</v>
      </c>
      <c r="Z163" s="16">
        <f t="shared" si="8"/>
        <v>8</v>
      </c>
      <c r="AA163" s="16">
        <f t="shared" si="9"/>
        <v>2021</v>
      </c>
      <c r="AB163" s="16">
        <f t="shared" si="10"/>
        <v>2021</v>
      </c>
      <c r="AC163" s="16">
        <f t="shared" si="11"/>
        <v>2021</v>
      </c>
    </row>
    <row r="164" spans="1:29" ht="15" customHeight="1" x14ac:dyDescent="0.2">
      <c r="A164" s="6" t="s">
        <v>450</v>
      </c>
      <c r="B164" s="6"/>
      <c r="C164" s="2" t="s">
        <v>445</v>
      </c>
      <c r="D164" s="5" t="s">
        <v>443</v>
      </c>
      <c r="E164" s="24" t="s">
        <v>439</v>
      </c>
      <c r="F164" s="6"/>
      <c r="G164" s="6"/>
      <c r="H164" s="6"/>
      <c r="I164" s="6"/>
      <c r="J164" s="6"/>
      <c r="K164" s="6"/>
      <c r="L164" s="6" t="s">
        <v>444</v>
      </c>
      <c r="M164" s="7">
        <v>44409</v>
      </c>
      <c r="N164" s="7">
        <v>44409</v>
      </c>
      <c r="O164" s="14">
        <f>ROUND([1]CF!$CC$27*1000000,2)</f>
        <v>55959148.909999996</v>
      </c>
      <c r="P164" s="14"/>
      <c r="Q164" s="25"/>
      <c r="R164" s="10"/>
      <c r="S164" s="10"/>
      <c r="T164" s="10"/>
      <c r="U164" s="10"/>
      <c r="X164" s="16" t="str">
        <f>IF(B164="",VLOOKUP(A164,items_lookup!A:B,2,FALSE),B164)</f>
        <v>_1. Item _1</v>
      </c>
      <c r="Y164" s="16">
        <f t="shared" si="8"/>
        <v>8</v>
      </c>
      <c r="Z164" s="16">
        <f t="shared" si="8"/>
        <v>8</v>
      </c>
      <c r="AA164" s="16">
        <f t="shared" si="9"/>
        <v>2021</v>
      </c>
      <c r="AB164" s="16">
        <f t="shared" si="10"/>
        <v>2021</v>
      </c>
      <c r="AC164" s="16">
        <f t="shared" si="11"/>
        <v>2021</v>
      </c>
    </row>
    <row r="165" spans="1:29" ht="15" customHeight="1" x14ac:dyDescent="0.2">
      <c r="A165" s="6" t="s">
        <v>457</v>
      </c>
      <c r="B165" s="6"/>
      <c r="C165" s="2" t="s">
        <v>445</v>
      </c>
      <c r="D165" s="5" t="s">
        <v>446</v>
      </c>
      <c r="E165" s="24" t="s">
        <v>439</v>
      </c>
      <c r="F165" s="6"/>
      <c r="G165" s="6"/>
      <c r="H165" s="6"/>
      <c r="I165" s="6"/>
      <c r="J165" s="6"/>
      <c r="K165" s="6"/>
      <c r="L165" s="6" t="s">
        <v>444</v>
      </c>
      <c r="M165" s="7">
        <v>44409</v>
      </c>
      <c r="N165" s="7">
        <v>44409</v>
      </c>
      <c r="O165" s="14">
        <f>ROUND([1]CF!$CC$29*1000000,2)</f>
        <v>380000</v>
      </c>
      <c r="P165" s="14"/>
      <c r="Q165" s="25"/>
      <c r="R165" s="10"/>
      <c r="S165" s="10"/>
      <c r="T165" s="10"/>
      <c r="U165" s="10"/>
      <c r="X165" s="16" t="str">
        <f>IF(B165="",VLOOKUP(A165,items_lookup!A:B,2,FALSE),B165)</f>
        <v>_2. Item _2</v>
      </c>
      <c r="Y165" s="16">
        <f t="shared" si="8"/>
        <v>8</v>
      </c>
      <c r="Z165" s="16">
        <f t="shared" si="8"/>
        <v>8</v>
      </c>
      <c r="AA165" s="16">
        <f t="shared" si="9"/>
        <v>2021</v>
      </c>
      <c r="AB165" s="16">
        <f t="shared" si="10"/>
        <v>2021</v>
      </c>
      <c r="AC165" s="16">
        <f t="shared" si="11"/>
        <v>2021</v>
      </c>
    </row>
    <row r="166" spans="1:29" ht="15" customHeight="1" x14ac:dyDescent="0.2">
      <c r="A166" s="6" t="s">
        <v>464</v>
      </c>
      <c r="B166" s="6"/>
      <c r="C166" s="2" t="s">
        <v>445</v>
      </c>
      <c r="D166" s="5" t="s">
        <v>446</v>
      </c>
      <c r="E166" s="24" t="s">
        <v>439</v>
      </c>
      <c r="F166" s="6"/>
      <c r="G166" s="6"/>
      <c r="H166" s="6"/>
      <c r="I166" s="6"/>
      <c r="J166" s="6"/>
      <c r="K166" s="6"/>
      <c r="L166" s="6" t="s">
        <v>444</v>
      </c>
      <c r="M166" s="7">
        <v>44409</v>
      </c>
      <c r="N166" s="7">
        <v>44409</v>
      </c>
      <c r="O166" s="14">
        <f>ROUND([1]CF!$CC$30*1000000,2)</f>
        <v>172004.07</v>
      </c>
      <c r="P166" s="14"/>
      <c r="Q166" s="25"/>
      <c r="R166" s="10"/>
      <c r="S166" s="10"/>
      <c r="T166" s="10"/>
      <c r="U166" s="10"/>
      <c r="X166" s="16" t="str">
        <f>IF(B166="",VLOOKUP(A166,items_lookup!A:B,2,FALSE),B166)</f>
        <v>_3. Item _3</v>
      </c>
      <c r="Y166" s="16">
        <f t="shared" si="8"/>
        <v>8</v>
      </c>
      <c r="Z166" s="16">
        <f t="shared" si="8"/>
        <v>8</v>
      </c>
      <c r="AA166" s="16">
        <f t="shared" si="9"/>
        <v>2021</v>
      </c>
      <c r="AB166" s="16">
        <f t="shared" si="10"/>
        <v>2021</v>
      </c>
      <c r="AC166" s="16">
        <f t="shared" si="11"/>
        <v>2021</v>
      </c>
    </row>
    <row r="167" spans="1:29" ht="15" customHeight="1" x14ac:dyDescent="0.2">
      <c r="A167" s="6" t="s">
        <v>538</v>
      </c>
      <c r="B167" s="6"/>
      <c r="C167" s="2" t="s">
        <v>445</v>
      </c>
      <c r="D167" s="5" t="s">
        <v>443</v>
      </c>
      <c r="E167" s="24" t="s">
        <v>440</v>
      </c>
      <c r="F167" s="6"/>
      <c r="G167" s="6"/>
      <c r="H167" s="6"/>
      <c r="I167" s="6"/>
      <c r="J167" s="6"/>
      <c r="K167" s="6"/>
      <c r="L167" s="6" t="s">
        <v>444</v>
      </c>
      <c r="M167" s="7">
        <v>44409</v>
      </c>
      <c r="N167" s="7">
        <v>44409</v>
      </c>
      <c r="O167" s="14">
        <f>ROUND([1]CF!$CC$32*1000000,2)</f>
        <v>74670.63</v>
      </c>
      <c r="P167" s="14"/>
      <c r="Q167" s="25"/>
      <c r="R167" s="8"/>
      <c r="S167" s="8"/>
      <c r="T167" s="8"/>
      <c r="U167" s="8"/>
      <c r="X167" s="16" t="str">
        <f>IF(B167="",VLOOKUP(A167,items_lookup!A:B,2,FALSE),B167)</f>
        <v>01. Item 01</v>
      </c>
      <c r="Y167" s="16">
        <f t="shared" si="8"/>
        <v>8</v>
      </c>
      <c r="Z167" s="16">
        <f t="shared" si="8"/>
        <v>8</v>
      </c>
      <c r="AA167" s="16">
        <f t="shared" si="9"/>
        <v>2021</v>
      </c>
      <c r="AB167" s="16">
        <f t="shared" si="10"/>
        <v>2021</v>
      </c>
      <c r="AC167" s="16">
        <f t="shared" si="11"/>
        <v>2021</v>
      </c>
    </row>
    <row r="168" spans="1:29" ht="15" customHeight="1" x14ac:dyDescent="0.2">
      <c r="A168" s="6" t="s">
        <v>529</v>
      </c>
      <c r="B168" s="6"/>
      <c r="C168" s="2" t="s">
        <v>445</v>
      </c>
      <c r="D168" s="5" t="s">
        <v>443</v>
      </c>
      <c r="E168" s="24" t="s">
        <v>440</v>
      </c>
      <c r="F168" s="6"/>
      <c r="G168" s="6"/>
      <c r="H168" s="6"/>
      <c r="I168" s="6"/>
      <c r="J168" s="6"/>
      <c r="K168" s="6"/>
      <c r="L168" s="6" t="s">
        <v>444</v>
      </c>
      <c r="M168" s="7">
        <v>44409</v>
      </c>
      <c r="N168" s="7">
        <v>44409</v>
      </c>
      <c r="O168" s="14">
        <f>ROUND([1]CF!$CC$33*1000000,2)</f>
        <v>7626734.96</v>
      </c>
      <c r="P168" s="14"/>
      <c r="Q168" s="25"/>
      <c r="R168" s="8"/>
      <c r="S168" s="8"/>
      <c r="T168" s="8"/>
      <c r="U168" s="8"/>
      <c r="X168" s="16" t="str">
        <f>IF(B168="",VLOOKUP(A168,items_lookup!A:B,2,FALSE),B168)</f>
        <v>02. Item 02</v>
      </c>
      <c r="Y168" s="16">
        <f t="shared" si="8"/>
        <v>8</v>
      </c>
      <c r="Z168" s="16">
        <f t="shared" si="8"/>
        <v>8</v>
      </c>
      <c r="AA168" s="16">
        <f t="shared" si="9"/>
        <v>2021</v>
      </c>
      <c r="AB168" s="16">
        <f t="shared" si="10"/>
        <v>2021</v>
      </c>
      <c r="AC168" s="16">
        <f t="shared" si="11"/>
        <v>2021</v>
      </c>
    </row>
    <row r="169" spans="1:29" ht="27.75" customHeight="1" x14ac:dyDescent="0.2">
      <c r="A169" s="6"/>
      <c r="B169" s="6" t="s">
        <v>448</v>
      </c>
      <c r="C169" s="2" t="s">
        <v>445</v>
      </c>
      <c r="D169" s="5" t="s">
        <v>443</v>
      </c>
      <c r="E169" s="24" t="s">
        <v>440</v>
      </c>
      <c r="F169" s="6"/>
      <c r="G169" s="6"/>
      <c r="H169" s="6"/>
      <c r="I169" s="6"/>
      <c r="J169" s="6"/>
      <c r="K169" s="6"/>
      <c r="L169" s="6" t="s">
        <v>444</v>
      </c>
      <c r="M169" s="7">
        <v>44409</v>
      </c>
      <c r="N169" s="7">
        <v>44409</v>
      </c>
      <c r="O169" s="14">
        <f>ROUND([1]CF!$CC$34*1000000,2)</f>
        <v>49726.41</v>
      </c>
      <c r="P169" s="14"/>
      <c r="Q169" s="25"/>
      <c r="R169" s="9"/>
      <c r="S169" s="9"/>
      <c r="T169" s="9"/>
      <c r="U169" s="9"/>
      <c r="X169" s="16" t="str">
        <f>IF(B169="",VLOOKUP(A169,items_lookup!A:B,2,FALSE),B169)</f>
        <v>03. Item 03</v>
      </c>
      <c r="Y169" s="16">
        <f t="shared" si="8"/>
        <v>8</v>
      </c>
      <c r="Z169" s="16">
        <f t="shared" si="8"/>
        <v>8</v>
      </c>
      <c r="AA169" s="16">
        <f t="shared" si="9"/>
        <v>2021</v>
      </c>
      <c r="AB169" s="16">
        <f t="shared" si="10"/>
        <v>2021</v>
      </c>
      <c r="AC169" s="16">
        <f t="shared" si="11"/>
        <v>2021</v>
      </c>
    </row>
    <row r="170" spans="1:29" ht="12" customHeight="1" x14ac:dyDescent="0.2">
      <c r="A170" s="6"/>
      <c r="B170" s="6" t="s">
        <v>475</v>
      </c>
      <c r="C170" s="2" t="s">
        <v>445</v>
      </c>
      <c r="D170" s="5" t="s">
        <v>443</v>
      </c>
      <c r="E170" s="24" t="s">
        <v>440</v>
      </c>
      <c r="F170" s="6"/>
      <c r="G170" s="6"/>
      <c r="H170" s="6"/>
      <c r="I170" s="6"/>
      <c r="J170" s="6"/>
      <c r="K170" s="6"/>
      <c r="L170" s="6" t="s">
        <v>444</v>
      </c>
      <c r="M170" s="7">
        <v>44409</v>
      </c>
      <c r="N170" s="7">
        <v>44409</v>
      </c>
      <c r="O170" s="14">
        <f>ROUND([1]CF!$CC$35*1000000,2)</f>
        <v>6086476.1900000004</v>
      </c>
      <c r="P170" s="14"/>
      <c r="Q170" s="25"/>
      <c r="R170" s="10"/>
      <c r="S170" s="10"/>
      <c r="T170" s="10"/>
      <c r="U170" s="10"/>
      <c r="X170" s="16" t="str">
        <f>IF(B170="",VLOOKUP(A170,items_lookup!A:B,2,FALSE),B170)</f>
        <v>04. Item 04</v>
      </c>
      <c r="Y170" s="16">
        <f t="shared" si="8"/>
        <v>8</v>
      </c>
      <c r="Z170" s="16">
        <f t="shared" si="8"/>
        <v>8</v>
      </c>
      <c r="AA170" s="16">
        <f t="shared" si="9"/>
        <v>2021</v>
      </c>
      <c r="AB170" s="16">
        <f t="shared" si="10"/>
        <v>2021</v>
      </c>
      <c r="AC170" s="16">
        <f t="shared" si="11"/>
        <v>2021</v>
      </c>
    </row>
    <row r="171" spans="1:29" ht="15" customHeight="1" x14ac:dyDescent="0.2">
      <c r="A171" s="6" t="s">
        <v>477</v>
      </c>
      <c r="B171" s="6"/>
      <c r="C171" s="2" t="s">
        <v>445</v>
      </c>
      <c r="D171" s="5" t="s">
        <v>443</v>
      </c>
      <c r="E171" s="24" t="s">
        <v>440</v>
      </c>
      <c r="F171" s="6"/>
      <c r="G171" s="6"/>
      <c r="H171" s="6"/>
      <c r="I171" s="6"/>
      <c r="J171" s="6"/>
      <c r="K171" s="6"/>
      <c r="L171" s="6" t="s">
        <v>444</v>
      </c>
      <c r="M171" s="7">
        <v>44409</v>
      </c>
      <c r="N171" s="7">
        <v>44409</v>
      </c>
      <c r="O171" s="14">
        <f>ROUND([1]CF!$CC$37*1000000,2)-O172</f>
        <v>2155014.6799999997</v>
      </c>
      <c r="P171" s="14"/>
      <c r="Q171" s="25"/>
      <c r="R171" s="9"/>
      <c r="S171" s="9"/>
      <c r="T171" s="9"/>
      <c r="U171" s="9"/>
      <c r="X171" s="16" t="str">
        <f>IF(B171="",VLOOKUP(A171,items_lookup!A:B,2,FALSE),B171)</f>
        <v>05. Item 05</v>
      </c>
      <c r="Y171" s="16">
        <f t="shared" si="8"/>
        <v>8</v>
      </c>
      <c r="Z171" s="16">
        <f t="shared" si="8"/>
        <v>8</v>
      </c>
      <c r="AA171" s="16">
        <f t="shared" si="9"/>
        <v>2021</v>
      </c>
      <c r="AB171" s="16">
        <f t="shared" si="10"/>
        <v>2021</v>
      </c>
      <c r="AC171" s="16">
        <f t="shared" si="11"/>
        <v>2021</v>
      </c>
    </row>
    <row r="172" spans="1:29" ht="15" customHeight="1" x14ac:dyDescent="0.2">
      <c r="A172" s="6" t="s">
        <v>477</v>
      </c>
      <c r="B172" s="6"/>
      <c r="C172" s="2" t="s">
        <v>445</v>
      </c>
      <c r="D172" s="5" t="s">
        <v>446</v>
      </c>
      <c r="E172" s="24" t="s">
        <v>440</v>
      </c>
      <c r="F172" s="6"/>
      <c r="G172" s="6"/>
      <c r="H172" s="6"/>
      <c r="I172" s="6"/>
      <c r="J172" s="6"/>
      <c r="K172" s="6"/>
      <c r="L172" s="6" t="s">
        <v>444</v>
      </c>
      <c r="M172" s="7">
        <v>44409</v>
      </c>
      <c r="N172" s="7">
        <v>44409</v>
      </c>
      <c r="O172" s="14">
        <f>O163+O165+O166-O184</f>
        <v>10694285.32</v>
      </c>
      <c r="P172" s="14"/>
      <c r="Q172" s="25"/>
      <c r="R172" s="9"/>
      <c r="S172" s="9"/>
      <c r="T172" s="9"/>
      <c r="U172" s="9"/>
      <c r="X172" s="16" t="str">
        <f>IF(B172="",VLOOKUP(A172,items_lookup!A:B,2,FALSE),B172)</f>
        <v>05. Item 05</v>
      </c>
      <c r="Y172" s="16">
        <f t="shared" si="8"/>
        <v>8</v>
      </c>
      <c r="Z172" s="16">
        <f t="shared" si="8"/>
        <v>8</v>
      </c>
      <c r="AA172" s="16">
        <f t="shared" si="9"/>
        <v>2021</v>
      </c>
      <c r="AB172" s="16">
        <f t="shared" si="10"/>
        <v>2021</v>
      </c>
      <c r="AC172" s="16">
        <f t="shared" si="11"/>
        <v>2021</v>
      </c>
    </row>
    <row r="173" spans="1:29" ht="15" customHeight="1" x14ac:dyDescent="0.2">
      <c r="A173" s="6" t="s">
        <v>480</v>
      </c>
      <c r="B173" s="6"/>
      <c r="C173" s="2" t="s">
        <v>445</v>
      </c>
      <c r="D173" s="5" t="s">
        <v>443</v>
      </c>
      <c r="E173" s="24" t="s">
        <v>440</v>
      </c>
      <c r="F173" s="6"/>
      <c r="G173" s="6"/>
      <c r="H173" s="6"/>
      <c r="I173" s="6"/>
      <c r="J173" s="6"/>
      <c r="K173" s="6"/>
      <c r="L173" s="6" t="s">
        <v>444</v>
      </c>
      <c r="M173" s="7">
        <v>44409</v>
      </c>
      <c r="N173" s="7">
        <v>44409</v>
      </c>
      <c r="O173" s="14">
        <f>ROUND([1]CF!$CC$38*1000000,2)</f>
        <v>0</v>
      </c>
      <c r="P173" s="14"/>
      <c r="Q173" s="25"/>
      <c r="R173" s="9"/>
      <c r="S173" s="9"/>
      <c r="T173" s="9"/>
      <c r="U173" s="9"/>
      <c r="X173" s="16" t="str">
        <f>IF(B173="",VLOOKUP(A173,items_lookup!A:B,2,FALSE),B173)</f>
        <v>05. Item 05</v>
      </c>
      <c r="Y173" s="16">
        <f t="shared" si="8"/>
        <v>8</v>
      </c>
      <c r="Z173" s="16">
        <f t="shared" si="8"/>
        <v>8</v>
      </c>
      <c r="AA173" s="16">
        <f t="shared" si="9"/>
        <v>2021</v>
      </c>
      <c r="AB173" s="16">
        <f t="shared" si="10"/>
        <v>2021</v>
      </c>
      <c r="AC173" s="16">
        <f t="shared" si="11"/>
        <v>2021</v>
      </c>
    </row>
    <row r="174" spans="1:29" ht="15" customHeight="1" x14ac:dyDescent="0.2">
      <c r="A174" s="6" t="s">
        <v>540</v>
      </c>
      <c r="B174" s="6"/>
      <c r="C174" s="2" t="s">
        <v>445</v>
      </c>
      <c r="D174" s="5" t="s">
        <v>443</v>
      </c>
      <c r="E174" s="24" t="s">
        <v>440</v>
      </c>
      <c r="F174" s="6"/>
      <c r="G174" s="6"/>
      <c r="H174" s="6"/>
      <c r="I174" s="6"/>
      <c r="J174" s="6"/>
      <c r="K174" s="6"/>
      <c r="L174" s="6" t="s">
        <v>444</v>
      </c>
      <c r="M174" s="7">
        <v>44409</v>
      </c>
      <c r="N174" s="7">
        <v>44409</v>
      </c>
      <c r="O174" s="14">
        <f>ROUND([1]CF!$CC$39*1000000,2)</f>
        <v>727213.46</v>
      </c>
      <c r="P174" s="14"/>
      <c r="Q174" s="25"/>
      <c r="R174" s="9"/>
      <c r="S174" s="9"/>
      <c r="T174" s="9"/>
      <c r="U174" s="9"/>
      <c r="X174" s="16" t="str">
        <f>IF(B174="",VLOOKUP(A174,items_lookup!A:B,2,FALSE),B174)</f>
        <v>06. Item 06</v>
      </c>
      <c r="Y174" s="16">
        <f t="shared" si="8"/>
        <v>8</v>
      </c>
      <c r="Z174" s="16">
        <f t="shared" si="8"/>
        <v>8</v>
      </c>
      <c r="AA174" s="16">
        <f t="shared" si="9"/>
        <v>2021</v>
      </c>
      <c r="AB174" s="16">
        <f t="shared" si="10"/>
        <v>2021</v>
      </c>
      <c r="AC174" s="16">
        <f t="shared" si="11"/>
        <v>2021</v>
      </c>
    </row>
    <row r="175" spans="1:29" ht="15" customHeight="1" x14ac:dyDescent="0.2">
      <c r="A175" s="6" t="s">
        <v>542</v>
      </c>
      <c r="B175" s="6"/>
      <c r="C175" s="2" t="s">
        <v>445</v>
      </c>
      <c r="D175" s="5" t="s">
        <v>443</v>
      </c>
      <c r="E175" s="24" t="s">
        <v>440</v>
      </c>
      <c r="F175" s="6"/>
      <c r="G175" s="6"/>
      <c r="H175" s="6"/>
      <c r="I175" s="6"/>
      <c r="J175" s="6"/>
      <c r="K175" s="6"/>
      <c r="L175" s="6" t="s">
        <v>444</v>
      </c>
      <c r="M175" s="7">
        <v>44409</v>
      </c>
      <c r="N175" s="7">
        <v>44409</v>
      </c>
      <c r="O175" s="14">
        <f>ROUND([1]CF!$CC$41*1000000,2)</f>
        <v>0</v>
      </c>
      <c r="P175" s="14"/>
      <c r="Q175" s="25"/>
      <c r="R175" s="9"/>
      <c r="S175" s="9"/>
      <c r="T175" s="9"/>
      <c r="U175" s="9"/>
      <c r="X175" s="16" t="str">
        <f>IF(B175="",VLOOKUP(A175,items_lookup!A:B,2,FALSE),B175)</f>
        <v>07. Item 07</v>
      </c>
      <c r="Y175" s="16">
        <f t="shared" si="8"/>
        <v>8</v>
      </c>
      <c r="Z175" s="16">
        <f t="shared" si="8"/>
        <v>8</v>
      </c>
      <c r="AA175" s="16">
        <f t="shared" si="9"/>
        <v>2021</v>
      </c>
      <c r="AB175" s="16">
        <f t="shared" si="10"/>
        <v>2021</v>
      </c>
      <c r="AC175" s="16">
        <f t="shared" si="11"/>
        <v>2021</v>
      </c>
    </row>
    <row r="176" spans="1:29" ht="13.5" customHeight="1" x14ac:dyDescent="0.2">
      <c r="A176" s="6" t="s">
        <v>544</v>
      </c>
      <c r="B176" s="6"/>
      <c r="C176" s="2" t="s">
        <v>445</v>
      </c>
      <c r="D176" s="5" t="s">
        <v>443</v>
      </c>
      <c r="E176" s="24" t="s">
        <v>440</v>
      </c>
      <c r="F176" s="6"/>
      <c r="G176" s="6"/>
      <c r="H176" s="6"/>
      <c r="I176" s="6"/>
      <c r="J176" s="6"/>
      <c r="K176" s="6"/>
      <c r="L176" s="6" t="s">
        <v>444</v>
      </c>
      <c r="M176" s="7">
        <v>44409</v>
      </c>
      <c r="N176" s="7">
        <v>44409</v>
      </c>
      <c r="O176" s="14">
        <f>ROUND([1]CF!$CC$43*1000000,2)</f>
        <v>0</v>
      </c>
      <c r="P176" s="14"/>
      <c r="Q176" s="25"/>
      <c r="R176" s="9"/>
      <c r="S176" s="9"/>
      <c r="T176" s="9"/>
      <c r="U176" s="9"/>
      <c r="X176" s="16" t="str">
        <f>IF(B176="",VLOOKUP(A176,items_lookup!A:B,2,FALSE),B176)</f>
        <v>08. Item 08</v>
      </c>
      <c r="Y176" s="16">
        <f t="shared" si="8"/>
        <v>8</v>
      </c>
      <c r="Z176" s="16">
        <f t="shared" si="8"/>
        <v>8</v>
      </c>
      <c r="AA176" s="16">
        <f t="shared" si="9"/>
        <v>2021</v>
      </c>
      <c r="AB176" s="16">
        <f t="shared" si="10"/>
        <v>2021</v>
      </c>
      <c r="AC176" s="16">
        <f t="shared" si="11"/>
        <v>2021</v>
      </c>
    </row>
    <row r="177" spans="1:29" ht="15" customHeight="1" x14ac:dyDescent="0.2">
      <c r="A177" s="6"/>
      <c r="B177" s="6" t="s">
        <v>484</v>
      </c>
      <c r="C177" s="2" t="s">
        <v>445</v>
      </c>
      <c r="D177" s="5" t="s">
        <v>443</v>
      </c>
      <c r="E177" s="24" t="s">
        <v>440</v>
      </c>
      <c r="F177" s="6"/>
      <c r="G177" s="6"/>
      <c r="H177" s="6"/>
      <c r="I177" s="6"/>
      <c r="J177" s="6"/>
      <c r="K177" s="6"/>
      <c r="L177" s="6" t="s">
        <v>444</v>
      </c>
      <c r="M177" s="7">
        <v>44409</v>
      </c>
      <c r="N177" s="7">
        <v>44409</v>
      </c>
      <c r="O177" s="14">
        <f>ROUND([1]CF!$CC$44*1000000,2)</f>
        <v>351755.78</v>
      </c>
      <c r="P177" s="14"/>
      <c r="Q177" s="25"/>
      <c r="R177" s="9"/>
      <c r="S177" s="9"/>
      <c r="T177" s="9"/>
      <c r="U177" s="9"/>
      <c r="X177" s="16" t="str">
        <f>IF(B177="",VLOOKUP(A177,items_lookup!A:B,2,FALSE),B177)</f>
        <v>09. Item 09</v>
      </c>
      <c r="Y177" s="16">
        <f t="shared" si="8"/>
        <v>8</v>
      </c>
      <c r="Z177" s="16">
        <f t="shared" si="8"/>
        <v>8</v>
      </c>
      <c r="AA177" s="16">
        <f t="shared" si="9"/>
        <v>2021</v>
      </c>
      <c r="AB177" s="16">
        <f t="shared" si="10"/>
        <v>2021</v>
      </c>
      <c r="AC177" s="16">
        <f t="shared" si="11"/>
        <v>2021</v>
      </c>
    </row>
    <row r="178" spans="1:29" ht="21.75" customHeight="1" x14ac:dyDescent="0.2">
      <c r="A178" s="6"/>
      <c r="B178" s="6" t="s">
        <v>493</v>
      </c>
      <c r="C178" s="2" t="s">
        <v>445</v>
      </c>
      <c r="D178" s="5" t="s">
        <v>443</v>
      </c>
      <c r="E178" s="24" t="s">
        <v>440</v>
      </c>
      <c r="F178" s="6"/>
      <c r="G178" s="6"/>
      <c r="H178" s="6"/>
      <c r="I178" s="6"/>
      <c r="J178" s="6"/>
      <c r="K178" s="6"/>
      <c r="L178" s="6" t="s">
        <v>444</v>
      </c>
      <c r="M178" s="7">
        <v>44409</v>
      </c>
      <c r="N178" s="7">
        <v>44409</v>
      </c>
      <c r="O178" s="14">
        <f>ROUND([1]CF!$CC$51*1000000,2)</f>
        <v>2565359.7200000002</v>
      </c>
      <c r="P178" s="14"/>
      <c r="Q178" s="25"/>
      <c r="R178" s="10"/>
      <c r="S178" s="10"/>
      <c r="T178" s="10"/>
      <c r="U178" s="10"/>
      <c r="X178" s="16" t="str">
        <f>IF(B178="",VLOOKUP(A178,items_lookup!A:B,2,FALSE),B178)</f>
        <v>10. Item 10</v>
      </c>
      <c r="Y178" s="16">
        <f t="shared" si="8"/>
        <v>8</v>
      </c>
      <c r="Z178" s="16">
        <f t="shared" si="8"/>
        <v>8</v>
      </c>
      <c r="AA178" s="16">
        <f t="shared" si="9"/>
        <v>2021</v>
      </c>
      <c r="AB178" s="16">
        <f t="shared" si="10"/>
        <v>2021</v>
      </c>
      <c r="AC178" s="16">
        <f t="shared" si="11"/>
        <v>2021</v>
      </c>
    </row>
    <row r="179" spans="1:29" ht="15" customHeight="1" x14ac:dyDescent="0.2">
      <c r="A179" s="6" t="s">
        <v>546</v>
      </c>
      <c r="B179" s="6"/>
      <c r="C179" s="2" t="s">
        <v>445</v>
      </c>
      <c r="D179" s="5" t="s">
        <v>443</v>
      </c>
      <c r="E179" s="24" t="s">
        <v>440</v>
      </c>
      <c r="F179" s="6"/>
      <c r="G179" s="6"/>
      <c r="H179" s="6"/>
      <c r="I179" s="6"/>
      <c r="J179" s="6"/>
      <c r="K179" s="6"/>
      <c r="L179" s="6" t="s">
        <v>444</v>
      </c>
      <c r="M179" s="7">
        <v>44409</v>
      </c>
      <c r="N179" s="7">
        <v>44409</v>
      </c>
      <c r="O179" s="14">
        <f>ROUND([1]CF!$CC$52*1000000,2)</f>
        <v>11183.24</v>
      </c>
      <c r="P179" s="14"/>
      <c r="Q179" s="25"/>
      <c r="R179" s="10"/>
      <c r="S179" s="10"/>
      <c r="T179" s="10"/>
      <c r="U179" s="10"/>
      <c r="X179" s="16" t="str">
        <f>IF(B179="",VLOOKUP(A179,items_lookup!A:B,2,FALSE),B179)</f>
        <v>11. Item 11</v>
      </c>
      <c r="Y179" s="16">
        <f t="shared" si="8"/>
        <v>8</v>
      </c>
      <c r="Z179" s="16">
        <f t="shared" si="8"/>
        <v>8</v>
      </c>
      <c r="AA179" s="16">
        <f t="shared" si="9"/>
        <v>2021</v>
      </c>
      <c r="AB179" s="16">
        <f t="shared" si="10"/>
        <v>2021</v>
      </c>
      <c r="AC179" s="16">
        <f t="shared" si="11"/>
        <v>2021</v>
      </c>
    </row>
    <row r="180" spans="1:29" ht="15" customHeight="1" x14ac:dyDescent="0.2">
      <c r="A180" s="6" t="s">
        <v>704</v>
      </c>
      <c r="B180" s="6"/>
      <c r="C180" s="2" t="s">
        <v>445</v>
      </c>
      <c r="D180" s="5" t="s">
        <v>443</v>
      </c>
      <c r="E180" s="24" t="s">
        <v>440</v>
      </c>
      <c r="F180" s="6"/>
      <c r="G180" s="6"/>
      <c r="H180" s="6"/>
      <c r="I180" s="6"/>
      <c r="J180" s="6"/>
      <c r="K180" s="6"/>
      <c r="L180" s="6" t="s">
        <v>444</v>
      </c>
      <c r="M180" s="7">
        <v>44409</v>
      </c>
      <c r="N180" s="7">
        <v>44409</v>
      </c>
      <c r="O180" s="14">
        <f>ROUND([1]CF!$CC$53*1000000,2)</f>
        <v>541166.67000000004</v>
      </c>
      <c r="P180" s="14"/>
      <c r="Q180" s="25"/>
      <c r="R180" s="18"/>
      <c r="S180" s="18"/>
      <c r="T180" s="18"/>
      <c r="U180" s="18"/>
      <c r="X180" s="16" t="e">
        <f>IF(B180="",VLOOKUP(A180,items_lookup!A:B,2,FALSE),B180)</f>
        <v>#N/A</v>
      </c>
      <c r="Y180" s="16">
        <f t="shared" si="8"/>
        <v>8</v>
      </c>
      <c r="Z180" s="16">
        <f t="shared" si="8"/>
        <v>8</v>
      </c>
      <c r="AA180" s="16">
        <f t="shared" si="9"/>
        <v>2021</v>
      </c>
      <c r="AB180" s="16">
        <f t="shared" si="10"/>
        <v>2021</v>
      </c>
      <c r="AC180" s="16">
        <f t="shared" si="11"/>
        <v>2021</v>
      </c>
    </row>
    <row r="181" spans="1:29" ht="15" customHeight="1" x14ac:dyDescent="0.2">
      <c r="A181" s="6"/>
      <c r="B181" s="6" t="s">
        <v>502</v>
      </c>
      <c r="C181" s="2" t="s">
        <v>445</v>
      </c>
      <c r="D181" s="5" t="s">
        <v>443</v>
      </c>
      <c r="E181" s="24" t="s">
        <v>440</v>
      </c>
      <c r="F181" s="6"/>
      <c r="G181" s="6"/>
      <c r="H181" s="6"/>
      <c r="I181" s="6"/>
      <c r="J181" s="6"/>
      <c r="K181" s="6"/>
      <c r="L181" s="6" t="s">
        <v>444</v>
      </c>
      <c r="M181" s="7">
        <v>44409</v>
      </c>
      <c r="N181" s="7">
        <v>44409</v>
      </c>
      <c r="O181" s="14">
        <f>ROUND([1]CF!$CC$54*1000000,2)</f>
        <v>0</v>
      </c>
      <c r="P181" s="14"/>
      <c r="Q181" s="25"/>
      <c r="R181" s="10"/>
      <c r="S181" s="10"/>
      <c r="T181" s="10"/>
      <c r="U181" s="10"/>
      <c r="X181" s="16" t="str">
        <f>IF(B181="",VLOOKUP(A181,items_lookup!A:B,2,FALSE),B181)</f>
        <v>12. Item 12</v>
      </c>
      <c r="Y181" s="16">
        <f t="shared" si="8"/>
        <v>8</v>
      </c>
      <c r="Z181" s="16">
        <f t="shared" si="8"/>
        <v>8</v>
      </c>
      <c r="AA181" s="16">
        <f t="shared" si="9"/>
        <v>2021</v>
      </c>
      <c r="AB181" s="16">
        <f t="shared" si="10"/>
        <v>2021</v>
      </c>
      <c r="AC181" s="16">
        <f t="shared" si="11"/>
        <v>2021</v>
      </c>
    </row>
    <row r="182" spans="1:29" ht="14.25" customHeight="1" x14ac:dyDescent="0.2">
      <c r="A182" s="6"/>
      <c r="B182" s="6" t="s">
        <v>504</v>
      </c>
      <c r="C182" s="2" t="s">
        <v>445</v>
      </c>
      <c r="D182" s="5" t="s">
        <v>443</v>
      </c>
      <c r="E182" s="24" t="s">
        <v>440</v>
      </c>
      <c r="F182" s="6"/>
      <c r="G182" s="6"/>
      <c r="H182" s="6"/>
      <c r="I182" s="6"/>
      <c r="J182" s="6"/>
      <c r="K182" s="6"/>
      <c r="L182" s="6" t="s">
        <v>444</v>
      </c>
      <c r="M182" s="7">
        <v>44409</v>
      </c>
      <c r="N182" s="7">
        <v>44409</v>
      </c>
      <c r="O182" s="14">
        <f>ROUND([1]CF!$CC$55*1000000,2)</f>
        <v>0</v>
      </c>
      <c r="P182" s="14"/>
      <c r="Q182" s="25"/>
      <c r="R182" s="10"/>
      <c r="S182" s="10"/>
      <c r="T182" s="10"/>
      <c r="U182" s="10"/>
      <c r="X182" s="16" t="str">
        <f>IF(B182="",VLOOKUP(A182,items_lookup!A:B,2,FALSE),B182)</f>
        <v>13. Item 13</v>
      </c>
      <c r="Y182" s="16">
        <f t="shared" si="8"/>
        <v>8</v>
      </c>
      <c r="Z182" s="16">
        <f t="shared" si="8"/>
        <v>8</v>
      </c>
      <c r="AA182" s="16">
        <f t="shared" si="9"/>
        <v>2021</v>
      </c>
      <c r="AB182" s="16">
        <f t="shared" si="10"/>
        <v>2021</v>
      </c>
      <c r="AC182" s="16">
        <f t="shared" si="11"/>
        <v>2021</v>
      </c>
    </row>
    <row r="183" spans="1:29" ht="15" customHeight="1" x14ac:dyDescent="0.2">
      <c r="A183" s="6" t="s">
        <v>552</v>
      </c>
      <c r="B183" s="6"/>
      <c r="C183" s="2" t="s">
        <v>445</v>
      </c>
      <c r="D183" s="5" t="s">
        <v>443</v>
      </c>
      <c r="E183" s="24" t="s">
        <v>440</v>
      </c>
      <c r="F183" s="6"/>
      <c r="G183" s="6"/>
      <c r="H183" s="6"/>
      <c r="I183" s="6"/>
      <c r="J183" s="6"/>
      <c r="K183" s="6"/>
      <c r="L183" s="6" t="s">
        <v>444</v>
      </c>
      <c r="M183" s="7">
        <v>44409</v>
      </c>
      <c r="N183" s="7">
        <v>44409</v>
      </c>
      <c r="O183" s="14">
        <f>ROUND([1]CF!$CC$68*1000000,2)</f>
        <v>0</v>
      </c>
      <c r="P183" s="14"/>
      <c r="Q183" s="25"/>
      <c r="R183" s="10"/>
      <c r="S183" s="10"/>
      <c r="T183" s="10"/>
      <c r="U183" s="10"/>
      <c r="X183" s="16" t="str">
        <f>IF(B183="",VLOOKUP(A183,items_lookup!A:B,2,FALSE),B183)</f>
        <v>14. Item 14</v>
      </c>
      <c r="Y183" s="16">
        <f t="shared" si="8"/>
        <v>8</v>
      </c>
      <c r="Z183" s="16">
        <f t="shared" si="8"/>
        <v>8</v>
      </c>
      <c r="AA183" s="16">
        <f t="shared" si="9"/>
        <v>2021</v>
      </c>
      <c r="AB183" s="16">
        <f t="shared" si="10"/>
        <v>2021</v>
      </c>
      <c r="AC183" s="16">
        <f t="shared" si="11"/>
        <v>2021</v>
      </c>
    </row>
    <row r="184" spans="1:29" ht="15" customHeight="1" x14ac:dyDescent="0.2">
      <c r="A184" s="6" t="s">
        <v>558</v>
      </c>
      <c r="B184" s="6"/>
      <c r="C184" s="2" t="s">
        <v>445</v>
      </c>
      <c r="D184" s="5" t="s">
        <v>446</v>
      </c>
      <c r="E184" s="24" t="s">
        <v>440</v>
      </c>
      <c r="F184" s="6"/>
      <c r="G184" s="6"/>
      <c r="H184" s="6"/>
      <c r="I184" s="6"/>
      <c r="J184" s="6"/>
      <c r="K184" s="6"/>
      <c r="L184" s="6" t="s">
        <v>444</v>
      </c>
      <c r="M184" s="7">
        <v>44409</v>
      </c>
      <c r="N184" s="7">
        <v>44409</v>
      </c>
      <c r="O184" s="14">
        <f>ROUND([1]CF!$CC$56*1000000,2)</f>
        <v>0</v>
      </c>
      <c r="P184" s="14"/>
      <c r="Q184" s="25"/>
      <c r="R184" s="10"/>
      <c r="S184" s="10"/>
      <c r="T184" s="10"/>
      <c r="U184" s="10"/>
      <c r="X184" s="16" t="str">
        <f>IF(B184="",VLOOKUP(A184,items_lookup!A:B,2,FALSE),B184)</f>
        <v>17. Item 17</v>
      </c>
      <c r="Y184" s="16">
        <f t="shared" si="8"/>
        <v>8</v>
      </c>
      <c r="Z184" s="16">
        <f t="shared" si="8"/>
        <v>8</v>
      </c>
      <c r="AA184" s="16">
        <f t="shared" si="9"/>
        <v>2021</v>
      </c>
      <c r="AB184" s="16">
        <f t="shared" si="10"/>
        <v>2021</v>
      </c>
      <c r="AC184" s="16">
        <f t="shared" si="11"/>
        <v>2021</v>
      </c>
    </row>
    <row r="185" spans="1:29" ht="15" customHeight="1" x14ac:dyDescent="0.2">
      <c r="A185" s="6" t="s">
        <v>562</v>
      </c>
      <c r="B185" s="6"/>
      <c r="C185" s="2" t="s">
        <v>445</v>
      </c>
      <c r="D185" s="5" t="s">
        <v>443</v>
      </c>
      <c r="E185" s="24" t="s">
        <v>440</v>
      </c>
      <c r="F185" s="6"/>
      <c r="G185" s="6"/>
      <c r="H185" s="6"/>
      <c r="I185" s="6"/>
      <c r="J185" s="6"/>
      <c r="K185" s="6"/>
      <c r="L185" s="6" t="s">
        <v>444</v>
      </c>
      <c r="M185" s="7">
        <v>44409</v>
      </c>
      <c r="N185" s="7">
        <v>44409</v>
      </c>
      <c r="O185" s="14">
        <f>ROUND([1]CF!$CC$57*1000000,2)</f>
        <v>0</v>
      </c>
      <c r="P185" s="14"/>
      <c r="Q185" s="25"/>
      <c r="R185" s="10"/>
      <c r="S185" s="10"/>
      <c r="T185" s="10"/>
      <c r="U185" s="10"/>
      <c r="X185" s="16" t="str">
        <f>IF(B185="",VLOOKUP(A185,items_lookup!A:B,2,FALSE),B185)</f>
        <v>19. Item 19</v>
      </c>
      <c r="Y185" s="16">
        <f t="shared" si="8"/>
        <v>8</v>
      </c>
      <c r="Z185" s="16">
        <f t="shared" si="8"/>
        <v>8</v>
      </c>
      <c r="AA185" s="16">
        <f t="shared" si="9"/>
        <v>2021</v>
      </c>
      <c r="AB185" s="16">
        <f t="shared" si="10"/>
        <v>2021</v>
      </c>
      <c r="AC185" s="16">
        <f t="shared" si="11"/>
        <v>2021</v>
      </c>
    </row>
    <row r="186" spans="1:29" ht="15" customHeight="1" x14ac:dyDescent="0.2">
      <c r="A186" s="6" t="s">
        <v>450</v>
      </c>
      <c r="B186" s="6"/>
      <c r="C186" s="2" t="s">
        <v>445</v>
      </c>
      <c r="D186" s="5" t="s">
        <v>446</v>
      </c>
      <c r="E186" s="24" t="s">
        <v>439</v>
      </c>
      <c r="F186" s="6"/>
      <c r="G186" s="6"/>
      <c r="H186" s="6"/>
      <c r="I186" s="6"/>
      <c r="J186" s="6"/>
      <c r="K186" s="6"/>
      <c r="L186" s="6" t="s">
        <v>444</v>
      </c>
      <c r="M186" s="7">
        <v>44440</v>
      </c>
      <c r="N186" s="7">
        <v>44440</v>
      </c>
      <c r="O186" s="14">
        <f>ROUND([1]CF!$CD$28*1000000,2)</f>
        <v>10142281.25</v>
      </c>
      <c r="P186" s="14"/>
      <c r="Q186" s="25"/>
      <c r="R186" s="10"/>
      <c r="S186" s="10"/>
      <c r="T186" s="10"/>
      <c r="U186" s="10"/>
      <c r="X186" s="16" t="str">
        <f>IF(B186="",VLOOKUP(A186,items_lookup!A:B,2,FALSE),B186)</f>
        <v>_1. Item _1</v>
      </c>
      <c r="Y186" s="16">
        <f t="shared" si="8"/>
        <v>9</v>
      </c>
      <c r="Z186" s="16">
        <f t="shared" si="8"/>
        <v>9</v>
      </c>
      <c r="AA186" s="16">
        <f t="shared" si="9"/>
        <v>2021</v>
      </c>
      <c r="AB186" s="16">
        <f t="shared" si="10"/>
        <v>2021</v>
      </c>
      <c r="AC186" s="16">
        <f t="shared" si="11"/>
        <v>2021</v>
      </c>
    </row>
    <row r="187" spans="1:29" ht="15" customHeight="1" x14ac:dyDescent="0.2">
      <c r="A187" s="6" t="s">
        <v>450</v>
      </c>
      <c r="B187" s="6"/>
      <c r="C187" s="2" t="s">
        <v>445</v>
      </c>
      <c r="D187" s="5" t="s">
        <v>443</v>
      </c>
      <c r="E187" s="24" t="s">
        <v>439</v>
      </c>
      <c r="F187" s="6"/>
      <c r="G187" s="6"/>
      <c r="H187" s="6"/>
      <c r="I187" s="6"/>
      <c r="J187" s="6"/>
      <c r="K187" s="6"/>
      <c r="L187" s="6" t="s">
        <v>444</v>
      </c>
      <c r="M187" s="7">
        <v>44440</v>
      </c>
      <c r="N187" s="7">
        <v>44440</v>
      </c>
      <c r="O187" s="14">
        <f>ROUND([1]CF!$CD$27*1000000,2)</f>
        <v>55959148.909999996</v>
      </c>
      <c r="P187" s="14"/>
      <c r="Q187" s="25"/>
      <c r="R187" s="10"/>
      <c r="S187" s="10"/>
      <c r="T187" s="10"/>
      <c r="U187" s="10"/>
      <c r="X187" s="16" t="str">
        <f>IF(B187="",VLOOKUP(A187,items_lookup!A:B,2,FALSE),B187)</f>
        <v>_1. Item _1</v>
      </c>
      <c r="Y187" s="16">
        <f t="shared" si="8"/>
        <v>9</v>
      </c>
      <c r="Z187" s="16">
        <f t="shared" si="8"/>
        <v>9</v>
      </c>
      <c r="AA187" s="16">
        <f t="shared" si="9"/>
        <v>2021</v>
      </c>
      <c r="AB187" s="16">
        <f t="shared" si="10"/>
        <v>2021</v>
      </c>
      <c r="AC187" s="16">
        <f t="shared" si="11"/>
        <v>2021</v>
      </c>
    </row>
    <row r="188" spans="1:29" ht="15" customHeight="1" x14ac:dyDescent="0.2">
      <c r="A188" s="6" t="s">
        <v>457</v>
      </c>
      <c r="B188" s="6"/>
      <c r="C188" s="2" t="s">
        <v>445</v>
      </c>
      <c r="D188" s="5" t="s">
        <v>446</v>
      </c>
      <c r="E188" s="24" t="s">
        <v>439</v>
      </c>
      <c r="F188" s="6"/>
      <c r="G188" s="6"/>
      <c r="H188" s="6"/>
      <c r="I188" s="6"/>
      <c r="J188" s="6"/>
      <c r="K188" s="6"/>
      <c r="L188" s="6" t="s">
        <v>444</v>
      </c>
      <c r="M188" s="7">
        <v>44440</v>
      </c>
      <c r="N188" s="7">
        <v>44440</v>
      </c>
      <c r="O188" s="14">
        <f>ROUND([1]CF!$CD$29*1000000,2)</f>
        <v>380000</v>
      </c>
      <c r="P188" s="14"/>
      <c r="Q188" s="25"/>
      <c r="R188" s="10"/>
      <c r="S188" s="10"/>
      <c r="T188" s="10"/>
      <c r="U188" s="10"/>
      <c r="X188" s="16" t="str">
        <f>IF(B188="",VLOOKUP(A188,items_lookup!A:B,2,FALSE),B188)</f>
        <v>_2. Item _2</v>
      </c>
      <c r="Y188" s="16">
        <f t="shared" si="8"/>
        <v>9</v>
      </c>
      <c r="Z188" s="16">
        <f t="shared" si="8"/>
        <v>9</v>
      </c>
      <c r="AA188" s="16">
        <f t="shared" si="9"/>
        <v>2021</v>
      </c>
      <c r="AB188" s="16">
        <f t="shared" si="10"/>
        <v>2021</v>
      </c>
      <c r="AC188" s="16">
        <f t="shared" si="11"/>
        <v>2021</v>
      </c>
    </row>
    <row r="189" spans="1:29" ht="15" customHeight="1" x14ac:dyDescent="0.2">
      <c r="A189" s="6" t="s">
        <v>464</v>
      </c>
      <c r="B189" s="6"/>
      <c r="C189" s="2" t="s">
        <v>445</v>
      </c>
      <c r="D189" s="5" t="s">
        <v>446</v>
      </c>
      <c r="E189" s="24" t="s">
        <v>439</v>
      </c>
      <c r="F189" s="6"/>
      <c r="G189" s="6"/>
      <c r="H189" s="6"/>
      <c r="I189" s="6"/>
      <c r="J189" s="6"/>
      <c r="K189" s="6"/>
      <c r="L189" s="6" t="s">
        <v>444</v>
      </c>
      <c r="M189" s="7">
        <v>44440</v>
      </c>
      <c r="N189" s="7">
        <v>44440</v>
      </c>
      <c r="O189" s="14">
        <f>ROUND([1]CF!$CD$30*1000000,2)</f>
        <v>172004.07</v>
      </c>
      <c r="P189" s="14"/>
      <c r="Q189" s="25"/>
      <c r="R189" s="10"/>
      <c r="S189" s="10"/>
      <c r="T189" s="10"/>
      <c r="U189" s="10"/>
      <c r="X189" s="16" t="str">
        <f>IF(B189="",VLOOKUP(A189,items_lookup!A:B,2,FALSE),B189)</f>
        <v>_3. Item _3</v>
      </c>
      <c r="Y189" s="16">
        <f t="shared" si="8"/>
        <v>9</v>
      </c>
      <c r="Z189" s="16">
        <f t="shared" si="8"/>
        <v>9</v>
      </c>
      <c r="AA189" s="16">
        <f t="shared" si="9"/>
        <v>2021</v>
      </c>
      <c r="AB189" s="16">
        <f t="shared" si="10"/>
        <v>2021</v>
      </c>
      <c r="AC189" s="16">
        <f t="shared" si="11"/>
        <v>2021</v>
      </c>
    </row>
    <row r="190" spans="1:29" ht="15" customHeight="1" x14ac:dyDescent="0.2">
      <c r="A190" s="6" t="s">
        <v>538</v>
      </c>
      <c r="B190" s="6"/>
      <c r="C190" s="2" t="s">
        <v>445</v>
      </c>
      <c r="D190" s="5" t="s">
        <v>443</v>
      </c>
      <c r="E190" s="24" t="s">
        <v>440</v>
      </c>
      <c r="F190" s="6"/>
      <c r="G190" s="6"/>
      <c r="H190" s="6"/>
      <c r="I190" s="6"/>
      <c r="J190" s="6"/>
      <c r="K190" s="6"/>
      <c r="L190" s="6" t="s">
        <v>444</v>
      </c>
      <c r="M190" s="7">
        <v>44440</v>
      </c>
      <c r="N190" s="7">
        <v>44440</v>
      </c>
      <c r="O190" s="14">
        <f>ROUND([1]CF!$CD$32*1000000,2)</f>
        <v>74670.63</v>
      </c>
      <c r="P190" s="14"/>
      <c r="Q190" s="25"/>
      <c r="R190" s="8"/>
      <c r="S190" s="8"/>
      <c r="T190" s="8"/>
      <c r="U190" s="8"/>
      <c r="X190" s="16" t="str">
        <f>IF(B190="",VLOOKUP(A190,items_lookup!A:B,2,FALSE),B190)</f>
        <v>01. Item 01</v>
      </c>
      <c r="Y190" s="16">
        <f t="shared" si="8"/>
        <v>9</v>
      </c>
      <c r="Z190" s="16">
        <f t="shared" si="8"/>
        <v>9</v>
      </c>
      <c r="AA190" s="16">
        <f t="shared" si="9"/>
        <v>2021</v>
      </c>
      <c r="AB190" s="16">
        <f t="shared" si="10"/>
        <v>2021</v>
      </c>
      <c r="AC190" s="16">
        <f t="shared" si="11"/>
        <v>2021</v>
      </c>
    </row>
    <row r="191" spans="1:29" ht="15" customHeight="1" x14ac:dyDescent="0.2">
      <c r="A191" s="6" t="s">
        <v>529</v>
      </c>
      <c r="B191" s="6"/>
      <c r="C191" s="2" t="s">
        <v>445</v>
      </c>
      <c r="D191" s="5" t="s">
        <v>443</v>
      </c>
      <c r="E191" s="24" t="s">
        <v>440</v>
      </c>
      <c r="F191" s="6"/>
      <c r="G191" s="6"/>
      <c r="H191" s="6"/>
      <c r="I191" s="6"/>
      <c r="J191" s="6"/>
      <c r="K191" s="6"/>
      <c r="L191" s="6" t="s">
        <v>444</v>
      </c>
      <c r="M191" s="7">
        <v>44440</v>
      </c>
      <c r="N191" s="7">
        <v>44440</v>
      </c>
      <c r="O191" s="14">
        <f>ROUND([1]CF!$CD$33*1000000,2)</f>
        <v>7626734.96</v>
      </c>
      <c r="P191" s="14"/>
      <c r="Q191" s="25"/>
      <c r="R191" s="8"/>
      <c r="S191" s="8"/>
      <c r="T191" s="8"/>
      <c r="U191" s="8"/>
      <c r="X191" s="16" t="str">
        <f>IF(B191="",VLOOKUP(A191,items_lookup!A:B,2,FALSE),B191)</f>
        <v>02. Item 02</v>
      </c>
      <c r="Y191" s="16">
        <f t="shared" si="8"/>
        <v>9</v>
      </c>
      <c r="Z191" s="16">
        <f t="shared" si="8"/>
        <v>9</v>
      </c>
      <c r="AA191" s="16">
        <f t="shared" si="9"/>
        <v>2021</v>
      </c>
      <c r="AB191" s="16">
        <f t="shared" si="10"/>
        <v>2021</v>
      </c>
      <c r="AC191" s="16">
        <f t="shared" si="11"/>
        <v>2021</v>
      </c>
    </row>
    <row r="192" spans="1:29" ht="27.75" customHeight="1" x14ac:dyDescent="0.2">
      <c r="A192" s="6"/>
      <c r="B192" s="6" t="s">
        <v>448</v>
      </c>
      <c r="C192" s="2" t="s">
        <v>445</v>
      </c>
      <c r="D192" s="5" t="s">
        <v>443</v>
      </c>
      <c r="E192" s="24" t="s">
        <v>440</v>
      </c>
      <c r="F192" s="6"/>
      <c r="G192" s="6"/>
      <c r="H192" s="6"/>
      <c r="I192" s="6"/>
      <c r="J192" s="6"/>
      <c r="K192" s="6"/>
      <c r="L192" s="6" t="s">
        <v>444</v>
      </c>
      <c r="M192" s="7">
        <v>44440</v>
      </c>
      <c r="N192" s="7">
        <v>44440</v>
      </c>
      <c r="O192" s="14">
        <f>ROUND([1]CF!$CD$34*1000000,2)</f>
        <v>49726.41</v>
      </c>
      <c r="P192" s="14"/>
      <c r="Q192" s="25"/>
      <c r="R192" s="9"/>
      <c r="S192" s="9"/>
      <c r="T192" s="9"/>
      <c r="U192" s="9"/>
      <c r="X192" s="16" t="str">
        <f>IF(B192="",VLOOKUP(A192,items_lookup!A:B,2,FALSE),B192)</f>
        <v>03. Item 03</v>
      </c>
      <c r="Y192" s="16">
        <f t="shared" si="8"/>
        <v>9</v>
      </c>
      <c r="Z192" s="16">
        <f t="shared" si="8"/>
        <v>9</v>
      </c>
      <c r="AA192" s="16">
        <f t="shared" si="9"/>
        <v>2021</v>
      </c>
      <c r="AB192" s="16">
        <f t="shared" si="10"/>
        <v>2021</v>
      </c>
      <c r="AC192" s="16">
        <f t="shared" si="11"/>
        <v>2021</v>
      </c>
    </row>
    <row r="193" spans="1:29" ht="12" customHeight="1" x14ac:dyDescent="0.2">
      <c r="A193" s="6"/>
      <c r="B193" s="6" t="s">
        <v>475</v>
      </c>
      <c r="C193" s="2" t="s">
        <v>445</v>
      </c>
      <c r="D193" s="5" t="s">
        <v>443</v>
      </c>
      <c r="E193" s="24" t="s">
        <v>440</v>
      </c>
      <c r="F193" s="6"/>
      <c r="G193" s="6"/>
      <c r="H193" s="6"/>
      <c r="I193" s="6"/>
      <c r="J193" s="6"/>
      <c r="K193" s="6"/>
      <c r="L193" s="6" t="s">
        <v>444</v>
      </c>
      <c r="M193" s="7">
        <v>44440</v>
      </c>
      <c r="N193" s="7">
        <v>44440</v>
      </c>
      <c r="O193" s="14">
        <f>ROUND([1]CF!$CD$35*1000000,2)</f>
        <v>6086476.1900000004</v>
      </c>
      <c r="P193" s="14"/>
      <c r="Q193" s="25"/>
      <c r="R193" s="10"/>
      <c r="S193" s="10"/>
      <c r="T193" s="10"/>
      <c r="U193" s="10"/>
      <c r="X193" s="16" t="str">
        <f>IF(B193="",VLOOKUP(A193,items_lookup!A:B,2,FALSE),B193)</f>
        <v>04. Item 04</v>
      </c>
      <c r="Y193" s="16">
        <f t="shared" si="8"/>
        <v>9</v>
      </c>
      <c r="Z193" s="16">
        <f t="shared" si="8"/>
        <v>9</v>
      </c>
      <c r="AA193" s="16">
        <f t="shared" si="9"/>
        <v>2021</v>
      </c>
      <c r="AB193" s="16">
        <f t="shared" si="10"/>
        <v>2021</v>
      </c>
      <c r="AC193" s="16">
        <f t="shared" si="11"/>
        <v>2021</v>
      </c>
    </row>
    <row r="194" spans="1:29" ht="15" customHeight="1" x14ac:dyDescent="0.2">
      <c r="A194" s="6" t="s">
        <v>477</v>
      </c>
      <c r="B194" s="6"/>
      <c r="C194" s="2" t="s">
        <v>445</v>
      </c>
      <c r="D194" s="5" t="s">
        <v>443</v>
      </c>
      <c r="E194" s="24" t="s">
        <v>440</v>
      </c>
      <c r="F194" s="6"/>
      <c r="G194" s="6"/>
      <c r="H194" s="6"/>
      <c r="I194" s="6"/>
      <c r="J194" s="6"/>
      <c r="K194" s="6"/>
      <c r="L194" s="6" t="s">
        <v>444</v>
      </c>
      <c r="M194" s="7">
        <v>44440</v>
      </c>
      <c r="N194" s="7">
        <v>44440</v>
      </c>
      <c r="O194" s="14">
        <f>ROUND([1]CF!$CD$37*1000000,2)-O195</f>
        <v>2155014.6799999997</v>
      </c>
      <c r="P194" s="14"/>
      <c r="Q194" s="25"/>
      <c r="R194" s="9"/>
      <c r="S194" s="9"/>
      <c r="T194" s="9"/>
      <c r="U194" s="9"/>
      <c r="X194" s="16" t="str">
        <f>IF(B194="",VLOOKUP(A194,items_lookup!A:B,2,FALSE),B194)</f>
        <v>05. Item 05</v>
      </c>
      <c r="Y194" s="16">
        <f t="shared" si="8"/>
        <v>9</v>
      </c>
      <c r="Z194" s="16">
        <f t="shared" si="8"/>
        <v>9</v>
      </c>
      <c r="AA194" s="16">
        <f t="shared" si="9"/>
        <v>2021</v>
      </c>
      <c r="AB194" s="16">
        <f t="shared" si="10"/>
        <v>2021</v>
      </c>
      <c r="AC194" s="16">
        <f t="shared" si="11"/>
        <v>2021</v>
      </c>
    </row>
    <row r="195" spans="1:29" ht="15" customHeight="1" x14ac:dyDescent="0.2">
      <c r="A195" s="6" t="s">
        <v>477</v>
      </c>
      <c r="B195" s="6"/>
      <c r="C195" s="2" t="s">
        <v>445</v>
      </c>
      <c r="D195" s="5" t="s">
        <v>446</v>
      </c>
      <c r="E195" s="24" t="s">
        <v>440</v>
      </c>
      <c r="F195" s="6"/>
      <c r="G195" s="6"/>
      <c r="H195" s="6"/>
      <c r="I195" s="6"/>
      <c r="J195" s="6"/>
      <c r="K195" s="6"/>
      <c r="L195" s="6" t="s">
        <v>444</v>
      </c>
      <c r="M195" s="7">
        <v>44440</v>
      </c>
      <c r="N195" s="7">
        <v>44440</v>
      </c>
      <c r="O195" s="14">
        <f>O186+O188+O189-O207</f>
        <v>10694285.32</v>
      </c>
      <c r="P195" s="14"/>
      <c r="Q195" s="25"/>
      <c r="R195" s="9"/>
      <c r="S195" s="9"/>
      <c r="T195" s="9"/>
      <c r="U195" s="9"/>
      <c r="X195" s="16" t="str">
        <f>IF(B195="",VLOOKUP(A195,items_lookup!A:B,2,FALSE),B195)</f>
        <v>05. Item 05</v>
      </c>
      <c r="Y195" s="16">
        <f t="shared" si="8"/>
        <v>9</v>
      </c>
      <c r="Z195" s="16">
        <f t="shared" si="8"/>
        <v>9</v>
      </c>
      <c r="AA195" s="16">
        <f t="shared" si="9"/>
        <v>2021</v>
      </c>
      <c r="AB195" s="16">
        <f t="shared" si="10"/>
        <v>2021</v>
      </c>
      <c r="AC195" s="16">
        <f t="shared" si="11"/>
        <v>2021</v>
      </c>
    </row>
    <row r="196" spans="1:29" ht="15" customHeight="1" x14ac:dyDescent="0.2">
      <c r="A196" s="6" t="s">
        <v>480</v>
      </c>
      <c r="B196" s="6"/>
      <c r="C196" s="2" t="s">
        <v>445</v>
      </c>
      <c r="D196" s="5" t="s">
        <v>443</v>
      </c>
      <c r="E196" s="24" t="s">
        <v>440</v>
      </c>
      <c r="F196" s="6"/>
      <c r="G196" s="6"/>
      <c r="H196" s="6"/>
      <c r="I196" s="6"/>
      <c r="J196" s="6"/>
      <c r="K196" s="6"/>
      <c r="L196" s="6" t="s">
        <v>444</v>
      </c>
      <c r="M196" s="7">
        <v>44440</v>
      </c>
      <c r="N196" s="7">
        <v>44440</v>
      </c>
      <c r="O196" s="14">
        <f>ROUND([1]CF!$CD$38*1000000,2)</f>
        <v>0</v>
      </c>
      <c r="P196" s="14"/>
      <c r="Q196" s="25"/>
      <c r="R196" s="9"/>
      <c r="S196" s="9"/>
      <c r="T196" s="9"/>
      <c r="U196" s="9"/>
      <c r="X196" s="16" t="str">
        <f>IF(B196="",VLOOKUP(A196,items_lookup!A:B,2,FALSE),B196)</f>
        <v>05. Item 05</v>
      </c>
      <c r="Y196" s="16">
        <f t="shared" si="8"/>
        <v>9</v>
      </c>
      <c r="Z196" s="16">
        <f t="shared" si="8"/>
        <v>9</v>
      </c>
      <c r="AA196" s="16">
        <f t="shared" si="9"/>
        <v>2021</v>
      </c>
      <c r="AB196" s="16">
        <f t="shared" si="10"/>
        <v>2021</v>
      </c>
      <c r="AC196" s="16">
        <f t="shared" si="11"/>
        <v>2021</v>
      </c>
    </row>
    <row r="197" spans="1:29" ht="15" customHeight="1" x14ac:dyDescent="0.2">
      <c r="A197" s="6" t="s">
        <v>540</v>
      </c>
      <c r="B197" s="6"/>
      <c r="C197" s="2" t="s">
        <v>445</v>
      </c>
      <c r="D197" s="5" t="s">
        <v>443</v>
      </c>
      <c r="E197" s="24" t="s">
        <v>440</v>
      </c>
      <c r="F197" s="6"/>
      <c r="G197" s="6"/>
      <c r="H197" s="6"/>
      <c r="I197" s="6"/>
      <c r="J197" s="6"/>
      <c r="K197" s="6"/>
      <c r="L197" s="6" t="s">
        <v>444</v>
      </c>
      <c r="M197" s="7">
        <v>44440</v>
      </c>
      <c r="N197" s="7">
        <v>44440</v>
      </c>
      <c r="O197" s="14">
        <f>ROUND([1]CF!$CD$39*1000000,2)</f>
        <v>727213.46</v>
      </c>
      <c r="P197" s="14"/>
      <c r="Q197" s="25"/>
      <c r="R197" s="9"/>
      <c r="S197" s="9"/>
      <c r="T197" s="9"/>
      <c r="U197" s="9"/>
      <c r="X197" s="16" t="str">
        <f>IF(B197="",VLOOKUP(A197,items_lookup!A:B,2,FALSE),B197)</f>
        <v>06. Item 06</v>
      </c>
      <c r="Y197" s="16">
        <f t="shared" si="8"/>
        <v>9</v>
      </c>
      <c r="Z197" s="16">
        <f t="shared" si="8"/>
        <v>9</v>
      </c>
      <c r="AA197" s="16">
        <f t="shared" si="9"/>
        <v>2021</v>
      </c>
      <c r="AB197" s="16">
        <f t="shared" si="10"/>
        <v>2021</v>
      </c>
      <c r="AC197" s="16">
        <f t="shared" si="11"/>
        <v>2021</v>
      </c>
    </row>
    <row r="198" spans="1:29" ht="15" customHeight="1" x14ac:dyDescent="0.2">
      <c r="A198" s="6" t="s">
        <v>542</v>
      </c>
      <c r="B198" s="6"/>
      <c r="C198" s="2" t="s">
        <v>445</v>
      </c>
      <c r="D198" s="5" t="s">
        <v>443</v>
      </c>
      <c r="E198" s="24" t="s">
        <v>440</v>
      </c>
      <c r="F198" s="6"/>
      <c r="G198" s="6"/>
      <c r="H198" s="6"/>
      <c r="I198" s="6"/>
      <c r="J198" s="6"/>
      <c r="K198" s="6"/>
      <c r="L198" s="6" t="s">
        <v>444</v>
      </c>
      <c r="M198" s="7">
        <v>44440</v>
      </c>
      <c r="N198" s="7">
        <v>44440</v>
      </c>
      <c r="O198" s="14">
        <f>ROUND([1]CF!$CD$41*1000000,2)</f>
        <v>0</v>
      </c>
      <c r="P198" s="14"/>
      <c r="Q198" s="25"/>
      <c r="R198" s="9"/>
      <c r="S198" s="9"/>
      <c r="T198" s="9"/>
      <c r="U198" s="9"/>
      <c r="X198" s="16" t="str">
        <f>IF(B198="",VLOOKUP(A198,items_lookup!A:B,2,FALSE),B198)</f>
        <v>07. Item 07</v>
      </c>
      <c r="Y198" s="16">
        <f t="shared" si="8"/>
        <v>9</v>
      </c>
      <c r="Z198" s="16">
        <f t="shared" si="8"/>
        <v>9</v>
      </c>
      <c r="AA198" s="16">
        <f t="shared" si="9"/>
        <v>2021</v>
      </c>
      <c r="AB198" s="16">
        <f t="shared" si="10"/>
        <v>2021</v>
      </c>
      <c r="AC198" s="16">
        <f t="shared" si="11"/>
        <v>2021</v>
      </c>
    </row>
    <row r="199" spans="1:29" ht="13.5" customHeight="1" x14ac:dyDescent="0.2">
      <c r="A199" s="6" t="s">
        <v>544</v>
      </c>
      <c r="B199" s="6"/>
      <c r="C199" s="2" t="s">
        <v>445</v>
      </c>
      <c r="D199" s="5" t="s">
        <v>443</v>
      </c>
      <c r="E199" s="24" t="s">
        <v>440</v>
      </c>
      <c r="F199" s="6"/>
      <c r="G199" s="6"/>
      <c r="H199" s="6"/>
      <c r="I199" s="6"/>
      <c r="J199" s="6"/>
      <c r="K199" s="6"/>
      <c r="L199" s="6" t="s">
        <v>444</v>
      </c>
      <c r="M199" s="7">
        <v>44440</v>
      </c>
      <c r="N199" s="7">
        <v>44440</v>
      </c>
      <c r="O199" s="14">
        <f>ROUND([1]CF!$CD$43*1000000,2)</f>
        <v>0</v>
      </c>
      <c r="P199" s="14"/>
      <c r="Q199" s="25"/>
      <c r="R199" s="9"/>
      <c r="S199" s="9"/>
      <c r="T199" s="9"/>
      <c r="U199" s="9"/>
      <c r="X199" s="16" t="str">
        <f>IF(B199="",VLOOKUP(A199,items_lookup!A:B,2,FALSE),B199)</f>
        <v>08. Item 08</v>
      </c>
      <c r="Y199" s="16">
        <f t="shared" si="8"/>
        <v>9</v>
      </c>
      <c r="Z199" s="16">
        <f t="shared" si="8"/>
        <v>9</v>
      </c>
      <c r="AA199" s="16">
        <f t="shared" si="9"/>
        <v>2021</v>
      </c>
      <c r="AB199" s="16">
        <f t="shared" si="10"/>
        <v>2021</v>
      </c>
      <c r="AC199" s="16">
        <f t="shared" si="11"/>
        <v>2021</v>
      </c>
    </row>
    <row r="200" spans="1:29" ht="15" customHeight="1" x14ac:dyDescent="0.2">
      <c r="A200" s="6"/>
      <c r="B200" s="6" t="s">
        <v>484</v>
      </c>
      <c r="C200" s="2" t="s">
        <v>445</v>
      </c>
      <c r="D200" s="5" t="s">
        <v>443</v>
      </c>
      <c r="E200" s="24" t="s">
        <v>440</v>
      </c>
      <c r="F200" s="6"/>
      <c r="G200" s="6"/>
      <c r="H200" s="6"/>
      <c r="I200" s="6"/>
      <c r="J200" s="6"/>
      <c r="K200" s="6"/>
      <c r="L200" s="6" t="s">
        <v>444</v>
      </c>
      <c r="M200" s="7">
        <v>44440</v>
      </c>
      <c r="N200" s="7">
        <v>44440</v>
      </c>
      <c r="O200" s="14">
        <f>ROUND([1]CF!$CD$44*1000000,2)</f>
        <v>351755.78</v>
      </c>
      <c r="P200" s="14"/>
      <c r="Q200" s="25"/>
      <c r="R200" s="9"/>
      <c r="S200" s="9"/>
      <c r="T200" s="9"/>
      <c r="U200" s="9"/>
      <c r="X200" s="16" t="str">
        <f>IF(B200="",VLOOKUP(A200,items_lookup!A:B,2,FALSE),B200)</f>
        <v>09. Item 09</v>
      </c>
      <c r="Y200" s="16">
        <f t="shared" si="8"/>
        <v>9</v>
      </c>
      <c r="Z200" s="16">
        <f t="shared" si="8"/>
        <v>9</v>
      </c>
      <c r="AA200" s="16">
        <f t="shared" si="9"/>
        <v>2021</v>
      </c>
      <c r="AB200" s="16">
        <f t="shared" si="10"/>
        <v>2021</v>
      </c>
      <c r="AC200" s="16">
        <f t="shared" si="11"/>
        <v>2021</v>
      </c>
    </row>
    <row r="201" spans="1:29" ht="21.75" customHeight="1" x14ac:dyDescent="0.2">
      <c r="A201" s="6"/>
      <c r="B201" s="6" t="s">
        <v>493</v>
      </c>
      <c r="C201" s="2" t="s">
        <v>445</v>
      </c>
      <c r="D201" s="5" t="s">
        <v>443</v>
      </c>
      <c r="E201" s="24" t="s">
        <v>440</v>
      </c>
      <c r="F201" s="6"/>
      <c r="G201" s="6"/>
      <c r="H201" s="6"/>
      <c r="I201" s="6"/>
      <c r="J201" s="6"/>
      <c r="K201" s="6"/>
      <c r="L201" s="6" t="s">
        <v>444</v>
      </c>
      <c r="M201" s="7">
        <v>44440</v>
      </c>
      <c r="N201" s="7">
        <v>44440</v>
      </c>
      <c r="O201" s="14">
        <f>ROUND([1]CF!$CD$51*1000000,2)</f>
        <v>2565359.7200000002</v>
      </c>
      <c r="P201" s="14"/>
      <c r="Q201" s="25"/>
      <c r="R201" s="10"/>
      <c r="S201" s="10"/>
      <c r="T201" s="10"/>
      <c r="U201" s="10"/>
      <c r="X201" s="16" t="str">
        <f>IF(B201="",VLOOKUP(A201,items_lookup!A:B,2,FALSE),B201)</f>
        <v>10. Item 10</v>
      </c>
      <c r="Y201" s="16">
        <f t="shared" si="8"/>
        <v>9</v>
      </c>
      <c r="Z201" s="16">
        <f t="shared" si="8"/>
        <v>9</v>
      </c>
      <c r="AA201" s="16">
        <f t="shared" si="9"/>
        <v>2021</v>
      </c>
      <c r="AB201" s="16">
        <f t="shared" si="10"/>
        <v>2021</v>
      </c>
      <c r="AC201" s="16">
        <f t="shared" si="11"/>
        <v>2021</v>
      </c>
    </row>
    <row r="202" spans="1:29" ht="15" customHeight="1" x14ac:dyDescent="0.2">
      <c r="A202" s="6" t="s">
        <v>546</v>
      </c>
      <c r="B202" s="6"/>
      <c r="C202" s="2" t="s">
        <v>445</v>
      </c>
      <c r="D202" s="5" t="s">
        <v>443</v>
      </c>
      <c r="E202" s="24" t="s">
        <v>440</v>
      </c>
      <c r="F202" s="6"/>
      <c r="G202" s="6"/>
      <c r="H202" s="6"/>
      <c r="I202" s="6"/>
      <c r="J202" s="6"/>
      <c r="K202" s="6"/>
      <c r="L202" s="6" t="s">
        <v>444</v>
      </c>
      <c r="M202" s="7">
        <v>44440</v>
      </c>
      <c r="N202" s="7">
        <v>44440</v>
      </c>
      <c r="O202" s="14">
        <f>ROUND([1]CF!$CD$52*1000000,2)</f>
        <v>11183.24</v>
      </c>
      <c r="P202" s="14"/>
      <c r="Q202" s="25"/>
      <c r="R202" s="10"/>
      <c r="S202" s="10"/>
      <c r="T202" s="10"/>
      <c r="U202" s="10"/>
      <c r="X202" s="16" t="str">
        <f>IF(B202="",VLOOKUP(A202,items_lookup!A:B,2,FALSE),B202)</f>
        <v>11. Item 11</v>
      </c>
      <c r="Y202" s="16">
        <f t="shared" ref="Y202:Z268" si="12">MONTH(M202)</f>
        <v>9</v>
      </c>
      <c r="Z202" s="16">
        <f t="shared" si="12"/>
        <v>9</v>
      </c>
      <c r="AA202" s="16">
        <f t="shared" ref="AA202:AA268" si="13">YEAR(N202)</f>
        <v>2021</v>
      </c>
      <c r="AB202" s="16">
        <f t="shared" ref="AB202:AB268" si="14">YEAR(M202)</f>
        <v>2021</v>
      </c>
      <c r="AC202" s="16">
        <f t="shared" ref="AC202:AC268" si="15">IF(F202="X",AA202-1,AA202)</f>
        <v>2021</v>
      </c>
    </row>
    <row r="203" spans="1:29" ht="15" customHeight="1" x14ac:dyDescent="0.2">
      <c r="A203" s="6" t="s">
        <v>704</v>
      </c>
      <c r="B203" s="6"/>
      <c r="C203" s="2" t="s">
        <v>445</v>
      </c>
      <c r="D203" s="5" t="s">
        <v>443</v>
      </c>
      <c r="E203" s="24" t="s">
        <v>440</v>
      </c>
      <c r="F203" s="6"/>
      <c r="G203" s="6"/>
      <c r="H203" s="6"/>
      <c r="I203" s="6"/>
      <c r="J203" s="6"/>
      <c r="K203" s="6"/>
      <c r="L203" s="6" t="s">
        <v>444</v>
      </c>
      <c r="M203" s="7">
        <v>44440</v>
      </c>
      <c r="N203" s="7">
        <v>44440</v>
      </c>
      <c r="O203" s="14">
        <f>ROUND([1]CF!$CD$53*1000000,2)</f>
        <v>541166.67000000004</v>
      </c>
      <c r="P203" s="14"/>
      <c r="Q203" s="25"/>
      <c r="R203" s="18"/>
      <c r="S203" s="18"/>
      <c r="T203" s="18"/>
      <c r="U203" s="18"/>
      <c r="X203" s="16" t="e">
        <f>IF(B203="",VLOOKUP(A203,items_lookup!A:B,2,FALSE),B203)</f>
        <v>#N/A</v>
      </c>
      <c r="Y203" s="16">
        <f t="shared" si="12"/>
        <v>9</v>
      </c>
      <c r="Z203" s="16">
        <f t="shared" si="12"/>
        <v>9</v>
      </c>
      <c r="AA203" s="16">
        <f t="shared" si="13"/>
        <v>2021</v>
      </c>
      <c r="AB203" s="16">
        <f t="shared" si="14"/>
        <v>2021</v>
      </c>
      <c r="AC203" s="16">
        <f t="shared" si="15"/>
        <v>2021</v>
      </c>
    </row>
    <row r="204" spans="1:29" ht="15" customHeight="1" x14ac:dyDescent="0.2">
      <c r="A204" s="6"/>
      <c r="B204" s="6" t="s">
        <v>502</v>
      </c>
      <c r="C204" s="2" t="s">
        <v>445</v>
      </c>
      <c r="D204" s="5" t="s">
        <v>443</v>
      </c>
      <c r="E204" s="24" t="s">
        <v>440</v>
      </c>
      <c r="F204" s="6"/>
      <c r="G204" s="6"/>
      <c r="H204" s="6"/>
      <c r="I204" s="6"/>
      <c r="J204" s="6"/>
      <c r="K204" s="6"/>
      <c r="L204" s="6" t="s">
        <v>444</v>
      </c>
      <c r="M204" s="7">
        <v>44440</v>
      </c>
      <c r="N204" s="7">
        <v>44440</v>
      </c>
      <c r="O204" s="14">
        <f>ROUND([1]CF!$CD$54*1000000,2)</f>
        <v>0</v>
      </c>
      <c r="P204" s="14"/>
      <c r="Q204" s="25"/>
      <c r="R204" s="10"/>
      <c r="S204" s="10"/>
      <c r="T204" s="10"/>
      <c r="U204" s="10"/>
      <c r="X204" s="16" t="str">
        <f>IF(B204="",VLOOKUP(A204,items_lookup!A:B,2,FALSE),B204)</f>
        <v>12. Item 12</v>
      </c>
      <c r="Y204" s="16">
        <f t="shared" si="12"/>
        <v>9</v>
      </c>
      <c r="Z204" s="16">
        <f t="shared" si="12"/>
        <v>9</v>
      </c>
      <c r="AA204" s="16">
        <f t="shared" si="13"/>
        <v>2021</v>
      </c>
      <c r="AB204" s="16">
        <f t="shared" si="14"/>
        <v>2021</v>
      </c>
      <c r="AC204" s="16">
        <f t="shared" si="15"/>
        <v>2021</v>
      </c>
    </row>
    <row r="205" spans="1:29" ht="14.25" customHeight="1" x14ac:dyDescent="0.2">
      <c r="A205" s="6"/>
      <c r="B205" s="6" t="s">
        <v>504</v>
      </c>
      <c r="C205" s="2" t="s">
        <v>445</v>
      </c>
      <c r="D205" s="5" t="s">
        <v>443</v>
      </c>
      <c r="E205" s="24" t="s">
        <v>440</v>
      </c>
      <c r="F205" s="6"/>
      <c r="G205" s="6"/>
      <c r="H205" s="6"/>
      <c r="I205" s="6"/>
      <c r="J205" s="6"/>
      <c r="K205" s="6"/>
      <c r="L205" s="6" t="s">
        <v>444</v>
      </c>
      <c r="M205" s="7">
        <v>44440</v>
      </c>
      <c r="N205" s="7">
        <v>44440</v>
      </c>
      <c r="O205" s="14">
        <f>ROUND([1]CF!$CD$55*1000000,2)</f>
        <v>0</v>
      </c>
      <c r="P205" s="14"/>
      <c r="Q205" s="25"/>
      <c r="R205" s="10"/>
      <c r="S205" s="10"/>
      <c r="T205" s="10"/>
      <c r="U205" s="10"/>
      <c r="X205" s="16" t="str">
        <f>IF(B205="",VLOOKUP(A205,items_lookup!A:B,2,FALSE),B205)</f>
        <v>13. Item 13</v>
      </c>
      <c r="Y205" s="16">
        <f t="shared" si="12"/>
        <v>9</v>
      </c>
      <c r="Z205" s="16">
        <f t="shared" si="12"/>
        <v>9</v>
      </c>
      <c r="AA205" s="16">
        <f t="shared" si="13"/>
        <v>2021</v>
      </c>
      <c r="AB205" s="16">
        <f t="shared" si="14"/>
        <v>2021</v>
      </c>
      <c r="AC205" s="16">
        <f t="shared" si="15"/>
        <v>2021</v>
      </c>
    </row>
    <row r="206" spans="1:29" ht="15" customHeight="1" x14ac:dyDescent="0.2">
      <c r="A206" s="6" t="s">
        <v>552</v>
      </c>
      <c r="B206" s="6"/>
      <c r="C206" s="2" t="s">
        <v>445</v>
      </c>
      <c r="D206" s="5" t="s">
        <v>443</v>
      </c>
      <c r="E206" s="24" t="s">
        <v>440</v>
      </c>
      <c r="F206" s="6"/>
      <c r="G206" s="6"/>
      <c r="H206" s="6"/>
      <c r="I206" s="6"/>
      <c r="J206" s="6"/>
      <c r="K206" s="6"/>
      <c r="L206" s="6" t="s">
        <v>444</v>
      </c>
      <c r="M206" s="7">
        <v>44440</v>
      </c>
      <c r="N206" s="7">
        <v>44440</v>
      </c>
      <c r="O206" s="14">
        <f>ROUND([1]CF!$CD$68*1000000,2)</f>
        <v>0</v>
      </c>
      <c r="P206" s="14"/>
      <c r="Q206" s="25"/>
      <c r="R206" s="10"/>
      <c r="S206" s="10"/>
      <c r="T206" s="10"/>
      <c r="U206" s="10"/>
      <c r="X206" s="16" t="str">
        <f>IF(B206="",VLOOKUP(A206,items_lookup!A:B,2,FALSE),B206)</f>
        <v>14. Item 14</v>
      </c>
      <c r="Y206" s="16">
        <f t="shared" si="12"/>
        <v>9</v>
      </c>
      <c r="Z206" s="16">
        <f t="shared" si="12"/>
        <v>9</v>
      </c>
      <c r="AA206" s="16">
        <f t="shared" si="13"/>
        <v>2021</v>
      </c>
      <c r="AB206" s="16">
        <f t="shared" si="14"/>
        <v>2021</v>
      </c>
      <c r="AC206" s="16">
        <f t="shared" si="15"/>
        <v>2021</v>
      </c>
    </row>
    <row r="207" spans="1:29" ht="15" customHeight="1" x14ac:dyDescent="0.2">
      <c r="A207" s="6" t="s">
        <v>558</v>
      </c>
      <c r="B207" s="6"/>
      <c r="C207" s="2" t="s">
        <v>445</v>
      </c>
      <c r="D207" s="5" t="s">
        <v>446</v>
      </c>
      <c r="E207" s="24" t="s">
        <v>440</v>
      </c>
      <c r="F207" s="6"/>
      <c r="G207" s="6"/>
      <c r="H207" s="6"/>
      <c r="I207" s="6"/>
      <c r="J207" s="6"/>
      <c r="K207" s="6"/>
      <c r="L207" s="6" t="s">
        <v>444</v>
      </c>
      <c r="M207" s="7">
        <v>44440</v>
      </c>
      <c r="N207" s="7">
        <v>44440</v>
      </c>
      <c r="O207" s="14">
        <f>ROUND([1]CF!$CD$56*1000000,2)</f>
        <v>0</v>
      </c>
      <c r="P207" s="14"/>
      <c r="Q207" s="25"/>
      <c r="R207" s="10"/>
      <c r="S207" s="10"/>
      <c r="T207" s="10"/>
      <c r="U207" s="10"/>
      <c r="X207" s="16" t="str">
        <f>IF(B207="",VLOOKUP(A207,items_lookup!A:B,2,FALSE),B207)</f>
        <v>17. Item 17</v>
      </c>
      <c r="Y207" s="16">
        <f t="shared" si="12"/>
        <v>9</v>
      </c>
      <c r="Z207" s="16">
        <f t="shared" si="12"/>
        <v>9</v>
      </c>
      <c r="AA207" s="16">
        <f t="shared" si="13"/>
        <v>2021</v>
      </c>
      <c r="AB207" s="16">
        <f t="shared" si="14"/>
        <v>2021</v>
      </c>
      <c r="AC207" s="16">
        <f t="shared" si="15"/>
        <v>2021</v>
      </c>
    </row>
    <row r="208" spans="1:29" ht="15" customHeight="1" x14ac:dyDescent="0.2">
      <c r="A208" s="6" t="s">
        <v>562</v>
      </c>
      <c r="B208" s="6"/>
      <c r="C208" s="2" t="s">
        <v>445</v>
      </c>
      <c r="D208" s="5" t="s">
        <v>443</v>
      </c>
      <c r="E208" s="24" t="s">
        <v>440</v>
      </c>
      <c r="F208" s="6"/>
      <c r="G208" s="6"/>
      <c r="H208" s="6"/>
      <c r="I208" s="6"/>
      <c r="J208" s="6"/>
      <c r="K208" s="6"/>
      <c r="L208" s="6" t="s">
        <v>444</v>
      </c>
      <c r="M208" s="7">
        <v>44440</v>
      </c>
      <c r="N208" s="7">
        <v>44440</v>
      </c>
      <c r="O208" s="14">
        <f>ROUND([1]CF!$CD$57*1000000,2)</f>
        <v>0</v>
      </c>
      <c r="P208" s="14"/>
      <c r="Q208" s="25"/>
      <c r="R208" s="10"/>
      <c r="S208" s="10"/>
      <c r="T208" s="10"/>
      <c r="U208" s="10"/>
      <c r="X208" s="16" t="str">
        <f>IF(B208="",VLOOKUP(A208,items_lookup!A:B,2,FALSE),B208)</f>
        <v>19. Item 19</v>
      </c>
      <c r="Y208" s="16">
        <f t="shared" si="12"/>
        <v>9</v>
      </c>
      <c r="Z208" s="16">
        <f t="shared" si="12"/>
        <v>9</v>
      </c>
      <c r="AA208" s="16">
        <f t="shared" si="13"/>
        <v>2021</v>
      </c>
      <c r="AB208" s="16">
        <f t="shared" si="14"/>
        <v>2021</v>
      </c>
      <c r="AC208" s="16">
        <f t="shared" si="15"/>
        <v>2021</v>
      </c>
    </row>
    <row r="209" spans="1:29" ht="15" customHeight="1" x14ac:dyDescent="0.2">
      <c r="A209" s="6" t="s">
        <v>450</v>
      </c>
      <c r="B209" s="6"/>
      <c r="C209" s="2" t="s">
        <v>445</v>
      </c>
      <c r="D209" s="5" t="s">
        <v>446</v>
      </c>
      <c r="E209" s="24" t="s">
        <v>439</v>
      </c>
      <c r="F209" s="6"/>
      <c r="G209" s="6"/>
      <c r="H209" s="6"/>
      <c r="I209" s="6"/>
      <c r="J209" s="6"/>
      <c r="K209" s="6"/>
      <c r="L209" s="6" t="s">
        <v>444</v>
      </c>
      <c r="M209" s="7">
        <v>44470</v>
      </c>
      <c r="N209" s="7">
        <v>44470</v>
      </c>
      <c r="O209" s="14">
        <f>ROUND([1]CF!$CE$28*1000000,2)</f>
        <v>10142281.25</v>
      </c>
      <c r="P209" s="14"/>
      <c r="Q209" s="25"/>
      <c r="R209" s="10"/>
      <c r="S209" s="10"/>
      <c r="T209" s="10"/>
      <c r="U209" s="10"/>
      <c r="X209" s="16" t="str">
        <f>IF(B209="",VLOOKUP(A209,items_lookup!A:B,2,FALSE),B209)</f>
        <v>_1. Item _1</v>
      </c>
      <c r="Y209" s="16">
        <f t="shared" si="12"/>
        <v>10</v>
      </c>
      <c r="Z209" s="16">
        <f t="shared" si="12"/>
        <v>10</v>
      </c>
      <c r="AA209" s="16">
        <f t="shared" si="13"/>
        <v>2021</v>
      </c>
      <c r="AB209" s="16">
        <f t="shared" si="14"/>
        <v>2021</v>
      </c>
      <c r="AC209" s="16">
        <f t="shared" si="15"/>
        <v>2021</v>
      </c>
    </row>
    <row r="210" spans="1:29" ht="15" customHeight="1" x14ac:dyDescent="0.2">
      <c r="A210" s="6" t="s">
        <v>450</v>
      </c>
      <c r="B210" s="6"/>
      <c r="C210" s="2" t="s">
        <v>445</v>
      </c>
      <c r="D210" s="5" t="s">
        <v>443</v>
      </c>
      <c r="E210" s="24" t="s">
        <v>439</v>
      </c>
      <c r="F210" s="6"/>
      <c r="G210" s="6"/>
      <c r="H210" s="6"/>
      <c r="I210" s="6"/>
      <c r="J210" s="6"/>
      <c r="K210" s="6"/>
      <c r="L210" s="6" t="s">
        <v>444</v>
      </c>
      <c r="M210" s="7">
        <v>44470</v>
      </c>
      <c r="N210" s="7">
        <v>44470</v>
      </c>
      <c r="O210" s="14">
        <f>ROUND([1]CF!$CE$27*1000000,2)</f>
        <v>55959148.909999996</v>
      </c>
      <c r="P210" s="14"/>
      <c r="Q210" s="25"/>
      <c r="R210" s="10"/>
      <c r="S210" s="10"/>
      <c r="T210" s="10"/>
      <c r="U210" s="10"/>
      <c r="X210" s="16" t="str">
        <f>IF(B210="",VLOOKUP(A210,items_lookup!A:B,2,FALSE),B210)</f>
        <v>_1. Item _1</v>
      </c>
      <c r="Y210" s="16">
        <f t="shared" si="12"/>
        <v>10</v>
      </c>
      <c r="Z210" s="16">
        <f t="shared" si="12"/>
        <v>10</v>
      </c>
      <c r="AA210" s="16">
        <f t="shared" si="13"/>
        <v>2021</v>
      </c>
      <c r="AB210" s="16">
        <f t="shared" si="14"/>
        <v>2021</v>
      </c>
      <c r="AC210" s="16">
        <f t="shared" si="15"/>
        <v>2021</v>
      </c>
    </row>
    <row r="211" spans="1:29" ht="15" customHeight="1" x14ac:dyDescent="0.2">
      <c r="A211" s="6" t="s">
        <v>457</v>
      </c>
      <c r="B211" s="6"/>
      <c r="C211" s="2" t="s">
        <v>445</v>
      </c>
      <c r="D211" s="5" t="s">
        <v>446</v>
      </c>
      <c r="E211" s="24" t="s">
        <v>439</v>
      </c>
      <c r="F211" s="6"/>
      <c r="G211" s="6"/>
      <c r="H211" s="6"/>
      <c r="I211" s="6"/>
      <c r="J211" s="6"/>
      <c r="K211" s="6"/>
      <c r="L211" s="6" t="s">
        <v>444</v>
      </c>
      <c r="M211" s="7">
        <v>44470</v>
      </c>
      <c r="N211" s="7">
        <v>44470</v>
      </c>
      <c r="O211" s="14">
        <f>ROUND([1]CF!$CE$29*1000000,2)</f>
        <v>380000</v>
      </c>
      <c r="P211" s="14"/>
      <c r="Q211" s="25"/>
      <c r="R211" s="10"/>
      <c r="S211" s="10"/>
      <c r="T211" s="10"/>
      <c r="U211" s="10"/>
      <c r="X211" s="16" t="str">
        <f>IF(B211="",VLOOKUP(A211,items_lookup!A:B,2,FALSE),B211)</f>
        <v>_2. Item _2</v>
      </c>
      <c r="Y211" s="16">
        <f t="shared" si="12"/>
        <v>10</v>
      </c>
      <c r="Z211" s="16">
        <f t="shared" si="12"/>
        <v>10</v>
      </c>
      <c r="AA211" s="16">
        <f t="shared" si="13"/>
        <v>2021</v>
      </c>
      <c r="AB211" s="16">
        <f t="shared" si="14"/>
        <v>2021</v>
      </c>
      <c r="AC211" s="16">
        <f t="shared" si="15"/>
        <v>2021</v>
      </c>
    </row>
    <row r="212" spans="1:29" ht="15" customHeight="1" x14ac:dyDescent="0.2">
      <c r="A212" s="6" t="s">
        <v>464</v>
      </c>
      <c r="B212" s="6"/>
      <c r="C212" s="2" t="s">
        <v>445</v>
      </c>
      <c r="D212" s="5" t="s">
        <v>446</v>
      </c>
      <c r="E212" s="24" t="s">
        <v>439</v>
      </c>
      <c r="F212" s="6"/>
      <c r="G212" s="6"/>
      <c r="H212" s="6"/>
      <c r="I212" s="6"/>
      <c r="J212" s="6"/>
      <c r="K212" s="6"/>
      <c r="L212" s="6" t="s">
        <v>444</v>
      </c>
      <c r="M212" s="7">
        <v>44470</v>
      </c>
      <c r="N212" s="7">
        <v>44470</v>
      </c>
      <c r="O212" s="14">
        <f>ROUND([1]CF!$CE$30*1000000,2)</f>
        <v>172004.07</v>
      </c>
      <c r="P212" s="14"/>
      <c r="Q212" s="25"/>
      <c r="R212" s="10"/>
      <c r="S212" s="10"/>
      <c r="T212" s="10"/>
      <c r="U212" s="10"/>
      <c r="X212" s="16" t="str">
        <f>IF(B212="",VLOOKUP(A212,items_lookup!A:B,2,FALSE),B212)</f>
        <v>_3. Item _3</v>
      </c>
      <c r="Y212" s="16">
        <f t="shared" si="12"/>
        <v>10</v>
      </c>
      <c r="Z212" s="16">
        <f t="shared" si="12"/>
        <v>10</v>
      </c>
      <c r="AA212" s="16">
        <f t="shared" si="13"/>
        <v>2021</v>
      </c>
      <c r="AB212" s="16">
        <f t="shared" si="14"/>
        <v>2021</v>
      </c>
      <c r="AC212" s="16">
        <f t="shared" si="15"/>
        <v>2021</v>
      </c>
    </row>
    <row r="213" spans="1:29" ht="15" customHeight="1" x14ac:dyDescent="0.2">
      <c r="A213" s="6" t="s">
        <v>538</v>
      </c>
      <c r="B213" s="6"/>
      <c r="C213" s="2" t="s">
        <v>445</v>
      </c>
      <c r="D213" s="5" t="s">
        <v>443</v>
      </c>
      <c r="E213" s="24" t="s">
        <v>440</v>
      </c>
      <c r="F213" s="6"/>
      <c r="G213" s="6"/>
      <c r="H213" s="6"/>
      <c r="I213" s="6"/>
      <c r="J213" s="6"/>
      <c r="K213" s="6"/>
      <c r="L213" s="6" t="s">
        <v>444</v>
      </c>
      <c r="M213" s="7">
        <v>44470</v>
      </c>
      <c r="N213" s="7">
        <v>44470</v>
      </c>
      <c r="O213" s="14">
        <f>ROUND([1]CF!$CE$32*1000000,2)</f>
        <v>74670.63</v>
      </c>
      <c r="P213" s="14"/>
      <c r="Q213" s="25"/>
      <c r="R213" s="8"/>
      <c r="S213" s="8"/>
      <c r="T213" s="8"/>
      <c r="U213" s="8"/>
      <c r="X213" s="16" t="str">
        <f>IF(B213="",VLOOKUP(A213,items_lookup!A:B,2,FALSE),B213)</f>
        <v>01. Item 01</v>
      </c>
      <c r="Y213" s="16">
        <f t="shared" si="12"/>
        <v>10</v>
      </c>
      <c r="Z213" s="16">
        <f t="shared" si="12"/>
        <v>10</v>
      </c>
      <c r="AA213" s="16">
        <f t="shared" si="13"/>
        <v>2021</v>
      </c>
      <c r="AB213" s="16">
        <f t="shared" si="14"/>
        <v>2021</v>
      </c>
      <c r="AC213" s="16">
        <f t="shared" si="15"/>
        <v>2021</v>
      </c>
    </row>
    <row r="214" spans="1:29" ht="15" customHeight="1" x14ac:dyDescent="0.2">
      <c r="A214" s="6" t="s">
        <v>529</v>
      </c>
      <c r="B214" s="6"/>
      <c r="C214" s="2" t="s">
        <v>445</v>
      </c>
      <c r="D214" s="5" t="s">
        <v>443</v>
      </c>
      <c r="E214" s="24" t="s">
        <v>440</v>
      </c>
      <c r="F214" s="6"/>
      <c r="G214" s="6"/>
      <c r="H214" s="6"/>
      <c r="I214" s="6"/>
      <c r="J214" s="6"/>
      <c r="K214" s="6"/>
      <c r="L214" s="6" t="s">
        <v>444</v>
      </c>
      <c r="M214" s="7">
        <v>44470</v>
      </c>
      <c r="N214" s="7">
        <v>44470</v>
      </c>
      <c r="O214" s="14">
        <f>ROUND([1]CF!$CE$33*1000000,2)</f>
        <v>7626734.96</v>
      </c>
      <c r="P214" s="14"/>
      <c r="Q214" s="25"/>
      <c r="R214" s="8"/>
      <c r="S214" s="8"/>
      <c r="T214" s="8"/>
      <c r="U214" s="8"/>
      <c r="X214" s="16" t="str">
        <f>IF(B214="",VLOOKUP(A214,items_lookup!A:B,2,FALSE),B214)</f>
        <v>02. Item 02</v>
      </c>
      <c r="Y214" s="16">
        <f t="shared" si="12"/>
        <v>10</v>
      </c>
      <c r="Z214" s="16">
        <f t="shared" si="12"/>
        <v>10</v>
      </c>
      <c r="AA214" s="16">
        <f t="shared" si="13"/>
        <v>2021</v>
      </c>
      <c r="AB214" s="16">
        <f t="shared" si="14"/>
        <v>2021</v>
      </c>
      <c r="AC214" s="16">
        <f t="shared" si="15"/>
        <v>2021</v>
      </c>
    </row>
    <row r="215" spans="1:29" ht="27.75" customHeight="1" x14ac:dyDescent="0.2">
      <c r="A215" s="6"/>
      <c r="B215" s="6" t="s">
        <v>448</v>
      </c>
      <c r="C215" s="2" t="s">
        <v>445</v>
      </c>
      <c r="D215" s="5" t="s">
        <v>443</v>
      </c>
      <c r="E215" s="24" t="s">
        <v>440</v>
      </c>
      <c r="F215" s="6"/>
      <c r="G215" s="6"/>
      <c r="H215" s="6"/>
      <c r="I215" s="6"/>
      <c r="J215" s="6"/>
      <c r="K215" s="6"/>
      <c r="L215" s="6" t="s">
        <v>444</v>
      </c>
      <c r="M215" s="7">
        <v>44470</v>
      </c>
      <c r="N215" s="7">
        <v>44470</v>
      </c>
      <c r="O215" s="14">
        <f>ROUND([1]CF!$CE$34*1000000,2)</f>
        <v>49726.41</v>
      </c>
      <c r="P215" s="14"/>
      <c r="Q215" s="25"/>
      <c r="R215" s="9"/>
      <c r="S215" s="9"/>
      <c r="T215" s="9"/>
      <c r="U215" s="9"/>
      <c r="X215" s="16" t="str">
        <f>IF(B215="",VLOOKUP(A215,items_lookup!A:B,2,FALSE),B215)</f>
        <v>03. Item 03</v>
      </c>
      <c r="Y215" s="16">
        <f t="shared" si="12"/>
        <v>10</v>
      </c>
      <c r="Z215" s="16">
        <f t="shared" si="12"/>
        <v>10</v>
      </c>
      <c r="AA215" s="16">
        <f t="shared" si="13"/>
        <v>2021</v>
      </c>
      <c r="AB215" s="16">
        <f t="shared" si="14"/>
        <v>2021</v>
      </c>
      <c r="AC215" s="16">
        <f t="shared" si="15"/>
        <v>2021</v>
      </c>
    </row>
    <row r="216" spans="1:29" ht="12" customHeight="1" x14ac:dyDescent="0.2">
      <c r="A216" s="6"/>
      <c r="B216" s="6" t="s">
        <v>475</v>
      </c>
      <c r="C216" s="2" t="s">
        <v>445</v>
      </c>
      <c r="D216" s="5" t="s">
        <v>443</v>
      </c>
      <c r="E216" s="24" t="s">
        <v>440</v>
      </c>
      <c r="F216" s="6"/>
      <c r="G216" s="6"/>
      <c r="H216" s="6"/>
      <c r="I216" s="6"/>
      <c r="J216" s="6"/>
      <c r="K216" s="6"/>
      <c r="L216" s="6" t="s">
        <v>444</v>
      </c>
      <c r="M216" s="7">
        <v>44470</v>
      </c>
      <c r="N216" s="7">
        <v>44470</v>
      </c>
      <c r="O216" s="14">
        <f>ROUND([1]CF!$CE$35*1000000,2)</f>
        <v>6086476.1900000004</v>
      </c>
      <c r="P216" s="14"/>
      <c r="Q216" s="25"/>
      <c r="R216" s="10"/>
      <c r="S216" s="10"/>
      <c r="T216" s="10"/>
      <c r="U216" s="10"/>
      <c r="X216" s="16" t="str">
        <f>IF(B216="",VLOOKUP(A216,items_lookup!A:B,2,FALSE),B216)</f>
        <v>04. Item 04</v>
      </c>
      <c r="Y216" s="16">
        <f t="shared" si="12"/>
        <v>10</v>
      </c>
      <c r="Z216" s="16">
        <f t="shared" si="12"/>
        <v>10</v>
      </c>
      <c r="AA216" s="16">
        <f t="shared" si="13"/>
        <v>2021</v>
      </c>
      <c r="AB216" s="16">
        <f t="shared" si="14"/>
        <v>2021</v>
      </c>
      <c r="AC216" s="16">
        <f t="shared" si="15"/>
        <v>2021</v>
      </c>
    </row>
    <row r="217" spans="1:29" ht="15" customHeight="1" x14ac:dyDescent="0.2">
      <c r="A217" s="6" t="s">
        <v>477</v>
      </c>
      <c r="B217" s="6"/>
      <c r="C217" s="2" t="s">
        <v>445</v>
      </c>
      <c r="D217" s="5" t="s">
        <v>443</v>
      </c>
      <c r="E217" s="24" t="s">
        <v>440</v>
      </c>
      <c r="F217" s="6"/>
      <c r="G217" s="6"/>
      <c r="H217" s="6"/>
      <c r="I217" s="6"/>
      <c r="J217" s="6"/>
      <c r="K217" s="6"/>
      <c r="L217" s="6" t="s">
        <v>444</v>
      </c>
      <c r="M217" s="7">
        <v>44470</v>
      </c>
      <c r="N217" s="7">
        <v>44470</v>
      </c>
      <c r="O217" s="14">
        <f>ROUND([1]CF!$CE$37*1000000,2)-O218</f>
        <v>2155014.6799999997</v>
      </c>
      <c r="P217" s="14"/>
      <c r="Q217" s="25"/>
      <c r="R217" s="9"/>
      <c r="S217" s="9"/>
      <c r="T217" s="9"/>
      <c r="U217" s="9"/>
      <c r="X217" s="16" t="str">
        <f>IF(B217="",VLOOKUP(A217,items_lookup!A:B,2,FALSE),B217)</f>
        <v>05. Item 05</v>
      </c>
      <c r="Y217" s="16">
        <f t="shared" si="12"/>
        <v>10</v>
      </c>
      <c r="Z217" s="16">
        <f t="shared" si="12"/>
        <v>10</v>
      </c>
      <c r="AA217" s="16">
        <f t="shared" si="13"/>
        <v>2021</v>
      </c>
      <c r="AB217" s="16">
        <f t="shared" si="14"/>
        <v>2021</v>
      </c>
      <c r="AC217" s="16">
        <f t="shared" si="15"/>
        <v>2021</v>
      </c>
    </row>
    <row r="218" spans="1:29" ht="15" customHeight="1" x14ac:dyDescent="0.2">
      <c r="A218" s="6" t="s">
        <v>477</v>
      </c>
      <c r="B218" s="6"/>
      <c r="C218" s="2" t="s">
        <v>445</v>
      </c>
      <c r="D218" s="5" t="s">
        <v>446</v>
      </c>
      <c r="E218" s="24" t="s">
        <v>440</v>
      </c>
      <c r="F218" s="6"/>
      <c r="G218" s="6"/>
      <c r="H218" s="6"/>
      <c r="I218" s="6"/>
      <c r="J218" s="6"/>
      <c r="K218" s="6"/>
      <c r="L218" s="6" t="s">
        <v>444</v>
      </c>
      <c r="M218" s="7">
        <v>44470</v>
      </c>
      <c r="N218" s="7">
        <v>44470</v>
      </c>
      <c r="O218" s="14">
        <f>O209+O211+O212-O230</f>
        <v>10694285.32</v>
      </c>
      <c r="P218" s="14"/>
      <c r="Q218" s="25"/>
      <c r="R218" s="9"/>
      <c r="S218" s="9"/>
      <c r="T218" s="9"/>
      <c r="U218" s="9"/>
      <c r="X218" s="16" t="str">
        <f>IF(B218="",VLOOKUP(A218,items_lookup!A:B,2,FALSE),B218)</f>
        <v>05. Item 05</v>
      </c>
      <c r="Y218" s="16">
        <f t="shared" si="12"/>
        <v>10</v>
      </c>
      <c r="Z218" s="16">
        <f t="shared" si="12"/>
        <v>10</v>
      </c>
      <c r="AA218" s="16">
        <f t="shared" si="13"/>
        <v>2021</v>
      </c>
      <c r="AB218" s="16">
        <f t="shared" si="14"/>
        <v>2021</v>
      </c>
      <c r="AC218" s="16">
        <f t="shared" si="15"/>
        <v>2021</v>
      </c>
    </row>
    <row r="219" spans="1:29" ht="15" customHeight="1" x14ac:dyDescent="0.2">
      <c r="A219" s="6" t="s">
        <v>480</v>
      </c>
      <c r="B219" s="6"/>
      <c r="C219" s="2" t="s">
        <v>445</v>
      </c>
      <c r="D219" s="5" t="s">
        <v>443</v>
      </c>
      <c r="E219" s="24" t="s">
        <v>440</v>
      </c>
      <c r="F219" s="6"/>
      <c r="G219" s="6"/>
      <c r="H219" s="6"/>
      <c r="I219" s="6"/>
      <c r="J219" s="6"/>
      <c r="K219" s="6"/>
      <c r="L219" s="6" t="s">
        <v>444</v>
      </c>
      <c r="M219" s="7">
        <v>44470</v>
      </c>
      <c r="N219" s="7">
        <v>44470</v>
      </c>
      <c r="O219" s="14">
        <f>ROUND([1]CF!$CE$38*1000000,2)</f>
        <v>0</v>
      </c>
      <c r="P219" s="14"/>
      <c r="Q219" s="25"/>
      <c r="R219" s="9"/>
      <c r="S219" s="9"/>
      <c r="T219" s="9"/>
      <c r="U219" s="9"/>
      <c r="X219" s="16" t="str">
        <f>IF(B219="",VLOOKUP(A219,items_lookup!A:B,2,FALSE),B219)</f>
        <v>05. Item 05</v>
      </c>
      <c r="Y219" s="16">
        <f t="shared" si="12"/>
        <v>10</v>
      </c>
      <c r="Z219" s="16">
        <f t="shared" si="12"/>
        <v>10</v>
      </c>
      <c r="AA219" s="16">
        <f t="shared" si="13"/>
        <v>2021</v>
      </c>
      <c r="AB219" s="16">
        <f t="shared" si="14"/>
        <v>2021</v>
      </c>
      <c r="AC219" s="16">
        <f t="shared" si="15"/>
        <v>2021</v>
      </c>
    </row>
    <row r="220" spans="1:29" ht="15" customHeight="1" x14ac:dyDescent="0.2">
      <c r="A220" s="6" t="s">
        <v>540</v>
      </c>
      <c r="B220" s="6"/>
      <c r="C220" s="2" t="s">
        <v>445</v>
      </c>
      <c r="D220" s="5" t="s">
        <v>443</v>
      </c>
      <c r="E220" s="24" t="s">
        <v>440</v>
      </c>
      <c r="F220" s="6"/>
      <c r="G220" s="6"/>
      <c r="H220" s="6"/>
      <c r="I220" s="6"/>
      <c r="J220" s="6"/>
      <c r="K220" s="6"/>
      <c r="L220" s="6" t="s">
        <v>444</v>
      </c>
      <c r="M220" s="7">
        <v>44470</v>
      </c>
      <c r="N220" s="7">
        <v>44470</v>
      </c>
      <c r="O220" s="14">
        <f>ROUND([1]CF!$CE$39*1000000,2)</f>
        <v>338749.2</v>
      </c>
      <c r="P220" s="14"/>
      <c r="Q220" s="25"/>
      <c r="R220" s="9"/>
      <c r="S220" s="9"/>
      <c r="T220" s="9"/>
      <c r="U220" s="9"/>
      <c r="X220" s="16" t="str">
        <f>IF(B220="",VLOOKUP(A220,items_lookup!A:B,2,FALSE),B220)</f>
        <v>06. Item 06</v>
      </c>
      <c r="Y220" s="16">
        <f t="shared" si="12"/>
        <v>10</v>
      </c>
      <c r="Z220" s="16">
        <f t="shared" si="12"/>
        <v>10</v>
      </c>
      <c r="AA220" s="16">
        <f t="shared" si="13"/>
        <v>2021</v>
      </c>
      <c r="AB220" s="16">
        <f t="shared" si="14"/>
        <v>2021</v>
      </c>
      <c r="AC220" s="16">
        <f t="shared" si="15"/>
        <v>2021</v>
      </c>
    </row>
    <row r="221" spans="1:29" ht="15" customHeight="1" x14ac:dyDescent="0.2">
      <c r="A221" s="6" t="s">
        <v>542</v>
      </c>
      <c r="B221" s="6"/>
      <c r="C221" s="2" t="s">
        <v>445</v>
      </c>
      <c r="D221" s="5" t="s">
        <v>443</v>
      </c>
      <c r="E221" s="24" t="s">
        <v>440</v>
      </c>
      <c r="F221" s="6"/>
      <c r="G221" s="6"/>
      <c r="H221" s="6"/>
      <c r="I221" s="6"/>
      <c r="J221" s="6"/>
      <c r="K221" s="6"/>
      <c r="L221" s="6" t="s">
        <v>444</v>
      </c>
      <c r="M221" s="7">
        <v>44470</v>
      </c>
      <c r="N221" s="7">
        <v>44470</v>
      </c>
      <c r="O221" s="14">
        <f>ROUND([1]CF!$CE$41*1000000,2)</f>
        <v>0</v>
      </c>
      <c r="P221" s="14"/>
      <c r="Q221" s="25"/>
      <c r="R221" s="9"/>
      <c r="S221" s="9"/>
      <c r="T221" s="9"/>
      <c r="U221" s="9"/>
      <c r="X221" s="16" t="str">
        <f>IF(B221="",VLOOKUP(A221,items_lookup!A:B,2,FALSE),B221)</f>
        <v>07. Item 07</v>
      </c>
      <c r="Y221" s="16">
        <f t="shared" si="12"/>
        <v>10</v>
      </c>
      <c r="Z221" s="16">
        <f t="shared" si="12"/>
        <v>10</v>
      </c>
      <c r="AA221" s="16">
        <f t="shared" si="13"/>
        <v>2021</v>
      </c>
      <c r="AB221" s="16">
        <f t="shared" si="14"/>
        <v>2021</v>
      </c>
      <c r="AC221" s="16">
        <f t="shared" si="15"/>
        <v>2021</v>
      </c>
    </row>
    <row r="222" spans="1:29" ht="13.5" customHeight="1" x14ac:dyDescent="0.2">
      <c r="A222" s="6" t="s">
        <v>544</v>
      </c>
      <c r="B222" s="6"/>
      <c r="C222" s="2" t="s">
        <v>445</v>
      </c>
      <c r="D222" s="5" t="s">
        <v>443</v>
      </c>
      <c r="E222" s="24" t="s">
        <v>440</v>
      </c>
      <c r="F222" s="6"/>
      <c r="G222" s="6"/>
      <c r="H222" s="6"/>
      <c r="I222" s="6"/>
      <c r="J222" s="6"/>
      <c r="K222" s="6"/>
      <c r="L222" s="6" t="s">
        <v>444</v>
      </c>
      <c r="M222" s="7">
        <v>44470</v>
      </c>
      <c r="N222" s="7">
        <v>44470</v>
      </c>
      <c r="O222" s="14">
        <f>ROUND([1]CF!$CE$43*1000000,2)</f>
        <v>0</v>
      </c>
      <c r="P222" s="14"/>
      <c r="Q222" s="25"/>
      <c r="R222" s="9"/>
      <c r="S222" s="9"/>
      <c r="T222" s="9"/>
      <c r="U222" s="9"/>
      <c r="X222" s="16" t="str">
        <f>IF(B222="",VLOOKUP(A222,items_lookup!A:B,2,FALSE),B222)</f>
        <v>08. Item 08</v>
      </c>
      <c r="Y222" s="16">
        <f t="shared" si="12"/>
        <v>10</v>
      </c>
      <c r="Z222" s="16">
        <f t="shared" si="12"/>
        <v>10</v>
      </c>
      <c r="AA222" s="16">
        <f t="shared" si="13"/>
        <v>2021</v>
      </c>
      <c r="AB222" s="16">
        <f t="shared" si="14"/>
        <v>2021</v>
      </c>
      <c r="AC222" s="16">
        <f t="shared" si="15"/>
        <v>2021</v>
      </c>
    </row>
    <row r="223" spans="1:29" ht="15" customHeight="1" x14ac:dyDescent="0.2">
      <c r="A223" s="6"/>
      <c r="B223" s="6" t="s">
        <v>484</v>
      </c>
      <c r="C223" s="2" t="s">
        <v>445</v>
      </c>
      <c r="D223" s="5" t="s">
        <v>443</v>
      </c>
      <c r="E223" s="24" t="s">
        <v>440</v>
      </c>
      <c r="F223" s="6"/>
      <c r="G223" s="6"/>
      <c r="H223" s="6"/>
      <c r="I223" s="6"/>
      <c r="J223" s="6"/>
      <c r="K223" s="6"/>
      <c r="L223" s="6" t="s">
        <v>444</v>
      </c>
      <c r="M223" s="7">
        <v>44470</v>
      </c>
      <c r="N223" s="7">
        <v>44470</v>
      </c>
      <c r="O223" s="14">
        <f>ROUND([1]CF!$CE$44*1000000,2)</f>
        <v>351755.78</v>
      </c>
      <c r="P223" s="14"/>
      <c r="Q223" s="25"/>
      <c r="R223" s="9"/>
      <c r="S223" s="9"/>
      <c r="T223" s="9"/>
      <c r="U223" s="9"/>
      <c r="X223" s="16" t="str">
        <f>IF(B223="",VLOOKUP(A223,items_lookup!A:B,2,FALSE),B223)</f>
        <v>09. Item 09</v>
      </c>
      <c r="Y223" s="16">
        <f t="shared" si="12"/>
        <v>10</v>
      </c>
      <c r="Z223" s="16">
        <f t="shared" si="12"/>
        <v>10</v>
      </c>
      <c r="AA223" s="16">
        <f t="shared" si="13"/>
        <v>2021</v>
      </c>
      <c r="AB223" s="16">
        <f t="shared" si="14"/>
        <v>2021</v>
      </c>
      <c r="AC223" s="16">
        <f t="shared" si="15"/>
        <v>2021</v>
      </c>
    </row>
    <row r="224" spans="1:29" ht="21.75" customHeight="1" x14ac:dyDescent="0.2">
      <c r="A224" s="6"/>
      <c r="B224" s="6" t="s">
        <v>493</v>
      </c>
      <c r="C224" s="2" t="s">
        <v>445</v>
      </c>
      <c r="D224" s="5" t="s">
        <v>443</v>
      </c>
      <c r="E224" s="24" t="s">
        <v>440</v>
      </c>
      <c r="F224" s="6"/>
      <c r="G224" s="6"/>
      <c r="H224" s="6"/>
      <c r="I224" s="6"/>
      <c r="J224" s="6"/>
      <c r="K224" s="6"/>
      <c r="L224" s="6" t="s">
        <v>444</v>
      </c>
      <c r="M224" s="7">
        <v>44470</v>
      </c>
      <c r="N224" s="7">
        <v>44470</v>
      </c>
      <c r="O224" s="14">
        <f>ROUND([1]CF!$CE$51*1000000,2)</f>
        <v>2565359.7200000002</v>
      </c>
      <c r="P224" s="14"/>
      <c r="Q224" s="25"/>
      <c r="R224" s="10"/>
      <c r="S224" s="10"/>
      <c r="T224" s="10"/>
      <c r="U224" s="10"/>
      <c r="X224" s="16" t="str">
        <f>IF(B224="",VLOOKUP(A224,items_lookup!A:B,2,FALSE),B224)</f>
        <v>10. Item 10</v>
      </c>
      <c r="Y224" s="16">
        <f t="shared" si="12"/>
        <v>10</v>
      </c>
      <c r="Z224" s="16">
        <f t="shared" si="12"/>
        <v>10</v>
      </c>
      <c r="AA224" s="16">
        <f t="shared" si="13"/>
        <v>2021</v>
      </c>
      <c r="AB224" s="16">
        <f t="shared" si="14"/>
        <v>2021</v>
      </c>
      <c r="AC224" s="16">
        <f t="shared" si="15"/>
        <v>2021</v>
      </c>
    </row>
    <row r="225" spans="1:29" ht="15" customHeight="1" x14ac:dyDescent="0.2">
      <c r="A225" s="6" t="s">
        <v>546</v>
      </c>
      <c r="B225" s="6"/>
      <c r="C225" s="2" t="s">
        <v>445</v>
      </c>
      <c r="D225" s="5" t="s">
        <v>443</v>
      </c>
      <c r="E225" s="24" t="s">
        <v>440</v>
      </c>
      <c r="F225" s="6"/>
      <c r="G225" s="6"/>
      <c r="H225" s="6"/>
      <c r="I225" s="6"/>
      <c r="J225" s="6"/>
      <c r="K225" s="6"/>
      <c r="L225" s="6" t="s">
        <v>444</v>
      </c>
      <c r="M225" s="7">
        <v>44470</v>
      </c>
      <c r="N225" s="7">
        <v>44470</v>
      </c>
      <c r="O225" s="14">
        <f>ROUND([1]CF!$CE$52*1000000,2)</f>
        <v>11183.24</v>
      </c>
      <c r="P225" s="14"/>
      <c r="Q225" s="25"/>
      <c r="R225" s="10"/>
      <c r="S225" s="10"/>
      <c r="T225" s="10"/>
      <c r="U225" s="10"/>
      <c r="X225" s="16" t="str">
        <f>IF(B225="",VLOOKUP(A225,items_lookup!A:B,2,FALSE),B225)</f>
        <v>11. Item 11</v>
      </c>
      <c r="Y225" s="16">
        <f t="shared" si="12"/>
        <v>10</v>
      </c>
      <c r="Z225" s="16">
        <f t="shared" si="12"/>
        <v>10</v>
      </c>
      <c r="AA225" s="16">
        <f t="shared" si="13"/>
        <v>2021</v>
      </c>
      <c r="AB225" s="16">
        <f t="shared" si="14"/>
        <v>2021</v>
      </c>
      <c r="AC225" s="16">
        <f t="shared" si="15"/>
        <v>2021</v>
      </c>
    </row>
    <row r="226" spans="1:29" ht="15" customHeight="1" x14ac:dyDescent="0.2">
      <c r="A226" s="6" t="s">
        <v>704</v>
      </c>
      <c r="B226" s="6"/>
      <c r="C226" s="2" t="s">
        <v>445</v>
      </c>
      <c r="D226" s="5" t="s">
        <v>443</v>
      </c>
      <c r="E226" s="24" t="s">
        <v>440</v>
      </c>
      <c r="F226" s="6"/>
      <c r="G226" s="6"/>
      <c r="H226" s="6"/>
      <c r="I226" s="6"/>
      <c r="J226" s="6"/>
      <c r="K226" s="6"/>
      <c r="L226" s="6" t="s">
        <v>444</v>
      </c>
      <c r="M226" s="7">
        <v>44470</v>
      </c>
      <c r="N226" s="7">
        <v>44470</v>
      </c>
      <c r="O226" s="14">
        <f>ROUND([1]CF!$CE$53*1000000,2)</f>
        <v>1265071.43</v>
      </c>
      <c r="P226" s="14"/>
      <c r="Q226" s="25"/>
      <c r="R226" s="18"/>
      <c r="S226" s="18"/>
      <c r="T226" s="18"/>
      <c r="U226" s="18"/>
      <c r="X226" s="16" t="e">
        <f>IF(B226="",VLOOKUP(A226,items_lookup!A:B,2,FALSE),B226)</f>
        <v>#N/A</v>
      </c>
      <c r="Y226" s="16">
        <f t="shared" si="12"/>
        <v>10</v>
      </c>
      <c r="Z226" s="16">
        <f t="shared" si="12"/>
        <v>10</v>
      </c>
      <c r="AA226" s="16">
        <f t="shared" si="13"/>
        <v>2021</v>
      </c>
      <c r="AB226" s="16">
        <f t="shared" si="14"/>
        <v>2021</v>
      </c>
      <c r="AC226" s="16">
        <f t="shared" si="15"/>
        <v>2021</v>
      </c>
    </row>
    <row r="227" spans="1:29" ht="15" customHeight="1" x14ac:dyDescent="0.2">
      <c r="A227" s="6"/>
      <c r="B227" s="6" t="s">
        <v>502</v>
      </c>
      <c r="C227" s="2" t="s">
        <v>445</v>
      </c>
      <c r="D227" s="5" t="s">
        <v>443</v>
      </c>
      <c r="E227" s="24" t="s">
        <v>440</v>
      </c>
      <c r="F227" s="6"/>
      <c r="G227" s="6"/>
      <c r="H227" s="6"/>
      <c r="I227" s="6"/>
      <c r="J227" s="6"/>
      <c r="K227" s="6"/>
      <c r="L227" s="6" t="s">
        <v>444</v>
      </c>
      <c r="M227" s="7">
        <v>44470</v>
      </c>
      <c r="N227" s="7">
        <v>44470</v>
      </c>
      <c r="O227" s="14">
        <f>ROUND([1]CF!$CE$54*1000000,2)</f>
        <v>0</v>
      </c>
      <c r="P227" s="14"/>
      <c r="Q227" s="25"/>
      <c r="R227" s="10"/>
      <c r="S227" s="10"/>
      <c r="T227" s="10"/>
      <c r="U227" s="10"/>
      <c r="X227" s="16" t="str">
        <f>IF(B227="",VLOOKUP(A227,items_lookup!A:B,2,FALSE),B227)</f>
        <v>12. Item 12</v>
      </c>
      <c r="Y227" s="16">
        <f t="shared" si="12"/>
        <v>10</v>
      </c>
      <c r="Z227" s="16">
        <f t="shared" si="12"/>
        <v>10</v>
      </c>
      <c r="AA227" s="16">
        <f t="shared" si="13"/>
        <v>2021</v>
      </c>
      <c r="AB227" s="16">
        <f t="shared" si="14"/>
        <v>2021</v>
      </c>
      <c r="AC227" s="16">
        <f t="shared" si="15"/>
        <v>2021</v>
      </c>
    </row>
    <row r="228" spans="1:29" ht="14.25" customHeight="1" x14ac:dyDescent="0.2">
      <c r="A228" s="6"/>
      <c r="B228" s="6" t="s">
        <v>504</v>
      </c>
      <c r="C228" s="2" t="s">
        <v>445</v>
      </c>
      <c r="D228" s="5" t="s">
        <v>443</v>
      </c>
      <c r="E228" s="24" t="s">
        <v>440</v>
      </c>
      <c r="F228" s="6"/>
      <c r="G228" s="6"/>
      <c r="H228" s="6"/>
      <c r="I228" s="6"/>
      <c r="J228" s="6"/>
      <c r="K228" s="6"/>
      <c r="L228" s="6" t="s">
        <v>444</v>
      </c>
      <c r="M228" s="7">
        <v>44470</v>
      </c>
      <c r="N228" s="7">
        <v>44470</v>
      </c>
      <c r="O228" s="14">
        <f>ROUND([1]CF!$CE$55*1000000,2)</f>
        <v>0</v>
      </c>
      <c r="P228" s="14"/>
      <c r="Q228" s="25"/>
      <c r="R228" s="10"/>
      <c r="S228" s="10"/>
      <c r="T228" s="10"/>
      <c r="U228" s="10"/>
      <c r="X228" s="16" t="str">
        <f>IF(B228="",VLOOKUP(A228,items_lookup!A:B,2,FALSE),B228)</f>
        <v>13. Item 13</v>
      </c>
      <c r="Y228" s="16">
        <f t="shared" si="12"/>
        <v>10</v>
      </c>
      <c r="Z228" s="16">
        <f t="shared" si="12"/>
        <v>10</v>
      </c>
      <c r="AA228" s="16">
        <f t="shared" si="13"/>
        <v>2021</v>
      </c>
      <c r="AB228" s="16">
        <f t="shared" si="14"/>
        <v>2021</v>
      </c>
      <c r="AC228" s="16">
        <f t="shared" si="15"/>
        <v>2021</v>
      </c>
    </row>
    <row r="229" spans="1:29" ht="15" customHeight="1" x14ac:dyDescent="0.2">
      <c r="A229" s="6" t="s">
        <v>552</v>
      </c>
      <c r="B229" s="6"/>
      <c r="C229" s="2" t="s">
        <v>445</v>
      </c>
      <c r="D229" s="5" t="s">
        <v>443</v>
      </c>
      <c r="E229" s="24" t="s">
        <v>440</v>
      </c>
      <c r="F229" s="6"/>
      <c r="G229" s="6"/>
      <c r="H229" s="6"/>
      <c r="I229" s="6"/>
      <c r="J229" s="6"/>
      <c r="K229" s="6"/>
      <c r="L229" s="6" t="s">
        <v>444</v>
      </c>
      <c r="M229" s="7">
        <v>44470</v>
      </c>
      <c r="N229" s="7">
        <v>44470</v>
      </c>
      <c r="O229" s="14">
        <f>ROUND([1]CF!$CE$68*1000000,2)</f>
        <v>0</v>
      </c>
      <c r="P229" s="14"/>
      <c r="Q229" s="25"/>
      <c r="R229" s="10"/>
      <c r="S229" s="10"/>
      <c r="T229" s="10"/>
      <c r="U229" s="10"/>
      <c r="X229" s="16" t="str">
        <f>IF(B229="",VLOOKUP(A229,items_lookup!A:B,2,FALSE),B229)</f>
        <v>14. Item 14</v>
      </c>
      <c r="Y229" s="16">
        <f t="shared" si="12"/>
        <v>10</v>
      </c>
      <c r="Z229" s="16">
        <f t="shared" si="12"/>
        <v>10</v>
      </c>
      <c r="AA229" s="16">
        <f t="shared" si="13"/>
        <v>2021</v>
      </c>
      <c r="AB229" s="16">
        <f t="shared" si="14"/>
        <v>2021</v>
      </c>
      <c r="AC229" s="16">
        <f t="shared" si="15"/>
        <v>2021</v>
      </c>
    </row>
    <row r="230" spans="1:29" ht="15" customHeight="1" x14ac:dyDescent="0.2">
      <c r="A230" s="6" t="s">
        <v>558</v>
      </c>
      <c r="B230" s="6"/>
      <c r="C230" s="2" t="s">
        <v>445</v>
      </c>
      <c r="D230" s="5" t="s">
        <v>446</v>
      </c>
      <c r="E230" s="24" t="s">
        <v>440</v>
      </c>
      <c r="F230" s="6"/>
      <c r="G230" s="6"/>
      <c r="H230" s="6"/>
      <c r="I230" s="6"/>
      <c r="J230" s="6"/>
      <c r="K230" s="6"/>
      <c r="L230" s="6" t="s">
        <v>444</v>
      </c>
      <c r="M230" s="7">
        <v>44470</v>
      </c>
      <c r="N230" s="7">
        <v>44470</v>
      </c>
      <c r="O230" s="14">
        <f>ROUND([1]CF!$CE$56*1000000,2)</f>
        <v>0</v>
      </c>
      <c r="P230" s="14"/>
      <c r="Q230" s="25"/>
      <c r="R230" s="10"/>
      <c r="S230" s="10"/>
      <c r="T230" s="10"/>
      <c r="U230" s="10"/>
      <c r="X230" s="16" t="str">
        <f>IF(B230="",VLOOKUP(A230,items_lookup!A:B,2,FALSE),B230)</f>
        <v>17. Item 17</v>
      </c>
      <c r="Y230" s="16">
        <f t="shared" si="12"/>
        <v>10</v>
      </c>
      <c r="Z230" s="16">
        <f t="shared" si="12"/>
        <v>10</v>
      </c>
      <c r="AA230" s="16">
        <f t="shared" si="13"/>
        <v>2021</v>
      </c>
      <c r="AB230" s="16">
        <f t="shared" si="14"/>
        <v>2021</v>
      </c>
      <c r="AC230" s="16">
        <f t="shared" si="15"/>
        <v>2021</v>
      </c>
    </row>
    <row r="231" spans="1:29" ht="15" customHeight="1" x14ac:dyDescent="0.2">
      <c r="A231" s="6" t="s">
        <v>562</v>
      </c>
      <c r="B231" s="6"/>
      <c r="C231" s="2" t="s">
        <v>445</v>
      </c>
      <c r="D231" s="5" t="s">
        <v>443</v>
      </c>
      <c r="E231" s="24" t="s">
        <v>440</v>
      </c>
      <c r="F231" s="6"/>
      <c r="G231" s="6"/>
      <c r="H231" s="6"/>
      <c r="I231" s="6"/>
      <c r="J231" s="6"/>
      <c r="K231" s="6"/>
      <c r="L231" s="6" t="s">
        <v>444</v>
      </c>
      <c r="M231" s="7">
        <v>44470</v>
      </c>
      <c r="N231" s="7">
        <v>44470</v>
      </c>
      <c r="O231" s="14">
        <f>ROUND([1]CF!$CE$57*1000000,2)</f>
        <v>0</v>
      </c>
      <c r="P231" s="14"/>
      <c r="Q231" s="25"/>
      <c r="R231" s="10"/>
      <c r="S231" s="10"/>
      <c r="T231" s="10"/>
      <c r="U231" s="10"/>
      <c r="X231" s="16" t="str">
        <f>IF(B231="",VLOOKUP(A231,items_lookup!A:B,2,FALSE),B231)</f>
        <v>19. Item 19</v>
      </c>
      <c r="Y231" s="16">
        <f t="shared" si="12"/>
        <v>10</v>
      </c>
      <c r="Z231" s="16">
        <f t="shared" si="12"/>
        <v>10</v>
      </c>
      <c r="AA231" s="16">
        <f t="shared" si="13"/>
        <v>2021</v>
      </c>
      <c r="AB231" s="16">
        <f t="shared" si="14"/>
        <v>2021</v>
      </c>
      <c r="AC231" s="16">
        <f t="shared" si="15"/>
        <v>2021</v>
      </c>
    </row>
    <row r="232" spans="1:29" ht="15" customHeight="1" x14ac:dyDescent="0.2">
      <c r="A232" s="6" t="s">
        <v>450</v>
      </c>
      <c r="B232" s="6"/>
      <c r="C232" s="2" t="s">
        <v>445</v>
      </c>
      <c r="D232" s="5" t="s">
        <v>446</v>
      </c>
      <c r="E232" s="24" t="s">
        <v>439</v>
      </c>
      <c r="F232" s="6"/>
      <c r="G232" s="6"/>
      <c r="H232" s="6"/>
      <c r="I232" s="6"/>
      <c r="J232" s="6"/>
      <c r="K232" s="6"/>
      <c r="L232" s="6" t="s">
        <v>444</v>
      </c>
      <c r="M232" s="7">
        <v>44501</v>
      </c>
      <c r="N232" s="7">
        <v>44501</v>
      </c>
      <c r="O232" s="14">
        <f>ROUND([1]CF!$CF$28*1000000,2)</f>
        <v>9607447.9199999999</v>
      </c>
      <c r="P232" s="14"/>
      <c r="Q232" s="25"/>
      <c r="R232" s="10"/>
      <c r="S232" s="10"/>
      <c r="T232" s="10"/>
      <c r="U232" s="10"/>
      <c r="X232" s="16" t="str">
        <f>IF(B232="",VLOOKUP(A232,items_lookup!A:B,2,FALSE),B232)</f>
        <v>_1. Item _1</v>
      </c>
      <c r="Y232" s="16">
        <f t="shared" si="12"/>
        <v>11</v>
      </c>
      <c r="Z232" s="16">
        <f t="shared" si="12"/>
        <v>11</v>
      </c>
      <c r="AA232" s="16">
        <f t="shared" si="13"/>
        <v>2021</v>
      </c>
      <c r="AB232" s="16">
        <f t="shared" si="14"/>
        <v>2021</v>
      </c>
      <c r="AC232" s="16">
        <f t="shared" si="15"/>
        <v>2021</v>
      </c>
    </row>
    <row r="233" spans="1:29" ht="15" customHeight="1" x14ac:dyDescent="0.2">
      <c r="A233" s="6" t="s">
        <v>450</v>
      </c>
      <c r="B233" s="6"/>
      <c r="C233" s="2" t="s">
        <v>445</v>
      </c>
      <c r="D233" s="5" t="s">
        <v>443</v>
      </c>
      <c r="E233" s="24" t="s">
        <v>439</v>
      </c>
      <c r="F233" s="6"/>
      <c r="G233" s="6"/>
      <c r="H233" s="6"/>
      <c r="I233" s="6"/>
      <c r="J233" s="6"/>
      <c r="K233" s="6"/>
      <c r="L233" s="6" t="s">
        <v>444</v>
      </c>
      <c r="M233" s="7">
        <v>44501</v>
      </c>
      <c r="N233" s="7">
        <v>44501</v>
      </c>
      <c r="O233" s="14">
        <f>ROUND([1]CF!$CF$27*1000000,2)</f>
        <v>41691763.130000003</v>
      </c>
      <c r="P233" s="14"/>
      <c r="Q233" s="25"/>
      <c r="R233" s="10"/>
      <c r="S233" s="10"/>
      <c r="T233" s="10"/>
      <c r="U233" s="10"/>
      <c r="X233" s="16" t="str">
        <f>IF(B233="",VLOOKUP(A233,items_lookup!A:B,2,FALSE),B233)</f>
        <v>_1. Item _1</v>
      </c>
      <c r="Y233" s="16">
        <f t="shared" si="12"/>
        <v>11</v>
      </c>
      <c r="Z233" s="16">
        <f t="shared" si="12"/>
        <v>11</v>
      </c>
      <c r="AA233" s="16">
        <f t="shared" si="13"/>
        <v>2021</v>
      </c>
      <c r="AB233" s="16">
        <f t="shared" si="14"/>
        <v>2021</v>
      </c>
      <c r="AC233" s="16">
        <f t="shared" si="15"/>
        <v>2021</v>
      </c>
    </row>
    <row r="234" spans="1:29" ht="15" customHeight="1" x14ac:dyDescent="0.2">
      <c r="A234" s="6" t="s">
        <v>457</v>
      </c>
      <c r="B234" s="6"/>
      <c r="C234" s="2" t="s">
        <v>445</v>
      </c>
      <c r="D234" s="5" t="s">
        <v>446</v>
      </c>
      <c r="E234" s="24" t="s">
        <v>439</v>
      </c>
      <c r="F234" s="6"/>
      <c r="G234" s="6"/>
      <c r="H234" s="6"/>
      <c r="I234" s="6"/>
      <c r="J234" s="6"/>
      <c r="K234" s="6"/>
      <c r="L234" s="6" t="s">
        <v>444</v>
      </c>
      <c r="M234" s="7">
        <v>44501</v>
      </c>
      <c r="N234" s="7">
        <v>44501</v>
      </c>
      <c r="O234" s="14">
        <f>ROUND([1]CF!$CF$29*1000000,2)</f>
        <v>410000</v>
      </c>
      <c r="P234" s="14"/>
      <c r="Q234" s="25"/>
      <c r="R234" s="10"/>
      <c r="S234" s="10"/>
      <c r="T234" s="10"/>
      <c r="U234" s="10"/>
      <c r="X234" s="16" t="str">
        <f>IF(B234="",VLOOKUP(A234,items_lookup!A:B,2,FALSE),B234)</f>
        <v>_2. Item _2</v>
      </c>
      <c r="Y234" s="16">
        <f t="shared" si="12"/>
        <v>11</v>
      </c>
      <c r="Z234" s="16">
        <f t="shared" si="12"/>
        <v>11</v>
      </c>
      <c r="AA234" s="16">
        <f t="shared" si="13"/>
        <v>2021</v>
      </c>
      <c r="AB234" s="16">
        <f t="shared" si="14"/>
        <v>2021</v>
      </c>
      <c r="AC234" s="16">
        <f t="shared" si="15"/>
        <v>2021</v>
      </c>
    </row>
    <row r="235" spans="1:29" ht="15" customHeight="1" x14ac:dyDescent="0.2">
      <c r="A235" s="6" t="s">
        <v>464</v>
      </c>
      <c r="B235" s="6"/>
      <c r="C235" s="2" t="s">
        <v>445</v>
      </c>
      <c r="D235" s="5" t="s">
        <v>446</v>
      </c>
      <c r="E235" s="24" t="s">
        <v>439</v>
      </c>
      <c r="F235" s="6"/>
      <c r="G235" s="6"/>
      <c r="H235" s="6"/>
      <c r="I235" s="6"/>
      <c r="J235" s="6"/>
      <c r="K235" s="6"/>
      <c r="L235" s="6" t="s">
        <v>444</v>
      </c>
      <c r="M235" s="7">
        <v>44501</v>
      </c>
      <c r="N235" s="7">
        <v>44501</v>
      </c>
      <c r="O235" s="14">
        <f>ROUND([1]CF!$CF$30*1000000,2)</f>
        <v>171852.81</v>
      </c>
      <c r="P235" s="14"/>
      <c r="Q235" s="25"/>
      <c r="R235" s="10"/>
      <c r="S235" s="10"/>
      <c r="T235" s="10"/>
      <c r="U235" s="10"/>
      <c r="X235" s="16" t="str">
        <f>IF(B235="",VLOOKUP(A235,items_lookup!A:B,2,FALSE),B235)</f>
        <v>_3. Item _3</v>
      </c>
      <c r="Y235" s="16">
        <f t="shared" si="12"/>
        <v>11</v>
      </c>
      <c r="Z235" s="16">
        <f t="shared" si="12"/>
        <v>11</v>
      </c>
      <c r="AA235" s="16">
        <f t="shared" si="13"/>
        <v>2021</v>
      </c>
      <c r="AB235" s="16">
        <f t="shared" si="14"/>
        <v>2021</v>
      </c>
      <c r="AC235" s="16">
        <f t="shared" si="15"/>
        <v>2021</v>
      </c>
    </row>
    <row r="236" spans="1:29" ht="15" customHeight="1" x14ac:dyDescent="0.2">
      <c r="A236" s="6" t="s">
        <v>538</v>
      </c>
      <c r="B236" s="6"/>
      <c r="C236" s="2" t="s">
        <v>445</v>
      </c>
      <c r="D236" s="5" t="s">
        <v>443</v>
      </c>
      <c r="E236" s="24" t="s">
        <v>440</v>
      </c>
      <c r="F236" s="6"/>
      <c r="G236" s="6"/>
      <c r="H236" s="6"/>
      <c r="I236" s="6"/>
      <c r="J236" s="6"/>
      <c r="K236" s="6"/>
      <c r="L236" s="6" t="s">
        <v>444</v>
      </c>
      <c r="M236" s="7">
        <v>44501</v>
      </c>
      <c r="N236" s="7">
        <v>44501</v>
      </c>
      <c r="O236" s="14">
        <f>ROUND([1]CF!$CF$32*1000000,2)</f>
        <v>55384.92</v>
      </c>
      <c r="P236" s="14"/>
      <c r="Q236" s="25"/>
      <c r="R236" s="8"/>
      <c r="S236" s="8"/>
      <c r="T236" s="8"/>
      <c r="U236" s="8"/>
      <c r="X236" s="16" t="str">
        <f>IF(B236="",VLOOKUP(A236,items_lookup!A:B,2,FALSE),B236)</f>
        <v>01. Item 01</v>
      </c>
      <c r="Y236" s="16">
        <f t="shared" si="12"/>
        <v>11</v>
      </c>
      <c r="Z236" s="16">
        <f t="shared" si="12"/>
        <v>11</v>
      </c>
      <c r="AA236" s="16">
        <f t="shared" si="13"/>
        <v>2021</v>
      </c>
      <c r="AB236" s="16">
        <f t="shared" si="14"/>
        <v>2021</v>
      </c>
      <c r="AC236" s="16">
        <f t="shared" si="15"/>
        <v>2021</v>
      </c>
    </row>
    <row r="237" spans="1:29" ht="15" customHeight="1" x14ac:dyDescent="0.2">
      <c r="A237" s="6" t="s">
        <v>529</v>
      </c>
      <c r="B237" s="6"/>
      <c r="C237" s="2" t="s">
        <v>445</v>
      </c>
      <c r="D237" s="5" t="s">
        <v>443</v>
      </c>
      <c r="E237" s="24" t="s">
        <v>440</v>
      </c>
      <c r="F237" s="6"/>
      <c r="G237" s="6"/>
      <c r="H237" s="6"/>
      <c r="I237" s="6"/>
      <c r="J237" s="6"/>
      <c r="K237" s="6"/>
      <c r="L237" s="6" t="s">
        <v>444</v>
      </c>
      <c r="M237" s="7">
        <v>44501</v>
      </c>
      <c r="N237" s="7">
        <v>44501</v>
      </c>
      <c r="O237" s="14">
        <f>ROUND([1]CF!$CF$33*1000000,2)</f>
        <v>7626734.96</v>
      </c>
      <c r="P237" s="14"/>
      <c r="Q237" s="25"/>
      <c r="R237" s="8"/>
      <c r="S237" s="8"/>
      <c r="T237" s="8"/>
      <c r="U237" s="8"/>
      <c r="X237" s="16" t="str">
        <f>IF(B237="",VLOOKUP(A237,items_lookup!A:B,2,FALSE),B237)</f>
        <v>02. Item 02</v>
      </c>
      <c r="Y237" s="16">
        <f t="shared" si="12"/>
        <v>11</v>
      </c>
      <c r="Z237" s="16">
        <f t="shared" si="12"/>
        <v>11</v>
      </c>
      <c r="AA237" s="16">
        <f t="shared" si="13"/>
        <v>2021</v>
      </c>
      <c r="AB237" s="16">
        <f t="shared" si="14"/>
        <v>2021</v>
      </c>
      <c r="AC237" s="16">
        <f t="shared" si="15"/>
        <v>2021</v>
      </c>
    </row>
    <row r="238" spans="1:29" ht="27.75" customHeight="1" x14ac:dyDescent="0.2">
      <c r="A238" s="6"/>
      <c r="B238" s="6" t="s">
        <v>448</v>
      </c>
      <c r="C238" s="2" t="s">
        <v>445</v>
      </c>
      <c r="D238" s="5" t="s">
        <v>443</v>
      </c>
      <c r="E238" s="24" t="s">
        <v>440</v>
      </c>
      <c r="F238" s="6"/>
      <c r="G238" s="6"/>
      <c r="H238" s="6"/>
      <c r="I238" s="6"/>
      <c r="J238" s="6"/>
      <c r="K238" s="6"/>
      <c r="L238" s="6" t="s">
        <v>444</v>
      </c>
      <c r="M238" s="7">
        <v>44501</v>
      </c>
      <c r="N238" s="7">
        <v>44501</v>
      </c>
      <c r="O238" s="14">
        <f>ROUND([1]CF!$CF$34*1000000,2)</f>
        <v>49726.41</v>
      </c>
      <c r="P238" s="14"/>
      <c r="Q238" s="25"/>
      <c r="R238" s="9"/>
      <c r="S238" s="9"/>
      <c r="T238" s="9"/>
      <c r="U238" s="9"/>
      <c r="X238" s="16" t="str">
        <f>IF(B238="",VLOOKUP(A238,items_lookup!A:B,2,FALSE),B238)</f>
        <v>03. Item 03</v>
      </c>
      <c r="Y238" s="16">
        <f t="shared" si="12"/>
        <v>11</v>
      </c>
      <c r="Z238" s="16">
        <f t="shared" si="12"/>
        <v>11</v>
      </c>
      <c r="AA238" s="16">
        <f t="shared" si="13"/>
        <v>2021</v>
      </c>
      <c r="AB238" s="16">
        <f t="shared" si="14"/>
        <v>2021</v>
      </c>
      <c r="AC238" s="16">
        <f t="shared" si="15"/>
        <v>2021</v>
      </c>
    </row>
    <row r="239" spans="1:29" ht="12" customHeight="1" x14ac:dyDescent="0.2">
      <c r="A239" s="6"/>
      <c r="B239" s="6" t="s">
        <v>475</v>
      </c>
      <c r="C239" s="2" t="s">
        <v>445</v>
      </c>
      <c r="D239" s="5" t="s">
        <v>443</v>
      </c>
      <c r="E239" s="24" t="s">
        <v>440</v>
      </c>
      <c r="F239" s="6"/>
      <c r="G239" s="6"/>
      <c r="H239" s="6"/>
      <c r="I239" s="6"/>
      <c r="J239" s="6"/>
      <c r="K239" s="6"/>
      <c r="L239" s="6" t="s">
        <v>444</v>
      </c>
      <c r="M239" s="7">
        <v>44501</v>
      </c>
      <c r="N239" s="7">
        <v>44501</v>
      </c>
      <c r="O239" s="14">
        <f>ROUND([1]CF!$CF$35*1000000,2)</f>
        <v>4095333.33</v>
      </c>
      <c r="P239" s="14"/>
      <c r="Q239" s="25"/>
      <c r="R239" s="10"/>
      <c r="S239" s="10"/>
      <c r="T239" s="10"/>
      <c r="U239" s="10"/>
      <c r="X239" s="16" t="str">
        <f>IF(B239="",VLOOKUP(A239,items_lookup!A:B,2,FALSE),B239)</f>
        <v>04. Item 04</v>
      </c>
      <c r="Y239" s="16">
        <f t="shared" si="12"/>
        <v>11</v>
      </c>
      <c r="Z239" s="16">
        <f t="shared" si="12"/>
        <v>11</v>
      </c>
      <c r="AA239" s="16">
        <f t="shared" si="13"/>
        <v>2021</v>
      </c>
      <c r="AB239" s="16">
        <f t="shared" si="14"/>
        <v>2021</v>
      </c>
      <c r="AC239" s="16">
        <f t="shared" si="15"/>
        <v>2021</v>
      </c>
    </row>
    <row r="240" spans="1:29" ht="15" customHeight="1" x14ac:dyDescent="0.2">
      <c r="A240" s="6" t="s">
        <v>477</v>
      </c>
      <c r="B240" s="6"/>
      <c r="C240" s="2" t="s">
        <v>445</v>
      </c>
      <c r="D240" s="5" t="s">
        <v>443</v>
      </c>
      <c r="E240" s="24" t="s">
        <v>440</v>
      </c>
      <c r="F240" s="6"/>
      <c r="G240" s="6"/>
      <c r="H240" s="6"/>
      <c r="I240" s="6"/>
      <c r="J240" s="6"/>
      <c r="K240" s="6"/>
      <c r="L240" s="6" t="s">
        <v>444</v>
      </c>
      <c r="M240" s="7">
        <v>44501</v>
      </c>
      <c r="N240" s="7">
        <v>44501</v>
      </c>
      <c r="O240" s="14">
        <f>ROUND([1]CF!$CF$37*1000000,2)-O241</f>
        <v>488988.78999999911</v>
      </c>
      <c r="P240" s="14"/>
      <c r="Q240" s="25"/>
      <c r="R240" s="9"/>
      <c r="S240" s="9"/>
      <c r="T240" s="9"/>
      <c r="U240" s="9"/>
      <c r="X240" s="16" t="str">
        <f>IF(B240="",VLOOKUP(A240,items_lookup!A:B,2,FALSE),B240)</f>
        <v>05. Item 05</v>
      </c>
      <c r="Y240" s="16">
        <f t="shared" si="12"/>
        <v>11</v>
      </c>
      <c r="Z240" s="16">
        <f t="shared" si="12"/>
        <v>11</v>
      </c>
      <c r="AA240" s="16">
        <f t="shared" si="13"/>
        <v>2021</v>
      </c>
      <c r="AB240" s="16">
        <f t="shared" si="14"/>
        <v>2021</v>
      </c>
      <c r="AC240" s="16">
        <f t="shared" si="15"/>
        <v>2021</v>
      </c>
    </row>
    <row r="241" spans="1:29" ht="15" customHeight="1" x14ac:dyDescent="0.2">
      <c r="A241" s="6" t="s">
        <v>477</v>
      </c>
      <c r="B241" s="6"/>
      <c r="C241" s="2" t="s">
        <v>445</v>
      </c>
      <c r="D241" s="5" t="s">
        <v>446</v>
      </c>
      <c r="E241" s="24" t="s">
        <v>440</v>
      </c>
      <c r="F241" s="6"/>
      <c r="G241" s="6"/>
      <c r="H241" s="6"/>
      <c r="I241" s="6"/>
      <c r="J241" s="6"/>
      <c r="K241" s="6"/>
      <c r="L241" s="6" t="s">
        <v>444</v>
      </c>
      <c r="M241" s="7">
        <v>44501</v>
      </c>
      <c r="N241" s="7">
        <v>44501</v>
      </c>
      <c r="O241" s="14">
        <f>O232+O234+O235-O253</f>
        <v>10189300.73</v>
      </c>
      <c r="P241" s="14"/>
      <c r="Q241" s="25"/>
      <c r="R241" s="9"/>
      <c r="S241" s="9"/>
      <c r="T241" s="9"/>
      <c r="U241" s="9"/>
      <c r="X241" s="16" t="str">
        <f>IF(B241="",VLOOKUP(A241,items_lookup!A:B,2,FALSE),B241)</f>
        <v>05. Item 05</v>
      </c>
      <c r="Y241" s="16">
        <f t="shared" si="12"/>
        <v>11</v>
      </c>
      <c r="Z241" s="16">
        <f t="shared" si="12"/>
        <v>11</v>
      </c>
      <c r="AA241" s="16">
        <f t="shared" si="13"/>
        <v>2021</v>
      </c>
      <c r="AB241" s="16">
        <f t="shared" si="14"/>
        <v>2021</v>
      </c>
      <c r="AC241" s="16">
        <f t="shared" si="15"/>
        <v>2021</v>
      </c>
    </row>
    <row r="242" spans="1:29" ht="15" customHeight="1" x14ac:dyDescent="0.2">
      <c r="A242" s="6" t="s">
        <v>480</v>
      </c>
      <c r="B242" s="6"/>
      <c r="C242" s="2" t="s">
        <v>445</v>
      </c>
      <c r="D242" s="5" t="s">
        <v>443</v>
      </c>
      <c r="E242" s="24" t="s">
        <v>440</v>
      </c>
      <c r="F242" s="6"/>
      <c r="G242" s="6"/>
      <c r="H242" s="6"/>
      <c r="I242" s="6"/>
      <c r="J242" s="6"/>
      <c r="K242" s="6"/>
      <c r="L242" s="6" t="s">
        <v>444</v>
      </c>
      <c r="M242" s="7">
        <v>44501</v>
      </c>
      <c r="N242" s="7">
        <v>44501</v>
      </c>
      <c r="O242" s="14">
        <f>ROUND([1]CF!$CF$38*1000000,2)</f>
        <v>0</v>
      </c>
      <c r="P242" s="14"/>
      <c r="Q242" s="25"/>
      <c r="R242" s="9"/>
      <c r="S242" s="9"/>
      <c r="T242" s="9"/>
      <c r="U242" s="9"/>
      <c r="X242" s="16" t="str">
        <f>IF(B242="",VLOOKUP(A242,items_lookup!A:B,2,FALSE),B242)</f>
        <v>05. Item 05</v>
      </c>
      <c r="Y242" s="16">
        <f t="shared" si="12"/>
        <v>11</v>
      </c>
      <c r="Z242" s="16">
        <f t="shared" si="12"/>
        <v>11</v>
      </c>
      <c r="AA242" s="16">
        <f t="shared" si="13"/>
        <v>2021</v>
      </c>
      <c r="AB242" s="16">
        <f t="shared" si="14"/>
        <v>2021</v>
      </c>
      <c r="AC242" s="16">
        <f t="shared" si="15"/>
        <v>2021</v>
      </c>
    </row>
    <row r="243" spans="1:29" ht="15" customHeight="1" x14ac:dyDescent="0.2">
      <c r="A243" s="6" t="s">
        <v>540</v>
      </c>
      <c r="B243" s="6"/>
      <c r="C243" s="2" t="s">
        <v>445</v>
      </c>
      <c r="D243" s="5" t="s">
        <v>443</v>
      </c>
      <c r="E243" s="24" t="s">
        <v>440</v>
      </c>
      <c r="F243" s="6"/>
      <c r="G243" s="6"/>
      <c r="H243" s="6"/>
      <c r="I243" s="6"/>
      <c r="J243" s="6"/>
      <c r="K243" s="6"/>
      <c r="L243" s="6" t="s">
        <v>444</v>
      </c>
      <c r="M243" s="7">
        <v>44501</v>
      </c>
      <c r="N243" s="7">
        <v>44501</v>
      </c>
      <c r="O243" s="14">
        <f>ROUND([1]CF!$CF$39*1000000,2)</f>
        <v>338749.2</v>
      </c>
      <c r="P243" s="14"/>
      <c r="Q243" s="25"/>
      <c r="R243" s="9"/>
      <c r="S243" s="9"/>
      <c r="T243" s="9"/>
      <c r="U243" s="9"/>
      <c r="X243" s="16" t="str">
        <f>IF(B243="",VLOOKUP(A243,items_lookup!A:B,2,FALSE),B243)</f>
        <v>06. Item 06</v>
      </c>
      <c r="Y243" s="16">
        <f t="shared" si="12"/>
        <v>11</v>
      </c>
      <c r="Z243" s="16">
        <f t="shared" si="12"/>
        <v>11</v>
      </c>
      <c r="AA243" s="16">
        <f t="shared" si="13"/>
        <v>2021</v>
      </c>
      <c r="AB243" s="16">
        <f t="shared" si="14"/>
        <v>2021</v>
      </c>
      <c r="AC243" s="16">
        <f t="shared" si="15"/>
        <v>2021</v>
      </c>
    </row>
    <row r="244" spans="1:29" ht="15" customHeight="1" x14ac:dyDescent="0.2">
      <c r="A244" s="6" t="s">
        <v>542</v>
      </c>
      <c r="B244" s="6"/>
      <c r="C244" s="2" t="s">
        <v>445</v>
      </c>
      <c r="D244" s="5" t="s">
        <v>443</v>
      </c>
      <c r="E244" s="24" t="s">
        <v>440</v>
      </c>
      <c r="F244" s="6"/>
      <c r="G244" s="6"/>
      <c r="H244" s="6"/>
      <c r="I244" s="6"/>
      <c r="J244" s="6"/>
      <c r="K244" s="6"/>
      <c r="L244" s="6" t="s">
        <v>444</v>
      </c>
      <c r="M244" s="7">
        <v>44501</v>
      </c>
      <c r="N244" s="7">
        <v>44501</v>
      </c>
      <c r="O244" s="14">
        <f>ROUND([1]CF!$CF$41*1000000,2)</f>
        <v>0</v>
      </c>
      <c r="P244" s="14"/>
      <c r="Q244" s="25"/>
      <c r="R244" s="9"/>
      <c r="S244" s="9"/>
      <c r="T244" s="9"/>
      <c r="U244" s="9"/>
      <c r="X244" s="16" t="str">
        <f>IF(B244="",VLOOKUP(A244,items_lookup!A:B,2,FALSE),B244)</f>
        <v>07. Item 07</v>
      </c>
      <c r="Y244" s="16">
        <f t="shared" si="12"/>
        <v>11</v>
      </c>
      <c r="Z244" s="16">
        <f t="shared" si="12"/>
        <v>11</v>
      </c>
      <c r="AA244" s="16">
        <f t="shared" si="13"/>
        <v>2021</v>
      </c>
      <c r="AB244" s="16">
        <f t="shared" si="14"/>
        <v>2021</v>
      </c>
      <c r="AC244" s="16">
        <f t="shared" si="15"/>
        <v>2021</v>
      </c>
    </row>
    <row r="245" spans="1:29" ht="13.5" customHeight="1" x14ac:dyDescent="0.2">
      <c r="A245" s="6" t="s">
        <v>544</v>
      </c>
      <c r="B245" s="6"/>
      <c r="C245" s="2" t="s">
        <v>445</v>
      </c>
      <c r="D245" s="5" t="s">
        <v>443</v>
      </c>
      <c r="E245" s="24" t="s">
        <v>440</v>
      </c>
      <c r="F245" s="6"/>
      <c r="G245" s="6"/>
      <c r="H245" s="6"/>
      <c r="I245" s="6"/>
      <c r="J245" s="6"/>
      <c r="K245" s="6"/>
      <c r="L245" s="6" t="s">
        <v>444</v>
      </c>
      <c r="M245" s="7">
        <v>44501</v>
      </c>
      <c r="N245" s="7">
        <v>44501</v>
      </c>
      <c r="O245" s="14">
        <f>ROUND([1]CF!$CF$43*1000000,2)</f>
        <v>0</v>
      </c>
      <c r="P245" s="14"/>
      <c r="Q245" s="25"/>
      <c r="R245" s="9"/>
      <c r="S245" s="9"/>
      <c r="T245" s="9"/>
      <c r="U245" s="9"/>
      <c r="X245" s="16" t="str">
        <f>IF(B245="",VLOOKUP(A245,items_lookup!A:B,2,FALSE),B245)</f>
        <v>08. Item 08</v>
      </c>
      <c r="Y245" s="16">
        <f t="shared" si="12"/>
        <v>11</v>
      </c>
      <c r="Z245" s="16">
        <f t="shared" si="12"/>
        <v>11</v>
      </c>
      <c r="AA245" s="16">
        <f t="shared" si="13"/>
        <v>2021</v>
      </c>
      <c r="AB245" s="16">
        <f t="shared" si="14"/>
        <v>2021</v>
      </c>
      <c r="AC245" s="16">
        <f t="shared" si="15"/>
        <v>2021</v>
      </c>
    </row>
    <row r="246" spans="1:29" ht="15" customHeight="1" x14ac:dyDescent="0.2">
      <c r="A246" s="6"/>
      <c r="B246" s="6" t="s">
        <v>484</v>
      </c>
      <c r="C246" s="2" t="s">
        <v>445</v>
      </c>
      <c r="D246" s="5" t="s">
        <v>443</v>
      </c>
      <c r="E246" s="24" t="s">
        <v>440</v>
      </c>
      <c r="F246" s="6"/>
      <c r="G246" s="6"/>
      <c r="H246" s="6"/>
      <c r="I246" s="6"/>
      <c r="J246" s="6"/>
      <c r="K246" s="6"/>
      <c r="L246" s="6" t="s">
        <v>444</v>
      </c>
      <c r="M246" s="7">
        <v>44501</v>
      </c>
      <c r="N246" s="7">
        <v>44501</v>
      </c>
      <c r="O246" s="14">
        <f>ROUND([1]CF!$CF$44*1000000,2)</f>
        <v>386460.43</v>
      </c>
      <c r="P246" s="14"/>
      <c r="Q246" s="25"/>
      <c r="R246" s="9"/>
      <c r="S246" s="9"/>
      <c r="T246" s="9"/>
      <c r="U246" s="9"/>
      <c r="X246" s="16" t="str">
        <f>IF(B246="",VLOOKUP(A246,items_lookup!A:B,2,FALSE),B246)</f>
        <v>09. Item 09</v>
      </c>
      <c r="Y246" s="16">
        <f t="shared" si="12"/>
        <v>11</v>
      </c>
      <c r="Z246" s="16">
        <f t="shared" si="12"/>
        <v>11</v>
      </c>
      <c r="AA246" s="16">
        <f t="shared" si="13"/>
        <v>2021</v>
      </c>
      <c r="AB246" s="16">
        <f t="shared" si="14"/>
        <v>2021</v>
      </c>
      <c r="AC246" s="16">
        <f t="shared" si="15"/>
        <v>2021</v>
      </c>
    </row>
    <row r="247" spans="1:29" ht="21.75" customHeight="1" x14ac:dyDescent="0.2">
      <c r="A247" s="6"/>
      <c r="B247" s="6" t="s">
        <v>493</v>
      </c>
      <c r="C247" s="2" t="s">
        <v>445</v>
      </c>
      <c r="D247" s="5" t="s">
        <v>443</v>
      </c>
      <c r="E247" s="24" t="s">
        <v>440</v>
      </c>
      <c r="F247" s="6"/>
      <c r="G247" s="6"/>
      <c r="H247" s="6"/>
      <c r="I247" s="6"/>
      <c r="J247" s="6"/>
      <c r="K247" s="6"/>
      <c r="L247" s="6" t="s">
        <v>444</v>
      </c>
      <c r="M247" s="7">
        <v>44501</v>
      </c>
      <c r="N247" s="7">
        <v>44501</v>
      </c>
      <c r="O247" s="14">
        <f>ROUND([1]CF!$CF$51*1000000,2)</f>
        <v>2499592.81</v>
      </c>
      <c r="P247" s="14"/>
      <c r="Q247" s="25"/>
      <c r="R247" s="10"/>
      <c r="S247" s="10"/>
      <c r="T247" s="10"/>
      <c r="U247" s="10"/>
      <c r="X247" s="16" t="str">
        <f>IF(B247="",VLOOKUP(A247,items_lookup!A:B,2,FALSE),B247)</f>
        <v>10. Item 10</v>
      </c>
      <c r="Y247" s="16">
        <f t="shared" si="12"/>
        <v>11</v>
      </c>
      <c r="Z247" s="16">
        <f t="shared" si="12"/>
        <v>11</v>
      </c>
      <c r="AA247" s="16">
        <f t="shared" si="13"/>
        <v>2021</v>
      </c>
      <c r="AB247" s="16">
        <f t="shared" si="14"/>
        <v>2021</v>
      </c>
      <c r="AC247" s="16">
        <f t="shared" si="15"/>
        <v>2021</v>
      </c>
    </row>
    <row r="248" spans="1:29" ht="15" customHeight="1" x14ac:dyDescent="0.2">
      <c r="A248" s="6" t="s">
        <v>546</v>
      </c>
      <c r="B248" s="6"/>
      <c r="C248" s="2" t="s">
        <v>445</v>
      </c>
      <c r="D248" s="5" t="s">
        <v>443</v>
      </c>
      <c r="E248" s="24" t="s">
        <v>440</v>
      </c>
      <c r="F248" s="6"/>
      <c r="G248" s="6"/>
      <c r="H248" s="6"/>
      <c r="I248" s="6"/>
      <c r="J248" s="6"/>
      <c r="K248" s="6"/>
      <c r="L248" s="6" t="s">
        <v>444</v>
      </c>
      <c r="M248" s="7">
        <v>44501</v>
      </c>
      <c r="N248" s="7">
        <v>44501</v>
      </c>
      <c r="O248" s="14">
        <f>ROUND([1]CF!$CF$52*1000000,2)</f>
        <v>48276.19</v>
      </c>
      <c r="P248" s="14"/>
      <c r="Q248" s="25"/>
      <c r="R248" s="10"/>
      <c r="S248" s="10"/>
      <c r="T248" s="10"/>
      <c r="U248" s="10"/>
      <c r="X248" s="16" t="str">
        <f>IF(B248="",VLOOKUP(A248,items_lookup!A:B,2,FALSE),B248)</f>
        <v>11. Item 11</v>
      </c>
      <c r="Y248" s="16">
        <f t="shared" si="12"/>
        <v>11</v>
      </c>
      <c r="Z248" s="16">
        <f t="shared" si="12"/>
        <v>11</v>
      </c>
      <c r="AA248" s="16">
        <f t="shared" si="13"/>
        <v>2021</v>
      </c>
      <c r="AB248" s="16">
        <f t="shared" si="14"/>
        <v>2021</v>
      </c>
      <c r="AC248" s="16">
        <f t="shared" si="15"/>
        <v>2021</v>
      </c>
    </row>
    <row r="249" spans="1:29" ht="15" customHeight="1" x14ac:dyDescent="0.2">
      <c r="A249" s="6" t="s">
        <v>704</v>
      </c>
      <c r="B249" s="6"/>
      <c r="C249" s="2" t="s">
        <v>445</v>
      </c>
      <c r="D249" s="5" t="s">
        <v>443</v>
      </c>
      <c r="E249" s="24" t="s">
        <v>440</v>
      </c>
      <c r="F249" s="6"/>
      <c r="G249" s="6"/>
      <c r="H249" s="6"/>
      <c r="I249" s="6"/>
      <c r="J249" s="6"/>
      <c r="K249" s="6"/>
      <c r="L249" s="6" t="s">
        <v>444</v>
      </c>
      <c r="M249" s="7">
        <v>44501</v>
      </c>
      <c r="N249" s="7">
        <v>44501</v>
      </c>
      <c r="O249" s="14">
        <f>ROUND([1]CF!$CF$53*1000000,2)</f>
        <v>1265071.43</v>
      </c>
      <c r="P249" s="14"/>
      <c r="Q249" s="25"/>
      <c r="R249" s="18"/>
      <c r="S249" s="18"/>
      <c r="T249" s="18"/>
      <c r="U249" s="18"/>
      <c r="X249" s="16" t="e">
        <f>IF(B249="",VLOOKUP(A249,items_lookup!A:B,2,FALSE),B249)</f>
        <v>#N/A</v>
      </c>
      <c r="Y249" s="16">
        <f t="shared" si="12"/>
        <v>11</v>
      </c>
      <c r="Z249" s="16">
        <f t="shared" si="12"/>
        <v>11</v>
      </c>
      <c r="AA249" s="16">
        <f t="shared" si="13"/>
        <v>2021</v>
      </c>
      <c r="AB249" s="16">
        <f t="shared" si="14"/>
        <v>2021</v>
      </c>
      <c r="AC249" s="16">
        <f t="shared" si="15"/>
        <v>2021</v>
      </c>
    </row>
    <row r="250" spans="1:29" ht="15" customHeight="1" x14ac:dyDescent="0.2">
      <c r="A250" s="6"/>
      <c r="B250" s="6" t="s">
        <v>502</v>
      </c>
      <c r="C250" s="2" t="s">
        <v>445</v>
      </c>
      <c r="D250" s="5" t="s">
        <v>443</v>
      </c>
      <c r="E250" s="24" t="s">
        <v>440</v>
      </c>
      <c r="F250" s="6"/>
      <c r="G250" s="6"/>
      <c r="H250" s="6"/>
      <c r="I250" s="6"/>
      <c r="J250" s="6"/>
      <c r="K250" s="6"/>
      <c r="L250" s="6" t="s">
        <v>444</v>
      </c>
      <c r="M250" s="7">
        <v>44501</v>
      </c>
      <c r="N250" s="7">
        <v>44501</v>
      </c>
      <c r="O250" s="14">
        <f>ROUND([1]CF!$CF$54*1000000,2)</f>
        <v>0</v>
      </c>
      <c r="P250" s="14"/>
      <c r="Q250" s="25"/>
      <c r="R250" s="10"/>
      <c r="S250" s="10"/>
      <c r="T250" s="10"/>
      <c r="U250" s="10"/>
      <c r="X250" s="16" t="str">
        <f>IF(B250="",VLOOKUP(A250,items_lookup!A:B,2,FALSE),B250)</f>
        <v>12. Item 12</v>
      </c>
      <c r="Y250" s="16">
        <f t="shared" si="12"/>
        <v>11</v>
      </c>
      <c r="Z250" s="16">
        <f t="shared" si="12"/>
        <v>11</v>
      </c>
      <c r="AA250" s="16">
        <f t="shared" si="13"/>
        <v>2021</v>
      </c>
      <c r="AB250" s="16">
        <f t="shared" si="14"/>
        <v>2021</v>
      </c>
      <c r="AC250" s="16">
        <f t="shared" si="15"/>
        <v>2021</v>
      </c>
    </row>
    <row r="251" spans="1:29" ht="14.25" customHeight="1" x14ac:dyDescent="0.2">
      <c r="A251" s="6"/>
      <c r="B251" s="6" t="s">
        <v>504</v>
      </c>
      <c r="C251" s="2" t="s">
        <v>445</v>
      </c>
      <c r="D251" s="5" t="s">
        <v>443</v>
      </c>
      <c r="E251" s="24" t="s">
        <v>440</v>
      </c>
      <c r="F251" s="6"/>
      <c r="G251" s="6"/>
      <c r="H251" s="6"/>
      <c r="I251" s="6"/>
      <c r="J251" s="6"/>
      <c r="K251" s="6"/>
      <c r="L251" s="6" t="s">
        <v>444</v>
      </c>
      <c r="M251" s="7">
        <v>44501</v>
      </c>
      <c r="N251" s="7">
        <v>44501</v>
      </c>
      <c r="O251" s="14">
        <f>ROUND([1]CF!$CF$55*1000000,2)</f>
        <v>0</v>
      </c>
      <c r="P251" s="14"/>
      <c r="Q251" s="25"/>
      <c r="R251" s="10"/>
      <c r="S251" s="10"/>
      <c r="T251" s="10"/>
      <c r="U251" s="10"/>
      <c r="X251" s="16" t="str">
        <f>IF(B251="",VLOOKUP(A251,items_lookup!A:B,2,FALSE),B251)</f>
        <v>13. Item 13</v>
      </c>
      <c r="Y251" s="16">
        <f t="shared" si="12"/>
        <v>11</v>
      </c>
      <c r="Z251" s="16">
        <f t="shared" si="12"/>
        <v>11</v>
      </c>
      <c r="AA251" s="16">
        <f t="shared" si="13"/>
        <v>2021</v>
      </c>
      <c r="AB251" s="16">
        <f t="shared" si="14"/>
        <v>2021</v>
      </c>
      <c r="AC251" s="16">
        <f t="shared" si="15"/>
        <v>2021</v>
      </c>
    </row>
    <row r="252" spans="1:29" ht="15" customHeight="1" x14ac:dyDescent="0.2">
      <c r="A252" s="6" t="s">
        <v>552</v>
      </c>
      <c r="B252" s="6"/>
      <c r="C252" s="2" t="s">
        <v>445</v>
      </c>
      <c r="D252" s="5" t="s">
        <v>443</v>
      </c>
      <c r="E252" s="24" t="s">
        <v>440</v>
      </c>
      <c r="F252" s="6"/>
      <c r="G252" s="6"/>
      <c r="H252" s="6"/>
      <c r="I252" s="6"/>
      <c r="J252" s="6"/>
      <c r="K252" s="6"/>
      <c r="L252" s="6" t="s">
        <v>444</v>
      </c>
      <c r="M252" s="7">
        <v>44501</v>
      </c>
      <c r="N252" s="7">
        <v>44501</v>
      </c>
      <c r="O252" s="14">
        <f>ROUND([1]CF!$CF$68*1000000,2)</f>
        <v>0</v>
      </c>
      <c r="P252" s="14"/>
      <c r="Q252" s="25"/>
      <c r="R252" s="10"/>
      <c r="S252" s="10"/>
      <c r="T252" s="10"/>
      <c r="U252" s="10"/>
      <c r="X252" s="16" t="str">
        <f>IF(B252="",VLOOKUP(A252,items_lookup!A:B,2,FALSE),B252)</f>
        <v>14. Item 14</v>
      </c>
      <c r="Y252" s="16">
        <f t="shared" si="12"/>
        <v>11</v>
      </c>
      <c r="Z252" s="16">
        <f t="shared" si="12"/>
        <v>11</v>
      </c>
      <c r="AA252" s="16">
        <f t="shared" si="13"/>
        <v>2021</v>
      </c>
      <c r="AB252" s="16">
        <f t="shared" si="14"/>
        <v>2021</v>
      </c>
      <c r="AC252" s="16">
        <f t="shared" si="15"/>
        <v>2021</v>
      </c>
    </row>
    <row r="253" spans="1:29" ht="15" customHeight="1" x14ac:dyDescent="0.2">
      <c r="A253" s="6" t="s">
        <v>558</v>
      </c>
      <c r="B253" s="6"/>
      <c r="C253" s="2" t="s">
        <v>445</v>
      </c>
      <c r="D253" s="5" t="s">
        <v>446</v>
      </c>
      <c r="E253" s="24" t="s">
        <v>440</v>
      </c>
      <c r="F253" s="6"/>
      <c r="G253" s="6"/>
      <c r="H253" s="6"/>
      <c r="I253" s="6"/>
      <c r="J253" s="6"/>
      <c r="K253" s="6"/>
      <c r="L253" s="6" t="s">
        <v>444</v>
      </c>
      <c r="M253" s="7">
        <v>44501</v>
      </c>
      <c r="N253" s="7">
        <v>44501</v>
      </c>
      <c r="O253" s="14">
        <f>ROUND([1]CF!$CF$56*1000000,2)</f>
        <v>0</v>
      </c>
      <c r="P253" s="14"/>
      <c r="Q253" s="25"/>
      <c r="R253" s="10"/>
      <c r="S253" s="10"/>
      <c r="T253" s="10"/>
      <c r="U253" s="10"/>
      <c r="X253" s="16" t="str">
        <f>IF(B253="",VLOOKUP(A253,items_lookup!A:B,2,FALSE),B253)</f>
        <v>17. Item 17</v>
      </c>
      <c r="Y253" s="16">
        <f t="shared" si="12"/>
        <v>11</v>
      </c>
      <c r="Z253" s="16">
        <f t="shared" si="12"/>
        <v>11</v>
      </c>
      <c r="AA253" s="16">
        <f t="shared" si="13"/>
        <v>2021</v>
      </c>
      <c r="AB253" s="16">
        <f t="shared" si="14"/>
        <v>2021</v>
      </c>
      <c r="AC253" s="16">
        <f t="shared" si="15"/>
        <v>2021</v>
      </c>
    </row>
    <row r="254" spans="1:29" ht="15" customHeight="1" x14ac:dyDescent="0.2">
      <c r="A254" s="6" t="s">
        <v>562</v>
      </c>
      <c r="B254" s="6"/>
      <c r="C254" s="2" t="s">
        <v>445</v>
      </c>
      <c r="D254" s="5" t="s">
        <v>443</v>
      </c>
      <c r="E254" s="24" t="s">
        <v>440</v>
      </c>
      <c r="F254" s="6"/>
      <c r="G254" s="6"/>
      <c r="H254" s="6"/>
      <c r="I254" s="6"/>
      <c r="J254" s="6"/>
      <c r="K254" s="6"/>
      <c r="L254" s="6" t="s">
        <v>444</v>
      </c>
      <c r="M254" s="7">
        <v>44501</v>
      </c>
      <c r="N254" s="7">
        <v>44501</v>
      </c>
      <c r="O254" s="14">
        <f>ROUND([1]CF!$CF$57*1000000,2)</f>
        <v>0</v>
      </c>
      <c r="P254" s="14"/>
      <c r="Q254" s="25"/>
      <c r="R254" s="10"/>
      <c r="S254" s="10"/>
      <c r="T254" s="10"/>
      <c r="U254" s="10"/>
      <c r="X254" s="16" t="str">
        <f>IF(B254="",VLOOKUP(A254,items_lookup!A:B,2,FALSE),B254)</f>
        <v>19. Item 19</v>
      </c>
      <c r="Y254" s="16">
        <f t="shared" si="12"/>
        <v>11</v>
      </c>
      <c r="Z254" s="16">
        <f t="shared" si="12"/>
        <v>11</v>
      </c>
      <c r="AA254" s="16">
        <f t="shared" si="13"/>
        <v>2021</v>
      </c>
      <c r="AB254" s="16">
        <f t="shared" si="14"/>
        <v>2021</v>
      </c>
      <c r="AC254" s="16">
        <f t="shared" si="15"/>
        <v>2021</v>
      </c>
    </row>
    <row r="255" spans="1:29" ht="15" customHeight="1" x14ac:dyDescent="0.2">
      <c r="A255" s="6" t="s">
        <v>450</v>
      </c>
      <c r="B255" s="6"/>
      <c r="C255" s="2" t="s">
        <v>445</v>
      </c>
      <c r="D255" s="5" t="s">
        <v>446</v>
      </c>
      <c r="E255" s="24" t="s">
        <v>439</v>
      </c>
      <c r="F255" s="6"/>
      <c r="G255" s="6"/>
      <c r="H255" s="6"/>
      <c r="I255" s="6"/>
      <c r="J255" s="6"/>
      <c r="K255" s="6"/>
      <c r="L255" s="6" t="s">
        <v>444</v>
      </c>
      <c r="M255" s="7">
        <v>44531</v>
      </c>
      <c r="N255" s="7">
        <v>44531</v>
      </c>
      <c r="O255" s="14">
        <f>ROUND([1]CF!$CG$28*1000000,2)</f>
        <v>9607447.9199999999</v>
      </c>
      <c r="P255" s="14"/>
      <c r="Q255" s="25"/>
      <c r="R255" s="10"/>
      <c r="S255" s="10"/>
      <c r="T255" s="10"/>
      <c r="U255" s="10"/>
      <c r="X255" s="16" t="str">
        <f>IF(B255="",VLOOKUP(A255,items_lookup!A:B,2,FALSE),B255)</f>
        <v>_1. Item _1</v>
      </c>
      <c r="Y255" s="16">
        <f t="shared" si="12"/>
        <v>12</v>
      </c>
      <c r="Z255" s="16">
        <f t="shared" si="12"/>
        <v>12</v>
      </c>
      <c r="AA255" s="16">
        <f t="shared" si="13"/>
        <v>2021</v>
      </c>
      <c r="AB255" s="16">
        <f t="shared" si="14"/>
        <v>2021</v>
      </c>
      <c r="AC255" s="16">
        <f t="shared" si="15"/>
        <v>2021</v>
      </c>
    </row>
    <row r="256" spans="1:29" ht="15" customHeight="1" x14ac:dyDescent="0.2">
      <c r="A256" s="6" t="s">
        <v>450</v>
      </c>
      <c r="B256" s="6"/>
      <c r="C256" s="2" t="s">
        <v>445</v>
      </c>
      <c r="D256" s="5" t="s">
        <v>443</v>
      </c>
      <c r="E256" s="24" t="s">
        <v>439</v>
      </c>
      <c r="F256" s="6"/>
      <c r="G256" s="6"/>
      <c r="H256" s="6"/>
      <c r="I256" s="6"/>
      <c r="J256" s="6"/>
      <c r="K256" s="6"/>
      <c r="L256" s="6" t="s">
        <v>444</v>
      </c>
      <c r="M256" s="7">
        <v>44531</v>
      </c>
      <c r="N256" s="7">
        <v>44531</v>
      </c>
      <c r="O256" s="14">
        <f>ROUND([1]CF!$CG$27*1000000,2)</f>
        <v>41691763.130000003</v>
      </c>
      <c r="P256" s="14"/>
      <c r="Q256" s="25"/>
      <c r="R256" s="10"/>
      <c r="S256" s="10"/>
      <c r="T256" s="10"/>
      <c r="U256" s="10"/>
      <c r="X256" s="16" t="str">
        <f>IF(B256="",VLOOKUP(A256,items_lookup!A:B,2,FALSE),B256)</f>
        <v>_1. Item _1</v>
      </c>
      <c r="Y256" s="16">
        <f t="shared" si="12"/>
        <v>12</v>
      </c>
      <c r="Z256" s="16">
        <f t="shared" si="12"/>
        <v>12</v>
      </c>
      <c r="AA256" s="16">
        <f t="shared" si="13"/>
        <v>2021</v>
      </c>
      <c r="AB256" s="16">
        <f t="shared" si="14"/>
        <v>2021</v>
      </c>
      <c r="AC256" s="16">
        <f t="shared" si="15"/>
        <v>2021</v>
      </c>
    </row>
    <row r="257" spans="1:29" ht="15" customHeight="1" x14ac:dyDescent="0.2">
      <c r="A257" s="6" t="s">
        <v>457</v>
      </c>
      <c r="B257" s="6"/>
      <c r="C257" s="2" t="s">
        <v>445</v>
      </c>
      <c r="D257" s="5" t="s">
        <v>446</v>
      </c>
      <c r="E257" s="24" t="s">
        <v>439</v>
      </c>
      <c r="F257" s="6"/>
      <c r="G257" s="6"/>
      <c r="H257" s="6"/>
      <c r="I257" s="6"/>
      <c r="J257" s="6"/>
      <c r="K257" s="6"/>
      <c r="L257" s="6" t="s">
        <v>444</v>
      </c>
      <c r="M257" s="7">
        <v>44531</v>
      </c>
      <c r="N257" s="7">
        <v>44531</v>
      </c>
      <c r="O257" s="14">
        <f>ROUND([1]CF!$CG$29*1000000,2)</f>
        <v>410000</v>
      </c>
      <c r="P257" s="14"/>
      <c r="Q257" s="25"/>
      <c r="R257" s="10"/>
      <c r="S257" s="10"/>
      <c r="T257" s="10"/>
      <c r="U257" s="10"/>
      <c r="X257" s="16" t="str">
        <f>IF(B257="",VLOOKUP(A257,items_lookup!A:B,2,FALSE),B257)</f>
        <v>_2. Item _2</v>
      </c>
      <c r="Y257" s="16">
        <f t="shared" si="12"/>
        <v>12</v>
      </c>
      <c r="Z257" s="16">
        <f t="shared" si="12"/>
        <v>12</v>
      </c>
      <c r="AA257" s="16">
        <f t="shared" si="13"/>
        <v>2021</v>
      </c>
      <c r="AB257" s="16">
        <f t="shared" si="14"/>
        <v>2021</v>
      </c>
      <c r="AC257" s="16">
        <f t="shared" si="15"/>
        <v>2021</v>
      </c>
    </row>
    <row r="258" spans="1:29" ht="15" customHeight="1" x14ac:dyDescent="0.2">
      <c r="A258" s="6" t="s">
        <v>464</v>
      </c>
      <c r="B258" s="6"/>
      <c r="C258" s="2" t="s">
        <v>445</v>
      </c>
      <c r="D258" s="5" t="s">
        <v>446</v>
      </c>
      <c r="E258" s="24" t="s">
        <v>439</v>
      </c>
      <c r="F258" s="6"/>
      <c r="G258" s="6"/>
      <c r="H258" s="6"/>
      <c r="I258" s="6"/>
      <c r="J258" s="6"/>
      <c r="K258" s="6"/>
      <c r="L258" s="6" t="s">
        <v>444</v>
      </c>
      <c r="M258" s="7">
        <v>44531</v>
      </c>
      <c r="N258" s="7">
        <v>44531</v>
      </c>
      <c r="O258" s="14">
        <f>ROUND([1]CF!$CG$30*1000000,2)</f>
        <v>171852.81</v>
      </c>
      <c r="P258" s="14"/>
      <c r="Q258" s="25"/>
      <c r="R258" s="10"/>
      <c r="S258" s="10"/>
      <c r="T258" s="10"/>
      <c r="U258" s="10"/>
      <c r="X258" s="16" t="str">
        <f>IF(B258="",VLOOKUP(A258,items_lookup!A:B,2,FALSE),B258)</f>
        <v>_3. Item _3</v>
      </c>
      <c r="Y258" s="16">
        <f t="shared" si="12"/>
        <v>12</v>
      </c>
      <c r="Z258" s="16">
        <f t="shared" si="12"/>
        <v>12</v>
      </c>
      <c r="AA258" s="16">
        <f t="shared" si="13"/>
        <v>2021</v>
      </c>
      <c r="AB258" s="16">
        <f t="shared" si="14"/>
        <v>2021</v>
      </c>
      <c r="AC258" s="16">
        <f t="shared" si="15"/>
        <v>2021</v>
      </c>
    </row>
    <row r="259" spans="1:29" ht="15" customHeight="1" x14ac:dyDescent="0.2">
      <c r="A259" s="6" t="s">
        <v>538</v>
      </c>
      <c r="B259" s="6"/>
      <c r="C259" s="2" t="s">
        <v>445</v>
      </c>
      <c r="D259" s="5" t="s">
        <v>443</v>
      </c>
      <c r="E259" s="24" t="s">
        <v>440</v>
      </c>
      <c r="F259" s="6"/>
      <c r="G259" s="6"/>
      <c r="H259" s="6"/>
      <c r="I259" s="6"/>
      <c r="J259" s="6"/>
      <c r="K259" s="6"/>
      <c r="L259" s="6" t="s">
        <v>444</v>
      </c>
      <c r="M259" s="7">
        <v>44531</v>
      </c>
      <c r="N259" s="7">
        <v>44531</v>
      </c>
      <c r="O259" s="14">
        <f>ROUND([1]CF!$CG$32*1000000,2)</f>
        <v>55384.92</v>
      </c>
      <c r="P259" s="14"/>
      <c r="Q259" s="25"/>
      <c r="R259" s="8"/>
      <c r="S259" s="8"/>
      <c r="T259" s="8"/>
      <c r="U259" s="8"/>
      <c r="X259" s="16" t="str">
        <f>IF(B259="",VLOOKUP(A259,items_lookup!A:B,2,FALSE),B259)</f>
        <v>01. Item 01</v>
      </c>
      <c r="Y259" s="16">
        <f t="shared" si="12"/>
        <v>12</v>
      </c>
      <c r="Z259" s="16">
        <f t="shared" si="12"/>
        <v>12</v>
      </c>
      <c r="AA259" s="16">
        <f t="shared" si="13"/>
        <v>2021</v>
      </c>
      <c r="AB259" s="16">
        <f t="shared" si="14"/>
        <v>2021</v>
      </c>
      <c r="AC259" s="16">
        <f t="shared" si="15"/>
        <v>2021</v>
      </c>
    </row>
    <row r="260" spans="1:29" ht="15" customHeight="1" x14ac:dyDescent="0.2">
      <c r="A260" s="6" t="s">
        <v>529</v>
      </c>
      <c r="B260" s="6"/>
      <c r="C260" s="2" t="s">
        <v>445</v>
      </c>
      <c r="D260" s="5" t="s">
        <v>443</v>
      </c>
      <c r="E260" s="24" t="s">
        <v>440</v>
      </c>
      <c r="F260" s="6"/>
      <c r="G260" s="6"/>
      <c r="H260" s="6"/>
      <c r="I260" s="6"/>
      <c r="J260" s="6"/>
      <c r="K260" s="6"/>
      <c r="L260" s="6" t="s">
        <v>444</v>
      </c>
      <c r="M260" s="7">
        <v>44531</v>
      </c>
      <c r="N260" s="7">
        <v>44531</v>
      </c>
      <c r="O260" s="14">
        <f>ROUND([1]CF!$CG$33*1000000,2)</f>
        <v>7626734.96</v>
      </c>
      <c r="P260" s="14"/>
      <c r="Q260" s="25"/>
      <c r="R260" s="8"/>
      <c r="S260" s="8"/>
      <c r="T260" s="8"/>
      <c r="U260" s="8"/>
      <c r="X260" s="16" t="str">
        <f>IF(B260="",VLOOKUP(A260,items_lookup!A:B,2,FALSE),B260)</f>
        <v>02. Item 02</v>
      </c>
      <c r="Y260" s="16">
        <f t="shared" si="12"/>
        <v>12</v>
      </c>
      <c r="Z260" s="16">
        <f t="shared" si="12"/>
        <v>12</v>
      </c>
      <c r="AA260" s="16">
        <f t="shared" si="13"/>
        <v>2021</v>
      </c>
      <c r="AB260" s="16">
        <f t="shared" si="14"/>
        <v>2021</v>
      </c>
      <c r="AC260" s="16">
        <f t="shared" si="15"/>
        <v>2021</v>
      </c>
    </row>
    <row r="261" spans="1:29" ht="27.75" customHeight="1" x14ac:dyDescent="0.2">
      <c r="A261" s="6"/>
      <c r="B261" s="6" t="s">
        <v>448</v>
      </c>
      <c r="C261" s="2" t="s">
        <v>445</v>
      </c>
      <c r="D261" s="5" t="s">
        <v>443</v>
      </c>
      <c r="E261" s="24" t="s">
        <v>440</v>
      </c>
      <c r="F261" s="6"/>
      <c r="G261" s="6"/>
      <c r="H261" s="6"/>
      <c r="I261" s="6"/>
      <c r="J261" s="6"/>
      <c r="K261" s="6"/>
      <c r="L261" s="6" t="s">
        <v>444</v>
      </c>
      <c r="M261" s="7">
        <v>44531</v>
      </c>
      <c r="N261" s="7">
        <v>44531</v>
      </c>
      <c r="O261" s="14">
        <f>ROUND([1]CF!$CG$34*1000000,2)</f>
        <v>49726.41</v>
      </c>
      <c r="P261" s="14"/>
      <c r="Q261" s="25"/>
      <c r="R261" s="9"/>
      <c r="S261" s="9"/>
      <c r="T261" s="9"/>
      <c r="U261" s="9"/>
      <c r="X261" s="16" t="str">
        <f>IF(B261="",VLOOKUP(A261,items_lookup!A:B,2,FALSE),B261)</f>
        <v>03. Item 03</v>
      </c>
      <c r="Y261" s="16">
        <f t="shared" si="12"/>
        <v>12</v>
      </c>
      <c r="Z261" s="16">
        <f t="shared" si="12"/>
        <v>12</v>
      </c>
      <c r="AA261" s="16">
        <f t="shared" si="13"/>
        <v>2021</v>
      </c>
      <c r="AB261" s="16">
        <f t="shared" si="14"/>
        <v>2021</v>
      </c>
      <c r="AC261" s="16">
        <f t="shared" si="15"/>
        <v>2021</v>
      </c>
    </row>
    <row r="262" spans="1:29" ht="12" customHeight="1" x14ac:dyDescent="0.2">
      <c r="A262" s="6"/>
      <c r="B262" s="6" t="s">
        <v>475</v>
      </c>
      <c r="C262" s="2" t="s">
        <v>445</v>
      </c>
      <c r="D262" s="5" t="s">
        <v>443</v>
      </c>
      <c r="E262" s="24" t="s">
        <v>440</v>
      </c>
      <c r="F262" s="6"/>
      <c r="G262" s="6"/>
      <c r="H262" s="6"/>
      <c r="I262" s="6"/>
      <c r="J262" s="6"/>
      <c r="K262" s="6"/>
      <c r="L262" s="6" t="s">
        <v>444</v>
      </c>
      <c r="M262" s="7">
        <v>44531</v>
      </c>
      <c r="N262" s="7">
        <v>44531</v>
      </c>
      <c r="O262" s="14">
        <f>ROUND([1]CF!$CG$35*1000000,2)</f>
        <v>4095333.33</v>
      </c>
      <c r="P262" s="14"/>
      <c r="Q262" s="25"/>
      <c r="R262" s="10"/>
      <c r="S262" s="10"/>
      <c r="T262" s="10"/>
      <c r="U262" s="10"/>
      <c r="X262" s="16" t="str">
        <f>IF(B262="",VLOOKUP(A262,items_lookup!A:B,2,FALSE),B262)</f>
        <v>04. Item 04</v>
      </c>
      <c r="Y262" s="16">
        <f t="shared" si="12"/>
        <v>12</v>
      </c>
      <c r="Z262" s="16">
        <f t="shared" si="12"/>
        <v>12</v>
      </c>
      <c r="AA262" s="16">
        <f t="shared" si="13"/>
        <v>2021</v>
      </c>
      <c r="AB262" s="16">
        <f t="shared" si="14"/>
        <v>2021</v>
      </c>
      <c r="AC262" s="16">
        <f t="shared" si="15"/>
        <v>2021</v>
      </c>
    </row>
    <row r="263" spans="1:29" ht="15" customHeight="1" x14ac:dyDescent="0.2">
      <c r="A263" s="6" t="s">
        <v>477</v>
      </c>
      <c r="B263" s="6"/>
      <c r="C263" s="2" t="s">
        <v>445</v>
      </c>
      <c r="D263" s="5" t="s">
        <v>443</v>
      </c>
      <c r="E263" s="24" t="s">
        <v>440</v>
      </c>
      <c r="F263" s="6"/>
      <c r="G263" s="6"/>
      <c r="H263" s="6"/>
      <c r="I263" s="6"/>
      <c r="J263" s="6"/>
      <c r="K263" s="6"/>
      <c r="L263" s="6" t="s">
        <v>444</v>
      </c>
      <c r="M263" s="7">
        <v>44531</v>
      </c>
      <c r="N263" s="7">
        <v>44531</v>
      </c>
      <c r="O263" s="14">
        <f>ROUND([1]CF!$CG$37*1000000,2)-O264</f>
        <v>488988.78999999911</v>
      </c>
      <c r="P263" s="14"/>
      <c r="Q263" s="25"/>
      <c r="R263" s="9"/>
      <c r="S263" s="9"/>
      <c r="T263" s="9"/>
      <c r="U263" s="9"/>
      <c r="X263" s="16" t="str">
        <f>IF(B263="",VLOOKUP(A263,items_lookup!A:B,2,FALSE),B263)</f>
        <v>05. Item 05</v>
      </c>
      <c r="Y263" s="16">
        <f t="shared" si="12"/>
        <v>12</v>
      </c>
      <c r="Z263" s="16">
        <f t="shared" si="12"/>
        <v>12</v>
      </c>
      <c r="AA263" s="16">
        <f t="shared" si="13"/>
        <v>2021</v>
      </c>
      <c r="AB263" s="16">
        <f t="shared" si="14"/>
        <v>2021</v>
      </c>
      <c r="AC263" s="16">
        <f t="shared" si="15"/>
        <v>2021</v>
      </c>
    </row>
    <row r="264" spans="1:29" ht="15" customHeight="1" x14ac:dyDescent="0.2">
      <c r="A264" s="6" t="s">
        <v>477</v>
      </c>
      <c r="B264" s="6"/>
      <c r="C264" s="2" t="s">
        <v>445</v>
      </c>
      <c r="D264" s="5" t="s">
        <v>446</v>
      </c>
      <c r="E264" s="24" t="s">
        <v>440</v>
      </c>
      <c r="F264" s="6"/>
      <c r="G264" s="6"/>
      <c r="H264" s="6"/>
      <c r="I264" s="6"/>
      <c r="J264" s="6"/>
      <c r="K264" s="6"/>
      <c r="L264" s="6" t="s">
        <v>444</v>
      </c>
      <c r="M264" s="7">
        <v>44531</v>
      </c>
      <c r="N264" s="7">
        <v>44531</v>
      </c>
      <c r="O264" s="14">
        <f>O255+O257+O258-O276</f>
        <v>10189300.73</v>
      </c>
      <c r="P264" s="14"/>
      <c r="Q264" s="25"/>
      <c r="R264" s="9"/>
      <c r="S264" s="9"/>
      <c r="T264" s="9"/>
      <c r="U264" s="9"/>
      <c r="X264" s="16" t="str">
        <f>IF(B264="",VLOOKUP(A264,items_lookup!A:B,2,FALSE),B264)</f>
        <v>05. Item 05</v>
      </c>
      <c r="Y264" s="16">
        <f t="shared" si="12"/>
        <v>12</v>
      </c>
      <c r="Z264" s="16">
        <f t="shared" si="12"/>
        <v>12</v>
      </c>
      <c r="AA264" s="16">
        <f t="shared" si="13"/>
        <v>2021</v>
      </c>
      <c r="AB264" s="16">
        <f t="shared" si="14"/>
        <v>2021</v>
      </c>
      <c r="AC264" s="16">
        <f t="shared" si="15"/>
        <v>2021</v>
      </c>
    </row>
    <row r="265" spans="1:29" ht="15" customHeight="1" x14ac:dyDescent="0.2">
      <c r="A265" s="6" t="s">
        <v>480</v>
      </c>
      <c r="B265" s="6"/>
      <c r="C265" s="2" t="s">
        <v>445</v>
      </c>
      <c r="D265" s="5" t="s">
        <v>443</v>
      </c>
      <c r="E265" s="24" t="s">
        <v>440</v>
      </c>
      <c r="F265" s="6"/>
      <c r="G265" s="6"/>
      <c r="H265" s="6"/>
      <c r="I265" s="6"/>
      <c r="J265" s="6"/>
      <c r="K265" s="6"/>
      <c r="L265" s="6" t="s">
        <v>444</v>
      </c>
      <c r="M265" s="7">
        <v>44531</v>
      </c>
      <c r="N265" s="7">
        <v>44531</v>
      </c>
      <c r="O265" s="14">
        <f>ROUND([1]CF!$CG$38*1000000,2)</f>
        <v>0</v>
      </c>
      <c r="P265" s="14"/>
      <c r="Q265" s="25"/>
      <c r="R265" s="9"/>
      <c r="S265" s="9"/>
      <c r="T265" s="9"/>
      <c r="U265" s="9"/>
      <c r="X265" s="16" t="str">
        <f>IF(B265="",VLOOKUP(A265,items_lookup!A:B,2,FALSE),B265)</f>
        <v>05. Item 05</v>
      </c>
      <c r="Y265" s="16">
        <f t="shared" si="12"/>
        <v>12</v>
      </c>
      <c r="Z265" s="16">
        <f t="shared" si="12"/>
        <v>12</v>
      </c>
      <c r="AA265" s="16">
        <f t="shared" si="13"/>
        <v>2021</v>
      </c>
      <c r="AB265" s="16">
        <f t="shared" si="14"/>
        <v>2021</v>
      </c>
      <c r="AC265" s="16">
        <f t="shared" si="15"/>
        <v>2021</v>
      </c>
    </row>
    <row r="266" spans="1:29" ht="15" customHeight="1" x14ac:dyDescent="0.2">
      <c r="A266" s="6" t="s">
        <v>540</v>
      </c>
      <c r="B266" s="6"/>
      <c r="C266" s="2" t="s">
        <v>445</v>
      </c>
      <c r="D266" s="5" t="s">
        <v>443</v>
      </c>
      <c r="E266" s="24" t="s">
        <v>440</v>
      </c>
      <c r="F266" s="6"/>
      <c r="G266" s="6"/>
      <c r="H266" s="6"/>
      <c r="I266" s="6"/>
      <c r="J266" s="6"/>
      <c r="K266" s="6"/>
      <c r="L266" s="6" t="s">
        <v>444</v>
      </c>
      <c r="M266" s="7">
        <v>44531</v>
      </c>
      <c r="N266" s="7">
        <v>44531</v>
      </c>
      <c r="O266" s="14">
        <f>ROUND([1]CF!$CG$39*1000000,2)</f>
        <v>338749.2</v>
      </c>
      <c r="P266" s="14"/>
      <c r="Q266" s="25"/>
      <c r="R266" s="9"/>
      <c r="S266" s="9"/>
      <c r="T266" s="9"/>
      <c r="U266" s="9"/>
      <c r="X266" s="16" t="str">
        <f>IF(B266="",VLOOKUP(A266,items_lookup!A:B,2,FALSE),B266)</f>
        <v>06. Item 06</v>
      </c>
      <c r="Y266" s="16">
        <f t="shared" si="12"/>
        <v>12</v>
      </c>
      <c r="Z266" s="16">
        <f t="shared" si="12"/>
        <v>12</v>
      </c>
      <c r="AA266" s="16">
        <f t="shared" si="13"/>
        <v>2021</v>
      </c>
      <c r="AB266" s="16">
        <f t="shared" si="14"/>
        <v>2021</v>
      </c>
      <c r="AC266" s="16">
        <f t="shared" si="15"/>
        <v>2021</v>
      </c>
    </row>
    <row r="267" spans="1:29" ht="15" customHeight="1" x14ac:dyDescent="0.2">
      <c r="A267" s="6" t="s">
        <v>542</v>
      </c>
      <c r="B267" s="6"/>
      <c r="C267" s="2" t="s">
        <v>445</v>
      </c>
      <c r="D267" s="5" t="s">
        <v>443</v>
      </c>
      <c r="E267" s="24" t="s">
        <v>440</v>
      </c>
      <c r="F267" s="6"/>
      <c r="G267" s="6"/>
      <c r="H267" s="6"/>
      <c r="I267" s="6"/>
      <c r="J267" s="6"/>
      <c r="K267" s="6"/>
      <c r="L267" s="6" t="s">
        <v>444</v>
      </c>
      <c r="M267" s="7">
        <v>44531</v>
      </c>
      <c r="N267" s="7">
        <v>44531</v>
      </c>
      <c r="O267" s="14">
        <f>ROUND([1]CF!$CG$41*1000000,2)</f>
        <v>0</v>
      </c>
      <c r="P267" s="14"/>
      <c r="Q267" s="25"/>
      <c r="R267" s="9"/>
      <c r="S267" s="9"/>
      <c r="T267" s="9"/>
      <c r="U267" s="9"/>
      <c r="X267" s="16" t="str">
        <f>IF(B267="",VLOOKUP(A267,items_lookup!A:B,2,FALSE),B267)</f>
        <v>07. Item 07</v>
      </c>
      <c r="Y267" s="16">
        <f t="shared" si="12"/>
        <v>12</v>
      </c>
      <c r="Z267" s="16">
        <f t="shared" si="12"/>
        <v>12</v>
      </c>
      <c r="AA267" s="16">
        <f t="shared" si="13"/>
        <v>2021</v>
      </c>
      <c r="AB267" s="16">
        <f t="shared" si="14"/>
        <v>2021</v>
      </c>
      <c r="AC267" s="16">
        <f t="shared" si="15"/>
        <v>2021</v>
      </c>
    </row>
    <row r="268" spans="1:29" ht="13.5" customHeight="1" x14ac:dyDescent="0.2">
      <c r="A268" s="6" t="s">
        <v>544</v>
      </c>
      <c r="B268" s="6"/>
      <c r="C268" s="2" t="s">
        <v>445</v>
      </c>
      <c r="D268" s="5" t="s">
        <v>443</v>
      </c>
      <c r="E268" s="24" t="s">
        <v>440</v>
      </c>
      <c r="F268" s="6"/>
      <c r="G268" s="6"/>
      <c r="H268" s="6"/>
      <c r="I268" s="6"/>
      <c r="J268" s="6"/>
      <c r="K268" s="6"/>
      <c r="L268" s="6" t="s">
        <v>444</v>
      </c>
      <c r="M268" s="7">
        <v>44531</v>
      </c>
      <c r="N268" s="7">
        <v>44531</v>
      </c>
      <c r="O268" s="14">
        <f>ROUND([1]CF!$CG$43*1000000,2)</f>
        <v>0</v>
      </c>
      <c r="P268" s="14"/>
      <c r="Q268" s="25"/>
      <c r="R268" s="9"/>
      <c r="S268" s="9"/>
      <c r="T268" s="9"/>
      <c r="U268" s="9"/>
      <c r="X268" s="16" t="str">
        <f>IF(B268="",VLOOKUP(A268,items_lookup!A:B,2,FALSE),B268)</f>
        <v>08. Item 08</v>
      </c>
      <c r="Y268" s="16">
        <f t="shared" si="12"/>
        <v>12</v>
      </c>
      <c r="Z268" s="16">
        <f t="shared" si="12"/>
        <v>12</v>
      </c>
      <c r="AA268" s="16">
        <f t="shared" si="13"/>
        <v>2021</v>
      </c>
      <c r="AB268" s="16">
        <f t="shared" si="14"/>
        <v>2021</v>
      </c>
      <c r="AC268" s="16">
        <f t="shared" si="15"/>
        <v>2021</v>
      </c>
    </row>
    <row r="269" spans="1:29" ht="15" customHeight="1" x14ac:dyDescent="0.2">
      <c r="A269" s="6"/>
      <c r="B269" s="6" t="s">
        <v>484</v>
      </c>
      <c r="C269" s="2" t="s">
        <v>445</v>
      </c>
      <c r="D269" s="5" t="s">
        <v>443</v>
      </c>
      <c r="E269" s="24" t="s">
        <v>440</v>
      </c>
      <c r="F269" s="6"/>
      <c r="G269" s="6"/>
      <c r="H269" s="6"/>
      <c r="I269" s="6"/>
      <c r="J269" s="6"/>
      <c r="K269" s="6"/>
      <c r="L269" s="6" t="s">
        <v>444</v>
      </c>
      <c r="M269" s="7">
        <v>44531</v>
      </c>
      <c r="N269" s="7">
        <v>44531</v>
      </c>
      <c r="O269" s="14">
        <f>ROUND([1]CF!$CG$44*1000000,2)</f>
        <v>386460.43</v>
      </c>
      <c r="P269" s="14"/>
      <c r="Q269" s="25"/>
      <c r="R269" s="9"/>
      <c r="S269" s="9"/>
      <c r="T269" s="9"/>
      <c r="U269" s="9"/>
      <c r="X269" s="16" t="str">
        <f>IF(B269="",VLOOKUP(A269,items_lookup!A:B,2,FALSE),B269)</f>
        <v>09. Item 09</v>
      </c>
      <c r="Y269" s="16">
        <f t="shared" ref="Y269:Z278" si="16">MONTH(M269)</f>
        <v>12</v>
      </c>
      <c r="Z269" s="16">
        <f t="shared" si="16"/>
        <v>12</v>
      </c>
      <c r="AA269" s="16">
        <f t="shared" ref="AA269:AA278" si="17">YEAR(N269)</f>
        <v>2021</v>
      </c>
      <c r="AB269" s="16">
        <f t="shared" ref="AB269:AB278" si="18">YEAR(M269)</f>
        <v>2021</v>
      </c>
      <c r="AC269" s="16">
        <f t="shared" ref="AC269:AC278" si="19">IF(F269="X",AA269-1,AA269)</f>
        <v>2021</v>
      </c>
    </row>
    <row r="270" spans="1:29" ht="21.75" customHeight="1" x14ac:dyDescent="0.2">
      <c r="A270" s="6"/>
      <c r="B270" s="6" t="s">
        <v>493</v>
      </c>
      <c r="C270" s="2" t="s">
        <v>445</v>
      </c>
      <c r="D270" s="5" t="s">
        <v>443</v>
      </c>
      <c r="E270" s="24" t="s">
        <v>440</v>
      </c>
      <c r="F270" s="6"/>
      <c r="G270" s="6"/>
      <c r="H270" s="6"/>
      <c r="I270" s="6"/>
      <c r="J270" s="6"/>
      <c r="K270" s="6"/>
      <c r="L270" s="6" t="s">
        <v>444</v>
      </c>
      <c r="M270" s="7">
        <v>44531</v>
      </c>
      <c r="N270" s="7">
        <v>44531</v>
      </c>
      <c r="O270" s="14">
        <f>ROUND([1]CF!$CG$51*1000000,2)</f>
        <v>2499592.81</v>
      </c>
      <c r="P270" s="14"/>
      <c r="Q270" s="25"/>
      <c r="R270" s="10"/>
      <c r="S270" s="10"/>
      <c r="T270" s="10"/>
      <c r="U270" s="10"/>
      <c r="X270" s="16" t="str">
        <f>IF(B270="",VLOOKUP(A270,items_lookup!A:B,2,FALSE),B270)</f>
        <v>10. Item 10</v>
      </c>
      <c r="Y270" s="16">
        <f t="shared" si="16"/>
        <v>12</v>
      </c>
      <c r="Z270" s="16">
        <f t="shared" si="16"/>
        <v>12</v>
      </c>
      <c r="AA270" s="16">
        <f t="shared" si="17"/>
        <v>2021</v>
      </c>
      <c r="AB270" s="16">
        <f t="shared" si="18"/>
        <v>2021</v>
      </c>
      <c r="AC270" s="16">
        <f t="shared" si="19"/>
        <v>2021</v>
      </c>
    </row>
    <row r="271" spans="1:29" ht="15" customHeight="1" x14ac:dyDescent="0.2">
      <c r="A271" s="6" t="s">
        <v>546</v>
      </c>
      <c r="B271" s="6"/>
      <c r="C271" s="2" t="s">
        <v>445</v>
      </c>
      <c r="D271" s="5" t="s">
        <v>443</v>
      </c>
      <c r="E271" s="24" t="s">
        <v>440</v>
      </c>
      <c r="F271" s="6"/>
      <c r="G271" s="6"/>
      <c r="H271" s="6"/>
      <c r="I271" s="6"/>
      <c r="J271" s="6"/>
      <c r="K271" s="6"/>
      <c r="L271" s="6" t="s">
        <v>444</v>
      </c>
      <c r="M271" s="7">
        <v>44531</v>
      </c>
      <c r="N271" s="7">
        <v>44531</v>
      </c>
      <c r="O271" s="14">
        <f>ROUND([1]CF!$CG$52*1000000,2)</f>
        <v>48276.19</v>
      </c>
      <c r="P271" s="14"/>
      <c r="Q271" s="25"/>
      <c r="R271" s="10"/>
      <c r="S271" s="10"/>
      <c r="T271" s="10"/>
      <c r="U271" s="10"/>
      <c r="X271" s="16" t="str">
        <f>IF(B271="",VLOOKUP(A271,items_lookup!A:B,2,FALSE),B271)</f>
        <v>11. Item 11</v>
      </c>
      <c r="Y271" s="16">
        <f t="shared" si="16"/>
        <v>12</v>
      </c>
      <c r="Z271" s="16">
        <f t="shared" si="16"/>
        <v>12</v>
      </c>
      <c r="AA271" s="16">
        <f t="shared" si="17"/>
        <v>2021</v>
      </c>
      <c r="AB271" s="16">
        <f t="shared" si="18"/>
        <v>2021</v>
      </c>
      <c r="AC271" s="16">
        <f t="shared" si="19"/>
        <v>2021</v>
      </c>
    </row>
    <row r="272" spans="1:29" ht="15" customHeight="1" x14ac:dyDescent="0.2">
      <c r="A272" s="6" t="s">
        <v>704</v>
      </c>
      <c r="B272" s="6"/>
      <c r="C272" s="2" t="s">
        <v>445</v>
      </c>
      <c r="D272" s="5" t="s">
        <v>443</v>
      </c>
      <c r="E272" s="24" t="s">
        <v>440</v>
      </c>
      <c r="F272" s="6"/>
      <c r="G272" s="6"/>
      <c r="H272" s="6"/>
      <c r="I272" s="6"/>
      <c r="J272" s="6"/>
      <c r="K272" s="6"/>
      <c r="L272" s="6" t="s">
        <v>444</v>
      </c>
      <c r="M272" s="7">
        <v>44531</v>
      </c>
      <c r="N272" s="7">
        <v>44531</v>
      </c>
      <c r="O272" s="14">
        <f>ROUND([1]CF!$CG$53*1000000,2)</f>
        <v>1265071.43</v>
      </c>
      <c r="P272" s="14"/>
      <c r="Q272" s="25"/>
      <c r="R272" s="18"/>
      <c r="S272" s="18"/>
      <c r="T272" s="18"/>
      <c r="U272" s="18"/>
      <c r="X272" s="16" t="e">
        <f>IF(B272="",VLOOKUP(A272,items_lookup!A:B,2,FALSE),B272)</f>
        <v>#N/A</v>
      </c>
      <c r="Y272" s="16">
        <f t="shared" si="16"/>
        <v>12</v>
      </c>
      <c r="Z272" s="16">
        <f t="shared" si="16"/>
        <v>12</v>
      </c>
      <c r="AA272" s="16">
        <f t="shared" si="17"/>
        <v>2021</v>
      </c>
      <c r="AB272" s="16">
        <f t="shared" si="18"/>
        <v>2021</v>
      </c>
      <c r="AC272" s="16">
        <f t="shared" si="19"/>
        <v>2021</v>
      </c>
    </row>
    <row r="273" spans="1:29" ht="15" customHeight="1" x14ac:dyDescent="0.2">
      <c r="A273" s="6"/>
      <c r="B273" s="6" t="s">
        <v>502</v>
      </c>
      <c r="C273" s="2" t="s">
        <v>445</v>
      </c>
      <c r="D273" s="5" t="s">
        <v>443</v>
      </c>
      <c r="E273" s="24" t="s">
        <v>440</v>
      </c>
      <c r="F273" s="6"/>
      <c r="G273" s="6"/>
      <c r="H273" s="6"/>
      <c r="I273" s="6"/>
      <c r="J273" s="6"/>
      <c r="K273" s="6"/>
      <c r="L273" s="6" t="s">
        <v>444</v>
      </c>
      <c r="M273" s="7">
        <v>44531</v>
      </c>
      <c r="N273" s="7">
        <v>44531</v>
      </c>
      <c r="O273" s="14">
        <f>ROUND([1]CF!$CG$54*1000000,2)</f>
        <v>0</v>
      </c>
      <c r="P273" s="14"/>
      <c r="Q273" s="25"/>
      <c r="R273" s="10"/>
      <c r="S273" s="10"/>
      <c r="T273" s="10"/>
      <c r="U273" s="10"/>
      <c r="X273" s="16" t="str">
        <f>IF(B273="",VLOOKUP(A273,items_lookup!A:B,2,FALSE),B273)</f>
        <v>12. Item 12</v>
      </c>
      <c r="Y273" s="16">
        <f t="shared" si="16"/>
        <v>12</v>
      </c>
      <c r="Z273" s="16">
        <f t="shared" si="16"/>
        <v>12</v>
      </c>
      <c r="AA273" s="16">
        <f t="shared" si="17"/>
        <v>2021</v>
      </c>
      <c r="AB273" s="16">
        <f t="shared" si="18"/>
        <v>2021</v>
      </c>
      <c r="AC273" s="16">
        <f t="shared" si="19"/>
        <v>2021</v>
      </c>
    </row>
    <row r="274" spans="1:29" ht="14.25" customHeight="1" x14ac:dyDescent="0.2">
      <c r="A274" s="6"/>
      <c r="B274" s="6" t="s">
        <v>504</v>
      </c>
      <c r="C274" s="2" t="s">
        <v>445</v>
      </c>
      <c r="D274" s="5" t="s">
        <v>443</v>
      </c>
      <c r="E274" s="24" t="s">
        <v>440</v>
      </c>
      <c r="F274" s="6"/>
      <c r="G274" s="6"/>
      <c r="H274" s="6"/>
      <c r="I274" s="6"/>
      <c r="J274" s="6"/>
      <c r="K274" s="6"/>
      <c r="L274" s="6" t="s">
        <v>444</v>
      </c>
      <c r="M274" s="7">
        <v>44531</v>
      </c>
      <c r="N274" s="7">
        <v>44531</v>
      </c>
      <c r="O274" s="14">
        <f>ROUND([1]CF!$CG$55*1000000,2)</f>
        <v>0</v>
      </c>
      <c r="P274" s="14"/>
      <c r="Q274" s="25"/>
      <c r="R274" s="10"/>
      <c r="S274" s="10"/>
      <c r="T274" s="10"/>
      <c r="U274" s="10"/>
      <c r="X274" s="16" t="str">
        <f>IF(B274="",VLOOKUP(A274,items_lookup!A:B,2,FALSE),B274)</f>
        <v>13. Item 13</v>
      </c>
      <c r="Y274" s="16">
        <f t="shared" si="16"/>
        <v>12</v>
      </c>
      <c r="Z274" s="16">
        <f t="shared" si="16"/>
        <v>12</v>
      </c>
      <c r="AA274" s="16">
        <f t="shared" si="17"/>
        <v>2021</v>
      </c>
      <c r="AB274" s="16">
        <f t="shared" si="18"/>
        <v>2021</v>
      </c>
      <c r="AC274" s="16">
        <f t="shared" si="19"/>
        <v>2021</v>
      </c>
    </row>
    <row r="275" spans="1:29" ht="15" customHeight="1" x14ac:dyDescent="0.2">
      <c r="A275" s="6" t="s">
        <v>552</v>
      </c>
      <c r="B275" s="6"/>
      <c r="C275" s="2" t="s">
        <v>445</v>
      </c>
      <c r="D275" s="5" t="s">
        <v>443</v>
      </c>
      <c r="E275" s="24" t="s">
        <v>440</v>
      </c>
      <c r="F275" s="6"/>
      <c r="G275" s="6"/>
      <c r="H275" s="6"/>
      <c r="I275" s="6"/>
      <c r="J275" s="6"/>
      <c r="K275" s="6"/>
      <c r="L275" s="6" t="s">
        <v>444</v>
      </c>
      <c r="M275" s="7">
        <v>44531</v>
      </c>
      <c r="N275" s="7">
        <v>44531</v>
      </c>
      <c r="O275" s="14">
        <f>ROUND([1]CF!$CG$68*1000000,2)</f>
        <v>0</v>
      </c>
      <c r="P275" s="14"/>
      <c r="Q275" s="25"/>
      <c r="R275" s="10"/>
      <c r="S275" s="10"/>
      <c r="T275" s="10"/>
      <c r="U275" s="10"/>
      <c r="X275" s="16" t="str">
        <f>IF(B275="",VLOOKUP(A275,items_lookup!A:B,2,FALSE),B275)</f>
        <v>14. Item 14</v>
      </c>
      <c r="Y275" s="16">
        <f t="shared" si="16"/>
        <v>12</v>
      </c>
      <c r="Z275" s="16">
        <f t="shared" si="16"/>
        <v>12</v>
      </c>
      <c r="AA275" s="16">
        <f t="shared" si="17"/>
        <v>2021</v>
      </c>
      <c r="AB275" s="16">
        <f t="shared" si="18"/>
        <v>2021</v>
      </c>
      <c r="AC275" s="16">
        <f t="shared" si="19"/>
        <v>2021</v>
      </c>
    </row>
    <row r="276" spans="1:29" ht="15" customHeight="1" x14ac:dyDescent="0.2">
      <c r="A276" s="6" t="s">
        <v>558</v>
      </c>
      <c r="B276" s="6"/>
      <c r="C276" s="2" t="s">
        <v>445</v>
      </c>
      <c r="D276" s="5" t="s">
        <v>446</v>
      </c>
      <c r="E276" s="24" t="s">
        <v>440</v>
      </c>
      <c r="F276" s="6"/>
      <c r="G276" s="6"/>
      <c r="H276" s="6"/>
      <c r="I276" s="6"/>
      <c r="J276" s="6"/>
      <c r="K276" s="6"/>
      <c r="L276" s="6" t="s">
        <v>444</v>
      </c>
      <c r="M276" s="7">
        <v>44531</v>
      </c>
      <c r="N276" s="7">
        <v>44531</v>
      </c>
      <c r="O276" s="14">
        <f>ROUND([1]CF!$CG$56*1000000,2)</f>
        <v>0</v>
      </c>
      <c r="P276" s="14"/>
      <c r="Q276" s="25"/>
      <c r="R276" s="10"/>
      <c r="S276" s="10"/>
      <c r="T276" s="10"/>
      <c r="U276" s="10"/>
      <c r="X276" s="16" t="str">
        <f>IF(B276="",VLOOKUP(A276,items_lookup!A:B,2,FALSE),B276)</f>
        <v>17. Item 17</v>
      </c>
      <c r="Y276" s="16">
        <f t="shared" si="16"/>
        <v>12</v>
      </c>
      <c r="Z276" s="16">
        <f t="shared" si="16"/>
        <v>12</v>
      </c>
      <c r="AA276" s="16">
        <f t="shared" si="17"/>
        <v>2021</v>
      </c>
      <c r="AB276" s="16">
        <f t="shared" si="18"/>
        <v>2021</v>
      </c>
      <c r="AC276" s="16">
        <f t="shared" si="19"/>
        <v>2021</v>
      </c>
    </row>
    <row r="277" spans="1:29" ht="15" customHeight="1" x14ac:dyDescent="0.2">
      <c r="A277" s="6" t="s">
        <v>562</v>
      </c>
      <c r="B277" s="6"/>
      <c r="C277" s="2" t="s">
        <v>445</v>
      </c>
      <c r="D277" s="5" t="s">
        <v>443</v>
      </c>
      <c r="E277" s="24" t="s">
        <v>440</v>
      </c>
      <c r="F277" s="6"/>
      <c r="G277" s="6"/>
      <c r="H277" s="6"/>
      <c r="I277" s="6"/>
      <c r="J277" s="6"/>
      <c r="K277" s="6"/>
      <c r="L277" s="6" t="s">
        <v>444</v>
      </c>
      <c r="M277" s="7">
        <v>44531</v>
      </c>
      <c r="N277" s="7">
        <v>44531</v>
      </c>
      <c r="O277" s="14">
        <f>ROUND([1]CF!$CG$57*1000000,2)</f>
        <v>0</v>
      </c>
      <c r="P277" s="14"/>
      <c r="Q277" s="25"/>
      <c r="R277" s="10"/>
      <c r="S277" s="10"/>
      <c r="T277" s="10"/>
      <c r="U277" s="10"/>
      <c r="X277" s="16" t="str">
        <f>IF(B277="",VLOOKUP(A277,items_lookup!A:B,2,FALSE),B277)</f>
        <v>19. Item 19</v>
      </c>
      <c r="Y277" s="16">
        <f t="shared" si="16"/>
        <v>12</v>
      </c>
      <c r="Z277" s="16">
        <f t="shared" si="16"/>
        <v>12</v>
      </c>
      <c r="AA277" s="16">
        <f t="shared" si="17"/>
        <v>2021</v>
      </c>
      <c r="AB277" s="16">
        <f t="shared" si="18"/>
        <v>2021</v>
      </c>
      <c r="AC277" s="16">
        <f t="shared" si="19"/>
        <v>2021</v>
      </c>
    </row>
    <row r="278" spans="1:29" ht="15" customHeight="1" x14ac:dyDescent="0.2">
      <c r="A278" s="6" t="s">
        <v>554</v>
      </c>
      <c r="B278" s="6"/>
      <c r="C278" s="2" t="s">
        <v>445</v>
      </c>
      <c r="D278" s="5" t="s">
        <v>443</v>
      </c>
      <c r="E278" s="24" t="s">
        <v>440</v>
      </c>
      <c r="F278" s="6"/>
      <c r="G278" s="6"/>
      <c r="H278" s="6"/>
      <c r="I278" s="6"/>
      <c r="J278" s="6"/>
      <c r="K278" s="6"/>
      <c r="L278" s="6" t="s">
        <v>444</v>
      </c>
      <c r="M278" s="7">
        <v>44409</v>
      </c>
      <c r="N278" s="7">
        <v>44409</v>
      </c>
      <c r="O278" s="14"/>
      <c r="P278" s="14"/>
      <c r="Q278" s="25"/>
      <c r="R278" s="10"/>
      <c r="S278" s="10"/>
      <c r="T278" s="10"/>
      <c r="U278" s="10"/>
      <c r="X278" s="16" t="str">
        <f>IF(B278="",VLOOKUP(A278,items_lookup!A:B,2,FALSE),B278)</f>
        <v>15. Item 15</v>
      </c>
      <c r="Y278" s="16">
        <f t="shared" si="16"/>
        <v>8</v>
      </c>
      <c r="Z278" s="16">
        <f t="shared" si="16"/>
        <v>8</v>
      </c>
      <c r="AA278" s="16">
        <f t="shared" si="17"/>
        <v>2021</v>
      </c>
      <c r="AB278" s="16">
        <f t="shared" si="18"/>
        <v>2021</v>
      </c>
      <c r="AC278" s="16">
        <f t="shared" si="19"/>
        <v>2021</v>
      </c>
    </row>
    <row r="279" spans="1:29" ht="15" customHeight="1" x14ac:dyDescent="0.2"/>
  </sheetData>
  <autoFilter ref="A1:AD279"/>
  <printOptions horizontalCentered="1"/>
  <pageMargins left="0.39370078740157483" right="0" top="0.27559055118110237" bottom="3.937007874015748E-2" header="0.19685039370078741" footer="0.19685039370078741"/>
  <pageSetup paperSize="9" scale="70" firstPageNumber="4" fitToHeight="0" orientation="landscape" useFirstPageNumber="1" horizontalDpi="300" verticalDpi="300" r:id="rId1"/>
  <headerFooter scaleWithDoc="0"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224"/>
  <sheetViews>
    <sheetView zoomScaleNormal="100" workbookViewId="0">
      <selection activeCell="E18" sqref="E18"/>
    </sheetView>
  </sheetViews>
  <sheetFormatPr defaultRowHeight="12.75" x14ac:dyDescent="0.2"/>
  <cols>
    <col min="1" max="1" width="37.7109375" customWidth="1"/>
    <col min="2" max="2" width="11.140625" customWidth="1"/>
    <col min="4" max="4" width="9.140625" style="19"/>
    <col min="5" max="5" width="48.42578125" style="19" customWidth="1"/>
    <col min="6" max="6" width="14.5703125" style="19" customWidth="1"/>
    <col min="7" max="7" width="9.140625" style="19"/>
    <col min="8" max="8" width="13.140625" customWidth="1"/>
    <col min="9" max="9" width="13.7109375" customWidth="1"/>
    <col min="12" max="12" width="15" bestFit="1" customWidth="1"/>
    <col min="13" max="13" width="11" bestFit="1" customWidth="1"/>
    <col min="14" max="14" width="21.5703125" bestFit="1" customWidth="1"/>
    <col min="15" max="15" width="16" bestFit="1" customWidth="1"/>
    <col min="16" max="16" width="17.42578125" bestFit="1" customWidth="1"/>
  </cols>
  <sheetData>
    <row r="1" spans="1:16" x14ac:dyDescent="0.2">
      <c r="A1" t="s">
        <v>404</v>
      </c>
      <c r="B1" t="s">
        <v>405</v>
      </c>
      <c r="D1" s="19" t="s">
        <v>433</v>
      </c>
      <c r="F1" s="19" t="s">
        <v>421</v>
      </c>
      <c r="G1" t="s">
        <v>404</v>
      </c>
      <c r="I1" t="s">
        <v>405</v>
      </c>
      <c r="J1" s="19" t="s">
        <v>408</v>
      </c>
      <c r="L1" s="20" t="s">
        <v>434</v>
      </c>
      <c r="M1" s="20" t="s">
        <v>435</v>
      </c>
      <c r="N1" s="20" t="s">
        <v>436</v>
      </c>
      <c r="O1" s="20" t="s">
        <v>437</v>
      </c>
      <c r="P1" s="20" t="s">
        <v>438</v>
      </c>
    </row>
    <row r="2" spans="1:16" x14ac:dyDescent="0.2">
      <c r="A2" t="s">
        <v>447</v>
      </c>
      <c r="B2" t="s">
        <v>448</v>
      </c>
      <c r="D2" s="22" t="s">
        <v>0</v>
      </c>
      <c r="E2" s="22" t="s">
        <v>449</v>
      </c>
      <c r="F2" s="22">
        <v>2110210000</v>
      </c>
      <c r="G2" s="22" t="s">
        <v>450</v>
      </c>
      <c r="I2" t="s">
        <v>451</v>
      </c>
      <c r="J2" t="s">
        <v>439</v>
      </c>
      <c r="L2" s="21" t="s">
        <v>181</v>
      </c>
      <c r="M2" s="21">
        <v>2110210000</v>
      </c>
      <c r="N2" s="21">
        <v>2110900000</v>
      </c>
      <c r="O2" s="21">
        <v>2111220000</v>
      </c>
      <c r="P2" s="21">
        <v>2110220000</v>
      </c>
    </row>
    <row r="3" spans="1:16" x14ac:dyDescent="0.2">
      <c r="A3" t="s">
        <v>452</v>
      </c>
      <c r="B3" t="s">
        <v>448</v>
      </c>
      <c r="D3" s="22" t="s">
        <v>1</v>
      </c>
      <c r="E3" s="22" t="s">
        <v>453</v>
      </c>
      <c r="F3" s="22">
        <v>2110220000</v>
      </c>
      <c r="G3" s="22" t="s">
        <v>450</v>
      </c>
      <c r="I3" t="s">
        <v>454</v>
      </c>
      <c r="J3" t="s">
        <v>439</v>
      </c>
      <c r="L3" s="21" t="s">
        <v>182</v>
      </c>
      <c r="M3" s="21">
        <v>2110600000</v>
      </c>
      <c r="N3" s="21">
        <v>2110900000</v>
      </c>
      <c r="O3" s="21"/>
      <c r="P3" s="21"/>
    </row>
    <row r="4" spans="1:16" x14ac:dyDescent="0.2">
      <c r="A4" t="s">
        <v>455</v>
      </c>
      <c r="B4" t="s">
        <v>448</v>
      </c>
      <c r="D4" s="22" t="s">
        <v>2</v>
      </c>
      <c r="E4" s="22" t="s">
        <v>456</v>
      </c>
      <c r="F4" s="22">
        <v>2110410000</v>
      </c>
      <c r="G4" s="22" t="s">
        <v>457</v>
      </c>
      <c r="I4" t="s">
        <v>458</v>
      </c>
      <c r="J4" t="s">
        <v>439</v>
      </c>
      <c r="L4" s="21" t="s">
        <v>183</v>
      </c>
      <c r="M4" s="21">
        <v>2110672000</v>
      </c>
      <c r="N4" s="21">
        <v>2110900000</v>
      </c>
      <c r="O4" s="21">
        <v>2111260000</v>
      </c>
      <c r="P4" s="21"/>
    </row>
    <row r="5" spans="1:16" x14ac:dyDescent="0.2">
      <c r="A5" t="s">
        <v>459</v>
      </c>
      <c r="B5" t="s">
        <v>448</v>
      </c>
      <c r="D5" s="22" t="s">
        <v>3</v>
      </c>
      <c r="E5" s="22" t="s">
        <v>460</v>
      </c>
      <c r="F5" s="22">
        <v>2110420000</v>
      </c>
      <c r="G5" s="22" t="s">
        <v>457</v>
      </c>
      <c r="I5" t="s">
        <v>461</v>
      </c>
      <c r="J5" t="s">
        <v>439</v>
      </c>
      <c r="L5" s="21" t="s">
        <v>184</v>
      </c>
      <c r="M5" s="21">
        <v>2110672000</v>
      </c>
      <c r="N5" s="21">
        <v>2110900000</v>
      </c>
      <c r="O5" s="21">
        <v>2111260000</v>
      </c>
      <c r="P5" s="21"/>
    </row>
    <row r="6" spans="1:16" x14ac:dyDescent="0.2">
      <c r="A6" t="s">
        <v>462</v>
      </c>
      <c r="B6" t="s">
        <v>448</v>
      </c>
      <c r="D6" s="22" t="s">
        <v>4</v>
      </c>
      <c r="E6" s="22" t="s">
        <v>463</v>
      </c>
      <c r="F6" s="22">
        <v>2110510000</v>
      </c>
      <c r="G6" s="22" t="s">
        <v>464</v>
      </c>
      <c r="I6" t="s">
        <v>465</v>
      </c>
      <c r="J6" t="s">
        <v>439</v>
      </c>
      <c r="L6" s="21" t="s">
        <v>185</v>
      </c>
      <c r="M6" s="21">
        <v>2110672000</v>
      </c>
      <c r="N6" s="21">
        <v>2110900000</v>
      </c>
      <c r="O6" s="21">
        <v>2111260000</v>
      </c>
      <c r="P6" s="21"/>
    </row>
    <row r="7" spans="1:16" x14ac:dyDescent="0.2">
      <c r="A7" t="s">
        <v>466</v>
      </c>
      <c r="B7" t="s">
        <v>448</v>
      </c>
      <c r="D7" s="22" t="s">
        <v>5</v>
      </c>
      <c r="E7" s="22" t="s">
        <v>467</v>
      </c>
      <c r="F7" s="22">
        <v>2110520000</v>
      </c>
      <c r="G7" s="22" t="s">
        <v>464</v>
      </c>
      <c r="I7" t="s">
        <v>468</v>
      </c>
      <c r="J7" s="19" t="s">
        <v>440</v>
      </c>
      <c r="L7" s="21" t="s">
        <v>186</v>
      </c>
      <c r="M7" s="21">
        <v>2110672000</v>
      </c>
      <c r="N7" s="21">
        <v>2110900000</v>
      </c>
      <c r="O7" s="21">
        <v>2111260000</v>
      </c>
      <c r="P7" s="21"/>
    </row>
    <row r="8" spans="1:16" x14ac:dyDescent="0.2">
      <c r="A8" t="s">
        <v>469</v>
      </c>
      <c r="B8" t="s">
        <v>448</v>
      </c>
      <c r="D8" s="22" t="s">
        <v>6</v>
      </c>
      <c r="E8" s="22" t="s">
        <v>470</v>
      </c>
      <c r="F8" s="22">
        <v>2110530000</v>
      </c>
      <c r="G8" s="22" t="s">
        <v>464</v>
      </c>
      <c r="I8" t="s">
        <v>471</v>
      </c>
      <c r="J8" s="19" t="s">
        <v>440</v>
      </c>
      <c r="L8" s="21" t="s">
        <v>187</v>
      </c>
      <c r="M8" s="21">
        <v>2110672000</v>
      </c>
      <c r="N8" s="21">
        <v>2110900000</v>
      </c>
      <c r="O8" s="21">
        <v>2111260000</v>
      </c>
      <c r="P8" s="21"/>
    </row>
    <row r="9" spans="1:16" x14ac:dyDescent="0.2">
      <c r="A9" t="s">
        <v>472</v>
      </c>
      <c r="B9" t="s">
        <v>448</v>
      </c>
      <c r="D9" s="22" t="s">
        <v>7</v>
      </c>
      <c r="E9" s="22" t="s">
        <v>473</v>
      </c>
      <c r="F9" s="22">
        <v>2110620000</v>
      </c>
      <c r="G9" s="22" t="s">
        <v>457</v>
      </c>
      <c r="I9" t="s">
        <v>448</v>
      </c>
      <c r="J9" s="19" t="s">
        <v>440</v>
      </c>
      <c r="L9" s="21" t="s">
        <v>188</v>
      </c>
      <c r="M9" s="21">
        <v>2110672000</v>
      </c>
      <c r="N9" s="21">
        <v>2110900000</v>
      </c>
      <c r="O9" s="21">
        <v>2111260000</v>
      </c>
      <c r="P9" s="21"/>
    </row>
    <row r="10" spans="1:16" x14ac:dyDescent="0.2">
      <c r="A10" t="s">
        <v>474</v>
      </c>
      <c r="B10" t="s">
        <v>475</v>
      </c>
      <c r="D10" s="22" t="s">
        <v>8</v>
      </c>
      <c r="E10" s="22" t="s">
        <v>476</v>
      </c>
      <c r="F10" s="22">
        <v>2110630000</v>
      </c>
      <c r="G10" s="22" t="s">
        <v>457</v>
      </c>
      <c r="I10" t="s">
        <v>475</v>
      </c>
      <c r="J10" s="19" t="s">
        <v>440</v>
      </c>
      <c r="L10" s="21" t="s">
        <v>189</v>
      </c>
      <c r="M10" s="21">
        <v>2110672000</v>
      </c>
      <c r="N10" s="21">
        <v>2110900000</v>
      </c>
      <c r="O10" s="21">
        <v>2111260000</v>
      </c>
      <c r="P10" s="21"/>
    </row>
    <row r="11" spans="1:16" x14ac:dyDescent="0.2">
      <c r="A11" t="s">
        <v>477</v>
      </c>
      <c r="B11" t="s">
        <v>478</v>
      </c>
      <c r="D11" s="22" t="s">
        <v>9</v>
      </c>
      <c r="E11" s="22" t="s">
        <v>479</v>
      </c>
      <c r="F11" s="22">
        <v>2110640000</v>
      </c>
      <c r="G11" s="22" t="s">
        <v>457</v>
      </c>
      <c r="I11" t="s">
        <v>478</v>
      </c>
      <c r="J11" s="19" t="s">
        <v>440</v>
      </c>
      <c r="L11" s="21" t="s">
        <v>190</v>
      </c>
      <c r="M11" s="21">
        <v>2110671000</v>
      </c>
      <c r="N11" s="21">
        <v>2110900000</v>
      </c>
      <c r="O11" s="21">
        <v>2111260000</v>
      </c>
      <c r="P11" s="21"/>
    </row>
    <row r="12" spans="1:16" x14ac:dyDescent="0.2">
      <c r="A12" t="s">
        <v>480</v>
      </c>
      <c r="B12" t="s">
        <v>478</v>
      </c>
      <c r="D12" s="22" t="s">
        <v>10</v>
      </c>
      <c r="E12" s="22" t="s">
        <v>481</v>
      </c>
      <c r="F12" s="22">
        <v>2110650000</v>
      </c>
      <c r="G12" s="22" t="s">
        <v>457</v>
      </c>
      <c r="I12" t="s">
        <v>482</v>
      </c>
      <c r="J12" s="19" t="s">
        <v>440</v>
      </c>
      <c r="L12" s="21" t="s">
        <v>191</v>
      </c>
      <c r="M12" s="21">
        <v>2110672000</v>
      </c>
      <c r="N12" s="21">
        <v>2110900000</v>
      </c>
      <c r="O12" s="21">
        <v>2111260000</v>
      </c>
      <c r="P12" s="21"/>
    </row>
    <row r="13" spans="1:16" x14ac:dyDescent="0.2">
      <c r="A13" t="s">
        <v>483</v>
      </c>
      <c r="B13" t="s">
        <v>484</v>
      </c>
      <c r="D13" s="22" t="s">
        <v>11</v>
      </c>
      <c r="E13" s="22" t="s">
        <v>485</v>
      </c>
      <c r="F13" s="22">
        <v>2110660000</v>
      </c>
      <c r="G13" s="22" t="s">
        <v>457</v>
      </c>
      <c r="I13" t="s">
        <v>486</v>
      </c>
      <c r="J13" s="19" t="s">
        <v>440</v>
      </c>
      <c r="L13" s="21" t="s">
        <v>192</v>
      </c>
      <c r="M13" s="21">
        <v>2110672000</v>
      </c>
      <c r="N13" s="21">
        <v>2110900000</v>
      </c>
      <c r="O13" s="21">
        <v>2111260000</v>
      </c>
      <c r="P13" s="21"/>
    </row>
    <row r="14" spans="1:16" x14ac:dyDescent="0.2">
      <c r="A14" t="s">
        <v>487</v>
      </c>
      <c r="B14" t="s">
        <v>484</v>
      </c>
      <c r="D14" s="22" t="s">
        <v>12</v>
      </c>
      <c r="E14" s="22" t="s">
        <v>488</v>
      </c>
      <c r="F14" s="22">
        <v>2110671000</v>
      </c>
      <c r="G14" s="22" t="s">
        <v>457</v>
      </c>
      <c r="I14" t="s">
        <v>489</v>
      </c>
      <c r="J14" s="19" t="s">
        <v>440</v>
      </c>
      <c r="L14" s="21" t="s">
        <v>193</v>
      </c>
      <c r="M14" s="21">
        <v>2110700000</v>
      </c>
      <c r="N14" s="21">
        <v>2110900000</v>
      </c>
      <c r="O14" s="21">
        <v>2111270000</v>
      </c>
      <c r="P14" s="21"/>
    </row>
    <row r="15" spans="1:16" x14ac:dyDescent="0.2">
      <c r="A15" t="s">
        <v>490</v>
      </c>
      <c r="B15" t="s">
        <v>484</v>
      </c>
      <c r="D15" s="22" t="s">
        <v>13</v>
      </c>
      <c r="E15" s="22" t="s">
        <v>491</v>
      </c>
      <c r="F15" s="22">
        <v>2110672000</v>
      </c>
      <c r="G15" s="22" t="s">
        <v>457</v>
      </c>
      <c r="I15" t="s">
        <v>484</v>
      </c>
      <c r="J15" s="19" t="s">
        <v>440</v>
      </c>
      <c r="L15" s="21" t="s">
        <v>194</v>
      </c>
      <c r="M15" s="21">
        <v>2110672000</v>
      </c>
      <c r="N15" s="21">
        <v>2110900000</v>
      </c>
      <c r="O15" s="21">
        <v>2111260000</v>
      </c>
      <c r="P15" s="21"/>
    </row>
    <row r="16" spans="1:16" x14ac:dyDescent="0.2">
      <c r="A16" t="s">
        <v>492</v>
      </c>
      <c r="B16" t="s">
        <v>493</v>
      </c>
      <c r="D16" s="22" t="s">
        <v>14</v>
      </c>
      <c r="E16" s="22" t="s">
        <v>494</v>
      </c>
      <c r="F16" s="22">
        <v>2110700000</v>
      </c>
      <c r="G16" s="22" t="s">
        <v>495</v>
      </c>
      <c r="I16" t="s">
        <v>493</v>
      </c>
      <c r="J16" s="19" t="s">
        <v>440</v>
      </c>
      <c r="L16" s="21" t="s">
        <v>195</v>
      </c>
      <c r="M16" s="21">
        <v>2110650000</v>
      </c>
      <c r="N16" s="21">
        <v>2110900000</v>
      </c>
      <c r="O16" s="21">
        <v>2111260000</v>
      </c>
      <c r="P16" s="21"/>
    </row>
    <row r="17" spans="1:16" x14ac:dyDescent="0.2">
      <c r="A17" t="s">
        <v>496</v>
      </c>
      <c r="B17" t="s">
        <v>493</v>
      </c>
      <c r="D17" s="22" t="s">
        <v>15</v>
      </c>
      <c r="E17" s="22" t="s">
        <v>497</v>
      </c>
      <c r="F17" s="22">
        <v>2110810000</v>
      </c>
      <c r="G17" s="22" t="s">
        <v>498</v>
      </c>
      <c r="I17" t="s">
        <v>499</v>
      </c>
      <c r="J17" s="19" t="s">
        <v>440</v>
      </c>
      <c r="L17" s="21" t="s">
        <v>196</v>
      </c>
      <c r="M17" s="21">
        <v>2110672000</v>
      </c>
      <c r="N17" s="21">
        <v>2110900000</v>
      </c>
      <c r="O17" s="21">
        <v>2111260000</v>
      </c>
      <c r="P17" s="21"/>
    </row>
    <row r="18" spans="1:16" x14ac:dyDescent="0.2">
      <c r="A18" t="s">
        <v>500</v>
      </c>
      <c r="B18" t="s">
        <v>493</v>
      </c>
      <c r="D18" s="22" t="s">
        <v>16</v>
      </c>
      <c r="E18" s="22" t="s">
        <v>501</v>
      </c>
      <c r="F18" s="22">
        <v>2110820000</v>
      </c>
      <c r="G18" s="22" t="s">
        <v>498</v>
      </c>
      <c r="I18" t="s">
        <v>502</v>
      </c>
      <c r="J18" s="19" t="s">
        <v>440</v>
      </c>
      <c r="L18" s="21" t="s">
        <v>197</v>
      </c>
      <c r="M18" s="21">
        <v>2110610000</v>
      </c>
      <c r="N18" s="21">
        <v>2110900000</v>
      </c>
      <c r="O18" s="21">
        <v>2111260000</v>
      </c>
      <c r="P18" s="21"/>
    </row>
    <row r="19" spans="1:16" x14ac:dyDescent="0.2">
      <c r="A19" t="s">
        <v>503</v>
      </c>
      <c r="B19" t="s">
        <v>504</v>
      </c>
      <c r="D19" s="22" t="s">
        <v>17</v>
      </c>
      <c r="E19" s="22" t="s">
        <v>505</v>
      </c>
      <c r="F19" s="22">
        <v>2111011000</v>
      </c>
      <c r="G19" s="22" t="s">
        <v>506</v>
      </c>
      <c r="I19" t="s">
        <v>504</v>
      </c>
      <c r="J19" s="19" t="s">
        <v>440</v>
      </c>
      <c r="L19" s="21" t="s">
        <v>198</v>
      </c>
      <c r="M19" s="21">
        <v>2110620000</v>
      </c>
      <c r="N19" s="21">
        <v>2110900000</v>
      </c>
      <c r="O19" s="21">
        <v>2111260000</v>
      </c>
      <c r="P19" s="21"/>
    </row>
    <row r="20" spans="1:16" x14ac:dyDescent="0.2">
      <c r="A20" t="s">
        <v>507</v>
      </c>
      <c r="B20" t="s">
        <v>504</v>
      </c>
      <c r="D20" s="22" t="s">
        <v>18</v>
      </c>
      <c r="E20" s="22" t="s">
        <v>508</v>
      </c>
      <c r="F20" s="22">
        <v>2111012000</v>
      </c>
      <c r="G20" s="22" t="s">
        <v>509</v>
      </c>
      <c r="I20" t="s">
        <v>510</v>
      </c>
      <c r="J20" s="19" t="s">
        <v>440</v>
      </c>
      <c r="L20" s="21" t="s">
        <v>199</v>
      </c>
      <c r="M20" s="21">
        <v>2110630000</v>
      </c>
      <c r="N20" s="21">
        <v>2110900000</v>
      </c>
      <c r="O20" s="21">
        <v>2111260000</v>
      </c>
      <c r="P20" s="21"/>
    </row>
    <row r="21" spans="1:16" x14ac:dyDescent="0.2">
      <c r="A21" t="s">
        <v>511</v>
      </c>
      <c r="B21" t="s">
        <v>504</v>
      </c>
      <c r="D21" s="22" t="s">
        <v>19</v>
      </c>
      <c r="E21" s="22" t="s">
        <v>512</v>
      </c>
      <c r="F21" s="22">
        <v>2111013000</v>
      </c>
      <c r="G21" s="22" t="s">
        <v>509</v>
      </c>
      <c r="I21" t="s">
        <v>513</v>
      </c>
      <c r="J21" s="19" t="s">
        <v>440</v>
      </c>
      <c r="L21" s="21" t="s">
        <v>200</v>
      </c>
      <c r="M21" s="21">
        <v>2110660000</v>
      </c>
      <c r="N21" s="21">
        <v>2110900000</v>
      </c>
      <c r="O21" s="21">
        <v>2111260000</v>
      </c>
      <c r="P21" s="21"/>
    </row>
    <row r="22" spans="1:16" x14ac:dyDescent="0.2">
      <c r="A22" t="s">
        <v>514</v>
      </c>
      <c r="B22" t="s">
        <v>504</v>
      </c>
      <c r="D22" s="22" t="s">
        <v>20</v>
      </c>
      <c r="E22" s="22" t="s">
        <v>515</v>
      </c>
      <c r="F22" s="22">
        <v>2111014000</v>
      </c>
      <c r="G22" s="22" t="s">
        <v>509</v>
      </c>
      <c r="I22" t="s">
        <v>516</v>
      </c>
      <c r="J22" s="19" t="s">
        <v>440</v>
      </c>
      <c r="L22" s="21" t="s">
        <v>201</v>
      </c>
      <c r="M22" s="21">
        <v>2110670000</v>
      </c>
      <c r="N22" s="21">
        <v>2110900000</v>
      </c>
      <c r="O22" s="21">
        <v>2111260000</v>
      </c>
      <c r="P22" s="21"/>
    </row>
    <row r="23" spans="1:16" x14ac:dyDescent="0.2">
      <c r="A23" t="s">
        <v>517</v>
      </c>
      <c r="B23" t="s">
        <v>504</v>
      </c>
      <c r="D23" s="22" t="s">
        <v>21</v>
      </c>
      <c r="E23" s="22" t="s">
        <v>518</v>
      </c>
      <c r="F23" s="22">
        <v>2111020000</v>
      </c>
      <c r="G23" s="22" t="s">
        <v>509</v>
      </c>
      <c r="I23" t="s">
        <v>519</v>
      </c>
      <c r="J23" s="19" t="s">
        <v>440</v>
      </c>
      <c r="L23" s="21" t="s">
        <v>202</v>
      </c>
      <c r="M23" s="21">
        <v>2111000000</v>
      </c>
      <c r="N23" s="21">
        <v>2110900000</v>
      </c>
      <c r="O23" s="21"/>
      <c r="P23" s="21"/>
    </row>
    <row r="24" spans="1:16" x14ac:dyDescent="0.2">
      <c r="A24" t="s">
        <v>520</v>
      </c>
      <c r="B24" t="s">
        <v>504</v>
      </c>
      <c r="D24" s="22" t="s">
        <v>22</v>
      </c>
      <c r="E24" s="22" t="s">
        <v>521</v>
      </c>
      <c r="F24" s="22">
        <v>2111030000</v>
      </c>
      <c r="G24" s="22" t="s">
        <v>509</v>
      </c>
      <c r="I24" t="s">
        <v>522</v>
      </c>
      <c r="J24" s="19" t="s">
        <v>440</v>
      </c>
      <c r="L24" s="21" t="s">
        <v>203</v>
      </c>
      <c r="M24" s="21">
        <v>2111040000</v>
      </c>
      <c r="N24" s="21">
        <v>2110900000</v>
      </c>
      <c r="O24" s="21">
        <v>2111291000</v>
      </c>
      <c r="P24" s="21"/>
    </row>
    <row r="25" spans="1:16" x14ac:dyDescent="0.2">
      <c r="A25" t="s">
        <v>523</v>
      </c>
      <c r="B25" t="s">
        <v>504</v>
      </c>
      <c r="D25" s="22" t="s">
        <v>23</v>
      </c>
      <c r="E25" s="22" t="s">
        <v>524</v>
      </c>
      <c r="F25" s="22">
        <v>2111040000</v>
      </c>
      <c r="G25" s="22" t="s">
        <v>509</v>
      </c>
      <c r="I25" t="s">
        <v>525</v>
      </c>
      <c r="J25" s="19" t="s">
        <v>440</v>
      </c>
      <c r="L25" s="21" t="s">
        <v>204</v>
      </c>
      <c r="M25" s="21">
        <v>2111010000</v>
      </c>
      <c r="N25" s="21">
        <v>2110900000</v>
      </c>
      <c r="O25" s="21">
        <v>2111291000</v>
      </c>
      <c r="P25" s="21"/>
    </row>
    <row r="26" spans="1:16" x14ac:dyDescent="0.2">
      <c r="A26" t="s">
        <v>526</v>
      </c>
      <c r="B26" t="s">
        <v>468</v>
      </c>
      <c r="D26" s="22" t="s">
        <v>24</v>
      </c>
      <c r="E26" s="22" t="s">
        <v>527</v>
      </c>
      <c r="F26" s="22">
        <v>2111050000</v>
      </c>
      <c r="G26" s="22" t="s">
        <v>509</v>
      </c>
      <c r="I26" t="s">
        <v>528</v>
      </c>
      <c r="J26" s="19" t="s">
        <v>441</v>
      </c>
      <c r="L26" s="21" t="s">
        <v>205</v>
      </c>
      <c r="M26" s="21">
        <v>2111020000</v>
      </c>
      <c r="N26" s="21">
        <v>2110900000</v>
      </c>
      <c r="O26" s="21">
        <v>2111011000</v>
      </c>
      <c r="P26" s="21"/>
    </row>
    <row r="27" spans="1:16" x14ac:dyDescent="0.2">
      <c r="A27" t="s">
        <v>529</v>
      </c>
      <c r="B27" t="s">
        <v>471</v>
      </c>
      <c r="D27" s="22" t="s">
        <v>25</v>
      </c>
      <c r="E27" s="22" t="s">
        <v>530</v>
      </c>
      <c r="F27" s="22">
        <v>2111060000</v>
      </c>
      <c r="G27" s="22" t="s">
        <v>509</v>
      </c>
      <c r="I27" t="s">
        <v>531</v>
      </c>
      <c r="J27" s="19" t="s">
        <v>440</v>
      </c>
      <c r="L27" s="21" t="s">
        <v>206</v>
      </c>
      <c r="M27" s="21">
        <v>2110640000</v>
      </c>
      <c r="N27" s="21">
        <v>2110900000</v>
      </c>
      <c r="O27" s="21">
        <v>2111260000</v>
      </c>
      <c r="P27" s="21"/>
    </row>
    <row r="28" spans="1:16" x14ac:dyDescent="0.2">
      <c r="A28" t="s">
        <v>450</v>
      </c>
      <c r="B28" t="s">
        <v>451</v>
      </c>
      <c r="D28" s="22" t="s">
        <v>26</v>
      </c>
      <c r="E28" s="22" t="s">
        <v>532</v>
      </c>
      <c r="F28" s="22">
        <v>2111070000</v>
      </c>
      <c r="G28" s="22" t="s">
        <v>509</v>
      </c>
      <c r="L28" s="21" t="s">
        <v>207</v>
      </c>
      <c r="M28" s="21">
        <v>2111070000</v>
      </c>
      <c r="N28" s="21">
        <v>2110900000</v>
      </c>
      <c r="O28" s="21">
        <v>2111291000</v>
      </c>
      <c r="P28" s="21"/>
    </row>
    <row r="29" spans="1:16" x14ac:dyDescent="0.2">
      <c r="A29" t="s">
        <v>495</v>
      </c>
      <c r="B29" t="s">
        <v>454</v>
      </c>
      <c r="D29" s="22" t="s">
        <v>27</v>
      </c>
      <c r="E29" s="22" t="s">
        <v>533</v>
      </c>
      <c r="F29" s="22">
        <v>2111220000</v>
      </c>
      <c r="G29" s="22" t="s">
        <v>450</v>
      </c>
      <c r="L29" s="21" t="s">
        <v>208</v>
      </c>
      <c r="M29" s="21">
        <v>2111050000</v>
      </c>
      <c r="N29" s="21">
        <v>2110900000</v>
      </c>
      <c r="O29" s="21">
        <v>2111291000</v>
      </c>
      <c r="P29" s="21"/>
    </row>
    <row r="30" spans="1:16" x14ac:dyDescent="0.2">
      <c r="A30" t="s">
        <v>457</v>
      </c>
      <c r="B30" t="s">
        <v>454</v>
      </c>
      <c r="D30" s="22" t="s">
        <v>28</v>
      </c>
      <c r="E30" s="22" t="s">
        <v>534</v>
      </c>
      <c r="F30" s="22">
        <v>2111250000</v>
      </c>
      <c r="G30" s="22" t="s">
        <v>464</v>
      </c>
      <c r="L30" s="21" t="s">
        <v>209</v>
      </c>
      <c r="M30" s="21">
        <v>2111060000</v>
      </c>
      <c r="N30" s="21">
        <v>2110900000</v>
      </c>
      <c r="O30" s="21">
        <v>2111291000</v>
      </c>
      <c r="P30" s="21"/>
    </row>
    <row r="31" spans="1:16" x14ac:dyDescent="0.2">
      <c r="A31" t="s">
        <v>464</v>
      </c>
      <c r="B31" t="s">
        <v>458</v>
      </c>
      <c r="D31" s="22" t="s">
        <v>29</v>
      </c>
      <c r="E31" s="22" t="s">
        <v>535</v>
      </c>
      <c r="F31" s="22">
        <v>2111260000</v>
      </c>
      <c r="G31" s="22" t="s">
        <v>457</v>
      </c>
      <c r="L31" s="21" t="s">
        <v>210</v>
      </c>
      <c r="M31" s="21">
        <v>2111030000</v>
      </c>
      <c r="N31" s="21">
        <v>2110900000</v>
      </c>
      <c r="O31" s="21">
        <v>2111291000</v>
      </c>
      <c r="P31" s="21"/>
    </row>
    <row r="32" spans="1:16" x14ac:dyDescent="0.2">
      <c r="A32" t="s">
        <v>498</v>
      </c>
      <c r="B32" t="s">
        <v>461</v>
      </c>
      <c r="D32" s="22" t="s">
        <v>30</v>
      </c>
      <c r="E32" s="22" t="s">
        <v>536</v>
      </c>
      <c r="F32" s="22">
        <v>2111270000</v>
      </c>
      <c r="G32" s="22" t="s">
        <v>495</v>
      </c>
      <c r="L32" s="21" t="s">
        <v>211</v>
      </c>
      <c r="M32" s="21">
        <v>2111070000</v>
      </c>
      <c r="N32" s="21">
        <v>2110900000</v>
      </c>
      <c r="O32" s="21">
        <v>2111291000</v>
      </c>
      <c r="P32" s="21"/>
    </row>
    <row r="33" spans="1:16" x14ac:dyDescent="0.2">
      <c r="A33" t="s">
        <v>509</v>
      </c>
      <c r="B33" t="s">
        <v>465</v>
      </c>
      <c r="D33" s="22" t="s">
        <v>31</v>
      </c>
      <c r="E33" s="22" t="s">
        <v>537</v>
      </c>
      <c r="F33" s="22">
        <v>2111280000</v>
      </c>
      <c r="G33" s="22" t="s">
        <v>498</v>
      </c>
      <c r="L33" s="21" t="s">
        <v>212</v>
      </c>
      <c r="M33" s="21">
        <v>2110900000</v>
      </c>
      <c r="N33" s="21">
        <v>2110900000</v>
      </c>
      <c r="O33" s="21"/>
      <c r="P33" s="21"/>
    </row>
    <row r="34" spans="1:16" x14ac:dyDescent="0.2">
      <c r="A34" t="s">
        <v>538</v>
      </c>
      <c r="B34" t="s">
        <v>468</v>
      </c>
      <c r="D34" s="22" t="s">
        <v>32</v>
      </c>
      <c r="E34" s="22" t="s">
        <v>539</v>
      </c>
      <c r="F34" s="22">
        <v>2111291000</v>
      </c>
      <c r="G34" s="22" t="s">
        <v>509</v>
      </c>
      <c r="L34" s="21" t="s">
        <v>213</v>
      </c>
      <c r="M34" s="21">
        <v>2110510000</v>
      </c>
      <c r="N34" s="21">
        <v>2110900000</v>
      </c>
      <c r="O34" s="21">
        <v>2111250000</v>
      </c>
      <c r="P34" s="21"/>
    </row>
    <row r="35" spans="1:16" x14ac:dyDescent="0.2">
      <c r="A35" t="s">
        <v>540</v>
      </c>
      <c r="B35" t="s">
        <v>482</v>
      </c>
      <c r="D35" s="22" t="s">
        <v>33</v>
      </c>
      <c r="E35" s="22" t="s">
        <v>541</v>
      </c>
      <c r="F35" s="22">
        <v>2220110000</v>
      </c>
      <c r="G35" s="22" t="s">
        <v>538</v>
      </c>
      <c r="L35" s="21" t="s">
        <v>214</v>
      </c>
      <c r="M35" s="21">
        <v>2110530000</v>
      </c>
      <c r="N35" s="21">
        <v>2110900000</v>
      </c>
      <c r="O35" s="21">
        <v>2111250000</v>
      </c>
      <c r="P35" s="21"/>
    </row>
    <row r="36" spans="1:16" x14ac:dyDescent="0.2">
      <c r="A36" t="s">
        <v>542</v>
      </c>
      <c r="B36" t="s">
        <v>486</v>
      </c>
      <c r="D36" s="22" t="s">
        <v>34</v>
      </c>
      <c r="E36" s="22" t="s">
        <v>543</v>
      </c>
      <c r="F36" s="22">
        <v>2220120000</v>
      </c>
      <c r="G36" s="22" t="s">
        <v>538</v>
      </c>
      <c r="L36" s="21" t="s">
        <v>215</v>
      </c>
      <c r="M36" s="21">
        <v>2110520000</v>
      </c>
      <c r="N36" s="21">
        <v>2110900000</v>
      </c>
      <c r="O36" s="21">
        <v>2111250000</v>
      </c>
      <c r="P36" s="21"/>
    </row>
    <row r="37" spans="1:16" x14ac:dyDescent="0.2">
      <c r="A37" t="s">
        <v>544</v>
      </c>
      <c r="B37" t="s">
        <v>489</v>
      </c>
      <c r="D37" s="22" t="s">
        <v>35</v>
      </c>
      <c r="E37" s="22" t="s">
        <v>545</v>
      </c>
      <c r="F37" s="22">
        <v>2220130000</v>
      </c>
      <c r="G37" s="22" t="s">
        <v>538</v>
      </c>
      <c r="L37" s="21" t="s">
        <v>216</v>
      </c>
      <c r="M37" s="21">
        <v>2110800000</v>
      </c>
      <c r="N37" s="21">
        <v>2110900000</v>
      </c>
      <c r="O37" s="21">
        <v>2111280000</v>
      </c>
      <c r="P37" s="21"/>
    </row>
    <row r="38" spans="1:16" x14ac:dyDescent="0.2">
      <c r="A38" t="s">
        <v>546</v>
      </c>
      <c r="B38" t="s">
        <v>499</v>
      </c>
      <c r="D38" s="22" t="s">
        <v>36</v>
      </c>
      <c r="E38" s="22" t="s">
        <v>547</v>
      </c>
      <c r="F38" s="22">
        <v>2220141000</v>
      </c>
      <c r="G38" s="22" t="s">
        <v>526</v>
      </c>
      <c r="L38" s="21" t="s">
        <v>217</v>
      </c>
      <c r="M38" s="21">
        <v>2110820000</v>
      </c>
      <c r="N38" s="21">
        <v>2110900000</v>
      </c>
      <c r="O38" s="21">
        <v>2111280000</v>
      </c>
      <c r="P38" s="21"/>
    </row>
    <row r="39" spans="1:16" x14ac:dyDescent="0.2">
      <c r="A39" t="s">
        <v>548</v>
      </c>
      <c r="B39" t="s">
        <v>502</v>
      </c>
      <c r="D39" s="22" t="s">
        <v>37</v>
      </c>
      <c r="E39" s="22" t="s">
        <v>549</v>
      </c>
      <c r="F39" s="22">
        <v>2220142000</v>
      </c>
      <c r="G39" s="22" t="s">
        <v>526</v>
      </c>
      <c r="L39" s="21" t="s">
        <v>218</v>
      </c>
      <c r="M39" s="21">
        <v>2110810000</v>
      </c>
      <c r="N39" s="21">
        <v>2110900000</v>
      </c>
      <c r="O39" s="21">
        <v>2111280000</v>
      </c>
      <c r="P39" s="21"/>
    </row>
    <row r="40" spans="1:16" x14ac:dyDescent="0.2">
      <c r="A40" t="s">
        <v>550</v>
      </c>
      <c r="B40" t="s">
        <v>502</v>
      </c>
      <c r="D40" s="22" t="s">
        <v>38</v>
      </c>
      <c r="E40" s="22" t="s">
        <v>551</v>
      </c>
      <c r="F40" s="22">
        <v>2220200000</v>
      </c>
      <c r="G40" s="22" t="s">
        <v>529</v>
      </c>
      <c r="L40" s="21" t="s">
        <v>219</v>
      </c>
      <c r="M40" s="21">
        <v>2110100000</v>
      </c>
      <c r="N40" s="21">
        <v>2110900000</v>
      </c>
      <c r="O40" s="21">
        <v>2111210000</v>
      </c>
      <c r="P40" s="21"/>
    </row>
    <row r="41" spans="1:16" x14ac:dyDescent="0.2">
      <c r="A41" t="s">
        <v>552</v>
      </c>
      <c r="B41" t="s">
        <v>510</v>
      </c>
      <c r="D41" s="22" t="s">
        <v>39</v>
      </c>
      <c r="E41" s="22" t="s">
        <v>553</v>
      </c>
      <c r="F41" s="22">
        <v>2220311000</v>
      </c>
      <c r="G41" s="22" t="s">
        <v>452</v>
      </c>
      <c r="L41" s="21" t="s">
        <v>220</v>
      </c>
      <c r="M41" s="21">
        <v>2110300000</v>
      </c>
      <c r="N41" s="21">
        <v>2110900000</v>
      </c>
      <c r="O41" s="21">
        <v>2111230000</v>
      </c>
      <c r="P41" s="21"/>
    </row>
    <row r="42" spans="1:16" x14ac:dyDescent="0.2">
      <c r="A42" t="s">
        <v>554</v>
      </c>
      <c r="B42" t="s">
        <v>513</v>
      </c>
      <c r="D42" s="22" t="s">
        <v>40</v>
      </c>
      <c r="E42" s="22" t="s">
        <v>555</v>
      </c>
      <c r="F42" s="22">
        <v>2220314000</v>
      </c>
      <c r="G42" s="22" t="s">
        <v>447</v>
      </c>
      <c r="L42" s="21" t="s">
        <v>221</v>
      </c>
      <c r="M42" s="21">
        <v>2110400000</v>
      </c>
      <c r="N42" s="21">
        <v>2110900000</v>
      </c>
      <c r="O42" s="21">
        <v>2111240000</v>
      </c>
      <c r="P42" s="21"/>
    </row>
    <row r="43" spans="1:16" x14ac:dyDescent="0.2">
      <c r="A43" t="s">
        <v>556</v>
      </c>
      <c r="B43" t="s">
        <v>516</v>
      </c>
      <c r="D43" s="22" t="s">
        <v>41</v>
      </c>
      <c r="E43" s="22" t="s">
        <v>557</v>
      </c>
      <c r="F43" s="22">
        <v>2220315000</v>
      </c>
      <c r="G43" s="22" t="s">
        <v>459</v>
      </c>
      <c r="L43" s="21" t="s">
        <v>222</v>
      </c>
      <c r="M43" s="21">
        <v>2110500000</v>
      </c>
      <c r="N43" s="21">
        <v>2110900000</v>
      </c>
      <c r="O43" s="21">
        <v>2111250000</v>
      </c>
      <c r="P43" s="21"/>
    </row>
    <row r="44" spans="1:16" x14ac:dyDescent="0.2">
      <c r="A44" t="s">
        <v>558</v>
      </c>
      <c r="B44" t="s">
        <v>519</v>
      </c>
      <c r="D44" s="22" t="s">
        <v>42</v>
      </c>
      <c r="E44" s="22" t="s">
        <v>559</v>
      </c>
      <c r="F44" s="22">
        <v>2220316000</v>
      </c>
      <c r="G44" s="22" t="s">
        <v>455</v>
      </c>
      <c r="L44" s="21" t="s">
        <v>223</v>
      </c>
      <c r="M44" s="21">
        <v>2220100000</v>
      </c>
      <c r="N44" s="21">
        <v>2271000000</v>
      </c>
      <c r="O44" s="21"/>
      <c r="P44" s="21"/>
    </row>
    <row r="45" spans="1:16" x14ac:dyDescent="0.2">
      <c r="A45" t="s">
        <v>560</v>
      </c>
      <c r="B45" t="s">
        <v>522</v>
      </c>
      <c r="D45" s="22" t="s">
        <v>43</v>
      </c>
      <c r="E45" s="22" t="s">
        <v>561</v>
      </c>
      <c r="F45" s="22">
        <v>2220319000</v>
      </c>
      <c r="G45" s="22" t="s">
        <v>472</v>
      </c>
      <c r="L45" s="21" t="s">
        <v>224</v>
      </c>
      <c r="M45" s="21">
        <v>2220110000</v>
      </c>
      <c r="N45" s="21">
        <v>2271000000</v>
      </c>
      <c r="O45" s="21">
        <v>2280100000</v>
      </c>
      <c r="P45" s="21"/>
    </row>
    <row r="46" spans="1:16" x14ac:dyDescent="0.2">
      <c r="A46" t="s">
        <v>562</v>
      </c>
      <c r="B46" t="s">
        <v>525</v>
      </c>
      <c r="D46" s="22" t="s">
        <v>44</v>
      </c>
      <c r="E46" s="22" t="s">
        <v>563</v>
      </c>
      <c r="F46" s="22">
        <v>2220320100</v>
      </c>
      <c r="G46" s="22" t="s">
        <v>452</v>
      </c>
      <c r="L46" s="21" t="s">
        <v>225</v>
      </c>
      <c r="M46" s="21">
        <v>2220120000</v>
      </c>
      <c r="N46" s="21">
        <v>2271000000</v>
      </c>
      <c r="O46" s="21">
        <v>2280100000</v>
      </c>
      <c r="P46" s="21"/>
    </row>
    <row r="47" spans="1:16" x14ac:dyDescent="0.2">
      <c r="A47" t="s">
        <v>506</v>
      </c>
      <c r="B47" t="s">
        <v>528</v>
      </c>
      <c r="D47" s="22" t="s">
        <v>45</v>
      </c>
      <c r="E47" s="22" t="s">
        <v>564</v>
      </c>
      <c r="F47" s="22">
        <v>2220320600</v>
      </c>
      <c r="G47" s="22" t="s">
        <v>469</v>
      </c>
      <c r="L47" s="21" t="s">
        <v>226</v>
      </c>
      <c r="M47" s="21">
        <v>2220130000</v>
      </c>
      <c r="N47" s="21">
        <v>2271000000</v>
      </c>
      <c r="O47" s="21">
        <v>2280100000</v>
      </c>
      <c r="P47" s="21"/>
    </row>
    <row r="48" spans="1:16" x14ac:dyDescent="0.2">
      <c r="A48" t="s">
        <v>565</v>
      </c>
      <c r="B48" t="s">
        <v>484</v>
      </c>
      <c r="D48" s="22" t="s">
        <v>46</v>
      </c>
      <c r="E48" s="22" t="s">
        <v>566</v>
      </c>
      <c r="F48" s="22">
        <v>2220320700</v>
      </c>
      <c r="G48" s="22" t="s">
        <v>462</v>
      </c>
      <c r="L48" s="21" t="s">
        <v>227</v>
      </c>
      <c r="M48" s="21">
        <v>2220140000</v>
      </c>
      <c r="N48" s="21"/>
      <c r="O48" s="21">
        <v>2280100000</v>
      </c>
      <c r="P48" s="21"/>
    </row>
    <row r="49" spans="1:16" x14ac:dyDescent="0.2">
      <c r="A49" t="s">
        <v>567</v>
      </c>
      <c r="B49" t="s">
        <v>484</v>
      </c>
      <c r="D49" s="22" t="s">
        <v>47</v>
      </c>
      <c r="E49" s="22" t="s">
        <v>568</v>
      </c>
      <c r="F49" s="22">
        <v>2220320800</v>
      </c>
      <c r="G49" s="22" t="s">
        <v>466</v>
      </c>
      <c r="L49" s="21" t="s">
        <v>228</v>
      </c>
      <c r="M49" s="21">
        <v>2220141000</v>
      </c>
      <c r="N49" s="21">
        <v>2220141000</v>
      </c>
      <c r="O49" s="21">
        <v>2280100000</v>
      </c>
      <c r="P49" s="21"/>
    </row>
    <row r="50" spans="1:16" x14ac:dyDescent="0.2">
      <c r="A50" t="s">
        <v>442</v>
      </c>
      <c r="B50" t="s">
        <v>475</v>
      </c>
      <c r="D50" s="22" t="s">
        <v>48</v>
      </c>
      <c r="E50" s="22" t="s">
        <v>569</v>
      </c>
      <c r="F50" s="22">
        <v>2220321000</v>
      </c>
      <c r="G50" s="22" t="s">
        <v>472</v>
      </c>
      <c r="L50" s="21" t="s">
        <v>229</v>
      </c>
      <c r="M50" s="21">
        <v>2220142000</v>
      </c>
      <c r="N50" s="21"/>
      <c r="O50" s="21">
        <v>2280100000</v>
      </c>
      <c r="P50" s="21"/>
    </row>
    <row r="51" spans="1:16" x14ac:dyDescent="0.2">
      <c r="A51" s="22" t="s">
        <v>570</v>
      </c>
      <c r="B51" t="s">
        <v>471</v>
      </c>
      <c r="D51" s="22" t="s">
        <v>49</v>
      </c>
      <c r="E51" s="22" t="s">
        <v>571</v>
      </c>
      <c r="F51" s="22">
        <v>2220410000</v>
      </c>
      <c r="G51" s="22" t="s">
        <v>442</v>
      </c>
      <c r="L51" s="23" t="s">
        <v>230</v>
      </c>
      <c r="M51" s="23">
        <v>2220210000</v>
      </c>
      <c r="N51" s="23">
        <v>2271000000</v>
      </c>
      <c r="O51" s="23">
        <v>2280200000</v>
      </c>
      <c r="P51" s="21"/>
    </row>
    <row r="52" spans="1:16" x14ac:dyDescent="0.2">
      <c r="A52" s="22" t="s">
        <v>572</v>
      </c>
      <c r="B52" t="s">
        <v>471</v>
      </c>
      <c r="D52" s="22" t="s">
        <v>50</v>
      </c>
      <c r="E52" s="22" t="s">
        <v>573</v>
      </c>
      <c r="F52" s="22">
        <v>2220420000</v>
      </c>
      <c r="G52" s="22" t="s">
        <v>474</v>
      </c>
      <c r="L52" s="23" t="s">
        <v>231</v>
      </c>
      <c r="M52" s="23">
        <v>2220300000</v>
      </c>
      <c r="N52" s="23">
        <v>2270100000</v>
      </c>
      <c r="O52" s="23"/>
      <c r="P52" s="21"/>
    </row>
    <row r="53" spans="1:16" x14ac:dyDescent="0.2">
      <c r="D53" s="22" t="s">
        <v>51</v>
      </c>
      <c r="E53" s="22" t="s">
        <v>574</v>
      </c>
      <c r="F53" s="22">
        <v>2220430000</v>
      </c>
      <c r="G53" s="22" t="s">
        <v>474</v>
      </c>
      <c r="L53" s="23" t="s">
        <v>232</v>
      </c>
      <c r="M53" s="23">
        <v>2220310000</v>
      </c>
      <c r="N53" s="23">
        <v>2270100000</v>
      </c>
      <c r="O53" s="23"/>
      <c r="P53" s="21"/>
    </row>
    <row r="54" spans="1:16" x14ac:dyDescent="0.2">
      <c r="D54" s="22" t="s">
        <v>52</v>
      </c>
      <c r="E54" s="22" t="s">
        <v>575</v>
      </c>
      <c r="F54" s="22">
        <v>2220510000</v>
      </c>
      <c r="G54" s="22" t="s">
        <v>477</v>
      </c>
      <c r="L54" s="23" t="s">
        <v>233</v>
      </c>
      <c r="M54" s="23">
        <v>2220315000</v>
      </c>
      <c r="N54" s="23">
        <v>2270100000</v>
      </c>
      <c r="O54" s="23">
        <v>2280300000</v>
      </c>
      <c r="P54" s="21"/>
    </row>
    <row r="55" spans="1:16" x14ac:dyDescent="0.2">
      <c r="D55" s="22" t="s">
        <v>53</v>
      </c>
      <c r="E55" s="22" t="s">
        <v>576</v>
      </c>
      <c r="F55" s="22">
        <v>2220520000</v>
      </c>
      <c r="G55" s="22" t="s">
        <v>480</v>
      </c>
      <c r="L55" s="23" t="s">
        <v>234</v>
      </c>
      <c r="M55" s="23">
        <v>2220220000</v>
      </c>
      <c r="N55" s="23">
        <v>2271000000</v>
      </c>
      <c r="O55" s="23">
        <v>2280200000</v>
      </c>
      <c r="P55" s="21"/>
    </row>
    <row r="56" spans="1:16" x14ac:dyDescent="0.2">
      <c r="A56" s="3"/>
      <c r="D56" s="22" t="s">
        <v>54</v>
      </c>
      <c r="E56" s="22" t="s">
        <v>577</v>
      </c>
      <c r="F56" s="22">
        <v>2220610000</v>
      </c>
      <c r="G56" s="22" t="s">
        <v>540</v>
      </c>
      <c r="L56" s="21" t="s">
        <v>235</v>
      </c>
      <c r="M56" s="21">
        <v>2220311000</v>
      </c>
      <c r="N56" s="21">
        <v>2270100000</v>
      </c>
      <c r="O56" s="21">
        <v>2280300000</v>
      </c>
      <c r="P56" s="21"/>
    </row>
    <row r="57" spans="1:16" x14ac:dyDescent="0.2">
      <c r="A57" s="3"/>
      <c r="D57" s="22" t="s">
        <v>55</v>
      </c>
      <c r="E57" s="22" t="s">
        <v>578</v>
      </c>
      <c r="F57" s="22">
        <v>2220620000</v>
      </c>
      <c r="G57" s="22" t="s">
        <v>540</v>
      </c>
      <c r="L57" s="21" t="s">
        <v>236</v>
      </c>
      <c r="M57" s="21">
        <v>2220314000</v>
      </c>
      <c r="N57" s="21">
        <v>2270100000</v>
      </c>
      <c r="O57" s="21">
        <v>2280300000</v>
      </c>
      <c r="P57" s="21"/>
    </row>
    <row r="58" spans="1:16" x14ac:dyDescent="0.2">
      <c r="A58" s="3"/>
      <c r="D58" s="22" t="s">
        <v>56</v>
      </c>
      <c r="E58" s="22" t="s">
        <v>579</v>
      </c>
      <c r="F58" s="22">
        <v>2220630000</v>
      </c>
      <c r="G58" s="22" t="s">
        <v>540</v>
      </c>
      <c r="L58" s="21" t="s">
        <v>237</v>
      </c>
      <c r="M58" s="21">
        <v>2220319000</v>
      </c>
      <c r="N58" s="21">
        <v>2270100000</v>
      </c>
      <c r="O58" s="21">
        <v>2280300000</v>
      </c>
      <c r="P58" s="21"/>
    </row>
    <row r="59" spans="1:16" x14ac:dyDescent="0.2">
      <c r="A59" s="3"/>
      <c r="D59" s="22" t="s">
        <v>57</v>
      </c>
      <c r="E59" s="22" t="s">
        <v>580</v>
      </c>
      <c r="F59" s="22">
        <v>2220710000</v>
      </c>
      <c r="G59" s="22" t="s">
        <v>542</v>
      </c>
      <c r="L59" s="21" t="s">
        <v>238</v>
      </c>
      <c r="M59" s="21">
        <v>2220313000</v>
      </c>
      <c r="N59" s="21">
        <v>2270100000</v>
      </c>
      <c r="O59" s="21">
        <v>2280300000</v>
      </c>
      <c r="P59" s="21"/>
    </row>
    <row r="60" spans="1:16" x14ac:dyDescent="0.2">
      <c r="D60" s="22" t="s">
        <v>58</v>
      </c>
      <c r="E60" s="22" t="s">
        <v>581</v>
      </c>
      <c r="F60" s="22">
        <v>2220720000</v>
      </c>
      <c r="G60" s="22" t="s">
        <v>542</v>
      </c>
      <c r="L60" s="21" t="s">
        <v>239</v>
      </c>
      <c r="M60" s="21">
        <v>2220316000</v>
      </c>
      <c r="N60" s="21">
        <v>2270100000</v>
      </c>
      <c r="O60" s="21">
        <v>2280300000</v>
      </c>
      <c r="P60" s="21"/>
    </row>
    <row r="61" spans="1:16" x14ac:dyDescent="0.2">
      <c r="D61" s="22" t="s">
        <v>59</v>
      </c>
      <c r="E61" s="22" t="s">
        <v>582</v>
      </c>
      <c r="F61" s="22">
        <v>2220800000</v>
      </c>
      <c r="G61" s="22" t="s">
        <v>544</v>
      </c>
      <c r="L61" s="21" t="s">
        <v>240</v>
      </c>
      <c r="M61" s="21">
        <v>2220318000</v>
      </c>
      <c r="N61" s="21">
        <v>2270100000</v>
      </c>
      <c r="O61" s="21">
        <v>2280300000</v>
      </c>
      <c r="P61" s="21"/>
    </row>
    <row r="62" spans="1:16" x14ac:dyDescent="0.2">
      <c r="D62" s="22" t="s">
        <v>60</v>
      </c>
      <c r="E62" s="22" t="s">
        <v>583</v>
      </c>
      <c r="F62" s="22">
        <v>2220911000</v>
      </c>
      <c r="G62" s="22" t="s">
        <v>565</v>
      </c>
      <c r="L62" s="21" t="s">
        <v>241</v>
      </c>
      <c r="M62" s="21">
        <v>2220317000</v>
      </c>
      <c r="N62" s="21">
        <v>2270100000</v>
      </c>
      <c r="O62" s="21">
        <v>2280300000</v>
      </c>
      <c r="P62" s="21"/>
    </row>
    <row r="63" spans="1:16" x14ac:dyDescent="0.2">
      <c r="D63" s="22" t="s">
        <v>61</v>
      </c>
      <c r="E63" s="22" t="s">
        <v>584</v>
      </c>
      <c r="F63" s="22">
        <v>2220912000</v>
      </c>
      <c r="G63" s="22" t="s">
        <v>567</v>
      </c>
      <c r="L63" s="21" t="s">
        <v>242</v>
      </c>
      <c r="M63" s="21">
        <v>2220312000</v>
      </c>
      <c r="N63" s="21">
        <v>2270100000</v>
      </c>
      <c r="O63" s="21">
        <v>2280300000</v>
      </c>
      <c r="P63" s="21"/>
    </row>
    <row r="64" spans="1:16" x14ac:dyDescent="0.2">
      <c r="D64" s="22" t="s">
        <v>62</v>
      </c>
      <c r="E64" s="22" t="s">
        <v>585</v>
      </c>
      <c r="F64" s="22">
        <v>2220913000</v>
      </c>
      <c r="G64" s="22" t="s">
        <v>483</v>
      </c>
      <c r="L64" s="21" t="s">
        <v>243</v>
      </c>
      <c r="M64" s="21">
        <v>2220320000</v>
      </c>
      <c r="N64" s="21">
        <v>2270100000</v>
      </c>
      <c r="O64" s="21"/>
      <c r="P64" s="21"/>
    </row>
    <row r="65" spans="4:16" x14ac:dyDescent="0.2">
      <c r="D65" s="22" t="s">
        <v>63</v>
      </c>
      <c r="E65" s="22" t="s">
        <v>586</v>
      </c>
      <c r="F65" s="22">
        <v>2220920000</v>
      </c>
      <c r="G65" s="22" t="s">
        <v>487</v>
      </c>
      <c r="L65" s="21" t="s">
        <v>244</v>
      </c>
      <c r="M65" s="21">
        <v>2220320800</v>
      </c>
      <c r="N65" s="21">
        <v>2270100000</v>
      </c>
      <c r="O65" s="21">
        <v>2280300000</v>
      </c>
      <c r="P65" s="21"/>
    </row>
    <row r="66" spans="4:16" x14ac:dyDescent="0.2">
      <c r="D66" s="22" t="s">
        <v>64</v>
      </c>
      <c r="E66" s="22" t="s">
        <v>587</v>
      </c>
      <c r="F66" s="22">
        <v>2220930000</v>
      </c>
      <c r="G66" s="22" t="s">
        <v>490</v>
      </c>
      <c r="L66" s="21" t="s">
        <v>245</v>
      </c>
      <c r="M66" s="21">
        <v>2220320700</v>
      </c>
      <c r="N66" s="21">
        <v>2270100000</v>
      </c>
      <c r="O66" s="21">
        <v>2280300000</v>
      </c>
      <c r="P66" s="21"/>
    </row>
    <row r="67" spans="4:16" x14ac:dyDescent="0.2">
      <c r="D67" s="22" t="s">
        <v>65</v>
      </c>
      <c r="E67" s="22" t="s">
        <v>588</v>
      </c>
      <c r="F67" s="22">
        <v>2221110000</v>
      </c>
      <c r="G67" s="22" t="s">
        <v>500</v>
      </c>
      <c r="L67" s="21" t="s">
        <v>246</v>
      </c>
      <c r="M67" s="21">
        <v>2220320600</v>
      </c>
      <c r="N67" s="21">
        <v>2270100000</v>
      </c>
      <c r="O67" s="21">
        <v>2280300000</v>
      </c>
      <c r="P67" s="21"/>
    </row>
    <row r="68" spans="4:16" x14ac:dyDescent="0.2">
      <c r="D68" s="22" t="s">
        <v>66</v>
      </c>
      <c r="E68" s="22" t="s">
        <v>589</v>
      </c>
      <c r="F68" s="22">
        <v>2221120000</v>
      </c>
      <c r="G68" s="22" t="s">
        <v>496</v>
      </c>
      <c r="L68" s="21" t="s">
        <v>247</v>
      </c>
      <c r="M68" s="21">
        <v>2220320100</v>
      </c>
      <c r="N68" s="21">
        <v>2270100000</v>
      </c>
      <c r="O68" s="21">
        <v>2280300000</v>
      </c>
      <c r="P68" s="21"/>
    </row>
    <row r="69" spans="4:16" x14ac:dyDescent="0.2">
      <c r="D69" s="22" t="s">
        <v>67</v>
      </c>
      <c r="E69" s="22" t="s">
        <v>590</v>
      </c>
      <c r="F69" s="22">
        <v>2221130000</v>
      </c>
      <c r="G69" s="22" t="s">
        <v>492</v>
      </c>
      <c r="L69" s="21" t="s">
        <v>248</v>
      </c>
      <c r="M69" s="21">
        <v>2220321000</v>
      </c>
      <c r="N69" s="21">
        <v>2270100000</v>
      </c>
      <c r="O69" s="21">
        <v>2280300000</v>
      </c>
      <c r="P69" s="21"/>
    </row>
    <row r="70" spans="4:16" x14ac:dyDescent="0.2">
      <c r="D70" s="22" t="s">
        <v>68</v>
      </c>
      <c r="E70" s="22" t="s">
        <v>591</v>
      </c>
      <c r="F70" s="22">
        <v>2221200000</v>
      </c>
      <c r="G70" s="22" t="s">
        <v>546</v>
      </c>
      <c r="L70" s="21" t="s">
        <v>249</v>
      </c>
      <c r="M70" s="21">
        <v>2220320200</v>
      </c>
      <c r="N70" s="21">
        <v>2270100000</v>
      </c>
      <c r="O70" s="21">
        <v>2280300000</v>
      </c>
      <c r="P70" s="21"/>
    </row>
    <row r="71" spans="4:16" x14ac:dyDescent="0.2">
      <c r="D71" s="22" t="s">
        <v>69</v>
      </c>
      <c r="E71" s="22" t="s">
        <v>592</v>
      </c>
      <c r="F71" s="22">
        <v>2221401000</v>
      </c>
      <c r="G71" s="22" t="s">
        <v>550</v>
      </c>
      <c r="L71" s="21" t="s">
        <v>250</v>
      </c>
      <c r="M71" s="21">
        <v>2220320300</v>
      </c>
      <c r="N71" s="21">
        <v>2270100000</v>
      </c>
      <c r="O71" s="21">
        <v>2280300000</v>
      </c>
      <c r="P71" s="21"/>
    </row>
    <row r="72" spans="4:16" x14ac:dyDescent="0.2">
      <c r="D72" s="22" t="s">
        <v>70</v>
      </c>
      <c r="E72" s="22" t="s">
        <v>593</v>
      </c>
      <c r="F72" s="22">
        <v>2221402000</v>
      </c>
      <c r="G72" s="22" t="s">
        <v>550</v>
      </c>
      <c r="L72" s="21" t="s">
        <v>251</v>
      </c>
      <c r="M72" s="21">
        <v>2220320400</v>
      </c>
      <c r="N72" s="21">
        <v>2270100000</v>
      </c>
      <c r="O72" s="21">
        <v>2280300000</v>
      </c>
      <c r="P72" s="21"/>
    </row>
    <row r="73" spans="4:16" x14ac:dyDescent="0.2">
      <c r="D73" s="22" t="s">
        <v>71</v>
      </c>
      <c r="E73" s="22" t="s">
        <v>594</v>
      </c>
      <c r="F73" s="22">
        <v>2221403000</v>
      </c>
      <c r="G73" s="22" t="s">
        <v>550</v>
      </c>
      <c r="L73" s="21" t="s">
        <v>252</v>
      </c>
      <c r="M73" s="21">
        <v>2220320500</v>
      </c>
      <c r="N73" s="21">
        <v>2270100000</v>
      </c>
      <c r="O73" s="21">
        <v>2280300000</v>
      </c>
      <c r="P73" s="21"/>
    </row>
    <row r="74" spans="4:16" x14ac:dyDescent="0.2">
      <c r="D74" s="22" t="s">
        <v>72</v>
      </c>
      <c r="E74" s="22" t="s">
        <v>595</v>
      </c>
      <c r="F74" s="22">
        <v>2221404000</v>
      </c>
      <c r="G74" s="22" t="s">
        <v>550</v>
      </c>
      <c r="L74" s="21" t="s">
        <v>253</v>
      </c>
      <c r="M74" s="21">
        <v>2220400000</v>
      </c>
      <c r="N74" s="21">
        <v>2270200000</v>
      </c>
      <c r="O74" s="21"/>
      <c r="P74" s="21"/>
    </row>
    <row r="75" spans="4:16" x14ac:dyDescent="0.2">
      <c r="D75" s="22" t="s">
        <v>73</v>
      </c>
      <c r="E75" s="22" t="s">
        <v>596</v>
      </c>
      <c r="F75" s="22">
        <v>2221405000</v>
      </c>
      <c r="G75" s="22" t="s">
        <v>550</v>
      </c>
      <c r="L75" s="21" t="s">
        <v>254</v>
      </c>
      <c r="M75" s="21">
        <v>2220420000</v>
      </c>
      <c r="N75" s="21">
        <v>2270200000</v>
      </c>
      <c r="O75" s="21">
        <v>2280400000</v>
      </c>
      <c r="P75" s="21"/>
    </row>
    <row r="76" spans="4:16" x14ac:dyDescent="0.2">
      <c r="D76" s="22" t="s">
        <v>74</v>
      </c>
      <c r="E76" s="22" t="s">
        <v>597</v>
      </c>
      <c r="F76" s="22">
        <v>2221406000</v>
      </c>
      <c r="G76" s="22" t="s">
        <v>550</v>
      </c>
      <c r="L76" s="21" t="s">
        <v>255</v>
      </c>
      <c r="M76" s="21">
        <v>2220420000</v>
      </c>
      <c r="N76" s="21">
        <v>2270200000</v>
      </c>
      <c r="O76" s="21">
        <v>2280400000</v>
      </c>
      <c r="P76" s="21"/>
    </row>
    <row r="77" spans="4:16" x14ac:dyDescent="0.2">
      <c r="D77" s="22" t="s">
        <v>75</v>
      </c>
      <c r="E77" s="22" t="s">
        <v>598</v>
      </c>
      <c r="F77" s="22">
        <v>2221407000</v>
      </c>
      <c r="G77" s="22" t="s">
        <v>550</v>
      </c>
      <c r="L77" s="21" t="s">
        <v>256</v>
      </c>
      <c r="M77" s="21">
        <v>2220410000</v>
      </c>
      <c r="N77" s="21">
        <v>2270200000</v>
      </c>
      <c r="O77" s="21">
        <v>2280400000</v>
      </c>
      <c r="P77" s="21"/>
    </row>
    <row r="78" spans="4:16" x14ac:dyDescent="0.2">
      <c r="D78" s="22" t="s">
        <v>76</v>
      </c>
      <c r="E78" s="22" t="s">
        <v>599</v>
      </c>
      <c r="F78" s="22">
        <v>2221408000</v>
      </c>
      <c r="G78" s="22" t="s">
        <v>550</v>
      </c>
      <c r="L78" s="21" t="s">
        <v>257</v>
      </c>
      <c r="M78" s="21">
        <v>2220500000</v>
      </c>
      <c r="N78" s="21">
        <v>2270300000</v>
      </c>
      <c r="O78" s="21"/>
      <c r="P78" s="21"/>
    </row>
    <row r="79" spans="4:16" x14ac:dyDescent="0.2">
      <c r="D79" s="22" t="s">
        <v>77</v>
      </c>
      <c r="E79" s="22" t="s">
        <v>600</v>
      </c>
      <c r="F79" s="22">
        <v>2221409000</v>
      </c>
      <c r="G79" s="22" t="s">
        <v>550</v>
      </c>
      <c r="L79" s="21" t="s">
        <v>258</v>
      </c>
      <c r="M79" s="21">
        <v>2220510000</v>
      </c>
      <c r="N79" s="21">
        <v>2270300000</v>
      </c>
      <c r="O79" s="21">
        <v>2280500000</v>
      </c>
      <c r="P79" s="21"/>
    </row>
    <row r="80" spans="4:16" x14ac:dyDescent="0.2">
      <c r="D80" s="22" t="s">
        <v>78</v>
      </c>
      <c r="E80" s="22" t="s">
        <v>601</v>
      </c>
      <c r="F80" s="22">
        <v>2221410000</v>
      </c>
      <c r="G80" s="22" t="s">
        <v>550</v>
      </c>
      <c r="L80" s="21" t="s">
        <v>259</v>
      </c>
      <c r="M80" s="21">
        <v>2220520000</v>
      </c>
      <c r="N80" s="21">
        <v>2270300000</v>
      </c>
      <c r="O80" s="21">
        <v>2280500000</v>
      </c>
      <c r="P80" s="21"/>
    </row>
    <row r="81" spans="4:16" x14ac:dyDescent="0.2">
      <c r="D81" s="22" t="s">
        <v>79</v>
      </c>
      <c r="E81" s="22" t="s">
        <v>602</v>
      </c>
      <c r="F81" s="22">
        <v>2221411000</v>
      </c>
      <c r="G81" s="22" t="s">
        <v>550</v>
      </c>
      <c r="L81" s="21" t="s">
        <v>260</v>
      </c>
      <c r="M81" s="21">
        <v>2220600000</v>
      </c>
      <c r="N81" s="21">
        <v>2271000000</v>
      </c>
      <c r="O81" s="21"/>
      <c r="P81" s="21"/>
    </row>
    <row r="82" spans="4:16" x14ac:dyDescent="0.2">
      <c r="D82" s="22" t="s">
        <v>80</v>
      </c>
      <c r="E82" s="22" t="s">
        <v>603</v>
      </c>
      <c r="F82" s="22">
        <v>2220320900</v>
      </c>
      <c r="G82" s="22" t="s">
        <v>548</v>
      </c>
      <c r="L82" s="21" t="s">
        <v>261</v>
      </c>
      <c r="M82" s="21">
        <v>2220610000</v>
      </c>
      <c r="N82" s="21">
        <v>2271000000</v>
      </c>
      <c r="O82" s="21">
        <v>2280600000</v>
      </c>
      <c r="P82" s="21"/>
    </row>
    <row r="83" spans="4:16" x14ac:dyDescent="0.2">
      <c r="D83" s="22" t="s">
        <v>81</v>
      </c>
      <c r="E83" s="22" t="s">
        <v>604</v>
      </c>
      <c r="F83" s="22">
        <v>2221516000</v>
      </c>
      <c r="G83" s="22" t="s">
        <v>550</v>
      </c>
      <c r="L83" s="21" t="s">
        <v>262</v>
      </c>
      <c r="M83" s="21">
        <v>2220620000</v>
      </c>
      <c r="N83" s="21">
        <v>2271000000</v>
      </c>
      <c r="O83" s="21">
        <v>2280600000</v>
      </c>
      <c r="P83" s="21"/>
    </row>
    <row r="84" spans="4:16" x14ac:dyDescent="0.2">
      <c r="D84" s="22" t="s">
        <v>82</v>
      </c>
      <c r="E84" s="22" t="s">
        <v>605</v>
      </c>
      <c r="F84" s="22">
        <v>2221412000</v>
      </c>
      <c r="G84" s="22" t="s">
        <v>550</v>
      </c>
      <c r="L84" s="21" t="s">
        <v>263</v>
      </c>
      <c r="M84" s="21">
        <v>2220630000</v>
      </c>
      <c r="N84" s="21">
        <v>2271000000</v>
      </c>
      <c r="O84" s="21">
        <v>2280600000</v>
      </c>
      <c r="P84" s="21"/>
    </row>
    <row r="85" spans="4:16" x14ac:dyDescent="0.2">
      <c r="D85" s="22" t="s">
        <v>83</v>
      </c>
      <c r="E85" s="22" t="s">
        <v>606</v>
      </c>
      <c r="F85" s="22">
        <v>2221502000</v>
      </c>
      <c r="G85" s="22" t="s">
        <v>507</v>
      </c>
      <c r="L85" s="21" t="s">
        <v>264</v>
      </c>
      <c r="M85" s="21">
        <v>2220710000</v>
      </c>
      <c r="N85" s="21">
        <v>2271000000</v>
      </c>
      <c r="O85" s="21">
        <v>2280700000</v>
      </c>
      <c r="P85" s="21"/>
    </row>
    <row r="86" spans="4:16" x14ac:dyDescent="0.2">
      <c r="D86" s="22" t="s">
        <v>84</v>
      </c>
      <c r="E86" s="22" t="s">
        <v>607</v>
      </c>
      <c r="F86" s="22">
        <v>2221504000</v>
      </c>
      <c r="G86" s="22" t="s">
        <v>520</v>
      </c>
      <c r="L86" s="21" t="s">
        <v>265</v>
      </c>
      <c r="M86" s="21">
        <v>2220700000</v>
      </c>
      <c r="N86" s="21">
        <v>2271000000</v>
      </c>
      <c r="O86" s="21"/>
      <c r="P86" s="21"/>
    </row>
    <row r="87" spans="4:16" x14ac:dyDescent="0.2">
      <c r="D87" s="22" t="s">
        <v>85</v>
      </c>
      <c r="E87" s="22" t="s">
        <v>608</v>
      </c>
      <c r="F87" s="22">
        <v>2221505000</v>
      </c>
      <c r="G87" s="22" t="s">
        <v>520</v>
      </c>
      <c r="L87" s="21" t="s">
        <v>266</v>
      </c>
      <c r="M87" s="21">
        <v>2220720000</v>
      </c>
      <c r="N87" s="21">
        <v>2271000000</v>
      </c>
      <c r="O87" s="21">
        <v>2280700000</v>
      </c>
      <c r="P87" s="21"/>
    </row>
    <row r="88" spans="4:16" x14ac:dyDescent="0.2">
      <c r="D88" s="22" t="s">
        <v>86</v>
      </c>
      <c r="E88" s="22" t="s">
        <v>609</v>
      </c>
      <c r="F88" s="22">
        <v>2221506000</v>
      </c>
      <c r="G88" s="22" t="s">
        <v>517</v>
      </c>
      <c r="L88" s="21" t="s">
        <v>267</v>
      </c>
      <c r="M88" s="21">
        <v>2220800000</v>
      </c>
      <c r="N88" s="21">
        <v>2270500000</v>
      </c>
      <c r="O88" s="21">
        <v>2280800000</v>
      </c>
      <c r="P88" s="21"/>
    </row>
    <row r="89" spans="4:16" x14ac:dyDescent="0.2">
      <c r="D89" s="22" t="s">
        <v>87</v>
      </c>
      <c r="E89" s="22" t="s">
        <v>610</v>
      </c>
      <c r="F89" s="22">
        <v>2221507000</v>
      </c>
      <c r="G89" s="22" t="s">
        <v>520</v>
      </c>
      <c r="L89" s="21" t="s">
        <v>268</v>
      </c>
      <c r="M89" s="21">
        <v>2220900000</v>
      </c>
      <c r="N89" s="21">
        <v>2270600000</v>
      </c>
      <c r="O89" s="21"/>
      <c r="P89" s="21"/>
    </row>
    <row r="90" spans="4:16" x14ac:dyDescent="0.2">
      <c r="D90" s="22" t="s">
        <v>88</v>
      </c>
      <c r="E90" s="22" t="s">
        <v>611</v>
      </c>
      <c r="F90" s="22">
        <v>2221511000</v>
      </c>
      <c r="G90" s="22" t="s">
        <v>520</v>
      </c>
      <c r="L90" s="21" t="s">
        <v>269</v>
      </c>
      <c r="M90" s="21">
        <v>2220910000</v>
      </c>
      <c r="N90" s="21">
        <v>2270600000</v>
      </c>
      <c r="O90" s="21"/>
      <c r="P90" s="21"/>
    </row>
    <row r="91" spans="4:16" x14ac:dyDescent="0.2">
      <c r="D91" s="22" t="s">
        <v>89</v>
      </c>
      <c r="E91" s="22" t="s">
        <v>612</v>
      </c>
      <c r="F91" s="22">
        <v>2221513000</v>
      </c>
      <c r="G91" s="22" t="s">
        <v>514</v>
      </c>
      <c r="L91" s="21" t="s">
        <v>270</v>
      </c>
      <c r="M91" s="21">
        <v>2220911000</v>
      </c>
      <c r="N91" s="21">
        <v>2270600000</v>
      </c>
      <c r="O91" s="21">
        <v>2280900000</v>
      </c>
      <c r="P91" s="21"/>
    </row>
    <row r="92" spans="4:16" x14ac:dyDescent="0.2">
      <c r="D92" s="22" t="s">
        <v>90</v>
      </c>
      <c r="E92" s="22" t="s">
        <v>613</v>
      </c>
      <c r="F92" s="22">
        <v>2221517010</v>
      </c>
      <c r="G92" s="22" t="s">
        <v>511</v>
      </c>
      <c r="L92" s="21" t="s">
        <v>271</v>
      </c>
      <c r="M92" s="21">
        <v>2220920000</v>
      </c>
      <c r="N92" s="21">
        <v>2270600000</v>
      </c>
      <c r="O92" s="21">
        <v>2280900000</v>
      </c>
      <c r="P92" s="21"/>
    </row>
    <row r="93" spans="4:16" x14ac:dyDescent="0.2">
      <c r="D93" s="22" t="s">
        <v>91</v>
      </c>
      <c r="E93" s="22" t="s">
        <v>614</v>
      </c>
      <c r="F93" s="22">
        <v>2221517020</v>
      </c>
      <c r="G93" s="22" t="s">
        <v>520</v>
      </c>
      <c r="L93" s="21" t="s">
        <v>272</v>
      </c>
      <c r="M93" s="21">
        <v>2220930000</v>
      </c>
      <c r="N93" s="21">
        <v>2270600000</v>
      </c>
      <c r="O93" s="21">
        <v>2280900000</v>
      </c>
      <c r="P93" s="21"/>
    </row>
    <row r="94" spans="4:16" x14ac:dyDescent="0.2">
      <c r="D94" s="22" t="s">
        <v>92</v>
      </c>
      <c r="E94" s="22" t="s">
        <v>615</v>
      </c>
      <c r="F94" s="22">
        <v>2221517030</v>
      </c>
      <c r="G94" s="22" t="s">
        <v>520</v>
      </c>
      <c r="L94" s="21" t="s">
        <v>273</v>
      </c>
      <c r="M94" s="21">
        <v>2220913000</v>
      </c>
      <c r="N94" s="21">
        <v>2270600000</v>
      </c>
      <c r="O94" s="21">
        <v>2280900000</v>
      </c>
      <c r="P94" s="21"/>
    </row>
    <row r="95" spans="4:16" x14ac:dyDescent="0.2">
      <c r="D95" s="22" t="s">
        <v>93</v>
      </c>
      <c r="E95" s="22" t="s">
        <v>616</v>
      </c>
      <c r="F95" s="22">
        <v>2221517040</v>
      </c>
      <c r="G95" s="22" t="s">
        <v>523</v>
      </c>
      <c r="L95" s="21" t="s">
        <v>274</v>
      </c>
      <c r="M95" s="21">
        <v>2220912000</v>
      </c>
      <c r="N95" s="21">
        <v>2270600000</v>
      </c>
      <c r="O95" s="21">
        <v>2280900000</v>
      </c>
      <c r="P95" s="21"/>
    </row>
    <row r="96" spans="4:16" x14ac:dyDescent="0.2">
      <c r="D96" s="22" t="s">
        <v>94</v>
      </c>
      <c r="E96" s="22" t="s">
        <v>617</v>
      </c>
      <c r="F96" s="22">
        <v>2221517050</v>
      </c>
      <c r="G96" s="22" t="s">
        <v>520</v>
      </c>
      <c r="L96" s="21" t="s">
        <v>275</v>
      </c>
      <c r="M96" s="21">
        <v>2220913000</v>
      </c>
      <c r="N96" s="21">
        <v>2270600000</v>
      </c>
      <c r="O96" s="21">
        <v>2280900000</v>
      </c>
      <c r="P96" s="21"/>
    </row>
    <row r="97" spans="4:16" x14ac:dyDescent="0.2">
      <c r="D97" s="22" t="s">
        <v>95</v>
      </c>
      <c r="E97" s="22" t="s">
        <v>618</v>
      </c>
      <c r="F97" s="22">
        <v>2221517060</v>
      </c>
      <c r="G97" s="22" t="s">
        <v>520</v>
      </c>
      <c r="L97" s="21" t="s">
        <v>276</v>
      </c>
      <c r="M97" s="21">
        <v>2221000000</v>
      </c>
      <c r="N97" s="21">
        <v>2270700000</v>
      </c>
      <c r="O97" s="21">
        <v>2281000000</v>
      </c>
      <c r="P97" s="21"/>
    </row>
    <row r="98" spans="4:16" x14ac:dyDescent="0.2">
      <c r="D98" s="22" t="s">
        <v>96</v>
      </c>
      <c r="E98" s="22" t="s">
        <v>619</v>
      </c>
      <c r="F98" s="22">
        <v>2221517070</v>
      </c>
      <c r="G98" s="22" t="s">
        <v>520</v>
      </c>
      <c r="L98" s="21" t="s">
        <v>277</v>
      </c>
      <c r="M98" s="21">
        <v>2221100000</v>
      </c>
      <c r="N98" s="21">
        <v>2270800000</v>
      </c>
      <c r="O98" s="21"/>
      <c r="P98" s="21"/>
    </row>
    <row r="99" spans="4:16" x14ac:dyDescent="0.2">
      <c r="D99" s="22" t="s">
        <v>97</v>
      </c>
      <c r="E99" s="22" t="s">
        <v>620</v>
      </c>
      <c r="F99" s="22">
        <v>2221517080</v>
      </c>
      <c r="G99" s="22" t="s">
        <v>520</v>
      </c>
      <c r="L99" s="21" t="s">
        <v>278</v>
      </c>
      <c r="M99" s="21">
        <v>2221130000</v>
      </c>
      <c r="N99" s="21">
        <v>2270800000</v>
      </c>
      <c r="O99" s="21">
        <v>2281100000</v>
      </c>
      <c r="P99" s="21"/>
    </row>
    <row r="100" spans="4:16" x14ac:dyDescent="0.2">
      <c r="D100" s="22" t="s">
        <v>98</v>
      </c>
      <c r="E100" s="22" t="s">
        <v>621</v>
      </c>
      <c r="F100" s="22">
        <v>2221517090</v>
      </c>
      <c r="G100" s="22" t="s">
        <v>520</v>
      </c>
      <c r="L100" s="21" t="s">
        <v>279</v>
      </c>
      <c r="M100" s="21">
        <v>2221120000</v>
      </c>
      <c r="N100" s="21">
        <v>2270800000</v>
      </c>
      <c r="O100" s="21">
        <v>2281100000</v>
      </c>
      <c r="P100" s="21"/>
    </row>
    <row r="101" spans="4:16" x14ac:dyDescent="0.2">
      <c r="D101" s="22" t="s">
        <v>99</v>
      </c>
      <c r="E101" s="22" t="s">
        <v>622</v>
      </c>
      <c r="F101" s="22">
        <v>2221517100</v>
      </c>
      <c r="G101" s="22" t="s">
        <v>520</v>
      </c>
      <c r="L101" s="21" t="s">
        <v>280</v>
      </c>
      <c r="M101" s="21">
        <v>2221110000</v>
      </c>
      <c r="N101" s="21">
        <v>2270800000</v>
      </c>
      <c r="O101" s="21">
        <v>2281100000</v>
      </c>
      <c r="P101" s="21"/>
    </row>
    <row r="102" spans="4:16" x14ac:dyDescent="0.2">
      <c r="D102" s="22" t="s">
        <v>100</v>
      </c>
      <c r="E102" s="22" t="s">
        <v>623</v>
      </c>
      <c r="F102" s="22">
        <v>2221517120</v>
      </c>
      <c r="G102" s="22" t="s">
        <v>560</v>
      </c>
      <c r="L102" s="21" t="s">
        <v>281</v>
      </c>
      <c r="M102" s="21">
        <v>2221140000</v>
      </c>
      <c r="N102" s="21">
        <v>2270800000</v>
      </c>
      <c r="O102" s="21">
        <v>2281100000</v>
      </c>
      <c r="P102" s="21"/>
    </row>
    <row r="103" spans="4:16" x14ac:dyDescent="0.2">
      <c r="D103" s="22" t="s">
        <v>101</v>
      </c>
      <c r="E103" s="22" t="s">
        <v>624</v>
      </c>
      <c r="F103" s="22">
        <v>2221517130</v>
      </c>
      <c r="G103" s="22" t="s">
        <v>520</v>
      </c>
      <c r="L103" s="21" t="s">
        <v>282</v>
      </c>
      <c r="M103" s="21">
        <v>2221200000</v>
      </c>
      <c r="N103" s="21">
        <v>2271000000</v>
      </c>
      <c r="O103" s="21">
        <v>2281200000</v>
      </c>
      <c r="P103" s="21"/>
    </row>
    <row r="104" spans="4:16" x14ac:dyDescent="0.2">
      <c r="D104" s="22" t="s">
        <v>102</v>
      </c>
      <c r="E104" s="22" t="s">
        <v>625</v>
      </c>
      <c r="F104" s="22">
        <v>2221517140</v>
      </c>
      <c r="G104" s="22" t="s">
        <v>520</v>
      </c>
      <c r="L104" s="21" t="s">
        <v>283</v>
      </c>
      <c r="M104" s="21">
        <v>2221300000</v>
      </c>
      <c r="N104" s="21">
        <v>2271000000</v>
      </c>
      <c r="O104" s="21">
        <v>2281300000</v>
      </c>
      <c r="P104" s="21"/>
    </row>
    <row r="105" spans="4:16" x14ac:dyDescent="0.2">
      <c r="D105" s="22" t="s">
        <v>103</v>
      </c>
      <c r="E105" s="22" t="s">
        <v>626</v>
      </c>
      <c r="F105" s="22">
        <v>2221517150</v>
      </c>
      <c r="G105" s="22" t="s">
        <v>520</v>
      </c>
      <c r="L105" s="21" t="s">
        <v>284</v>
      </c>
      <c r="M105" s="21">
        <v>2221400000</v>
      </c>
      <c r="N105" s="21">
        <v>2270900000</v>
      </c>
      <c r="O105" s="21"/>
      <c r="P105" s="21"/>
    </row>
    <row r="106" spans="4:16" x14ac:dyDescent="0.2">
      <c r="D106" s="22" t="s">
        <v>104</v>
      </c>
      <c r="E106" s="22" t="s">
        <v>627</v>
      </c>
      <c r="F106" s="22">
        <v>2221517160</v>
      </c>
      <c r="G106" s="22" t="s">
        <v>520</v>
      </c>
      <c r="L106" s="21" t="s">
        <v>285</v>
      </c>
      <c r="M106" s="21">
        <v>2221409000</v>
      </c>
      <c r="N106" s="21">
        <v>2270900000</v>
      </c>
      <c r="O106" s="21">
        <v>2281400000</v>
      </c>
      <c r="P106" s="21"/>
    </row>
    <row r="107" spans="4:16" x14ac:dyDescent="0.2">
      <c r="D107" s="22" t="s">
        <v>105</v>
      </c>
      <c r="E107" s="22" t="s">
        <v>628</v>
      </c>
      <c r="F107" s="22">
        <v>2221517170</v>
      </c>
      <c r="G107" s="22" t="s">
        <v>520</v>
      </c>
      <c r="L107" s="21" t="s">
        <v>286</v>
      </c>
      <c r="M107" s="21">
        <v>2221411000</v>
      </c>
      <c r="N107" s="21">
        <v>2270900000</v>
      </c>
      <c r="O107" s="21">
        <v>2281400000</v>
      </c>
      <c r="P107" s="21"/>
    </row>
    <row r="108" spans="4:16" x14ac:dyDescent="0.2">
      <c r="D108" s="22" t="s">
        <v>106</v>
      </c>
      <c r="E108" s="22" t="s">
        <v>629</v>
      </c>
      <c r="F108" s="22">
        <v>2221517180</v>
      </c>
      <c r="G108" s="22" t="s">
        <v>520</v>
      </c>
      <c r="L108" s="21" t="s">
        <v>287</v>
      </c>
      <c r="M108" s="21">
        <v>2221407000</v>
      </c>
      <c r="N108" s="21">
        <v>2270900000</v>
      </c>
      <c r="O108" s="21">
        <v>2281400000</v>
      </c>
      <c r="P108" s="21"/>
    </row>
    <row r="109" spans="4:16" x14ac:dyDescent="0.2">
      <c r="D109" s="22" t="s">
        <v>107</v>
      </c>
      <c r="E109" s="22" t="s">
        <v>630</v>
      </c>
      <c r="F109" s="22">
        <v>2221517190</v>
      </c>
      <c r="G109" s="22" t="s">
        <v>520</v>
      </c>
      <c r="L109" s="21" t="s">
        <v>288</v>
      </c>
      <c r="M109" s="21">
        <v>2221403000</v>
      </c>
      <c r="N109" s="21">
        <v>2270900000</v>
      </c>
      <c r="O109" s="21">
        <v>2281400000</v>
      </c>
      <c r="P109" s="21"/>
    </row>
    <row r="110" spans="4:16" x14ac:dyDescent="0.2">
      <c r="D110" s="22" t="s">
        <v>108</v>
      </c>
      <c r="E110" s="22" t="s">
        <v>631</v>
      </c>
      <c r="F110" s="22">
        <v>2221517110</v>
      </c>
      <c r="G110" s="22" t="s">
        <v>520</v>
      </c>
      <c r="L110" s="21" t="s">
        <v>289</v>
      </c>
      <c r="M110" s="21">
        <v>2221401000</v>
      </c>
      <c r="N110" s="21">
        <v>2270900000</v>
      </c>
      <c r="O110" s="21">
        <v>2281400000</v>
      </c>
      <c r="P110" s="21"/>
    </row>
    <row r="111" spans="4:16" x14ac:dyDescent="0.2">
      <c r="D111" s="22" t="s">
        <v>109</v>
      </c>
      <c r="E111" s="22" t="s">
        <v>632</v>
      </c>
      <c r="F111" s="22">
        <v>2221611000</v>
      </c>
      <c r="G111" s="22" t="s">
        <v>552</v>
      </c>
      <c r="L111" s="21" t="s">
        <v>290</v>
      </c>
      <c r="M111" s="21">
        <v>2221402000</v>
      </c>
      <c r="N111" s="21">
        <v>2270900000</v>
      </c>
      <c r="O111" s="21">
        <v>2281400000</v>
      </c>
      <c r="P111" s="21"/>
    </row>
    <row r="112" spans="4:16" x14ac:dyDescent="0.2">
      <c r="D112" s="22" t="s">
        <v>110</v>
      </c>
      <c r="E112" s="22" t="s">
        <v>633</v>
      </c>
      <c r="F112" s="22">
        <v>2221612100</v>
      </c>
      <c r="G112" s="22" t="s">
        <v>552</v>
      </c>
      <c r="L112" s="21" t="s">
        <v>291</v>
      </c>
      <c r="M112" s="21">
        <v>2221404000</v>
      </c>
      <c r="N112" s="21">
        <v>2270900000</v>
      </c>
      <c r="O112" s="21">
        <v>2281400000</v>
      </c>
      <c r="P112" s="21"/>
    </row>
    <row r="113" spans="4:16" x14ac:dyDescent="0.2">
      <c r="D113" s="22" t="s">
        <v>111</v>
      </c>
      <c r="E113" s="22" t="s">
        <v>634</v>
      </c>
      <c r="F113" s="22">
        <v>2221612200</v>
      </c>
      <c r="G113" s="22" t="s">
        <v>552</v>
      </c>
      <c r="L113" s="21" t="s">
        <v>292</v>
      </c>
      <c r="M113" s="21">
        <v>2221405000</v>
      </c>
      <c r="N113" s="21">
        <v>2270900000</v>
      </c>
      <c r="O113" s="21">
        <v>2281400000</v>
      </c>
      <c r="P113" s="21"/>
    </row>
    <row r="114" spans="4:16" x14ac:dyDescent="0.2">
      <c r="D114" s="22" t="s">
        <v>112</v>
      </c>
      <c r="E114" s="22" t="s">
        <v>635</v>
      </c>
      <c r="F114" s="22">
        <v>2221613100</v>
      </c>
      <c r="G114" s="22" t="s">
        <v>552</v>
      </c>
      <c r="L114" s="21" t="s">
        <v>293</v>
      </c>
      <c r="M114" s="21">
        <v>2221406000</v>
      </c>
      <c r="N114" s="21">
        <v>2270900000</v>
      </c>
      <c r="O114" s="21">
        <v>2281400000</v>
      </c>
      <c r="P114" s="21"/>
    </row>
    <row r="115" spans="4:16" x14ac:dyDescent="0.2">
      <c r="D115" s="22" t="s">
        <v>113</v>
      </c>
      <c r="E115" s="22" t="s">
        <v>636</v>
      </c>
      <c r="F115" s="22">
        <v>2221613200</v>
      </c>
      <c r="G115" s="22" t="s">
        <v>552</v>
      </c>
      <c r="L115" s="21" t="s">
        <v>294</v>
      </c>
      <c r="M115" s="21">
        <v>2221408000</v>
      </c>
      <c r="N115" s="21">
        <v>2270900000</v>
      </c>
      <c r="O115" s="21">
        <v>2281400000</v>
      </c>
      <c r="P115" s="21"/>
    </row>
    <row r="116" spans="4:16" x14ac:dyDescent="0.2">
      <c r="D116" s="22" t="s">
        <v>114</v>
      </c>
      <c r="E116" s="22" t="s">
        <v>637</v>
      </c>
      <c r="F116" s="22">
        <v>2221614000</v>
      </c>
      <c r="G116" s="22" t="s">
        <v>552</v>
      </c>
      <c r="L116" s="21" t="s">
        <v>295</v>
      </c>
      <c r="M116" s="21">
        <v>2221410000</v>
      </c>
      <c r="N116" s="21">
        <v>2270900000</v>
      </c>
      <c r="O116" s="21">
        <v>2281400000</v>
      </c>
      <c r="P116" s="21"/>
    </row>
    <row r="117" spans="4:16" x14ac:dyDescent="0.2">
      <c r="D117" s="22" t="s">
        <v>115</v>
      </c>
      <c r="E117" s="22" t="s">
        <v>638</v>
      </c>
      <c r="F117" s="22">
        <v>2221615100</v>
      </c>
      <c r="G117" s="22" t="s">
        <v>552</v>
      </c>
      <c r="L117" s="21" t="s">
        <v>296</v>
      </c>
      <c r="M117" s="21">
        <v>2221412000</v>
      </c>
      <c r="N117" s="21">
        <v>2270900000</v>
      </c>
      <c r="O117" s="21">
        <v>2281400000</v>
      </c>
      <c r="P117" s="21"/>
    </row>
    <row r="118" spans="4:16" x14ac:dyDescent="0.2">
      <c r="D118" s="22" t="s">
        <v>116</v>
      </c>
      <c r="E118" s="22" t="s">
        <v>639</v>
      </c>
      <c r="F118" s="22">
        <v>2221615200</v>
      </c>
      <c r="G118" s="22" t="s">
        <v>552</v>
      </c>
      <c r="L118" s="21" t="s">
        <v>297</v>
      </c>
      <c r="M118" s="21">
        <v>2221500000</v>
      </c>
      <c r="N118" s="21">
        <v>2271000000</v>
      </c>
      <c r="O118" s="21"/>
      <c r="P118" s="21"/>
    </row>
    <row r="119" spans="4:16" x14ac:dyDescent="0.2">
      <c r="D119" s="22" t="s">
        <v>117</v>
      </c>
      <c r="E119" s="22" t="s">
        <v>640</v>
      </c>
      <c r="F119" s="22">
        <v>2221615300</v>
      </c>
      <c r="G119" s="22" t="s">
        <v>552</v>
      </c>
      <c r="L119" s="21" t="s">
        <v>298</v>
      </c>
      <c r="M119" s="21">
        <v>2221501000</v>
      </c>
      <c r="N119" s="21">
        <v>2271000000</v>
      </c>
      <c r="O119" s="21">
        <v>2281500000</v>
      </c>
      <c r="P119" s="21"/>
    </row>
    <row r="120" spans="4:16" x14ac:dyDescent="0.2">
      <c r="D120" s="22" t="s">
        <v>118</v>
      </c>
      <c r="E120" s="22" t="s">
        <v>641</v>
      </c>
      <c r="F120" s="22">
        <v>2221615400</v>
      </c>
      <c r="G120" s="22" t="s">
        <v>552</v>
      </c>
      <c r="L120" s="21" t="s">
        <v>299</v>
      </c>
      <c r="M120" s="21">
        <v>2221502000</v>
      </c>
      <c r="N120" s="21">
        <v>2271000000</v>
      </c>
      <c r="O120" s="21">
        <v>2281500000</v>
      </c>
      <c r="P120" s="21"/>
    </row>
    <row r="121" spans="4:16" x14ac:dyDescent="0.2">
      <c r="D121" s="22" t="s">
        <v>119</v>
      </c>
      <c r="E121" s="22" t="s">
        <v>642</v>
      </c>
      <c r="F121" s="22">
        <v>2221615500</v>
      </c>
      <c r="G121" s="22" t="s">
        <v>552</v>
      </c>
      <c r="L121" s="21" t="s">
        <v>300</v>
      </c>
      <c r="M121" s="21">
        <v>2221502000</v>
      </c>
      <c r="N121" s="21">
        <v>2271000000</v>
      </c>
      <c r="O121" s="21">
        <v>2281500000</v>
      </c>
      <c r="P121" s="21"/>
    </row>
    <row r="122" spans="4:16" x14ac:dyDescent="0.2">
      <c r="D122" s="22" t="s">
        <v>120</v>
      </c>
      <c r="E122" s="22" t="s">
        <v>643</v>
      </c>
      <c r="F122" s="22">
        <v>2221615600</v>
      </c>
      <c r="G122" s="22" t="s">
        <v>552</v>
      </c>
      <c r="L122" s="21" t="s">
        <v>301</v>
      </c>
      <c r="M122" s="21">
        <v>2221503000</v>
      </c>
      <c r="N122" s="21">
        <v>2271000000</v>
      </c>
      <c r="O122" s="21">
        <v>2281500000</v>
      </c>
      <c r="P122" s="21"/>
    </row>
    <row r="123" spans="4:16" x14ac:dyDescent="0.2">
      <c r="D123" s="22" t="s">
        <v>121</v>
      </c>
      <c r="E123" s="22" t="s">
        <v>644</v>
      </c>
      <c r="F123" s="22">
        <v>2221615700</v>
      </c>
      <c r="G123" s="22" t="s">
        <v>552</v>
      </c>
      <c r="L123" s="21" t="s">
        <v>302</v>
      </c>
      <c r="M123" s="21">
        <v>2221504000</v>
      </c>
      <c r="N123" s="21">
        <v>2271000000</v>
      </c>
      <c r="O123" s="21">
        <v>2281500000</v>
      </c>
      <c r="P123" s="21"/>
    </row>
    <row r="124" spans="4:16" x14ac:dyDescent="0.2">
      <c r="D124" s="22" t="s">
        <v>122</v>
      </c>
      <c r="E124" s="22" t="s">
        <v>645</v>
      </c>
      <c r="F124" s="22">
        <v>2221620000</v>
      </c>
      <c r="G124" s="22" t="s">
        <v>552</v>
      </c>
      <c r="L124" s="21" t="s">
        <v>303</v>
      </c>
      <c r="M124" s="21">
        <v>2221504000</v>
      </c>
      <c r="N124" s="21">
        <v>2271000000</v>
      </c>
      <c r="O124" s="21">
        <v>2281500000</v>
      </c>
      <c r="P124" s="21"/>
    </row>
    <row r="125" spans="4:16" x14ac:dyDescent="0.2">
      <c r="D125" s="22" t="s">
        <v>123</v>
      </c>
      <c r="E125" s="22" t="s">
        <v>646</v>
      </c>
      <c r="F125" s="22">
        <v>2221630000</v>
      </c>
      <c r="G125" s="22" t="s">
        <v>552</v>
      </c>
      <c r="L125" s="21" t="s">
        <v>304</v>
      </c>
      <c r="M125" s="21">
        <v>2221504000</v>
      </c>
      <c r="N125" s="21">
        <v>2271000000</v>
      </c>
      <c r="O125" s="21">
        <v>2281500000</v>
      </c>
      <c r="P125" s="21"/>
    </row>
    <row r="126" spans="4:16" x14ac:dyDescent="0.2">
      <c r="D126" s="22" t="s">
        <v>124</v>
      </c>
      <c r="E126" s="22" t="s">
        <v>647</v>
      </c>
      <c r="F126" s="22">
        <v>2221710000</v>
      </c>
      <c r="G126" s="22" t="s">
        <v>558</v>
      </c>
      <c r="L126" s="21" t="s">
        <v>305</v>
      </c>
      <c r="M126" s="21">
        <v>2221505000</v>
      </c>
      <c r="N126" s="21">
        <v>2271000000</v>
      </c>
      <c r="O126" s="21">
        <v>2281500000</v>
      </c>
      <c r="P126" s="21"/>
    </row>
    <row r="127" spans="4:16" x14ac:dyDescent="0.2">
      <c r="D127" s="22" t="s">
        <v>125</v>
      </c>
      <c r="E127" s="22" t="s">
        <v>648</v>
      </c>
      <c r="F127" s="22">
        <v>2221720000</v>
      </c>
      <c r="G127" s="22" t="s">
        <v>558</v>
      </c>
      <c r="L127" s="21" t="s">
        <v>306</v>
      </c>
      <c r="M127" s="21">
        <v>2221506000</v>
      </c>
      <c r="N127" s="21">
        <v>2271000000</v>
      </c>
      <c r="O127" s="21">
        <v>2281500000</v>
      </c>
      <c r="P127" s="21"/>
    </row>
    <row r="128" spans="4:16" x14ac:dyDescent="0.2">
      <c r="D128" s="22" t="s">
        <v>126</v>
      </c>
      <c r="E128" s="22" t="s">
        <v>649</v>
      </c>
      <c r="F128" s="22">
        <v>2221730000</v>
      </c>
      <c r="G128" s="22" t="s">
        <v>558</v>
      </c>
      <c r="L128" s="21" t="s">
        <v>307</v>
      </c>
      <c r="M128" s="21">
        <v>2221507000</v>
      </c>
      <c r="N128" s="21">
        <v>2271000000</v>
      </c>
      <c r="O128" s="21">
        <v>2281500000</v>
      </c>
      <c r="P128" s="21"/>
    </row>
    <row r="129" spans="4:16" x14ac:dyDescent="0.2">
      <c r="D129" s="22" t="s">
        <v>127</v>
      </c>
      <c r="E129" s="22" t="s">
        <v>650</v>
      </c>
      <c r="F129" s="22">
        <v>2221800000</v>
      </c>
      <c r="G129" s="22" t="s">
        <v>554</v>
      </c>
      <c r="L129" s="21" t="s">
        <v>308</v>
      </c>
      <c r="M129" s="21">
        <v>2221508000</v>
      </c>
      <c r="N129" s="21">
        <v>2271000000</v>
      </c>
      <c r="O129" s="21">
        <v>2281500000</v>
      </c>
      <c r="P129" s="21"/>
    </row>
    <row r="130" spans="4:16" x14ac:dyDescent="0.2">
      <c r="D130" s="22" t="s">
        <v>128</v>
      </c>
      <c r="E130" s="22" t="s">
        <v>651</v>
      </c>
      <c r="F130" s="22">
        <v>2222100000</v>
      </c>
      <c r="G130" s="22" t="s">
        <v>562</v>
      </c>
      <c r="L130" s="21" t="s">
        <v>309</v>
      </c>
      <c r="M130" s="21">
        <v>2221509000</v>
      </c>
      <c r="N130" s="21">
        <v>2271000000</v>
      </c>
      <c r="O130" s="21">
        <v>2281500000</v>
      </c>
      <c r="P130" s="21"/>
    </row>
    <row r="131" spans="4:16" x14ac:dyDescent="0.2">
      <c r="D131" s="22" t="s">
        <v>129</v>
      </c>
      <c r="E131" s="22" t="s">
        <v>652</v>
      </c>
      <c r="F131" s="22">
        <v>2231000000</v>
      </c>
      <c r="G131" s="22" t="s">
        <v>556</v>
      </c>
      <c r="L131" s="21" t="s">
        <v>310</v>
      </c>
      <c r="M131" s="21">
        <v>2221510000</v>
      </c>
      <c r="N131" s="21">
        <v>2271000000</v>
      </c>
      <c r="O131" s="21">
        <v>2281500000</v>
      </c>
      <c r="P131" s="21"/>
    </row>
    <row r="132" spans="4:16" x14ac:dyDescent="0.2">
      <c r="D132" s="22" t="s">
        <v>130</v>
      </c>
      <c r="E132" s="22" t="s">
        <v>653</v>
      </c>
      <c r="F132" s="22">
        <v>2232100000</v>
      </c>
      <c r="G132" s="22" t="s">
        <v>556</v>
      </c>
      <c r="L132" s="21" t="s">
        <v>311</v>
      </c>
      <c r="M132" s="21">
        <v>2221510000</v>
      </c>
      <c r="N132" s="21">
        <v>2271000000</v>
      </c>
      <c r="O132" s="21">
        <v>2281500000</v>
      </c>
      <c r="P132" s="21"/>
    </row>
    <row r="133" spans="4:16" x14ac:dyDescent="0.2">
      <c r="D133" s="22" t="s">
        <v>131</v>
      </c>
      <c r="E133" s="22" t="s">
        <v>654</v>
      </c>
      <c r="F133" s="22">
        <v>2232200000</v>
      </c>
      <c r="G133" s="22" t="s">
        <v>556</v>
      </c>
      <c r="L133" s="21" t="s">
        <v>312</v>
      </c>
      <c r="M133" s="21">
        <v>2221510000</v>
      </c>
      <c r="N133" s="21">
        <v>2271000000</v>
      </c>
      <c r="O133" s="21">
        <v>2281500000</v>
      </c>
      <c r="P133" s="21"/>
    </row>
    <row r="134" spans="4:16" x14ac:dyDescent="0.2">
      <c r="D134" s="22" t="s">
        <v>132</v>
      </c>
      <c r="E134" s="22" t="s">
        <v>655</v>
      </c>
      <c r="F134" s="22">
        <v>2233100000</v>
      </c>
      <c r="G134" s="22" t="s">
        <v>556</v>
      </c>
      <c r="L134" s="21" t="s">
        <v>313</v>
      </c>
      <c r="M134" s="21">
        <v>2221511000</v>
      </c>
      <c r="N134" s="21">
        <v>2271000000</v>
      </c>
      <c r="O134" s="21">
        <v>2281500000</v>
      </c>
      <c r="P134" s="21"/>
    </row>
    <row r="135" spans="4:16" x14ac:dyDescent="0.2">
      <c r="D135" s="22" t="s">
        <v>133</v>
      </c>
      <c r="E135" s="22" t="s">
        <v>656</v>
      </c>
      <c r="F135" s="22">
        <v>2233200000</v>
      </c>
      <c r="G135" s="22" t="s">
        <v>556</v>
      </c>
      <c r="L135" s="21" t="s">
        <v>314</v>
      </c>
      <c r="M135" s="21">
        <v>2221507000</v>
      </c>
      <c r="N135" s="21">
        <v>2271000000</v>
      </c>
      <c r="O135" s="21">
        <v>2281500000</v>
      </c>
      <c r="P135" s="21"/>
    </row>
    <row r="136" spans="4:16" x14ac:dyDescent="0.2">
      <c r="D136" s="22" t="s">
        <v>134</v>
      </c>
      <c r="E136" s="22" t="s">
        <v>657</v>
      </c>
      <c r="F136" s="22">
        <v>2234000000</v>
      </c>
      <c r="G136" s="22" t="s">
        <v>556</v>
      </c>
      <c r="L136" s="21" t="s">
        <v>315</v>
      </c>
      <c r="M136" s="21">
        <v>2221507000</v>
      </c>
      <c r="N136" s="21">
        <v>2271000000</v>
      </c>
      <c r="O136" s="21">
        <v>2281500000</v>
      </c>
      <c r="P136" s="21"/>
    </row>
    <row r="137" spans="4:16" x14ac:dyDescent="0.2">
      <c r="D137" s="22" t="s">
        <v>135</v>
      </c>
      <c r="E137" s="22" t="s">
        <v>658</v>
      </c>
      <c r="F137" s="22">
        <v>2235100000</v>
      </c>
      <c r="G137" s="22" t="s">
        <v>556</v>
      </c>
      <c r="L137" s="21" t="s">
        <v>316</v>
      </c>
      <c r="M137" s="21">
        <v>2221507000</v>
      </c>
      <c r="N137" s="21">
        <v>2271000000</v>
      </c>
      <c r="O137" s="21">
        <v>2281500000</v>
      </c>
      <c r="P137" s="21"/>
    </row>
    <row r="138" spans="4:16" x14ac:dyDescent="0.2">
      <c r="D138" s="22" t="s">
        <v>136</v>
      </c>
      <c r="E138" s="22" t="s">
        <v>659</v>
      </c>
      <c r="F138" s="22">
        <v>2235200000</v>
      </c>
      <c r="G138" s="22" t="s">
        <v>556</v>
      </c>
      <c r="L138" s="21" t="s">
        <v>317</v>
      </c>
      <c r="M138" s="21">
        <v>2221507000</v>
      </c>
      <c r="N138" s="21">
        <v>2271000000</v>
      </c>
      <c r="O138" s="21">
        <v>2281500000</v>
      </c>
      <c r="P138" s="21"/>
    </row>
    <row r="139" spans="4:16" x14ac:dyDescent="0.2">
      <c r="D139" s="22" t="s">
        <v>137</v>
      </c>
      <c r="E139" s="22" t="s">
        <v>660</v>
      </c>
      <c r="F139" s="22">
        <v>2235300000</v>
      </c>
      <c r="G139" s="22" t="s">
        <v>556</v>
      </c>
      <c r="L139" s="21" t="s">
        <v>318</v>
      </c>
      <c r="M139" s="21">
        <v>2221517150</v>
      </c>
      <c r="N139" s="21">
        <v>2271000000</v>
      </c>
      <c r="O139" s="21">
        <v>2281500000</v>
      </c>
      <c r="P139" s="21"/>
    </row>
    <row r="140" spans="4:16" x14ac:dyDescent="0.2">
      <c r="D140" s="22" t="s">
        <v>138</v>
      </c>
      <c r="E140" s="22" t="s">
        <v>661</v>
      </c>
      <c r="F140" s="22">
        <v>2235400000</v>
      </c>
      <c r="G140" s="22" t="s">
        <v>556</v>
      </c>
      <c r="L140" s="21" t="s">
        <v>319</v>
      </c>
      <c r="M140" s="21">
        <v>2221517160</v>
      </c>
      <c r="N140" s="21">
        <v>2271000000</v>
      </c>
      <c r="O140" s="21">
        <v>2281500000</v>
      </c>
      <c r="P140" s="21"/>
    </row>
    <row r="141" spans="4:16" x14ac:dyDescent="0.2">
      <c r="D141" s="22" t="s">
        <v>139</v>
      </c>
      <c r="E141" s="22" t="s">
        <v>662</v>
      </c>
      <c r="F141" s="22">
        <v>2235500000</v>
      </c>
      <c r="G141" s="22" t="s">
        <v>556</v>
      </c>
      <c r="L141" s="21" t="s">
        <v>320</v>
      </c>
      <c r="M141" s="21">
        <v>2221512000</v>
      </c>
      <c r="N141" s="21">
        <v>2271000000</v>
      </c>
      <c r="O141" s="21">
        <v>2281500000</v>
      </c>
      <c r="P141" s="21"/>
    </row>
    <row r="142" spans="4:16" x14ac:dyDescent="0.2">
      <c r="D142" s="22" t="s">
        <v>140</v>
      </c>
      <c r="E142" s="22" t="s">
        <v>663</v>
      </c>
      <c r="F142" s="22">
        <v>2235600000</v>
      </c>
      <c r="G142" s="22" t="s">
        <v>556</v>
      </c>
      <c r="L142" s="21" t="s">
        <v>321</v>
      </c>
      <c r="M142" s="21">
        <v>2221513000</v>
      </c>
      <c r="N142" s="21">
        <v>2271000000</v>
      </c>
      <c r="O142" s="21">
        <v>2281500000</v>
      </c>
      <c r="P142" s="21"/>
    </row>
    <row r="143" spans="4:16" x14ac:dyDescent="0.2">
      <c r="D143" s="22" t="s">
        <v>141</v>
      </c>
      <c r="E143" s="22" t="s">
        <v>664</v>
      </c>
      <c r="F143" s="22">
        <v>2235700000</v>
      </c>
      <c r="G143" s="22" t="s">
        <v>556</v>
      </c>
      <c r="L143" s="21" t="s">
        <v>322</v>
      </c>
      <c r="M143" s="21">
        <v>2221514000</v>
      </c>
      <c r="N143" s="21">
        <v>2271000000</v>
      </c>
      <c r="O143" s="21">
        <v>2281500000</v>
      </c>
      <c r="P143" s="21"/>
    </row>
    <row r="144" spans="4:16" x14ac:dyDescent="0.2">
      <c r="D144" s="22" t="s">
        <v>142</v>
      </c>
      <c r="E144" s="22" t="s">
        <v>665</v>
      </c>
      <c r="F144" s="22">
        <v>2253100000</v>
      </c>
      <c r="G144" s="22" t="s">
        <v>506</v>
      </c>
      <c r="L144" s="21" t="s">
        <v>323</v>
      </c>
      <c r="M144" s="21">
        <v>2221515000</v>
      </c>
      <c r="N144" s="21">
        <v>2271000000</v>
      </c>
      <c r="O144" s="21">
        <v>2281500000</v>
      </c>
      <c r="P144" s="21"/>
    </row>
    <row r="145" spans="4:16" x14ac:dyDescent="0.2">
      <c r="D145" s="22" t="s">
        <v>143</v>
      </c>
      <c r="E145" s="22" t="s">
        <v>666</v>
      </c>
      <c r="F145" s="22">
        <v>2261000000</v>
      </c>
      <c r="G145" s="22" t="s">
        <v>520</v>
      </c>
      <c r="L145" s="21" t="s">
        <v>324</v>
      </c>
      <c r="M145" s="21">
        <v>2221516000</v>
      </c>
      <c r="N145" s="21">
        <v>2271000000</v>
      </c>
      <c r="O145" s="21">
        <v>2281500000</v>
      </c>
      <c r="P145" s="21"/>
    </row>
    <row r="146" spans="4:16" x14ac:dyDescent="0.2">
      <c r="D146" s="22" t="s">
        <v>144</v>
      </c>
      <c r="E146" s="22" t="s">
        <v>667</v>
      </c>
      <c r="F146" s="22">
        <v>2263000000</v>
      </c>
      <c r="G146" s="22" t="s">
        <v>520</v>
      </c>
      <c r="L146" s="21" t="s">
        <v>325</v>
      </c>
      <c r="M146" s="21">
        <v>2221511000</v>
      </c>
      <c r="N146" s="21">
        <v>2271000000</v>
      </c>
      <c r="O146" s="21">
        <v>2281500000</v>
      </c>
      <c r="P146" s="21"/>
    </row>
    <row r="147" spans="4:16" x14ac:dyDescent="0.2">
      <c r="D147" s="22" t="s">
        <v>145</v>
      </c>
      <c r="E147" s="22" t="s">
        <v>668</v>
      </c>
      <c r="F147" s="22">
        <v>2270100000</v>
      </c>
      <c r="G147" s="22" t="s">
        <v>472</v>
      </c>
      <c r="L147" s="21" t="s">
        <v>326</v>
      </c>
      <c r="M147" s="21">
        <v>2221517000</v>
      </c>
      <c r="N147" s="21">
        <v>2271000000</v>
      </c>
      <c r="O147" s="21"/>
      <c r="P147" s="21"/>
    </row>
    <row r="148" spans="4:16" x14ac:dyDescent="0.2">
      <c r="D148" s="22" t="s">
        <v>146</v>
      </c>
      <c r="E148" s="22" t="s">
        <v>669</v>
      </c>
      <c r="F148" s="22">
        <v>2270200000</v>
      </c>
      <c r="G148" s="22" t="s">
        <v>474</v>
      </c>
      <c r="L148" s="21" t="s">
        <v>327</v>
      </c>
      <c r="M148" s="21">
        <v>2221517010</v>
      </c>
      <c r="N148" s="21">
        <v>2271000000</v>
      </c>
      <c r="O148" s="21">
        <v>2281500000</v>
      </c>
      <c r="P148" s="21"/>
    </row>
    <row r="149" spans="4:16" x14ac:dyDescent="0.2">
      <c r="D149" s="22" t="s">
        <v>147</v>
      </c>
      <c r="E149" s="22" t="s">
        <v>670</v>
      </c>
      <c r="F149" s="22">
        <v>2270300000</v>
      </c>
      <c r="G149" s="22" t="s">
        <v>480</v>
      </c>
      <c r="L149" s="21" t="s">
        <v>328</v>
      </c>
      <c r="M149" s="21">
        <v>2221517020</v>
      </c>
      <c r="N149" s="21">
        <v>2271000000</v>
      </c>
      <c r="O149" s="21">
        <v>2281500000</v>
      </c>
      <c r="P149" s="21"/>
    </row>
    <row r="150" spans="4:16" x14ac:dyDescent="0.2">
      <c r="D150" s="22" t="s">
        <v>148</v>
      </c>
      <c r="E150" s="22" t="s">
        <v>671</v>
      </c>
      <c r="F150" s="22">
        <v>2270400000</v>
      </c>
      <c r="G150" s="22" t="s">
        <v>556</v>
      </c>
      <c r="L150" s="21" t="s">
        <v>329</v>
      </c>
      <c r="M150" s="21">
        <v>2221517110</v>
      </c>
      <c r="N150" s="21">
        <v>2271000000</v>
      </c>
      <c r="O150" s="21">
        <v>2281500000</v>
      </c>
      <c r="P150" s="21"/>
    </row>
    <row r="151" spans="4:16" x14ac:dyDescent="0.2">
      <c r="D151" s="22" t="s">
        <v>149</v>
      </c>
      <c r="E151" s="22" t="s">
        <v>672</v>
      </c>
      <c r="F151" s="22">
        <v>2270500000</v>
      </c>
      <c r="G151" s="22" t="s">
        <v>544</v>
      </c>
      <c r="L151" s="21" t="s">
        <v>330</v>
      </c>
      <c r="M151" s="21">
        <v>2221517030</v>
      </c>
      <c r="N151" s="21">
        <v>2271000000</v>
      </c>
      <c r="O151" s="21">
        <v>2281500000</v>
      </c>
      <c r="P151" s="21"/>
    </row>
    <row r="152" spans="4:16" x14ac:dyDescent="0.2">
      <c r="D152" s="22" t="s">
        <v>150</v>
      </c>
      <c r="E152" s="22" t="s">
        <v>673</v>
      </c>
      <c r="F152" s="22">
        <v>2270600000</v>
      </c>
      <c r="G152" s="22" t="s">
        <v>483</v>
      </c>
      <c r="L152" s="21" t="s">
        <v>331</v>
      </c>
      <c r="M152" s="21">
        <v>2221517040</v>
      </c>
      <c r="N152" s="21">
        <v>2271000000</v>
      </c>
      <c r="O152" s="21">
        <v>2281500000</v>
      </c>
      <c r="P152" s="21"/>
    </row>
    <row r="153" spans="4:16" x14ac:dyDescent="0.2">
      <c r="D153" s="22" t="s">
        <v>151</v>
      </c>
      <c r="E153" s="22" t="s">
        <v>674</v>
      </c>
      <c r="F153" s="22">
        <v>2270800000</v>
      </c>
      <c r="G153" s="22" t="s">
        <v>492</v>
      </c>
      <c r="L153" s="21" t="s">
        <v>332</v>
      </c>
      <c r="M153" s="21">
        <v>2221517050</v>
      </c>
      <c r="N153" s="21">
        <v>2271000000</v>
      </c>
      <c r="O153" s="21">
        <v>2281500000</v>
      </c>
      <c r="P153" s="21"/>
    </row>
    <row r="154" spans="4:16" x14ac:dyDescent="0.2">
      <c r="D154" s="22" t="s">
        <v>152</v>
      </c>
      <c r="E154" s="22" t="s">
        <v>675</v>
      </c>
      <c r="F154" s="22">
        <v>2270900000</v>
      </c>
      <c r="G154" s="22" t="s">
        <v>550</v>
      </c>
      <c r="L154" s="21" t="s">
        <v>333</v>
      </c>
      <c r="M154" s="21">
        <v>2221517060</v>
      </c>
      <c r="N154" s="21">
        <v>2271000000</v>
      </c>
      <c r="O154" s="21">
        <v>2281500000</v>
      </c>
      <c r="P154" s="21"/>
    </row>
    <row r="155" spans="4:16" x14ac:dyDescent="0.2">
      <c r="D155" s="22" t="s">
        <v>153</v>
      </c>
      <c r="E155" s="22" t="s">
        <v>676</v>
      </c>
      <c r="F155" s="22">
        <v>2271000000</v>
      </c>
      <c r="G155" s="22" t="s">
        <v>520</v>
      </c>
      <c r="L155" s="21" t="s">
        <v>334</v>
      </c>
      <c r="M155" s="21">
        <v>2221517070</v>
      </c>
      <c r="N155" s="21">
        <v>2271000000</v>
      </c>
      <c r="O155" s="21">
        <v>2281500000</v>
      </c>
      <c r="P155" s="21"/>
    </row>
    <row r="156" spans="4:16" x14ac:dyDescent="0.2">
      <c r="D156" s="22" t="s">
        <v>154</v>
      </c>
      <c r="E156" s="22" t="s">
        <v>677</v>
      </c>
      <c r="F156" s="22">
        <v>2271100000</v>
      </c>
      <c r="G156" s="22" t="s">
        <v>552</v>
      </c>
      <c r="L156" s="21" t="s">
        <v>335</v>
      </c>
      <c r="M156" s="21">
        <v>2221517080</v>
      </c>
      <c r="N156" s="21">
        <v>2271000000</v>
      </c>
      <c r="O156" s="21">
        <v>2281500000</v>
      </c>
      <c r="P156" s="21"/>
    </row>
    <row r="157" spans="4:16" x14ac:dyDescent="0.2">
      <c r="D157" s="22" t="s">
        <v>155</v>
      </c>
      <c r="E157" s="22" t="s">
        <v>678</v>
      </c>
      <c r="F157" s="22">
        <v>2280100000</v>
      </c>
      <c r="G157" s="22" t="s">
        <v>538</v>
      </c>
      <c r="L157" s="21" t="s">
        <v>336</v>
      </c>
      <c r="M157" s="21">
        <v>2221517090</v>
      </c>
      <c r="N157" s="21">
        <v>2271000000</v>
      </c>
      <c r="O157" s="21">
        <v>2281500000</v>
      </c>
      <c r="P157" s="21"/>
    </row>
    <row r="158" spans="4:16" x14ac:dyDescent="0.2">
      <c r="D158" s="22" t="s">
        <v>156</v>
      </c>
      <c r="E158" s="22" t="s">
        <v>679</v>
      </c>
      <c r="F158" s="22">
        <v>2280200000</v>
      </c>
      <c r="G158" s="22" t="s">
        <v>529</v>
      </c>
      <c r="L158" s="21" t="s">
        <v>337</v>
      </c>
      <c r="M158" s="21">
        <v>2221720000</v>
      </c>
      <c r="N158" s="21">
        <v>2271000000</v>
      </c>
      <c r="O158" s="21">
        <v>2281700000</v>
      </c>
      <c r="P158" s="21"/>
    </row>
    <row r="159" spans="4:16" x14ac:dyDescent="0.2">
      <c r="D159" s="22" t="s">
        <v>157</v>
      </c>
      <c r="E159" s="22" t="s">
        <v>680</v>
      </c>
      <c r="F159" s="22">
        <v>2280300000</v>
      </c>
      <c r="G159" s="22" t="s">
        <v>472</v>
      </c>
      <c r="L159" s="21" t="s">
        <v>338</v>
      </c>
      <c r="M159" s="21">
        <v>2221517100</v>
      </c>
      <c r="N159" s="21">
        <v>2271000000</v>
      </c>
      <c r="O159" s="21">
        <v>2281500000</v>
      </c>
      <c r="P159" s="21"/>
    </row>
    <row r="160" spans="4:16" x14ac:dyDescent="0.2">
      <c r="D160" s="22" t="s">
        <v>158</v>
      </c>
      <c r="E160" s="22" t="s">
        <v>681</v>
      </c>
      <c r="F160" s="22">
        <v>2280400000</v>
      </c>
      <c r="G160" s="22" t="s">
        <v>474</v>
      </c>
      <c r="L160" s="21" t="s">
        <v>339</v>
      </c>
      <c r="M160" s="21">
        <v>2221517110</v>
      </c>
      <c r="N160" s="21">
        <v>2271000000</v>
      </c>
      <c r="O160" s="21">
        <v>2281500000</v>
      </c>
      <c r="P160" s="21"/>
    </row>
    <row r="161" spans="4:16" x14ac:dyDescent="0.2">
      <c r="D161" s="22" t="s">
        <v>159</v>
      </c>
      <c r="E161" s="22" t="s">
        <v>682</v>
      </c>
      <c r="F161" s="22">
        <v>2280500000</v>
      </c>
      <c r="G161" s="22" t="s">
        <v>480</v>
      </c>
      <c r="L161" s="21" t="s">
        <v>340</v>
      </c>
      <c r="M161" s="21">
        <v>2221517110</v>
      </c>
      <c r="N161" s="21">
        <v>2271000000</v>
      </c>
      <c r="O161" s="21">
        <v>2281500000</v>
      </c>
      <c r="P161" s="21"/>
    </row>
    <row r="162" spans="4:16" x14ac:dyDescent="0.2">
      <c r="D162" s="22" t="s">
        <v>160</v>
      </c>
      <c r="E162" s="22" t="s">
        <v>683</v>
      </c>
      <c r="F162" s="22">
        <v>2280600000</v>
      </c>
      <c r="G162" s="22" t="s">
        <v>540</v>
      </c>
      <c r="L162" s="21" t="s">
        <v>341</v>
      </c>
      <c r="M162" s="21">
        <v>2221517110</v>
      </c>
      <c r="N162" s="21">
        <v>2271000000</v>
      </c>
      <c r="O162" s="21">
        <v>2281500000</v>
      </c>
      <c r="P162" s="21"/>
    </row>
    <row r="163" spans="4:16" x14ac:dyDescent="0.2">
      <c r="D163" s="22" t="s">
        <v>161</v>
      </c>
      <c r="E163" s="22" t="s">
        <v>684</v>
      </c>
      <c r="F163" s="22">
        <v>2280700000</v>
      </c>
      <c r="G163" s="22" t="s">
        <v>542</v>
      </c>
      <c r="L163" s="21" t="s">
        <v>342</v>
      </c>
      <c r="M163" s="21">
        <v>2221517120</v>
      </c>
      <c r="N163" s="21">
        <v>2271000000</v>
      </c>
      <c r="O163" s="21"/>
      <c r="P163" s="21"/>
    </row>
    <row r="164" spans="4:16" x14ac:dyDescent="0.2">
      <c r="D164" s="22" t="s">
        <v>162</v>
      </c>
      <c r="E164" s="22" t="s">
        <v>685</v>
      </c>
      <c r="F164" s="22">
        <v>2280800000</v>
      </c>
      <c r="G164" s="22" t="s">
        <v>544</v>
      </c>
      <c r="L164" s="21" t="s">
        <v>343</v>
      </c>
      <c r="M164" s="21">
        <v>2221610000</v>
      </c>
      <c r="N164" s="21">
        <v>2271100000</v>
      </c>
      <c r="O164" s="21">
        <v>2281600000</v>
      </c>
      <c r="P164" s="21"/>
    </row>
    <row r="165" spans="4:16" x14ac:dyDescent="0.2">
      <c r="D165" s="22" t="s">
        <v>163</v>
      </c>
      <c r="E165" s="22" t="s">
        <v>686</v>
      </c>
      <c r="F165" s="22">
        <v>2280900000</v>
      </c>
      <c r="G165" s="22" t="s">
        <v>483</v>
      </c>
      <c r="L165" s="21" t="s">
        <v>344</v>
      </c>
      <c r="M165" s="21">
        <v>2221611000</v>
      </c>
      <c r="N165" s="21">
        <v>2271100000</v>
      </c>
      <c r="O165" s="21">
        <v>2281600000</v>
      </c>
      <c r="P165" s="21"/>
    </row>
    <row r="166" spans="4:16" x14ac:dyDescent="0.2">
      <c r="D166" s="22" t="s">
        <v>164</v>
      </c>
      <c r="E166" s="22" t="s">
        <v>687</v>
      </c>
      <c r="F166" s="22">
        <v>2281100000</v>
      </c>
      <c r="G166" s="22" t="s">
        <v>492</v>
      </c>
      <c r="L166" s="21" t="s">
        <v>345</v>
      </c>
      <c r="M166" s="21">
        <v>2221611000</v>
      </c>
      <c r="N166" s="21">
        <v>2271100000</v>
      </c>
      <c r="O166" s="21">
        <v>2281600000</v>
      </c>
      <c r="P166" s="21"/>
    </row>
    <row r="167" spans="4:16" x14ac:dyDescent="0.2">
      <c r="D167" s="22" t="s">
        <v>165</v>
      </c>
      <c r="E167" s="22" t="s">
        <v>688</v>
      </c>
      <c r="F167" s="22">
        <v>2281200000</v>
      </c>
      <c r="G167" s="22" t="s">
        <v>546</v>
      </c>
      <c r="L167" s="21" t="s">
        <v>346</v>
      </c>
      <c r="M167" s="21">
        <v>2221612100</v>
      </c>
      <c r="N167" s="21">
        <v>2271100000</v>
      </c>
      <c r="O167" s="21">
        <v>2281600000</v>
      </c>
      <c r="P167" s="21"/>
    </row>
    <row r="168" spans="4:16" x14ac:dyDescent="0.2">
      <c r="D168" s="22" t="s">
        <v>166</v>
      </c>
      <c r="E168" s="22" t="s">
        <v>689</v>
      </c>
      <c r="F168" s="22">
        <v>2281400000</v>
      </c>
      <c r="G168" s="22" t="s">
        <v>550</v>
      </c>
      <c r="L168" s="21" t="s">
        <v>347</v>
      </c>
      <c r="M168" s="21">
        <v>2221620000</v>
      </c>
      <c r="N168" s="21">
        <v>2271100000</v>
      </c>
      <c r="O168" s="21">
        <v>2281600000</v>
      </c>
      <c r="P168" s="21"/>
    </row>
    <row r="169" spans="4:16" x14ac:dyDescent="0.2">
      <c r="D169" s="22" t="s">
        <v>167</v>
      </c>
      <c r="E169" s="22" t="s">
        <v>690</v>
      </c>
      <c r="F169" s="22">
        <v>2281500000</v>
      </c>
      <c r="G169" s="22" t="s">
        <v>520</v>
      </c>
      <c r="L169" s="21" t="s">
        <v>348</v>
      </c>
      <c r="M169" s="21">
        <v>2221612000</v>
      </c>
      <c r="N169" s="21">
        <v>2271100000</v>
      </c>
      <c r="O169" s="21">
        <v>2281600000</v>
      </c>
      <c r="P169" s="21"/>
    </row>
    <row r="170" spans="4:16" x14ac:dyDescent="0.2">
      <c r="D170" s="22" t="s">
        <v>168</v>
      </c>
      <c r="E170" s="22" t="s">
        <v>691</v>
      </c>
      <c r="F170" s="22">
        <v>2281600000</v>
      </c>
      <c r="G170" s="22" t="s">
        <v>552</v>
      </c>
      <c r="L170" s="21" t="s">
        <v>349</v>
      </c>
      <c r="M170" s="21">
        <v>2221612200</v>
      </c>
      <c r="N170" s="21">
        <v>2271100000</v>
      </c>
      <c r="O170" s="21">
        <v>2281600000</v>
      </c>
      <c r="P170" s="21"/>
    </row>
    <row r="171" spans="4:16" x14ac:dyDescent="0.2">
      <c r="D171" s="22" t="s">
        <v>169</v>
      </c>
      <c r="E171" s="22" t="s">
        <v>692</v>
      </c>
      <c r="F171" s="22">
        <v>2281700000</v>
      </c>
      <c r="G171" s="22" t="s">
        <v>558</v>
      </c>
      <c r="L171" s="21" t="s">
        <v>350</v>
      </c>
      <c r="M171" s="21">
        <v>2221612000</v>
      </c>
      <c r="N171" s="21">
        <v>2271100000</v>
      </c>
      <c r="O171" s="21">
        <v>2281600000</v>
      </c>
      <c r="P171" s="21"/>
    </row>
    <row r="172" spans="4:16" x14ac:dyDescent="0.2">
      <c r="D172" s="22" t="s">
        <v>170</v>
      </c>
      <c r="E172" s="22" t="s">
        <v>693</v>
      </c>
      <c r="F172" s="22">
        <v>2281800000</v>
      </c>
      <c r="G172" s="22" t="s">
        <v>554</v>
      </c>
      <c r="L172" s="21" t="s">
        <v>351</v>
      </c>
      <c r="M172" s="21">
        <v>2221612100</v>
      </c>
      <c r="N172" s="21">
        <v>2271100000</v>
      </c>
      <c r="O172" s="21">
        <v>2281600000</v>
      </c>
      <c r="P172" s="21"/>
    </row>
    <row r="173" spans="4:16" x14ac:dyDescent="0.2">
      <c r="D173" s="22" t="s">
        <v>171</v>
      </c>
      <c r="E173" s="22" t="s">
        <v>694</v>
      </c>
      <c r="F173" s="22">
        <v>2281900000</v>
      </c>
      <c r="G173" s="22" t="s">
        <v>556</v>
      </c>
      <c r="L173" s="21" t="s">
        <v>352</v>
      </c>
      <c r="M173" s="21">
        <v>2221612200</v>
      </c>
      <c r="N173" s="21">
        <v>2271100000</v>
      </c>
      <c r="O173" s="21">
        <v>2281600000</v>
      </c>
      <c r="P173" s="21"/>
    </row>
    <row r="174" spans="4:16" x14ac:dyDescent="0.2">
      <c r="D174" s="22" t="s">
        <v>172</v>
      </c>
      <c r="E174" s="22" t="s">
        <v>695</v>
      </c>
      <c r="F174" s="22">
        <v>2282200000</v>
      </c>
      <c r="G174" s="22" t="s">
        <v>520</v>
      </c>
      <c r="L174" s="21" t="s">
        <v>353</v>
      </c>
      <c r="M174" s="21">
        <v>2221613000</v>
      </c>
      <c r="N174" s="21">
        <v>2271100000</v>
      </c>
      <c r="O174" s="21">
        <v>2281600000</v>
      </c>
      <c r="P174" s="21"/>
    </row>
    <row r="175" spans="4:16" x14ac:dyDescent="0.2">
      <c r="D175" s="22" t="s">
        <v>173</v>
      </c>
      <c r="E175" s="22" t="s">
        <v>696</v>
      </c>
      <c r="F175" s="22">
        <v>2220210000</v>
      </c>
      <c r="G175" s="22" t="s">
        <v>570</v>
      </c>
      <c r="L175" s="21" t="s">
        <v>354</v>
      </c>
      <c r="M175" s="21">
        <v>2221613100</v>
      </c>
      <c r="N175" s="21">
        <v>2271100000</v>
      </c>
      <c r="O175" s="21">
        <v>2281600000</v>
      </c>
      <c r="P175" s="21"/>
    </row>
    <row r="176" spans="4:16" x14ac:dyDescent="0.2">
      <c r="D176" s="22" t="s">
        <v>174</v>
      </c>
      <c r="E176" s="22" t="s">
        <v>697</v>
      </c>
      <c r="F176" s="22">
        <v>2220220000</v>
      </c>
      <c r="G176" s="22" t="s">
        <v>572</v>
      </c>
      <c r="L176" s="21" t="s">
        <v>355</v>
      </c>
      <c r="M176" s="21">
        <v>2221613200</v>
      </c>
      <c r="N176" s="21">
        <v>2271100000</v>
      </c>
      <c r="O176" s="21">
        <v>2281600000</v>
      </c>
      <c r="P176" s="21"/>
    </row>
    <row r="177" spans="4:16" x14ac:dyDescent="0.2">
      <c r="D177" s="22" t="s">
        <v>175</v>
      </c>
      <c r="E177" s="22" t="s">
        <v>698</v>
      </c>
      <c r="F177" s="22"/>
      <c r="G177" s="22"/>
      <c r="L177" s="21" t="s">
        <v>356</v>
      </c>
      <c r="M177" s="21">
        <v>2221614000</v>
      </c>
      <c r="N177" s="21">
        <v>2271100000</v>
      </c>
      <c r="O177" s="21">
        <v>2281600000</v>
      </c>
      <c r="P177" s="21"/>
    </row>
    <row r="178" spans="4:16" x14ac:dyDescent="0.2">
      <c r="D178" s="22" t="s">
        <v>176</v>
      </c>
      <c r="E178" s="22" t="s">
        <v>699</v>
      </c>
      <c r="F178" s="22"/>
      <c r="G178" s="22"/>
      <c r="L178" s="21" t="s">
        <v>357</v>
      </c>
      <c r="M178" s="21">
        <v>2221615000</v>
      </c>
      <c r="N178" s="21">
        <v>2271100000</v>
      </c>
      <c r="O178" s="21">
        <v>2281600000</v>
      </c>
      <c r="P178" s="21"/>
    </row>
    <row r="179" spans="4:16" x14ac:dyDescent="0.2">
      <c r="D179" s="22" t="s">
        <v>177</v>
      </c>
      <c r="E179" s="22" t="s">
        <v>700</v>
      </c>
      <c r="L179" s="21" t="s">
        <v>358</v>
      </c>
      <c r="M179" s="21">
        <v>2221615100</v>
      </c>
      <c r="N179" s="21">
        <v>2271100000</v>
      </c>
      <c r="O179" s="21">
        <v>2281600000</v>
      </c>
      <c r="P179" s="21"/>
    </row>
    <row r="180" spans="4:16" x14ac:dyDescent="0.2">
      <c r="D180" s="22" t="s">
        <v>178</v>
      </c>
      <c r="E180" s="22" t="s">
        <v>701</v>
      </c>
      <c r="L180" s="21" t="s">
        <v>359</v>
      </c>
      <c r="M180" s="21">
        <v>2221615200</v>
      </c>
      <c r="N180" s="21">
        <v>2271100000</v>
      </c>
      <c r="O180" s="21">
        <v>2281600000</v>
      </c>
      <c r="P180" s="21"/>
    </row>
    <row r="181" spans="4:16" x14ac:dyDescent="0.2">
      <c r="D181" s="22" t="s">
        <v>179</v>
      </c>
      <c r="E181" s="22" t="s">
        <v>702</v>
      </c>
      <c r="L181" s="21" t="s">
        <v>360</v>
      </c>
      <c r="M181" s="21">
        <v>2221615300</v>
      </c>
      <c r="N181" s="21">
        <v>2271100000</v>
      </c>
      <c r="O181" s="21">
        <v>2281600000</v>
      </c>
      <c r="P181" s="21"/>
    </row>
    <row r="182" spans="4:16" x14ac:dyDescent="0.2">
      <c r="D182" s="22" t="s">
        <v>180</v>
      </c>
      <c r="E182" s="22" t="s">
        <v>703</v>
      </c>
      <c r="L182" s="21" t="s">
        <v>361</v>
      </c>
      <c r="M182" s="21">
        <v>2221615400</v>
      </c>
      <c r="N182" s="21">
        <v>2271100000</v>
      </c>
      <c r="O182" s="21">
        <v>2281600000</v>
      </c>
      <c r="P182" s="21"/>
    </row>
    <row r="183" spans="4:16" x14ac:dyDescent="0.2">
      <c r="L183" s="21" t="s">
        <v>362</v>
      </c>
      <c r="M183" s="21">
        <v>2221615500</v>
      </c>
      <c r="N183" s="21">
        <v>2271100000</v>
      </c>
      <c r="O183" s="21">
        <v>2281600000</v>
      </c>
      <c r="P183" s="21"/>
    </row>
    <row r="184" spans="4:16" x14ac:dyDescent="0.2">
      <c r="L184" s="21" t="s">
        <v>363</v>
      </c>
      <c r="M184" s="21">
        <v>2221615600</v>
      </c>
      <c r="N184" s="21">
        <v>2271100000</v>
      </c>
      <c r="O184" s="21">
        <v>2281600000</v>
      </c>
      <c r="P184" s="21"/>
    </row>
    <row r="185" spans="4:16" x14ac:dyDescent="0.2">
      <c r="L185" s="21" t="s">
        <v>364</v>
      </c>
      <c r="M185" s="21">
        <v>2221615700</v>
      </c>
      <c r="N185" s="21">
        <v>2271100000</v>
      </c>
      <c r="O185" s="21">
        <v>2281600000</v>
      </c>
      <c r="P185" s="21"/>
    </row>
    <row r="186" spans="4:16" x14ac:dyDescent="0.2">
      <c r="L186" s="21" t="s">
        <v>365</v>
      </c>
      <c r="M186" s="21">
        <v>2221630000</v>
      </c>
      <c r="N186" s="21">
        <v>2271100000</v>
      </c>
      <c r="O186" s="21">
        <v>2281600000</v>
      </c>
      <c r="P186" s="21"/>
    </row>
    <row r="187" spans="4:16" x14ac:dyDescent="0.2">
      <c r="L187" s="21" t="s">
        <v>366</v>
      </c>
      <c r="M187" s="21">
        <v>2250000000</v>
      </c>
      <c r="N187" s="21">
        <v>2271000000</v>
      </c>
      <c r="O187" s="21"/>
      <c r="P187" s="21"/>
    </row>
    <row r="188" spans="4:16" x14ac:dyDescent="0.2">
      <c r="L188" s="21" t="s">
        <v>367</v>
      </c>
      <c r="M188" s="21">
        <v>2251000000</v>
      </c>
      <c r="N188" s="21">
        <v>2271000000</v>
      </c>
      <c r="O188" s="21">
        <v>2282100000</v>
      </c>
      <c r="P188" s="21"/>
    </row>
    <row r="189" spans="4:16" x14ac:dyDescent="0.2">
      <c r="L189" s="21" t="s">
        <v>368</v>
      </c>
      <c r="M189" s="21">
        <v>2252000000</v>
      </c>
      <c r="N189" s="21">
        <v>2271000000</v>
      </c>
      <c r="O189" s="21">
        <v>2253100000</v>
      </c>
      <c r="P189" s="21"/>
    </row>
    <row r="190" spans="4:16" x14ac:dyDescent="0.2">
      <c r="L190" s="21" t="s">
        <v>369</v>
      </c>
      <c r="M190" s="21">
        <v>2240000000</v>
      </c>
      <c r="N190" s="21">
        <v>2271000000</v>
      </c>
      <c r="O190" s="21">
        <v>2282000000</v>
      </c>
      <c r="P190" s="21"/>
    </row>
    <row r="191" spans="4:16" x14ac:dyDescent="0.2">
      <c r="L191" s="21" t="s">
        <v>370</v>
      </c>
      <c r="M191" s="21">
        <v>2260000000</v>
      </c>
      <c r="N191" s="21">
        <v>2271000000</v>
      </c>
      <c r="O191" s="21"/>
      <c r="P191" s="21"/>
    </row>
    <row r="192" spans="4:16" x14ac:dyDescent="0.2">
      <c r="L192" s="21" t="s">
        <v>371</v>
      </c>
      <c r="M192" s="21">
        <v>2261000000</v>
      </c>
      <c r="N192" s="21">
        <v>2271000000</v>
      </c>
      <c r="O192" s="21">
        <v>2282200000</v>
      </c>
      <c r="P192" s="21"/>
    </row>
    <row r="193" spans="12:16" x14ac:dyDescent="0.2">
      <c r="L193" s="21" t="s">
        <v>372</v>
      </c>
      <c r="M193" s="21">
        <v>2262000000</v>
      </c>
      <c r="N193" s="21">
        <v>2271000000</v>
      </c>
      <c r="O193" s="21">
        <v>2282200000</v>
      </c>
      <c r="P193" s="21"/>
    </row>
    <row r="194" spans="12:16" x14ac:dyDescent="0.2">
      <c r="L194" s="21" t="s">
        <v>373</v>
      </c>
      <c r="M194" s="21">
        <v>2221517110</v>
      </c>
      <c r="N194" s="21">
        <v>2271000000</v>
      </c>
      <c r="O194" s="21">
        <v>2282200000</v>
      </c>
      <c r="P194" s="21"/>
    </row>
    <row r="195" spans="12:16" x14ac:dyDescent="0.2">
      <c r="L195" s="21" t="s">
        <v>374</v>
      </c>
      <c r="M195" s="21">
        <v>2221730000</v>
      </c>
      <c r="N195" s="21">
        <v>2271000000</v>
      </c>
      <c r="O195" s="21">
        <v>2281700000</v>
      </c>
      <c r="P195" s="21"/>
    </row>
    <row r="196" spans="12:16" x14ac:dyDescent="0.2">
      <c r="L196" s="21" t="s">
        <v>375</v>
      </c>
      <c r="M196" s="21">
        <v>2221700000</v>
      </c>
      <c r="N196" s="21">
        <v>2271000000</v>
      </c>
      <c r="O196" s="21">
        <v>2281700000</v>
      </c>
      <c r="P196" s="21"/>
    </row>
    <row r="197" spans="12:16" x14ac:dyDescent="0.2">
      <c r="L197" s="21" t="s">
        <v>376</v>
      </c>
      <c r="M197" s="21">
        <v>2221710000</v>
      </c>
      <c r="N197" s="21">
        <v>2271000000</v>
      </c>
      <c r="O197" s="21">
        <v>2281700000</v>
      </c>
      <c r="P197" s="21"/>
    </row>
    <row r="198" spans="12:16" x14ac:dyDescent="0.2">
      <c r="L198" s="21" t="s">
        <v>377</v>
      </c>
      <c r="M198" s="21">
        <v>2221730000</v>
      </c>
      <c r="N198" s="21">
        <v>2271000000</v>
      </c>
      <c r="O198" s="21">
        <v>2281700000</v>
      </c>
      <c r="P198" s="21"/>
    </row>
    <row r="199" spans="12:16" x14ac:dyDescent="0.2">
      <c r="L199" s="21" t="s">
        <v>378</v>
      </c>
      <c r="M199" s="21">
        <v>2221730000</v>
      </c>
      <c r="N199" s="21">
        <v>2271000000</v>
      </c>
      <c r="O199" s="21">
        <v>2281700000</v>
      </c>
      <c r="P199" s="21"/>
    </row>
    <row r="200" spans="12:16" x14ac:dyDescent="0.2">
      <c r="L200" s="21" t="s">
        <v>379</v>
      </c>
      <c r="M200" s="21">
        <v>2221720000</v>
      </c>
      <c r="N200" s="21">
        <v>2271000000</v>
      </c>
      <c r="O200" s="21">
        <v>2281700000</v>
      </c>
      <c r="P200" s="21"/>
    </row>
    <row r="201" spans="12:16" x14ac:dyDescent="0.2">
      <c r="L201" s="21" t="s">
        <v>380</v>
      </c>
      <c r="M201" s="21">
        <v>2235700000</v>
      </c>
      <c r="N201" s="21">
        <v>2270400000</v>
      </c>
      <c r="O201" s="21">
        <v>2281900000</v>
      </c>
      <c r="P201" s="21"/>
    </row>
    <row r="202" spans="12:16" x14ac:dyDescent="0.2">
      <c r="L202" s="21" t="s">
        <v>381</v>
      </c>
      <c r="M202" s="21">
        <v>2221800000</v>
      </c>
      <c r="N202" s="21">
        <v>2271000000</v>
      </c>
      <c r="O202" s="21">
        <v>2281800000</v>
      </c>
      <c r="P202" s="21"/>
    </row>
    <row r="203" spans="12:16" x14ac:dyDescent="0.2">
      <c r="L203" s="21" t="s">
        <v>382</v>
      </c>
      <c r="M203" s="21">
        <v>2231000000</v>
      </c>
      <c r="N203" s="21">
        <v>2270400000</v>
      </c>
      <c r="O203" s="21">
        <v>2281900000</v>
      </c>
      <c r="P203" s="21"/>
    </row>
    <row r="204" spans="12:16" x14ac:dyDescent="0.2">
      <c r="L204" s="21" t="s">
        <v>383</v>
      </c>
      <c r="M204" s="21">
        <v>2232000000</v>
      </c>
      <c r="N204" s="21">
        <v>2270400000</v>
      </c>
      <c r="O204" s="21">
        <v>2281900000</v>
      </c>
      <c r="P204" s="21"/>
    </row>
    <row r="205" spans="12:16" x14ac:dyDescent="0.2">
      <c r="L205" s="21" t="s">
        <v>384</v>
      </c>
      <c r="M205" s="21">
        <v>2232100000</v>
      </c>
      <c r="N205" s="21">
        <v>2270400000</v>
      </c>
      <c r="O205" s="21">
        <v>2281900000</v>
      </c>
      <c r="P205" s="21"/>
    </row>
    <row r="206" spans="12:16" x14ac:dyDescent="0.2">
      <c r="L206" s="21" t="s">
        <v>385</v>
      </c>
      <c r="M206" s="21">
        <v>2232200000</v>
      </c>
      <c r="N206" s="21">
        <v>2270400000</v>
      </c>
      <c r="O206" s="21">
        <v>2281900000</v>
      </c>
      <c r="P206" s="21"/>
    </row>
    <row r="207" spans="12:16" x14ac:dyDescent="0.2">
      <c r="L207" s="21" t="s">
        <v>386</v>
      </c>
      <c r="M207" s="21">
        <v>2233000000</v>
      </c>
      <c r="N207" s="21">
        <v>2270400000</v>
      </c>
      <c r="O207" s="21">
        <v>2281900000</v>
      </c>
      <c r="P207" s="21"/>
    </row>
    <row r="208" spans="12:16" x14ac:dyDescent="0.2">
      <c r="L208" s="21" t="s">
        <v>387</v>
      </c>
      <c r="M208" s="21">
        <v>2233100000</v>
      </c>
      <c r="N208" s="21">
        <v>2270400000</v>
      </c>
      <c r="O208" s="21">
        <v>2281900000</v>
      </c>
      <c r="P208" s="21"/>
    </row>
    <row r="209" spans="12:16" x14ac:dyDescent="0.2">
      <c r="L209" s="21" t="s">
        <v>388</v>
      </c>
      <c r="M209" s="21">
        <v>2233200000</v>
      </c>
      <c r="N209" s="21">
        <v>2270400000</v>
      </c>
      <c r="O209" s="21">
        <v>2281900000</v>
      </c>
      <c r="P209" s="21"/>
    </row>
    <row r="210" spans="12:16" x14ac:dyDescent="0.2">
      <c r="L210" s="21" t="s">
        <v>389</v>
      </c>
      <c r="M210" s="21">
        <v>2233100000</v>
      </c>
      <c r="N210" s="21">
        <v>2270400000</v>
      </c>
      <c r="O210" s="21"/>
      <c r="P210" s="21"/>
    </row>
    <row r="211" spans="12:16" x14ac:dyDescent="0.2">
      <c r="L211" s="21" t="s">
        <v>390</v>
      </c>
      <c r="M211" s="21">
        <v>2233200000</v>
      </c>
      <c r="N211" s="21">
        <v>2270400000</v>
      </c>
      <c r="O211" s="21"/>
      <c r="P211" s="21"/>
    </row>
    <row r="212" spans="12:16" x14ac:dyDescent="0.2">
      <c r="L212" s="21" t="s">
        <v>391</v>
      </c>
      <c r="M212" s="21">
        <v>2234000000</v>
      </c>
      <c r="N212" s="21">
        <v>2270400000</v>
      </c>
      <c r="O212" s="21">
        <v>2281900000</v>
      </c>
      <c r="P212" s="21"/>
    </row>
    <row r="213" spans="12:16" x14ac:dyDescent="0.2">
      <c r="L213" s="21" t="s">
        <v>392</v>
      </c>
      <c r="M213" s="21">
        <v>2235000000</v>
      </c>
      <c r="N213" s="21">
        <v>2270400000</v>
      </c>
      <c r="O213" s="21">
        <v>2281900000</v>
      </c>
      <c r="P213" s="21"/>
    </row>
    <row r="214" spans="12:16" x14ac:dyDescent="0.2">
      <c r="L214" s="21" t="s">
        <v>393</v>
      </c>
      <c r="M214" s="21">
        <v>2235100000</v>
      </c>
      <c r="N214" s="21">
        <v>2270400000</v>
      </c>
      <c r="O214" s="21">
        <v>2281900000</v>
      </c>
      <c r="P214" s="21"/>
    </row>
    <row r="215" spans="12:16" x14ac:dyDescent="0.2">
      <c r="L215" s="21" t="s">
        <v>394</v>
      </c>
      <c r="M215" s="21">
        <v>2235100000</v>
      </c>
      <c r="N215" s="21">
        <v>2270400000</v>
      </c>
      <c r="O215" s="21"/>
      <c r="P215" s="21"/>
    </row>
    <row r="216" spans="12:16" x14ac:dyDescent="0.2">
      <c r="L216" s="21" t="s">
        <v>395</v>
      </c>
      <c r="M216" s="21">
        <v>2235200000</v>
      </c>
      <c r="N216" s="21">
        <v>2270400000</v>
      </c>
      <c r="O216" s="21">
        <v>2281900000</v>
      </c>
      <c r="P216" s="21"/>
    </row>
    <row r="217" spans="12:16" x14ac:dyDescent="0.2">
      <c r="L217" s="21" t="s">
        <v>396</v>
      </c>
      <c r="M217" s="21">
        <v>2235300000</v>
      </c>
      <c r="N217" s="21">
        <v>2270400000</v>
      </c>
      <c r="O217" s="21">
        <v>2281900000</v>
      </c>
      <c r="P217" s="21"/>
    </row>
    <row r="218" spans="12:16" x14ac:dyDescent="0.2">
      <c r="L218" s="21" t="s">
        <v>397</v>
      </c>
      <c r="M218" s="21">
        <v>2235400000</v>
      </c>
      <c r="N218" s="21">
        <v>2270400000</v>
      </c>
      <c r="O218" s="21">
        <v>2281900000</v>
      </c>
      <c r="P218" s="21"/>
    </row>
    <row r="219" spans="12:16" x14ac:dyDescent="0.2">
      <c r="L219" s="21" t="s">
        <v>398</v>
      </c>
      <c r="M219" s="21">
        <v>2235500000</v>
      </c>
      <c r="N219" s="21">
        <v>2270400000</v>
      </c>
      <c r="O219" s="21">
        <v>2281900000</v>
      </c>
      <c r="P219" s="21"/>
    </row>
    <row r="220" spans="12:16" x14ac:dyDescent="0.2">
      <c r="L220" s="21" t="s">
        <v>399</v>
      </c>
      <c r="M220" s="21">
        <v>2235600000</v>
      </c>
      <c r="N220" s="21">
        <v>2270400000</v>
      </c>
      <c r="O220" s="21">
        <v>2281900000</v>
      </c>
      <c r="P220" s="21"/>
    </row>
    <row r="221" spans="12:16" x14ac:dyDescent="0.2">
      <c r="L221" s="21" t="s">
        <v>400</v>
      </c>
      <c r="M221" s="21">
        <v>2235700000</v>
      </c>
      <c r="N221" s="21">
        <v>2270400000</v>
      </c>
      <c r="O221" s="21"/>
      <c r="P221" s="21"/>
    </row>
    <row r="222" spans="12:16" x14ac:dyDescent="0.2">
      <c r="L222" s="21" t="s">
        <v>401</v>
      </c>
      <c r="M222" s="21">
        <v>2235700000</v>
      </c>
      <c r="N222" s="21">
        <v>2270400000</v>
      </c>
      <c r="O222" s="21"/>
      <c r="P222" s="21"/>
    </row>
    <row r="223" spans="12:16" x14ac:dyDescent="0.2">
      <c r="L223" s="21" t="s">
        <v>402</v>
      </c>
      <c r="M223" s="21">
        <v>2235700000</v>
      </c>
      <c r="N223" s="21">
        <v>2270400000</v>
      </c>
      <c r="O223" s="21"/>
      <c r="P223" s="21"/>
    </row>
    <row r="224" spans="12:16" x14ac:dyDescent="0.2">
      <c r="L224" s="21" t="s">
        <v>403</v>
      </c>
      <c r="M224" s="21">
        <v>2222100000</v>
      </c>
      <c r="N224" s="21">
        <v>2271000000</v>
      </c>
      <c r="O224" s="21"/>
      <c r="P224" s="21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3576FADDE5A81741B345B1A3CB427CDF" ma:contentTypeVersion="0" ma:contentTypeDescription="Создание документа." ma:contentTypeScope="" ma:versionID="76de624424f522f355d792f7c88b4ae5">
  <xsd:schema xmlns:xsd="http://www.w3.org/2001/XMLSchema" xmlns:xs="http://www.w3.org/2001/XMLSchema" xmlns:p="http://schemas.microsoft.com/office/2006/metadata/properties" xmlns:ns2="43a840fa-7669-4b92-8de1-ee501749140f" targetNamespace="http://schemas.microsoft.com/office/2006/metadata/properties" ma:root="true" ma:fieldsID="f621bcfbf4153bfa549cb78376659747" ns2:_="">
    <xsd:import namespace="43a840fa-7669-4b92-8de1-ee501749140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a840fa-7669-4b92-8de1-ee501749140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Значение идентификатора документа" ma:description="Значение идентификатора документа, присвоенного данному элементу." ma:internalName="_dlc_DocId" ma:readOnly="true">
      <xsd:simpleType>
        <xsd:restriction base="dms:Text"/>
      </xsd:simpleType>
    </xsd:element>
    <xsd:element name="_dlc_DocIdUrl" ma:index="9" nillable="true" ma:displayName="Идентификатор документа" ma:description="Постоянная ссылка на этот документ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Сохранить идентификатор" ma:description="Сохранять идентификатор при добавлении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3a840fa-7669-4b92-8de1-ee501749140f">ZM6P4VP4USYZ-272-3063</_dlc_DocId>
    <_dlc_DocIdUrl xmlns="43a840fa-7669-4b92-8de1-ee501749140f">
      <Url>http://portal/FO/_layouts/15/DocIdRedir.aspx?ID=ZM6P4VP4USYZ-272-3063</Url>
      <Description>ZM6P4VP4USYZ-272-3063</Description>
    </_dlc_DocIdUrl>
  </documentManagement>
</p:properties>
</file>

<file path=customXml/itemProps1.xml><?xml version="1.0" encoding="utf-8"?>
<ds:datastoreItem xmlns:ds="http://schemas.openxmlformats.org/officeDocument/2006/customXml" ds:itemID="{CD6E4924-6824-4547-AE4D-281D9EEFDCCD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FEF1598E-EE0E-45BC-929E-DFEA9D2DA2E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a840fa-7669-4b92-8de1-ee50174914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AE7699A-A85E-481A-9067-601A4C8FBF2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C4CA2DE-ADB2-496A-A837-7F4418F105B6}">
  <ds:schemaRefs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43a840fa-7669-4b92-8de1-ee501749140f"/>
    <ds:schemaRef ds:uri="http://purl.org/dc/terms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input</vt:lpstr>
      <vt:lpstr>items_lookup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 Алексей Владимирович</dc:creator>
  <cp:lastModifiedBy>Коновалов Алексей Владимирович</cp:lastModifiedBy>
  <dcterms:created xsi:type="dcterms:W3CDTF">2019-10-10T12:05:38Z</dcterms:created>
  <dcterms:modified xsi:type="dcterms:W3CDTF">2022-07-05T11:02:22Z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0x0101003576FADDE5A81741B345B1A3CB427CDF</vt:lpwstr>
  </property>
  <property fmtid="{D5CDD505-2E9C-101B-9397-08002B2CF9AE}" pid="3" name="_dlc_DocIdItemGuid">
    <vt:lpwstr>2007bc8d-f7dd-4bd7-8787-600c2173785e</vt:lpwstr>
  </property>
</Properties>
</file>