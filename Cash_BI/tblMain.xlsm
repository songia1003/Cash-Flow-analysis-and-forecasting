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bookViews>
    <workbookView xWindow="-105" yWindow="-105" windowWidth="19395" windowHeight="11475" activeTab="1"/>
  </bookViews>
  <sheets>
    <sheet name="Лист1" sheetId="41" r:id="rId1"/>
    <sheet name="input" sheetId="39" r:id="rId2"/>
    <sheet name="ref" sheetId="37" r:id="rId3"/>
    <sheet name="lookup_codes" sheetId="38" r:id="rId4"/>
    <sheet name="виды данных" sheetId="36" r:id="rId5"/>
    <sheet name="items_lookup" sheetId="40" r:id="rId6"/>
  </sheets>
  <functionGroups builtInGroupCount="18"/>
  <definedNames>
    <definedName name="_xlnm._FilterDatabase" localSheetId="1" hidden="1">input!$A$1:$AK$2172</definedName>
    <definedName name="_xlnm._FilterDatabase" localSheetId="5" hidden="1">items_lookup!$A$1:$P$52</definedName>
    <definedName name="Cash_BI.accdb" localSheetId="2" hidden="1">ref!$A$1:$A$6</definedName>
    <definedName name="Cash_BI.accdb_1" localSheetId="2" hidden="1">ref!$C$1:$C$9</definedName>
    <definedName name="Cash_BI.accdb_10" localSheetId="2" hidden="1">ref!$AG$1:$AG$54</definedName>
    <definedName name="Cash_BI.accdb_11" localSheetId="2" hidden="1">ref!$AI$1:$AJ$53</definedName>
    <definedName name="Cash_BI.accdb_12" localSheetId="2" hidden="1">ref!$AL$1:$AL$5</definedName>
    <definedName name="Cash_BI.accdb_13" localSheetId="2" hidden="1">ref!$AN$1:$AN$6</definedName>
    <definedName name="Cash_BI.accdb_2" localSheetId="2" hidden="1">ref!$E$1:$E$224</definedName>
    <definedName name="Cash_BI.accdb_3" localSheetId="2" hidden="1">ref!$G$1:$K$224</definedName>
    <definedName name="Cash_BI.accdb_4" localSheetId="2" hidden="1">ref!$M$1:$N$27</definedName>
    <definedName name="Cash_BI.accdb_5" localSheetId="2" hidden="1">ref!$P$1:$V$235</definedName>
    <definedName name="Cash_BI.accdb_6" localSheetId="2" hidden="1">ref!$X$1:$Y$182</definedName>
    <definedName name="Cash_BI.accdb_7" localSheetId="2" hidden="1">ref!$AA$1:$AA$3</definedName>
    <definedName name="Cash_BI.accdb_8" localSheetId="2" hidden="1">ref!$AC$1:$AC$3</definedName>
    <definedName name="Cash_BI.accdb_9" localSheetId="2" hidden="1">ref!$AE$1:$AE$3</definedName>
    <definedName name="Год" localSheetId="1">#REF!</definedName>
    <definedName name="Год" localSheetId="5">#REF!</definedName>
    <definedName name="Год" localSheetId="3">#REF!</definedName>
    <definedName name="Год">#REF!</definedName>
    <definedName name="ДОО" localSheetId="1">#REF!</definedName>
    <definedName name="ДОО" localSheetId="5">#REF!</definedName>
    <definedName name="ДОО" localSheetId="3">#REF!</definedName>
    <definedName name="ДОО">#REF!</definedName>
    <definedName name="_xlnm.Print_Titles" localSheetId="1">input!#REF!</definedName>
    <definedName name="Запрос_из_MS_Access_Database" localSheetId="2" hidden="1">ref!$AP$1:$AQ$49</definedName>
    <definedName name="_xlnm.Print_Area" localSheetId="1">input!$A$1:$Q$96</definedName>
  </definedNames>
  <calcPr calcId="152511"/>
  <pivotCaches>
    <pivotCache cacheId="1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592" i="39" l="1"/>
  <c r="AD3" i="39"/>
  <c r="AD4" i="39"/>
  <c r="AD5" i="39"/>
  <c r="AD6" i="39"/>
  <c r="AD7" i="39"/>
  <c r="AD8" i="39"/>
  <c r="AD9" i="39"/>
  <c r="AD10" i="39"/>
  <c r="AD11" i="39"/>
  <c r="AD12" i="39"/>
  <c r="AD13" i="39"/>
  <c r="AD14" i="39"/>
  <c r="AD15" i="39"/>
  <c r="AD16" i="39"/>
  <c r="AD17" i="39"/>
  <c r="AD18" i="39"/>
  <c r="AD19" i="39"/>
  <c r="AD20" i="39"/>
  <c r="AD21" i="39"/>
  <c r="AD22" i="39"/>
  <c r="AD23" i="39"/>
  <c r="AD24" i="39"/>
  <c r="AD25" i="39"/>
  <c r="AD26" i="39"/>
  <c r="AD27" i="39"/>
  <c r="AD28" i="39"/>
  <c r="AD29" i="39"/>
  <c r="AD30" i="39"/>
  <c r="AD31" i="39"/>
  <c r="AD32" i="39"/>
  <c r="AD33" i="39"/>
  <c r="AD34" i="39"/>
  <c r="AD35" i="39"/>
  <c r="AD36" i="39"/>
  <c r="AD37" i="39"/>
  <c r="AD38" i="39"/>
  <c r="AD39" i="39"/>
  <c r="AD40" i="39"/>
  <c r="AD41" i="39"/>
  <c r="AD42" i="39"/>
  <c r="AD43" i="39"/>
  <c r="AD44" i="39"/>
  <c r="AD45" i="39"/>
  <c r="AD46" i="39"/>
  <c r="AD47" i="39"/>
  <c r="AD48" i="39"/>
  <c r="AD49" i="39"/>
  <c r="AD50" i="39"/>
  <c r="AD51" i="39"/>
  <c r="AD52" i="39"/>
  <c r="AD53" i="39"/>
  <c r="AD54" i="39"/>
  <c r="AD55" i="39"/>
  <c r="AD56" i="39"/>
  <c r="AD57" i="39"/>
  <c r="AD58" i="39"/>
  <c r="AD59" i="39"/>
  <c r="AD60" i="39"/>
  <c r="AD61" i="39"/>
  <c r="AD62" i="39"/>
  <c r="AD63" i="39"/>
  <c r="AD64" i="39"/>
  <c r="AD65" i="39"/>
  <c r="AD66" i="39"/>
  <c r="AD67" i="39"/>
  <c r="AD68" i="39"/>
  <c r="AD69" i="39"/>
  <c r="AD70" i="39"/>
  <c r="AD71" i="39"/>
  <c r="AD72" i="39"/>
  <c r="AD73" i="39"/>
  <c r="AD74" i="39"/>
  <c r="AD75" i="39"/>
  <c r="AD76" i="39"/>
  <c r="AD77" i="39"/>
  <c r="AD78" i="39"/>
  <c r="AD79" i="39"/>
  <c r="AD80" i="39"/>
  <c r="AD81" i="39"/>
  <c r="AD82" i="39"/>
  <c r="AD83" i="39"/>
  <c r="AD84" i="39"/>
  <c r="AD85" i="39"/>
  <c r="AD86" i="39"/>
  <c r="AD87" i="39"/>
  <c r="AD88" i="39"/>
  <c r="AD89" i="39"/>
  <c r="AD90" i="39"/>
  <c r="AD91" i="39"/>
  <c r="AD92" i="39"/>
  <c r="AD93" i="39"/>
  <c r="AD94" i="39"/>
  <c r="AD95" i="39"/>
  <c r="AD96" i="39"/>
  <c r="AD97" i="39"/>
  <c r="AD98" i="39"/>
  <c r="AD99" i="39"/>
  <c r="AD100" i="39"/>
  <c r="AD101" i="39"/>
  <c r="AD102" i="39"/>
  <c r="AD103" i="39"/>
  <c r="AD104" i="39"/>
  <c r="AD105" i="39"/>
  <c r="AD106" i="39"/>
  <c r="AD107" i="39"/>
  <c r="AD108" i="39"/>
  <c r="AD109" i="39"/>
  <c r="AD110" i="39"/>
  <c r="AD111" i="39"/>
  <c r="AD112" i="39"/>
  <c r="AD113" i="39"/>
  <c r="AD114" i="39"/>
  <c r="AD115" i="39"/>
  <c r="AD116" i="39"/>
  <c r="AD117" i="39"/>
  <c r="AD118" i="39"/>
  <c r="AD119" i="39"/>
  <c r="AD120" i="39"/>
  <c r="AD121" i="39"/>
  <c r="AD122" i="39"/>
  <c r="AD123" i="39"/>
  <c r="AD124" i="39"/>
  <c r="AD125" i="39"/>
  <c r="AD126" i="39"/>
  <c r="AD127" i="39"/>
  <c r="AD128" i="39"/>
  <c r="AD129" i="39"/>
  <c r="AD130" i="39"/>
  <c r="AD131" i="39"/>
  <c r="AD132" i="39"/>
  <c r="AD133" i="39"/>
  <c r="AD134" i="39"/>
  <c r="AD135" i="39"/>
  <c r="AD136" i="39"/>
  <c r="AD137" i="39"/>
  <c r="AD138" i="39"/>
  <c r="AD139" i="39"/>
  <c r="AD140" i="39"/>
  <c r="AD141" i="39"/>
  <c r="AD142" i="39"/>
  <c r="AD143" i="39"/>
  <c r="AD144" i="39"/>
  <c r="AD145" i="39"/>
  <c r="AD146" i="39"/>
  <c r="AD147" i="39"/>
  <c r="AD148" i="39"/>
  <c r="AD149" i="39"/>
  <c r="AD150" i="39"/>
  <c r="AD151" i="39"/>
  <c r="AD152" i="39"/>
  <c r="AD153" i="39"/>
  <c r="AD154" i="39"/>
  <c r="AD155" i="39"/>
  <c r="AD156" i="39"/>
  <c r="AD157" i="39"/>
  <c r="AD158" i="39"/>
  <c r="AD159" i="39"/>
  <c r="AD160" i="39"/>
  <c r="AD161" i="39"/>
  <c r="AD162" i="39"/>
  <c r="AD163" i="39"/>
  <c r="AD164" i="39"/>
  <c r="AD165" i="39"/>
  <c r="AD166" i="39"/>
  <c r="AD167" i="39"/>
  <c r="AD168" i="39"/>
  <c r="AD169" i="39"/>
  <c r="AD170" i="39"/>
  <c r="AD171" i="39"/>
  <c r="AD172" i="39"/>
  <c r="AD173" i="39"/>
  <c r="AD174" i="39"/>
  <c r="AD175" i="39"/>
  <c r="AD176" i="39"/>
  <c r="AD177" i="39"/>
  <c r="AD178" i="39"/>
  <c r="AD179" i="39"/>
  <c r="AD180" i="39"/>
  <c r="AD181" i="39"/>
  <c r="AD182" i="39"/>
  <c r="AD183" i="39"/>
  <c r="AD184" i="39"/>
  <c r="AD185" i="39"/>
  <c r="AD186" i="39"/>
  <c r="AD187" i="39"/>
  <c r="AD188" i="39"/>
  <c r="AD189" i="39"/>
  <c r="AD190" i="39"/>
  <c r="AD191" i="39"/>
  <c r="AD192" i="39"/>
  <c r="AD193" i="39"/>
  <c r="AD194" i="39"/>
  <c r="AD195" i="39"/>
  <c r="AD196" i="39"/>
  <c r="AD197" i="39"/>
  <c r="AD198" i="39"/>
  <c r="AD199" i="39"/>
  <c r="AD200" i="39"/>
  <c r="AD201" i="39"/>
  <c r="AD202" i="39"/>
  <c r="AD203" i="39"/>
  <c r="AD204" i="39"/>
  <c r="AD205" i="39"/>
  <c r="AD206" i="39"/>
  <c r="AD207" i="39"/>
  <c r="AD208" i="39"/>
  <c r="AD209" i="39"/>
  <c r="AD210" i="39"/>
  <c r="AD211" i="39"/>
  <c r="AD212" i="39"/>
  <c r="AD213" i="39"/>
  <c r="AD214" i="39"/>
  <c r="AD215" i="39"/>
  <c r="AD216" i="39"/>
  <c r="AD217" i="39"/>
  <c r="AD218" i="39"/>
  <c r="AD219" i="39"/>
  <c r="AD220" i="39"/>
  <c r="AD221" i="39"/>
  <c r="AD222" i="39"/>
  <c r="AD223" i="39"/>
  <c r="AD224" i="39"/>
  <c r="AD225" i="39"/>
  <c r="AD226" i="39"/>
  <c r="AD227" i="39"/>
  <c r="AD228" i="39"/>
  <c r="AD229" i="39"/>
  <c r="AD230" i="39"/>
  <c r="AD231" i="39"/>
  <c r="AD232" i="39"/>
  <c r="AD233" i="39"/>
  <c r="AD234" i="39"/>
  <c r="AD235" i="39"/>
  <c r="AD236" i="39"/>
  <c r="AD237" i="39"/>
  <c r="AD238" i="39"/>
  <c r="AD239" i="39"/>
  <c r="AD240" i="39"/>
  <c r="AD241" i="39"/>
  <c r="AD242" i="39"/>
  <c r="AD243" i="39"/>
  <c r="AD244" i="39"/>
  <c r="AD245" i="39"/>
  <c r="AD246" i="39"/>
  <c r="AD247" i="39"/>
  <c r="AD248" i="39"/>
  <c r="AD249" i="39"/>
  <c r="AD250" i="39"/>
  <c r="AD251" i="39"/>
  <c r="AD252" i="39"/>
  <c r="AD253" i="39"/>
  <c r="AD254" i="39"/>
  <c r="AD255" i="39"/>
  <c r="AD256" i="39"/>
  <c r="AD257" i="39"/>
  <c r="AD258" i="39"/>
  <c r="AD259" i="39"/>
  <c r="AD260" i="39"/>
  <c r="AD261" i="39"/>
  <c r="AD262" i="39"/>
  <c r="AD263" i="39"/>
  <c r="AD264" i="39"/>
  <c r="AD265" i="39"/>
  <c r="AD266" i="39"/>
  <c r="AD267" i="39"/>
  <c r="AD268" i="39"/>
  <c r="AD269" i="39"/>
  <c r="AD270" i="39"/>
  <c r="AD271" i="39"/>
  <c r="AD272" i="39"/>
  <c r="AD273" i="39"/>
  <c r="AD274" i="39"/>
  <c r="AD275" i="39"/>
  <c r="AD276" i="39"/>
  <c r="AD277" i="39"/>
  <c r="AD278" i="39"/>
  <c r="AD279" i="39"/>
  <c r="AD280" i="39"/>
  <c r="AD281" i="39"/>
  <c r="AD282" i="39"/>
  <c r="AD283" i="39"/>
  <c r="AD284" i="39"/>
  <c r="AD285" i="39"/>
  <c r="AD286" i="39"/>
  <c r="AD287" i="39"/>
  <c r="AD288" i="39"/>
  <c r="AD289" i="39"/>
  <c r="AD290" i="39"/>
  <c r="AD291" i="39"/>
  <c r="AD292" i="39"/>
  <c r="AD293" i="39"/>
  <c r="AD294" i="39"/>
  <c r="AD295" i="39"/>
  <c r="AD296" i="39"/>
  <c r="AD297" i="39"/>
  <c r="AD298" i="39"/>
  <c r="AD299" i="39"/>
  <c r="AD300" i="39"/>
  <c r="AD301" i="39"/>
  <c r="AD302" i="39"/>
  <c r="AD303" i="39"/>
  <c r="AD304" i="39"/>
  <c r="AD305" i="39"/>
  <c r="AD306" i="39"/>
  <c r="AD307" i="39"/>
  <c r="AD308" i="39"/>
  <c r="AD309" i="39"/>
  <c r="AD310" i="39"/>
  <c r="AD311" i="39"/>
  <c r="AD312" i="39"/>
  <c r="AD313" i="39"/>
  <c r="AD314" i="39"/>
  <c r="AD315" i="39"/>
  <c r="AD316" i="39"/>
  <c r="AD317" i="39"/>
  <c r="AD318" i="39"/>
  <c r="AD319" i="39"/>
  <c r="AD320" i="39"/>
  <c r="AD321" i="39"/>
  <c r="AD322" i="39"/>
  <c r="AD323" i="39"/>
  <c r="AD324" i="39"/>
  <c r="AD325" i="39"/>
  <c r="AD326" i="39"/>
  <c r="AD327" i="39"/>
  <c r="AD328" i="39"/>
  <c r="AD329" i="39"/>
  <c r="AD330" i="39"/>
  <c r="AD331" i="39"/>
  <c r="AD332" i="39"/>
  <c r="AD333" i="39"/>
  <c r="AD334" i="39"/>
  <c r="AD335" i="39"/>
  <c r="AD336" i="39"/>
  <c r="AD337" i="39"/>
  <c r="AD338" i="39"/>
  <c r="AD339" i="39"/>
  <c r="AD340" i="39"/>
  <c r="AD341" i="39"/>
  <c r="AD342" i="39"/>
  <c r="AD343" i="39"/>
  <c r="AD344" i="39"/>
  <c r="AD345" i="39"/>
  <c r="AD346" i="39"/>
  <c r="AD347" i="39"/>
  <c r="AD348" i="39"/>
  <c r="AD349" i="39"/>
  <c r="AD350" i="39"/>
  <c r="AD351" i="39"/>
  <c r="AD352" i="39"/>
  <c r="AD353" i="39"/>
  <c r="AD354" i="39"/>
  <c r="AD355" i="39"/>
  <c r="AD356" i="39"/>
  <c r="AD357" i="39"/>
  <c r="AD358" i="39"/>
  <c r="AD359" i="39"/>
  <c r="AD360" i="39"/>
  <c r="AD361" i="39"/>
  <c r="AD362" i="39"/>
  <c r="AD363" i="39"/>
  <c r="AD364" i="39"/>
  <c r="AD365" i="39"/>
  <c r="AD366" i="39"/>
  <c r="AD367" i="39"/>
  <c r="AD368" i="39"/>
  <c r="AD369" i="39"/>
  <c r="AD370" i="39"/>
  <c r="AD371" i="39"/>
  <c r="AD372" i="39"/>
  <c r="AD373" i="39"/>
  <c r="AD374" i="39"/>
  <c r="AD375" i="39"/>
  <c r="AD376" i="39"/>
  <c r="AD377" i="39"/>
  <c r="AD378" i="39"/>
  <c r="AD379" i="39"/>
  <c r="AD380" i="39"/>
  <c r="AD381" i="39"/>
  <c r="AD382" i="39"/>
  <c r="AD383" i="39"/>
  <c r="AD384" i="39"/>
  <c r="AD385" i="39"/>
  <c r="AD386" i="39"/>
  <c r="AD387" i="39"/>
  <c r="AD388" i="39"/>
  <c r="AD389" i="39"/>
  <c r="AD390" i="39"/>
  <c r="AD391" i="39"/>
  <c r="AD392" i="39"/>
  <c r="AD393" i="39"/>
  <c r="AD394" i="39"/>
  <c r="AD395" i="39"/>
  <c r="AD396" i="39"/>
  <c r="AD397" i="39"/>
  <c r="AD398" i="39"/>
  <c r="AD399" i="39"/>
  <c r="AD400" i="39"/>
  <c r="AD401" i="39"/>
  <c r="AD402" i="39"/>
  <c r="AD403" i="39"/>
  <c r="AD404" i="39"/>
  <c r="AD405" i="39"/>
  <c r="AD406" i="39"/>
  <c r="AD407" i="39"/>
  <c r="AD408" i="39"/>
  <c r="AD409" i="39"/>
  <c r="AD410" i="39"/>
  <c r="AD411" i="39"/>
  <c r="AD412" i="39"/>
  <c r="AD413" i="39"/>
  <c r="AD414" i="39"/>
  <c r="AD415" i="39"/>
  <c r="AD416" i="39"/>
  <c r="AD417" i="39"/>
  <c r="AD418" i="39"/>
  <c r="AD419" i="39"/>
  <c r="AD420" i="39"/>
  <c r="AD421" i="39"/>
  <c r="AD422" i="39"/>
  <c r="AD423" i="39"/>
  <c r="AD424" i="39"/>
  <c r="AD425" i="39"/>
  <c r="AD426" i="39"/>
  <c r="AD427" i="39"/>
  <c r="AD428" i="39"/>
  <c r="AD429" i="39"/>
  <c r="AD430" i="39"/>
  <c r="AD431" i="39"/>
  <c r="AD432" i="39"/>
  <c r="AD433" i="39"/>
  <c r="AD434" i="39"/>
  <c r="AD435" i="39"/>
  <c r="AD436" i="39"/>
  <c r="AD437" i="39"/>
  <c r="AD438" i="39"/>
  <c r="AD439" i="39"/>
  <c r="AD440" i="39"/>
  <c r="AD441" i="39"/>
  <c r="AD442" i="39"/>
  <c r="AD443" i="39"/>
  <c r="AD444" i="39"/>
  <c r="AD445" i="39"/>
  <c r="AD446" i="39"/>
  <c r="AD447" i="39"/>
  <c r="AD448" i="39"/>
  <c r="AD449" i="39"/>
  <c r="AD450" i="39"/>
  <c r="AD451" i="39"/>
  <c r="AD452" i="39"/>
  <c r="AD453" i="39"/>
  <c r="AD454" i="39"/>
  <c r="AD455" i="39"/>
  <c r="AD456" i="39"/>
  <c r="AD457" i="39"/>
  <c r="AD458" i="39"/>
  <c r="AD459" i="39"/>
  <c r="AD460" i="39"/>
  <c r="AD461" i="39"/>
  <c r="AD462" i="39"/>
  <c r="AD463" i="39"/>
  <c r="AD464" i="39"/>
  <c r="AD465" i="39"/>
  <c r="AD466" i="39"/>
  <c r="AD467" i="39"/>
  <c r="AD468" i="39"/>
  <c r="AD469" i="39"/>
  <c r="AD470" i="39"/>
  <c r="AD471" i="39"/>
  <c r="AD472" i="39"/>
  <c r="AD473" i="39"/>
  <c r="AD474" i="39"/>
  <c r="AD475" i="39"/>
  <c r="AD476" i="39"/>
  <c r="AD477" i="39"/>
  <c r="AD478" i="39"/>
  <c r="AD479" i="39"/>
  <c r="AD480" i="39"/>
  <c r="AD481" i="39"/>
  <c r="AD482" i="39"/>
  <c r="AD483" i="39"/>
  <c r="AD484" i="39"/>
  <c r="AD485" i="39"/>
  <c r="AD486" i="39"/>
  <c r="AD487" i="39"/>
  <c r="AD488" i="39"/>
  <c r="AD489" i="39"/>
  <c r="AD490" i="39"/>
  <c r="AD491" i="39"/>
  <c r="AD492" i="39"/>
  <c r="AD493" i="39"/>
  <c r="AD494" i="39"/>
  <c r="AD495" i="39"/>
  <c r="AD496" i="39"/>
  <c r="AD497" i="39"/>
  <c r="AD498" i="39"/>
  <c r="AD499" i="39"/>
  <c r="AD500" i="39"/>
  <c r="AD501" i="39"/>
  <c r="AD502" i="39"/>
  <c r="AD503" i="39"/>
  <c r="AD504" i="39"/>
  <c r="AD505" i="39"/>
  <c r="AD506" i="39"/>
  <c r="AD507" i="39"/>
  <c r="AD508" i="39"/>
  <c r="AD509" i="39"/>
  <c r="AD510" i="39"/>
  <c r="AD511" i="39"/>
  <c r="AD512" i="39"/>
  <c r="AD513" i="39"/>
  <c r="AD514" i="39"/>
  <c r="AD515" i="39"/>
  <c r="AD516" i="39"/>
  <c r="AD517" i="39"/>
  <c r="AD518" i="39"/>
  <c r="AD519" i="39"/>
  <c r="AD520" i="39"/>
  <c r="AD521" i="39"/>
  <c r="AD522" i="39"/>
  <c r="AD523" i="39"/>
  <c r="AD524" i="39"/>
  <c r="AD525" i="39"/>
  <c r="AD526" i="39"/>
  <c r="AD527" i="39"/>
  <c r="AD528" i="39"/>
  <c r="AD529" i="39"/>
  <c r="AD530" i="39"/>
  <c r="AD531" i="39"/>
  <c r="AD532" i="39"/>
  <c r="AD533" i="39"/>
  <c r="AD534" i="39"/>
  <c r="AD535" i="39"/>
  <c r="AD536" i="39"/>
  <c r="AD537" i="39"/>
  <c r="AD538" i="39"/>
  <c r="AD539" i="39"/>
  <c r="AD540" i="39"/>
  <c r="AD541" i="39"/>
  <c r="AD542" i="39"/>
  <c r="AD543" i="39"/>
  <c r="AD544" i="39"/>
  <c r="AD545" i="39"/>
  <c r="AD546" i="39"/>
  <c r="AD547" i="39"/>
  <c r="AD548" i="39"/>
  <c r="AD549" i="39"/>
  <c r="AD550" i="39"/>
  <c r="AD551" i="39"/>
  <c r="AD552" i="39"/>
  <c r="AD553" i="39"/>
  <c r="AD554" i="39"/>
  <c r="AD555" i="39"/>
  <c r="AD556" i="39"/>
  <c r="AD557" i="39"/>
  <c r="AD558" i="39"/>
  <c r="AD559" i="39"/>
  <c r="AD560" i="39"/>
  <c r="AD561" i="39"/>
  <c r="AD562" i="39"/>
  <c r="AD563" i="39"/>
  <c r="AD564" i="39"/>
  <c r="AD565" i="39"/>
  <c r="AD566" i="39"/>
  <c r="AD567" i="39"/>
  <c r="AD568" i="39"/>
  <c r="AD569" i="39"/>
  <c r="AD570" i="39"/>
  <c r="AD571" i="39"/>
  <c r="AD572" i="39"/>
  <c r="AD573" i="39"/>
  <c r="AD574" i="39"/>
  <c r="AD575" i="39"/>
  <c r="AD576" i="39"/>
  <c r="AD577" i="39"/>
  <c r="AD578" i="39"/>
  <c r="AD579" i="39"/>
  <c r="AD580" i="39"/>
  <c r="AD581" i="39"/>
  <c r="AD582" i="39"/>
  <c r="AD583" i="39"/>
  <c r="AD584" i="39"/>
  <c r="AD585" i="39"/>
  <c r="AD586" i="39"/>
  <c r="AD587" i="39"/>
  <c r="AD588" i="39"/>
  <c r="AD589" i="39"/>
  <c r="AD590" i="39"/>
  <c r="AD591" i="39"/>
  <c r="AD593" i="39"/>
  <c r="AD594" i="39"/>
  <c r="AD595" i="39"/>
  <c r="AD596" i="39"/>
  <c r="AD597" i="39"/>
  <c r="AD598" i="39"/>
  <c r="AD599" i="39"/>
  <c r="AD600" i="39"/>
  <c r="AD601" i="39"/>
  <c r="AD602" i="39"/>
  <c r="AD603" i="39"/>
  <c r="AD604" i="39"/>
  <c r="AD605" i="39"/>
  <c r="AD606" i="39"/>
  <c r="AD607" i="39"/>
  <c r="AD608" i="39"/>
  <c r="AD609" i="39"/>
  <c r="AD610" i="39"/>
  <c r="AD611" i="39"/>
  <c r="AD612" i="39"/>
  <c r="AD613" i="39"/>
  <c r="AD614" i="39"/>
  <c r="AD615" i="39"/>
  <c r="AD616" i="39"/>
  <c r="AD617" i="39"/>
  <c r="AD618" i="39"/>
  <c r="AD619" i="39"/>
  <c r="AD620" i="39"/>
  <c r="AD621" i="39"/>
  <c r="AD622" i="39"/>
  <c r="AD623" i="39"/>
  <c r="AD624" i="39"/>
  <c r="AD625" i="39"/>
  <c r="AD626" i="39"/>
  <c r="AD627" i="39"/>
  <c r="AD628" i="39"/>
  <c r="AD629" i="39"/>
  <c r="AD630" i="39"/>
  <c r="AD631" i="39"/>
  <c r="AD632" i="39"/>
  <c r="AD633" i="39"/>
  <c r="AD634" i="39"/>
  <c r="AD635" i="39"/>
  <c r="AD636" i="39"/>
  <c r="AD637" i="39"/>
  <c r="AD638" i="39"/>
  <c r="AD639" i="39"/>
  <c r="AD640" i="39"/>
  <c r="AD641" i="39"/>
  <c r="AD642" i="39"/>
  <c r="AD643" i="39"/>
  <c r="AD644" i="39"/>
  <c r="AD645" i="39"/>
  <c r="AD646" i="39"/>
  <c r="AD647" i="39"/>
  <c r="AD648" i="39"/>
  <c r="AD649" i="39"/>
  <c r="AD650" i="39"/>
  <c r="AD651" i="39"/>
  <c r="AD652" i="39"/>
  <c r="AD653" i="39"/>
  <c r="AD654" i="39"/>
  <c r="AD655" i="39"/>
  <c r="AD656" i="39"/>
  <c r="AD657" i="39"/>
  <c r="AD658" i="39"/>
  <c r="AD659" i="39"/>
  <c r="AD660" i="39"/>
  <c r="AD661" i="39"/>
  <c r="AD662" i="39"/>
  <c r="AD663" i="39"/>
  <c r="AD664" i="39"/>
  <c r="AD665" i="39"/>
  <c r="AD666" i="39"/>
  <c r="AD667" i="39"/>
  <c r="AD668" i="39"/>
  <c r="AD669" i="39"/>
  <c r="AD670" i="39"/>
  <c r="AD671" i="39"/>
  <c r="AD672" i="39"/>
  <c r="AD673" i="39"/>
  <c r="AD674" i="39"/>
  <c r="AD675" i="39"/>
  <c r="AD676" i="39"/>
  <c r="AD677" i="39"/>
  <c r="AD678" i="39"/>
  <c r="AD679" i="39"/>
  <c r="AD680" i="39"/>
  <c r="AD681" i="39"/>
  <c r="AD682" i="39"/>
  <c r="AD683" i="39"/>
  <c r="AD684" i="39"/>
  <c r="AD685" i="39"/>
  <c r="AD686" i="39"/>
  <c r="AD687" i="39"/>
  <c r="AD688" i="39"/>
  <c r="AD689" i="39"/>
  <c r="AD690" i="39"/>
  <c r="AD691" i="39"/>
  <c r="AD692" i="39"/>
  <c r="AD693" i="39"/>
  <c r="AD694" i="39"/>
  <c r="AD695" i="39"/>
  <c r="AD696" i="39"/>
  <c r="AD697" i="39"/>
  <c r="AD698" i="39"/>
  <c r="AD699" i="39"/>
  <c r="AD700" i="39"/>
  <c r="AD701" i="39"/>
  <c r="AD702" i="39"/>
  <c r="AD703" i="39"/>
  <c r="AD704" i="39"/>
  <c r="AD705" i="39"/>
  <c r="AD706" i="39"/>
  <c r="AD707" i="39"/>
  <c r="AD708" i="39"/>
  <c r="AD709" i="39"/>
  <c r="AD710" i="39"/>
  <c r="AD711" i="39"/>
  <c r="AD712" i="39"/>
  <c r="AD713" i="39"/>
  <c r="AD714" i="39"/>
  <c r="AD715" i="39"/>
  <c r="AD716" i="39"/>
  <c r="AD717" i="39"/>
  <c r="AD718" i="39"/>
  <c r="AD719" i="39"/>
  <c r="AD720" i="39"/>
  <c r="AD721" i="39"/>
  <c r="AD722" i="39"/>
  <c r="AD723" i="39"/>
  <c r="AD724" i="39"/>
  <c r="AD725" i="39"/>
  <c r="AD726" i="39"/>
  <c r="AD727" i="39"/>
  <c r="AD728" i="39"/>
  <c r="AD729" i="39"/>
  <c r="AD730" i="39"/>
  <c r="AD731" i="39"/>
  <c r="AD732" i="39"/>
  <c r="AD733" i="39"/>
  <c r="AD734" i="39"/>
  <c r="AD735" i="39"/>
  <c r="AD736" i="39"/>
  <c r="AD737" i="39"/>
  <c r="AD738" i="39"/>
  <c r="AD739" i="39"/>
  <c r="AD740" i="39"/>
  <c r="AD741" i="39"/>
  <c r="AD742" i="39"/>
  <c r="AD743" i="39"/>
  <c r="AD744" i="39"/>
  <c r="AD745" i="39"/>
  <c r="AD746" i="39"/>
  <c r="AD747" i="39"/>
  <c r="AD748" i="39"/>
  <c r="AD749" i="39"/>
  <c r="AD750" i="39"/>
  <c r="AD751" i="39"/>
  <c r="AD752" i="39"/>
  <c r="AD753" i="39"/>
  <c r="AD754" i="39"/>
  <c r="AD755" i="39"/>
  <c r="AD756" i="39"/>
  <c r="AD757" i="39"/>
  <c r="AD758" i="39"/>
  <c r="AD759" i="39"/>
  <c r="AD760" i="39"/>
  <c r="AD761" i="39"/>
  <c r="AD762" i="39"/>
  <c r="AD763" i="39"/>
  <c r="AD764" i="39"/>
  <c r="AD765" i="39"/>
  <c r="AD766" i="39"/>
  <c r="AD767" i="39"/>
  <c r="AD768" i="39"/>
  <c r="AD769" i="39"/>
  <c r="AD770" i="39"/>
  <c r="AD771" i="39"/>
  <c r="AD772" i="39"/>
  <c r="AD773" i="39"/>
  <c r="AD774" i="39"/>
  <c r="AD775" i="39"/>
  <c r="AD776" i="39"/>
  <c r="AD777" i="39"/>
  <c r="AD778" i="39"/>
  <c r="AD779" i="39"/>
  <c r="AD780" i="39"/>
  <c r="AD781" i="39"/>
  <c r="AD782" i="39"/>
  <c r="AD783" i="39"/>
  <c r="AD784" i="39"/>
  <c r="AD785" i="39"/>
  <c r="AD786" i="39"/>
  <c r="AD787" i="39"/>
  <c r="AD788" i="39"/>
  <c r="AD789" i="39"/>
  <c r="AD790" i="39"/>
  <c r="AD791" i="39"/>
  <c r="AD792" i="39"/>
  <c r="AD793" i="39"/>
  <c r="AD794" i="39"/>
  <c r="AD795" i="39"/>
  <c r="AD796" i="39"/>
  <c r="AD797" i="39"/>
  <c r="AD798" i="39"/>
  <c r="AD799" i="39"/>
  <c r="AD800" i="39"/>
  <c r="AD801" i="39"/>
  <c r="AD802" i="39"/>
  <c r="AD803" i="39"/>
  <c r="AD804" i="39"/>
  <c r="AD805" i="39"/>
  <c r="AD806" i="39"/>
  <c r="AD807" i="39"/>
  <c r="AD808" i="39"/>
  <c r="AD809" i="39"/>
  <c r="AD810" i="39"/>
  <c r="AD811" i="39"/>
  <c r="AD812" i="39"/>
  <c r="AD813" i="39"/>
  <c r="AD814" i="39"/>
  <c r="AD815" i="39"/>
  <c r="AD816" i="39"/>
  <c r="AD817" i="39"/>
  <c r="AD818" i="39"/>
  <c r="AD819" i="39"/>
  <c r="AD820" i="39"/>
  <c r="AD821" i="39"/>
  <c r="AD822" i="39"/>
  <c r="AD823" i="39"/>
  <c r="AD824" i="39"/>
  <c r="AD825" i="39"/>
  <c r="AD826" i="39"/>
  <c r="AD827" i="39"/>
  <c r="AD828" i="39"/>
  <c r="AD829" i="39"/>
  <c r="AD830" i="39"/>
  <c r="AD831" i="39"/>
  <c r="AD832" i="39"/>
  <c r="AD833" i="39"/>
  <c r="AD834" i="39"/>
  <c r="AD835" i="39"/>
  <c r="AD836" i="39"/>
  <c r="AD837" i="39"/>
  <c r="AD838" i="39"/>
  <c r="AD839" i="39"/>
  <c r="AD840" i="39"/>
  <c r="AD841" i="39"/>
  <c r="AD842" i="39"/>
  <c r="AD843" i="39"/>
  <c r="AD844" i="39"/>
  <c r="AD845" i="39"/>
  <c r="AD846" i="39"/>
  <c r="AD847" i="39"/>
  <c r="AD848" i="39"/>
  <c r="AD849" i="39"/>
  <c r="AD850" i="39"/>
  <c r="AD851" i="39"/>
  <c r="AD852" i="39"/>
  <c r="AD853" i="39"/>
  <c r="AD854" i="39"/>
  <c r="AD855" i="39"/>
  <c r="AD856" i="39"/>
  <c r="AD857" i="39"/>
  <c r="AD858" i="39"/>
  <c r="AD859" i="39"/>
  <c r="AD860" i="39"/>
  <c r="AD861" i="39"/>
  <c r="AD862" i="39"/>
  <c r="AD863" i="39"/>
  <c r="AD864" i="39"/>
  <c r="AD865" i="39"/>
  <c r="AD866" i="39"/>
  <c r="AD867" i="39"/>
  <c r="AD868" i="39"/>
  <c r="AD869" i="39"/>
  <c r="AD870" i="39"/>
  <c r="AD871" i="39"/>
  <c r="AD872" i="39"/>
  <c r="AD873" i="39"/>
  <c r="AD874" i="39"/>
  <c r="AD875" i="39"/>
  <c r="AD876" i="39"/>
  <c r="AD877" i="39"/>
  <c r="AD878" i="39"/>
  <c r="AD879" i="39"/>
  <c r="AD880" i="39"/>
  <c r="AD881" i="39"/>
  <c r="AD882" i="39"/>
  <c r="AD883" i="39"/>
  <c r="AD884" i="39"/>
  <c r="AD885" i="39"/>
  <c r="AD886" i="39"/>
  <c r="AD887" i="39"/>
  <c r="AD888" i="39"/>
  <c r="AD889" i="39"/>
  <c r="AD890" i="39"/>
  <c r="AD891" i="39"/>
  <c r="AD892" i="39"/>
  <c r="AD893" i="39"/>
  <c r="AD894" i="39"/>
  <c r="AD895" i="39"/>
  <c r="AD896" i="39"/>
  <c r="AD897" i="39"/>
  <c r="AD898" i="39"/>
  <c r="AD899" i="39"/>
  <c r="AD900" i="39"/>
  <c r="AD901" i="39"/>
  <c r="AD902" i="39"/>
  <c r="AD903" i="39"/>
  <c r="AD904" i="39"/>
  <c r="AD905" i="39"/>
  <c r="AD906" i="39"/>
  <c r="AD907" i="39"/>
  <c r="AD908" i="39"/>
  <c r="AD909" i="39"/>
  <c r="AD910" i="39"/>
  <c r="AD911" i="39"/>
  <c r="AD912" i="39"/>
  <c r="AD913" i="39"/>
  <c r="AD914" i="39"/>
  <c r="AD915" i="39"/>
  <c r="AD916" i="39"/>
  <c r="AD917" i="39"/>
  <c r="AD918" i="39"/>
  <c r="AD919" i="39"/>
  <c r="AD920" i="39"/>
  <c r="AD921" i="39"/>
  <c r="AD922" i="39"/>
  <c r="AD923" i="39"/>
  <c r="AD924" i="39"/>
  <c r="AD925" i="39"/>
  <c r="AD926" i="39"/>
  <c r="AD927" i="39"/>
  <c r="AD928" i="39"/>
  <c r="AD929" i="39"/>
  <c r="AD930" i="39"/>
  <c r="AD931" i="39"/>
  <c r="AD932" i="39"/>
  <c r="AD933" i="39"/>
  <c r="AD934" i="39"/>
  <c r="AD935" i="39"/>
  <c r="AD936" i="39"/>
  <c r="AD937" i="39"/>
  <c r="AD938" i="39"/>
  <c r="AD939" i="39"/>
  <c r="AD940" i="39"/>
  <c r="AD941" i="39"/>
  <c r="AD942" i="39"/>
  <c r="AD943" i="39"/>
  <c r="AD944" i="39"/>
  <c r="AD945" i="39"/>
  <c r="AD946" i="39"/>
  <c r="AD947" i="39"/>
  <c r="AD948" i="39"/>
  <c r="AD949" i="39"/>
  <c r="AD950" i="39"/>
  <c r="AD951" i="39"/>
  <c r="AD952" i="39"/>
  <c r="AD953" i="39"/>
  <c r="AD954" i="39"/>
  <c r="AD955" i="39"/>
  <c r="AD956" i="39"/>
  <c r="AD957" i="39"/>
  <c r="AD958" i="39"/>
  <c r="AD959" i="39"/>
  <c r="AD960" i="39"/>
  <c r="AD961" i="39"/>
  <c r="AD962" i="39"/>
  <c r="AD963" i="39"/>
  <c r="AD964" i="39"/>
  <c r="AD965" i="39"/>
  <c r="AD966" i="39"/>
  <c r="AD967" i="39"/>
  <c r="AD968" i="39"/>
  <c r="AD969" i="39"/>
  <c r="AD970" i="39"/>
  <c r="AD971" i="39"/>
  <c r="AD972" i="39"/>
  <c r="AD973" i="39"/>
  <c r="AD974" i="39"/>
  <c r="AD975" i="39"/>
  <c r="AD976" i="39"/>
  <c r="AD977" i="39"/>
  <c r="AD978" i="39"/>
  <c r="AD979" i="39"/>
  <c r="AD980" i="39"/>
  <c r="AD981" i="39"/>
  <c r="AD982" i="39"/>
  <c r="AD983" i="39"/>
  <c r="AD984" i="39"/>
  <c r="AD985" i="39"/>
  <c r="AD986" i="39"/>
  <c r="AD987" i="39"/>
  <c r="AD988" i="39"/>
  <c r="AD989" i="39"/>
  <c r="AD990" i="39"/>
  <c r="AD991" i="39"/>
  <c r="AD992" i="39"/>
  <c r="AD993" i="39"/>
  <c r="AD994" i="39"/>
  <c r="AD995" i="39"/>
  <c r="AD996" i="39"/>
  <c r="AD997" i="39"/>
  <c r="AD998" i="39"/>
  <c r="AD999" i="39"/>
  <c r="AD1000" i="39"/>
  <c r="AD1001" i="39"/>
  <c r="AD1002" i="39"/>
  <c r="AD1003" i="39"/>
  <c r="AD1004" i="39"/>
  <c r="AD1005" i="39"/>
  <c r="AD1006" i="39"/>
  <c r="AD1007" i="39"/>
  <c r="AD1008" i="39"/>
  <c r="AD1009" i="39"/>
  <c r="AD1010" i="39"/>
  <c r="AD1011" i="39"/>
  <c r="AD1012" i="39"/>
  <c r="AD1013" i="39"/>
  <c r="AD1014" i="39"/>
  <c r="AD1015" i="39"/>
  <c r="AD1016" i="39"/>
  <c r="AD1017" i="39"/>
  <c r="AD1018" i="39"/>
  <c r="AD1019" i="39"/>
  <c r="AD1020" i="39"/>
  <c r="AD1021" i="39"/>
  <c r="AD1022" i="39"/>
  <c r="AD1023" i="39"/>
  <c r="AD1024" i="39"/>
  <c r="AD1025" i="39"/>
  <c r="AD1026" i="39"/>
  <c r="AD1027" i="39"/>
  <c r="AD1028" i="39"/>
  <c r="AD1029" i="39"/>
  <c r="AD1030" i="39"/>
  <c r="AD1031" i="39"/>
  <c r="AD1032" i="39"/>
  <c r="AD1033" i="39"/>
  <c r="AD1034" i="39"/>
  <c r="AD1035" i="39"/>
  <c r="AD1036" i="39"/>
  <c r="AD1037" i="39"/>
  <c r="AD1038" i="39"/>
  <c r="AD1039" i="39"/>
  <c r="AD1040" i="39"/>
  <c r="AD1041" i="39"/>
  <c r="AD1042" i="39"/>
  <c r="AD1043" i="39"/>
  <c r="AD1044" i="39"/>
  <c r="AD1045" i="39"/>
  <c r="AD1046" i="39"/>
  <c r="AD1047" i="39"/>
  <c r="AD1048" i="39"/>
  <c r="AD1049" i="39"/>
  <c r="AD1050" i="39"/>
  <c r="AD1051" i="39"/>
  <c r="AD1052" i="39"/>
  <c r="AD1053" i="39"/>
  <c r="AD1054" i="39"/>
  <c r="AD1055" i="39"/>
  <c r="AD1056" i="39"/>
  <c r="AD1057" i="39"/>
  <c r="AD1058" i="39"/>
  <c r="AD1059" i="39"/>
  <c r="AD1060" i="39"/>
  <c r="AD1061" i="39"/>
  <c r="AD1062" i="39"/>
  <c r="AD1063" i="39"/>
  <c r="AD1064" i="39"/>
  <c r="AD1065" i="39"/>
  <c r="AD1066" i="39"/>
  <c r="AD1067" i="39"/>
  <c r="AD1068" i="39"/>
  <c r="AD1069" i="39"/>
  <c r="AD1070" i="39"/>
  <c r="AD1071" i="39"/>
  <c r="AD1072" i="39"/>
  <c r="AD1073" i="39"/>
  <c r="AD1074" i="39"/>
  <c r="AD1075" i="39"/>
  <c r="AD1076" i="39"/>
  <c r="AD1077" i="39"/>
  <c r="AD1078" i="39"/>
  <c r="AD1079" i="39"/>
  <c r="AD1080" i="39"/>
  <c r="AD1081" i="39"/>
  <c r="AD1082" i="39"/>
  <c r="AD1083" i="39"/>
  <c r="AD1084" i="39"/>
  <c r="AD1085" i="39"/>
  <c r="AD1086" i="39"/>
  <c r="AD1087" i="39"/>
  <c r="AD1088" i="39"/>
  <c r="AD1089" i="39"/>
  <c r="AD1090" i="39"/>
  <c r="AD1091" i="39"/>
  <c r="AD1092" i="39"/>
  <c r="AD1093" i="39"/>
  <c r="AD1094" i="39"/>
  <c r="AD1095" i="39"/>
  <c r="AD1096" i="39"/>
  <c r="AD1097" i="39"/>
  <c r="AD1098" i="39"/>
  <c r="AD1099" i="39"/>
  <c r="AD1100" i="39"/>
  <c r="AD1101" i="39"/>
  <c r="AD1102" i="39"/>
  <c r="AD1103" i="39"/>
  <c r="AD1104" i="39"/>
  <c r="AD1105" i="39"/>
  <c r="AD1106" i="39"/>
  <c r="AD1107" i="39"/>
  <c r="AD1108" i="39"/>
  <c r="AD1109" i="39"/>
  <c r="AD1110" i="39"/>
  <c r="AD1111" i="39"/>
  <c r="AD1112" i="39"/>
  <c r="AD1113" i="39"/>
  <c r="AD1114" i="39"/>
  <c r="AD1115" i="39"/>
  <c r="AD1116" i="39"/>
  <c r="AD1117" i="39"/>
  <c r="AD1118" i="39"/>
  <c r="AD1119" i="39"/>
  <c r="AD1120" i="39"/>
  <c r="AD1121" i="39"/>
  <c r="AD1122" i="39"/>
  <c r="AD1123" i="39"/>
  <c r="AD1124" i="39"/>
  <c r="AD1125" i="39"/>
  <c r="AD1126" i="39"/>
  <c r="AD1127" i="39"/>
  <c r="AD1128" i="39"/>
  <c r="AD1129" i="39"/>
  <c r="AD1130" i="39"/>
  <c r="AD1131" i="39"/>
  <c r="AD1132" i="39"/>
  <c r="AD1133" i="39"/>
  <c r="AD1134" i="39"/>
  <c r="AD1135" i="39"/>
  <c r="AD1136" i="39"/>
  <c r="AD1137" i="39"/>
  <c r="AD1138" i="39"/>
  <c r="AD1139" i="39"/>
  <c r="AD1140" i="39"/>
  <c r="AD1141" i="39"/>
  <c r="AD1142" i="39"/>
  <c r="AD1143" i="39"/>
  <c r="AD1144" i="39"/>
  <c r="AD1145" i="39"/>
  <c r="AD1146" i="39"/>
  <c r="AD1147" i="39"/>
  <c r="AD1148" i="39"/>
  <c r="AD1149" i="39"/>
  <c r="AD1150" i="39"/>
  <c r="AD1151" i="39"/>
  <c r="AD1152" i="39"/>
  <c r="AD1153" i="39"/>
  <c r="AD1154" i="39"/>
  <c r="AD1155" i="39"/>
  <c r="AD1156" i="39"/>
  <c r="AD1157" i="39"/>
  <c r="AD1158" i="39"/>
  <c r="AD1159" i="39"/>
  <c r="AD1160" i="39"/>
  <c r="AD1161" i="39"/>
  <c r="AD1162" i="39"/>
  <c r="AD1163" i="39"/>
  <c r="AD1164" i="39"/>
  <c r="AD1165" i="39"/>
  <c r="AD1166" i="39"/>
  <c r="AD1167" i="39"/>
  <c r="AD1168" i="39"/>
  <c r="AD1169" i="39"/>
  <c r="AD1170" i="39"/>
  <c r="AD1171" i="39"/>
  <c r="AD1172" i="39"/>
  <c r="AD1173" i="39"/>
  <c r="AD1174" i="39"/>
  <c r="AD1175" i="39"/>
  <c r="AD1176" i="39"/>
  <c r="AD1177" i="39"/>
  <c r="AD1178" i="39"/>
  <c r="AD1179" i="39"/>
  <c r="AD1180" i="39"/>
  <c r="AD1181" i="39"/>
  <c r="AD1182" i="39"/>
  <c r="AD1183" i="39"/>
  <c r="AD1184" i="39"/>
  <c r="AD1185" i="39"/>
  <c r="AD1186" i="39"/>
  <c r="AD1187" i="39"/>
  <c r="AD1188" i="39"/>
  <c r="AD1189" i="39"/>
  <c r="AD1190" i="39"/>
  <c r="AD1191" i="39"/>
  <c r="AD1192" i="39"/>
  <c r="AD1193" i="39"/>
  <c r="AD1194" i="39"/>
  <c r="AD1195" i="39"/>
  <c r="AD1196" i="39"/>
  <c r="AD1197" i="39"/>
  <c r="AD1198" i="39"/>
  <c r="AD1199" i="39"/>
  <c r="AD1200" i="39"/>
  <c r="AD1201" i="39"/>
  <c r="AD1202" i="39"/>
  <c r="AD1203" i="39"/>
  <c r="AD1204" i="39"/>
  <c r="AD1205" i="39"/>
  <c r="AD1206" i="39"/>
  <c r="AD1207" i="39"/>
  <c r="AD1208" i="39"/>
  <c r="AD1209" i="39"/>
  <c r="AD1210" i="39"/>
  <c r="AD1211" i="39"/>
  <c r="AD1212" i="39"/>
  <c r="AD1213" i="39"/>
  <c r="AD1214" i="39"/>
  <c r="AD1215" i="39"/>
  <c r="AD1216" i="39"/>
  <c r="AD1217" i="39"/>
  <c r="AD1218" i="39"/>
  <c r="AD1219" i="39"/>
  <c r="AD1220" i="39"/>
  <c r="AD1221" i="39"/>
  <c r="AD1222" i="39"/>
  <c r="AD1223" i="39"/>
  <c r="AD1224" i="39"/>
  <c r="AD1225" i="39"/>
  <c r="AD1226" i="39"/>
  <c r="AD1227" i="39"/>
  <c r="AD1228" i="39"/>
  <c r="AD1229" i="39"/>
  <c r="AD1230" i="39"/>
  <c r="AD1231" i="39"/>
  <c r="AD1232" i="39"/>
  <c r="AD1233" i="39"/>
  <c r="AD1234" i="39"/>
  <c r="AD1235" i="39"/>
  <c r="AD1236" i="39"/>
  <c r="AD1237" i="39"/>
  <c r="AD1238" i="39"/>
  <c r="AD1239" i="39"/>
  <c r="AD1240" i="39"/>
  <c r="AD1241" i="39"/>
  <c r="AD1242" i="39"/>
  <c r="AD1243" i="39"/>
  <c r="AD1244" i="39"/>
  <c r="AD1245" i="39"/>
  <c r="AD1246" i="39"/>
  <c r="AD1247" i="39"/>
  <c r="AD1248" i="39"/>
  <c r="AD1249" i="39"/>
  <c r="AD1250" i="39"/>
  <c r="AD1251" i="39"/>
  <c r="AD1252" i="39"/>
  <c r="AD1253" i="39"/>
  <c r="AD1254" i="39"/>
  <c r="AD1255" i="39"/>
  <c r="AD1256" i="39"/>
  <c r="AD1257" i="39"/>
  <c r="AD1258" i="39"/>
  <c r="AD1259" i="39"/>
  <c r="AD1260" i="39"/>
  <c r="AD1261" i="39"/>
  <c r="AD1262" i="39"/>
  <c r="AD1263" i="39"/>
  <c r="AD1264" i="39"/>
  <c r="AD1265" i="39"/>
  <c r="AD1266" i="39"/>
  <c r="AD1267" i="39"/>
  <c r="AD1268" i="39"/>
  <c r="AD1269" i="39"/>
  <c r="AD1270" i="39"/>
  <c r="AD1271" i="39"/>
  <c r="AD1272" i="39"/>
  <c r="AD1273" i="39"/>
  <c r="AD1274" i="39"/>
  <c r="AD1275" i="39"/>
  <c r="AD1276" i="39"/>
  <c r="AD1277" i="39"/>
  <c r="AD1278" i="39"/>
  <c r="AD1279" i="39"/>
  <c r="AD1280" i="39"/>
  <c r="AD1281" i="39"/>
  <c r="AD1282" i="39"/>
  <c r="AD1283" i="39"/>
  <c r="AD1284" i="39"/>
  <c r="AD1285" i="39"/>
  <c r="AD1286" i="39"/>
  <c r="AD1287" i="39"/>
  <c r="AD1288" i="39"/>
  <c r="AD1289" i="39"/>
  <c r="AD1290" i="39"/>
  <c r="AD1291" i="39"/>
  <c r="AD1292" i="39"/>
  <c r="AD1293" i="39"/>
  <c r="AD1294" i="39"/>
  <c r="AD1295" i="39"/>
  <c r="AD1296" i="39"/>
  <c r="AD1297" i="39"/>
  <c r="AD1298" i="39"/>
  <c r="AD1299" i="39"/>
  <c r="AD1300" i="39"/>
  <c r="AD1301" i="39"/>
  <c r="AD1302" i="39"/>
  <c r="AD1303" i="39"/>
  <c r="AD1304" i="39"/>
  <c r="AD1305" i="39"/>
  <c r="AD1306" i="39"/>
  <c r="AD1307" i="39"/>
  <c r="AD1308" i="39"/>
  <c r="AD1309" i="39"/>
  <c r="AD1310" i="39"/>
  <c r="AD1311" i="39"/>
  <c r="AD1312" i="39"/>
  <c r="AD1313" i="39"/>
  <c r="AD1314" i="39"/>
  <c r="AD1315" i="39"/>
  <c r="AD1316" i="39"/>
  <c r="AD1317" i="39"/>
  <c r="AD1318" i="39"/>
  <c r="AD1319" i="39"/>
  <c r="AD1320" i="39"/>
  <c r="AD1321" i="39"/>
  <c r="AD1322" i="39"/>
  <c r="AD1323" i="39"/>
  <c r="AD1324" i="39"/>
  <c r="AD1325" i="39"/>
  <c r="AD1326" i="39"/>
  <c r="AD1327" i="39"/>
  <c r="AD1328" i="39"/>
  <c r="AD1329" i="39"/>
  <c r="AD1330" i="39"/>
  <c r="AD1331" i="39"/>
  <c r="AD1332" i="39"/>
  <c r="AD1333" i="39"/>
  <c r="AD1334" i="39"/>
  <c r="AD1335" i="39"/>
  <c r="AD1336" i="39"/>
  <c r="AD1337" i="39"/>
  <c r="AD1338" i="39"/>
  <c r="AD1339" i="39"/>
  <c r="AD1340" i="39"/>
  <c r="AD1341" i="39"/>
  <c r="AD1342" i="39"/>
  <c r="AD1343" i="39"/>
  <c r="AD1344" i="39"/>
  <c r="AD1345" i="39"/>
  <c r="AD1346" i="39"/>
  <c r="AD1347" i="39"/>
  <c r="AD1348" i="39"/>
  <c r="AD1349" i="39"/>
  <c r="AD1350" i="39"/>
  <c r="AD1351" i="39"/>
  <c r="AD1352" i="39"/>
  <c r="AD1353" i="39"/>
  <c r="AD1354" i="39"/>
  <c r="AD1355" i="39"/>
  <c r="AD1356" i="39"/>
  <c r="AD1357" i="39"/>
  <c r="AD1358" i="39"/>
  <c r="AD1359" i="39"/>
  <c r="AD1360" i="39"/>
  <c r="AD1361" i="39"/>
  <c r="AD1362" i="39"/>
  <c r="AD1363" i="39"/>
  <c r="AD1364" i="39"/>
  <c r="AD1365" i="39"/>
  <c r="AD1366" i="39"/>
  <c r="AD1367" i="39"/>
  <c r="AD1368" i="39"/>
  <c r="AD1369" i="39"/>
  <c r="AD1370" i="39"/>
  <c r="AD1371" i="39"/>
  <c r="AD1372" i="39"/>
  <c r="AD1373" i="39"/>
  <c r="AD1374" i="39"/>
  <c r="AD1375" i="39"/>
  <c r="AD1376" i="39"/>
  <c r="AD1377" i="39"/>
  <c r="AD1378" i="39"/>
  <c r="AD1379" i="39"/>
  <c r="AD1380" i="39"/>
  <c r="AD1381" i="39"/>
  <c r="AD1382" i="39"/>
  <c r="AD1383" i="39"/>
  <c r="AD1384" i="39"/>
  <c r="AD1385" i="39"/>
  <c r="AD1386" i="39"/>
  <c r="AD1387" i="39"/>
  <c r="AD1388" i="39"/>
  <c r="AD1389" i="39"/>
  <c r="AD1390" i="39"/>
  <c r="AD1391" i="39"/>
  <c r="AD1392" i="39"/>
  <c r="AD1393" i="39"/>
  <c r="AD1394" i="39"/>
  <c r="AD1395" i="39"/>
  <c r="AD1396" i="39"/>
  <c r="AD1397" i="39"/>
  <c r="AD1398" i="39"/>
  <c r="AD1399" i="39"/>
  <c r="AD1400" i="39"/>
  <c r="AD1401" i="39"/>
  <c r="AD1402" i="39"/>
  <c r="AD1403" i="39"/>
  <c r="AD1404" i="39"/>
  <c r="AD1405" i="39"/>
  <c r="AD1406" i="39"/>
  <c r="AD1407" i="39"/>
  <c r="AD1408" i="39"/>
  <c r="AD1409" i="39"/>
  <c r="AD1410" i="39"/>
  <c r="AD1411" i="39"/>
  <c r="AD1412" i="39"/>
  <c r="AD1413" i="39"/>
  <c r="AD1414" i="39"/>
  <c r="AD1415" i="39"/>
  <c r="AD1416" i="39"/>
  <c r="AD1417" i="39"/>
  <c r="AD1418" i="39"/>
  <c r="AD1419" i="39"/>
  <c r="AD1420" i="39"/>
  <c r="AD1421" i="39"/>
  <c r="AD1422" i="39"/>
  <c r="AD1423" i="39"/>
  <c r="AD1424" i="39"/>
  <c r="AD1425" i="39"/>
  <c r="AD1426" i="39"/>
  <c r="AD1427" i="39"/>
  <c r="AD1428" i="39"/>
  <c r="AD1429" i="39"/>
  <c r="AD1430" i="39"/>
  <c r="AD1431" i="39"/>
  <c r="AD1432" i="39"/>
  <c r="AD1433" i="39"/>
  <c r="AD1434" i="39"/>
  <c r="AD1435" i="39"/>
  <c r="AD1436" i="39"/>
  <c r="AD1437" i="39"/>
  <c r="AD1438" i="39"/>
  <c r="AD1439" i="39"/>
  <c r="AD1440" i="39"/>
  <c r="AD1441" i="39"/>
  <c r="AD1442" i="39"/>
  <c r="AD1443" i="39"/>
  <c r="AD1444" i="39"/>
  <c r="AD1445" i="39"/>
  <c r="AD1446" i="39"/>
  <c r="AD1447" i="39"/>
  <c r="AD1448" i="39"/>
  <c r="AD1449" i="39"/>
  <c r="AD1450" i="39"/>
  <c r="AD1451" i="39"/>
  <c r="AD1452" i="39"/>
  <c r="AD1453" i="39"/>
  <c r="AD1454" i="39"/>
  <c r="AD1455" i="39"/>
  <c r="AD1456" i="39"/>
  <c r="AD1457" i="39"/>
  <c r="AD1458" i="39"/>
  <c r="AD1459" i="39"/>
  <c r="AD1460" i="39"/>
  <c r="AD1461" i="39"/>
  <c r="AD1462" i="39"/>
  <c r="AD1463" i="39"/>
  <c r="AD1464" i="39"/>
  <c r="AD1465" i="39"/>
  <c r="AD1466" i="39"/>
  <c r="AD1467" i="39"/>
  <c r="AD1468" i="39"/>
  <c r="AD1469" i="39"/>
  <c r="AD1470" i="39"/>
  <c r="AD1471" i="39"/>
  <c r="AD1472" i="39"/>
  <c r="AD1473" i="39"/>
  <c r="AD1474" i="39"/>
  <c r="AD1475" i="39"/>
  <c r="AD1476" i="39"/>
  <c r="AD1477" i="39"/>
  <c r="AD1478" i="39"/>
  <c r="AD1479" i="39"/>
  <c r="AD1480" i="39"/>
  <c r="AD1481" i="39"/>
  <c r="AD1482" i="39"/>
  <c r="AD1483" i="39"/>
  <c r="AD1484" i="39"/>
  <c r="AD1485" i="39"/>
  <c r="AD1486" i="39"/>
  <c r="AD1487" i="39"/>
  <c r="AD1488" i="39"/>
  <c r="AD1489" i="39"/>
  <c r="AD1490" i="39"/>
  <c r="AD1491" i="39"/>
  <c r="AD1492" i="39"/>
  <c r="AD1493" i="39"/>
  <c r="AD1494" i="39"/>
  <c r="AD1495" i="39"/>
  <c r="AD1496" i="39"/>
  <c r="AD1497" i="39"/>
  <c r="AD1498" i="39"/>
  <c r="AD1499" i="39"/>
  <c r="AD1500" i="39"/>
  <c r="AD1501" i="39"/>
  <c r="AD1502" i="39"/>
  <c r="AD1503" i="39"/>
  <c r="AD1504" i="39"/>
  <c r="AD1505" i="39"/>
  <c r="AD1506" i="39"/>
  <c r="AD1507" i="39"/>
  <c r="AD1508" i="39"/>
  <c r="AD1509" i="39"/>
  <c r="AD1510" i="39"/>
  <c r="AD1511" i="39"/>
  <c r="AD1512" i="39"/>
  <c r="AD1513" i="39"/>
  <c r="AD1514" i="39"/>
  <c r="AD1515" i="39"/>
  <c r="AD1516" i="39"/>
  <c r="AD1517" i="39"/>
  <c r="AD1518" i="39"/>
  <c r="AD1519" i="39"/>
  <c r="AD1520" i="39"/>
  <c r="AD1521" i="39"/>
  <c r="AD1522" i="39"/>
  <c r="AD1523" i="39"/>
  <c r="AD1524" i="39"/>
  <c r="AD1525" i="39"/>
  <c r="AD1526" i="39"/>
  <c r="AD1527" i="39"/>
  <c r="AD1528" i="39"/>
  <c r="AD1529" i="39"/>
  <c r="AD1530" i="39"/>
  <c r="AD1531" i="39"/>
  <c r="AD1532" i="39"/>
  <c r="AD1533" i="39"/>
  <c r="AD1534" i="39"/>
  <c r="AD1535" i="39"/>
  <c r="AD1536" i="39"/>
  <c r="AD1537" i="39"/>
  <c r="AD1538" i="39"/>
  <c r="AD1539" i="39"/>
  <c r="AD1540" i="39"/>
  <c r="AD1541" i="39"/>
  <c r="AD1542" i="39"/>
  <c r="AD1543" i="39"/>
  <c r="AD1544" i="39"/>
  <c r="AD1545" i="39"/>
  <c r="AD1546" i="39"/>
  <c r="AD1547" i="39"/>
  <c r="AD1548" i="39"/>
  <c r="AD1549" i="39"/>
  <c r="AD1550" i="39"/>
  <c r="AD1551" i="39"/>
  <c r="AD1552" i="39"/>
  <c r="AD1553" i="39"/>
  <c r="AD1554" i="39"/>
  <c r="AD1555" i="39"/>
  <c r="AD1556" i="39"/>
  <c r="AD1557" i="39"/>
  <c r="AD1558" i="39"/>
  <c r="AD1559" i="39"/>
  <c r="AD1560" i="39"/>
  <c r="AD1561" i="39"/>
  <c r="AD1562" i="39"/>
  <c r="AD1563" i="39"/>
  <c r="AD1564" i="39"/>
  <c r="AD1565" i="39"/>
  <c r="AD1566" i="39"/>
  <c r="AD1567" i="39"/>
  <c r="AD1568" i="39"/>
  <c r="AD1569" i="39"/>
  <c r="AD1570" i="39"/>
  <c r="AD1571" i="39"/>
  <c r="AD1572" i="39"/>
  <c r="AD1573" i="39"/>
  <c r="AD1574" i="39"/>
  <c r="AD1575" i="39"/>
  <c r="AD1576" i="39"/>
  <c r="AD1577" i="39"/>
  <c r="AD1578" i="39"/>
  <c r="AD1579" i="39"/>
  <c r="AD1580" i="39"/>
  <c r="AD1581" i="39"/>
  <c r="AD1582" i="39"/>
  <c r="AD1583" i="39"/>
  <c r="AD1584" i="39"/>
  <c r="AD1585" i="39"/>
  <c r="AD1586" i="39"/>
  <c r="AD1587" i="39"/>
  <c r="AD1588" i="39"/>
  <c r="AD1589" i="39"/>
  <c r="AD1590" i="39"/>
  <c r="AD1591" i="39"/>
  <c r="AD1592" i="39"/>
  <c r="AD1593" i="39"/>
  <c r="AD1594" i="39"/>
  <c r="AD1595" i="39"/>
  <c r="AD1596" i="39"/>
  <c r="AD1597" i="39"/>
  <c r="AD1598" i="39"/>
  <c r="AD1599" i="39"/>
  <c r="AD1600" i="39"/>
  <c r="AD1601" i="39"/>
  <c r="AD1602" i="39"/>
  <c r="AD1603" i="39"/>
  <c r="AD1604" i="39"/>
  <c r="AD1605" i="39"/>
  <c r="AD1606" i="39"/>
  <c r="AD1607" i="39"/>
  <c r="AD1608" i="39"/>
  <c r="AD1609" i="39"/>
  <c r="AD1610" i="39"/>
  <c r="AD1611" i="39"/>
  <c r="AD1612" i="39"/>
  <c r="AD1613" i="39"/>
  <c r="AD1614" i="39"/>
  <c r="AD1615" i="39"/>
  <c r="AD1616" i="39"/>
  <c r="AD1617" i="39"/>
  <c r="AD1618" i="39"/>
  <c r="AD1619" i="39"/>
  <c r="AD1620" i="39"/>
  <c r="AD1621" i="39"/>
  <c r="AD1622" i="39"/>
  <c r="AD1623" i="39"/>
  <c r="AD1624" i="39"/>
  <c r="AD1625" i="39"/>
  <c r="AD1626" i="39"/>
  <c r="AD1627" i="39"/>
  <c r="AD1628" i="39"/>
  <c r="AD1629" i="39"/>
  <c r="AD1630" i="39"/>
  <c r="AD1631" i="39"/>
  <c r="AD1632" i="39"/>
  <c r="AD1633" i="39"/>
  <c r="AD1634" i="39"/>
  <c r="AD1635" i="39"/>
  <c r="AD1636" i="39"/>
  <c r="AD1637" i="39"/>
  <c r="AD1638" i="39"/>
  <c r="AD1639" i="39"/>
  <c r="AD1640" i="39"/>
  <c r="AD1641" i="39"/>
  <c r="AD1642" i="39"/>
  <c r="AD1643" i="39"/>
  <c r="AD1644" i="39"/>
  <c r="AD1645" i="39"/>
  <c r="AD1646" i="39"/>
  <c r="AD1647" i="39"/>
  <c r="AD1648" i="39"/>
  <c r="AD1649" i="39"/>
  <c r="AD1650" i="39"/>
  <c r="AD1651" i="39"/>
  <c r="AD1652" i="39"/>
  <c r="AD1653" i="39"/>
  <c r="AD1654" i="39"/>
  <c r="AD1655" i="39"/>
  <c r="AD1656" i="39"/>
  <c r="AD1657" i="39"/>
  <c r="AD1658" i="39"/>
  <c r="AD1659" i="39"/>
  <c r="AD1660" i="39"/>
  <c r="AD1661" i="39"/>
  <c r="AD1662" i="39"/>
  <c r="AD1663" i="39"/>
  <c r="AD1664" i="39"/>
  <c r="AD1665" i="39"/>
  <c r="AD1666" i="39"/>
  <c r="AD1667" i="39"/>
  <c r="AD1668" i="39"/>
  <c r="AD1669" i="39"/>
  <c r="AD1670" i="39"/>
  <c r="AD1671" i="39"/>
  <c r="AD1672" i="39"/>
  <c r="AD1673" i="39"/>
  <c r="AD1674" i="39"/>
  <c r="AD1675" i="39"/>
  <c r="AD1676" i="39"/>
  <c r="AD1677" i="39"/>
  <c r="AD1678" i="39"/>
  <c r="AD1679" i="39"/>
  <c r="AD1680" i="39"/>
  <c r="AD1681" i="39"/>
  <c r="AD1682" i="39"/>
  <c r="AD1683" i="39"/>
  <c r="AD1684" i="39"/>
  <c r="AD1685" i="39"/>
  <c r="AD1686" i="39"/>
  <c r="AD1687" i="39"/>
  <c r="AD1688" i="39"/>
  <c r="AD1689" i="39"/>
  <c r="AD1690" i="39"/>
  <c r="AD1691" i="39"/>
  <c r="AD1692" i="39"/>
  <c r="AD1693" i="39"/>
  <c r="AD1694" i="39"/>
  <c r="AD1695" i="39"/>
  <c r="AD1696" i="39"/>
  <c r="AD1697" i="39"/>
  <c r="AD1698" i="39"/>
  <c r="AD1699" i="39"/>
  <c r="AD1700" i="39"/>
  <c r="AD1701" i="39"/>
  <c r="AD1702" i="39"/>
  <c r="AD1703" i="39"/>
  <c r="AD1704" i="39"/>
  <c r="AD1705" i="39"/>
  <c r="AD1706" i="39"/>
  <c r="AD1707" i="39"/>
  <c r="AD1708" i="39"/>
  <c r="AD1709" i="39"/>
  <c r="AD1710" i="39"/>
  <c r="AD1711" i="39"/>
  <c r="AD1712" i="39"/>
  <c r="AD1713" i="39"/>
  <c r="AD1714" i="39"/>
  <c r="AD1715" i="39"/>
  <c r="AD1716" i="39"/>
  <c r="AD1717" i="39"/>
  <c r="AD1718" i="39"/>
  <c r="AD1719" i="39"/>
  <c r="AD1720" i="39"/>
  <c r="AD1721" i="39"/>
  <c r="AD1722" i="39"/>
  <c r="AD1723" i="39"/>
  <c r="AD1724" i="39"/>
  <c r="AD1725" i="39"/>
  <c r="AD1726" i="39"/>
  <c r="AD1727" i="39"/>
  <c r="AD1728" i="39"/>
  <c r="AD1729" i="39"/>
  <c r="AD1730" i="39"/>
  <c r="AD1731" i="39"/>
  <c r="AD1732" i="39"/>
  <c r="AD1733" i="39"/>
  <c r="AD1734" i="39"/>
  <c r="AD1735" i="39"/>
  <c r="AD1736" i="39"/>
  <c r="AD1737" i="39"/>
  <c r="AD1738" i="39"/>
  <c r="AD1739" i="39"/>
  <c r="AD1740" i="39"/>
  <c r="AD1741" i="39"/>
  <c r="AD1742" i="39"/>
  <c r="AD1743" i="39"/>
  <c r="AD1744" i="39"/>
  <c r="AD1745" i="39"/>
  <c r="AD1746" i="39"/>
  <c r="AD1747" i="39"/>
  <c r="AD1748" i="39"/>
  <c r="AD1749" i="39"/>
  <c r="AD1750" i="39"/>
  <c r="AD1751" i="39"/>
  <c r="AD1752" i="39"/>
  <c r="AD1753" i="39"/>
  <c r="AD1754" i="39"/>
  <c r="AD1755" i="39"/>
  <c r="AD1756" i="39"/>
  <c r="AD1757" i="39"/>
  <c r="AD1758" i="39"/>
  <c r="AD1759" i="39"/>
  <c r="AD1760" i="39"/>
  <c r="AD1761" i="39"/>
  <c r="AD1762" i="39"/>
  <c r="AD1763" i="39"/>
  <c r="AD1764" i="39"/>
  <c r="AD1765" i="39"/>
  <c r="AD1766" i="39"/>
  <c r="AD1767" i="39"/>
  <c r="AD1768" i="39"/>
  <c r="AD1769" i="39"/>
  <c r="AD1770" i="39"/>
  <c r="AD1771" i="39"/>
  <c r="AD1772" i="39"/>
  <c r="AD1773" i="39"/>
  <c r="AD1774" i="39"/>
  <c r="AD1775" i="39"/>
  <c r="AD1776" i="39"/>
  <c r="AD1777" i="39"/>
  <c r="AD1778" i="39"/>
  <c r="AD1779" i="39"/>
  <c r="AD1780" i="39"/>
  <c r="AD1781" i="39"/>
  <c r="AD1782" i="39"/>
  <c r="AD1783" i="39"/>
  <c r="AD1784" i="39"/>
  <c r="AD1785" i="39"/>
  <c r="AD1786" i="39"/>
  <c r="AD1787" i="39"/>
  <c r="AD1788" i="39"/>
  <c r="AD1789" i="39"/>
  <c r="AD1790" i="39"/>
  <c r="AD1791" i="39"/>
  <c r="AD1792" i="39"/>
  <c r="AD1793" i="39"/>
  <c r="AD1794" i="39"/>
  <c r="AD1795" i="39"/>
  <c r="AD1796" i="39"/>
  <c r="AD1797" i="39"/>
  <c r="AD1798" i="39"/>
  <c r="AD1799" i="39"/>
  <c r="AD1800" i="39"/>
  <c r="AD1801" i="39"/>
  <c r="AD1802" i="39"/>
  <c r="AD1803" i="39"/>
  <c r="AD1804" i="39"/>
  <c r="AD1805" i="39"/>
  <c r="AD1806" i="39"/>
  <c r="AD1807" i="39"/>
  <c r="AD1808" i="39"/>
  <c r="AD1809" i="39"/>
  <c r="AD1810" i="39"/>
  <c r="AD1811" i="39"/>
  <c r="AD1812" i="39"/>
  <c r="AD1813" i="39"/>
  <c r="AD1814" i="39"/>
  <c r="AD1815" i="39"/>
  <c r="AD1816" i="39"/>
  <c r="AD1817" i="39"/>
  <c r="AD1818" i="39"/>
  <c r="AD1819" i="39"/>
  <c r="AD1820" i="39"/>
  <c r="AD1821" i="39"/>
  <c r="AD1822" i="39"/>
  <c r="AD1823" i="39"/>
  <c r="AD1824" i="39"/>
  <c r="AD1825" i="39"/>
  <c r="AD1826" i="39"/>
  <c r="AD1827" i="39"/>
  <c r="AD1828" i="39"/>
  <c r="AD1829" i="39"/>
  <c r="AD1830" i="39"/>
  <c r="AD1831" i="39"/>
  <c r="AD1832" i="39"/>
  <c r="AD1833" i="39"/>
  <c r="AD1834" i="39"/>
  <c r="AD1835" i="39"/>
  <c r="AD1836" i="39"/>
  <c r="AD1837" i="39"/>
  <c r="AD1838" i="39"/>
  <c r="AD1839" i="39"/>
  <c r="AD1840" i="39"/>
  <c r="AD1841" i="39"/>
  <c r="AD1842" i="39"/>
  <c r="AD1843" i="39"/>
  <c r="AD1844" i="39"/>
  <c r="AD1845" i="39"/>
  <c r="AD1846" i="39"/>
  <c r="AD1847" i="39"/>
  <c r="AD1848" i="39"/>
  <c r="AD1849" i="39"/>
  <c r="AD1850" i="39"/>
  <c r="AD1851" i="39"/>
  <c r="AD1852" i="39"/>
  <c r="AD1853" i="39"/>
  <c r="AD1854" i="39"/>
  <c r="AD1855" i="39"/>
  <c r="AD1856" i="39"/>
  <c r="AD1857" i="39"/>
  <c r="AD1858" i="39"/>
  <c r="AD1859" i="39"/>
  <c r="AD1860" i="39"/>
  <c r="AD1861" i="39"/>
  <c r="AD1862" i="39"/>
  <c r="AD1863" i="39"/>
  <c r="AD1864" i="39"/>
  <c r="AD1865" i="39"/>
  <c r="AD1866" i="39"/>
  <c r="AD1867" i="39"/>
  <c r="AD1868" i="39"/>
  <c r="AD1869" i="39"/>
  <c r="AD1870" i="39"/>
  <c r="AD1871" i="39"/>
  <c r="AD1872" i="39"/>
  <c r="AD1873" i="39"/>
  <c r="AD1874" i="39"/>
  <c r="AD1875" i="39"/>
  <c r="AD1876" i="39"/>
  <c r="AD1877" i="39"/>
  <c r="AD1878" i="39"/>
  <c r="AD1879" i="39"/>
  <c r="AD1880" i="39"/>
  <c r="AD1881" i="39"/>
  <c r="AD1882" i="39"/>
  <c r="AD1883" i="39"/>
  <c r="AD1884" i="39"/>
  <c r="AD1885" i="39"/>
  <c r="AD1886" i="39"/>
  <c r="AD1887" i="39"/>
  <c r="AD1888" i="39"/>
  <c r="AD1889" i="39"/>
  <c r="AD1890" i="39"/>
  <c r="AD1891" i="39"/>
  <c r="AD1892" i="39"/>
  <c r="AD1893" i="39"/>
  <c r="AD1894" i="39"/>
  <c r="AD1895" i="39"/>
  <c r="AD1896" i="39"/>
  <c r="AD1897" i="39"/>
  <c r="AD1898" i="39"/>
  <c r="AD1899" i="39"/>
  <c r="AD1900" i="39"/>
  <c r="AD1901" i="39"/>
  <c r="AD1902" i="39"/>
  <c r="AD1903" i="39"/>
  <c r="AD1904" i="39"/>
  <c r="AD1905" i="39"/>
  <c r="AD1906" i="39"/>
  <c r="AD1907" i="39"/>
  <c r="AD1908" i="39"/>
  <c r="AD1909" i="39"/>
  <c r="AD1910" i="39"/>
  <c r="AD1911" i="39"/>
  <c r="AD1912" i="39"/>
  <c r="AD1913" i="39"/>
  <c r="AD1914" i="39"/>
  <c r="AD1915" i="39"/>
  <c r="AD1916" i="39"/>
  <c r="AD1917" i="39"/>
  <c r="AD1918" i="39"/>
  <c r="AD1919" i="39"/>
  <c r="AD1920" i="39"/>
  <c r="AD1921" i="39"/>
  <c r="AD1922" i="39"/>
  <c r="AD1923" i="39"/>
  <c r="AD1924" i="39"/>
  <c r="AD1925" i="39"/>
  <c r="AD1926" i="39"/>
  <c r="AD1927" i="39"/>
  <c r="AD1928" i="39"/>
  <c r="AD1929" i="39"/>
  <c r="AD1930" i="39"/>
  <c r="AD1931" i="39"/>
  <c r="AD1932" i="39"/>
  <c r="AD1933" i="39"/>
  <c r="AD1934" i="39"/>
  <c r="AD1935" i="39"/>
  <c r="AD1936" i="39"/>
  <c r="AD1937" i="39"/>
  <c r="AD1938" i="39"/>
  <c r="AD1939" i="39"/>
  <c r="AD1940" i="39"/>
  <c r="AD1941" i="39"/>
  <c r="AD1942" i="39"/>
  <c r="AD1943" i="39"/>
  <c r="AD1944" i="39"/>
  <c r="AD1945" i="39"/>
  <c r="AD1946" i="39"/>
  <c r="AD1947" i="39"/>
  <c r="AD1948" i="39"/>
  <c r="AD1949" i="39"/>
  <c r="AD1950" i="39"/>
  <c r="AD1951" i="39"/>
  <c r="AD1952" i="39"/>
  <c r="AD1953" i="39"/>
  <c r="AD1954" i="39"/>
  <c r="AD1955" i="39"/>
  <c r="AD1956" i="39"/>
  <c r="AD1957" i="39"/>
  <c r="AD1958" i="39"/>
  <c r="AD1959" i="39"/>
  <c r="AD1960" i="39"/>
  <c r="AD1961" i="39"/>
  <c r="AD1962" i="39"/>
  <c r="AD1963" i="39"/>
  <c r="AD1964" i="39"/>
  <c r="AD1965" i="39"/>
  <c r="AD1966" i="39"/>
  <c r="AD1967" i="39"/>
  <c r="AD1968" i="39"/>
  <c r="AD1969" i="39"/>
  <c r="AD1970" i="39"/>
  <c r="AD1971" i="39"/>
  <c r="AD1972" i="39"/>
  <c r="AD1973" i="39"/>
  <c r="AD1974" i="39"/>
  <c r="AD1975" i="39"/>
  <c r="AD1976" i="39"/>
  <c r="AD1977" i="39"/>
  <c r="AD1978" i="39"/>
  <c r="AD1979" i="39"/>
  <c r="AD1980" i="39"/>
  <c r="AD1981" i="39"/>
  <c r="AD1982" i="39"/>
  <c r="AD1983" i="39"/>
  <c r="AD1984" i="39"/>
  <c r="AD1985" i="39"/>
  <c r="AD1986" i="39"/>
  <c r="AD1987" i="39"/>
  <c r="AD1988" i="39"/>
  <c r="AD1989" i="39"/>
  <c r="AD1990" i="39"/>
  <c r="AD1991" i="39"/>
  <c r="AD1992" i="39"/>
  <c r="AD1993" i="39"/>
  <c r="AD1994" i="39"/>
  <c r="AD1995" i="39"/>
  <c r="AD1996" i="39"/>
  <c r="AD1997" i="39"/>
  <c r="AD1998" i="39"/>
  <c r="AD1999" i="39"/>
  <c r="AD2000" i="39"/>
  <c r="AD2001" i="39"/>
  <c r="AD2002" i="39"/>
  <c r="AD2003" i="39"/>
  <c r="AD2004" i="39"/>
  <c r="AD2005" i="39"/>
  <c r="AD2006" i="39"/>
  <c r="AD2007" i="39"/>
  <c r="AD2008" i="39"/>
  <c r="AD2009" i="39"/>
  <c r="AD2010" i="39"/>
  <c r="AD2011" i="39"/>
  <c r="AD2012" i="39"/>
  <c r="AD2013" i="39"/>
  <c r="AD2014" i="39"/>
  <c r="AD2015" i="39"/>
  <c r="AD2016" i="39"/>
  <c r="AD2017" i="39"/>
  <c r="AD2018" i="39"/>
  <c r="AD2019" i="39"/>
  <c r="AD2020" i="39"/>
  <c r="AD2021" i="39"/>
  <c r="AD2022" i="39"/>
  <c r="AD2023" i="39"/>
  <c r="AD2024" i="39"/>
  <c r="AD2025" i="39"/>
  <c r="AD2026" i="39"/>
  <c r="AD2027" i="39"/>
  <c r="AD2028" i="39"/>
  <c r="AD2029" i="39"/>
  <c r="AD2030" i="39"/>
  <c r="AD2031" i="39"/>
  <c r="AD2032" i="39"/>
  <c r="AD2033" i="39"/>
  <c r="AD2034" i="39"/>
  <c r="AD2035" i="39"/>
  <c r="AD2036" i="39"/>
  <c r="AD2037" i="39"/>
  <c r="AD2038" i="39"/>
  <c r="AD2039" i="39"/>
  <c r="AD2040" i="39"/>
  <c r="AD2041" i="39"/>
  <c r="AD2042" i="39"/>
  <c r="AD2043" i="39"/>
  <c r="AD2044" i="39"/>
  <c r="AD2045" i="39"/>
  <c r="AD2046" i="39"/>
  <c r="AD2047" i="39"/>
  <c r="AD2048" i="39"/>
  <c r="AD2049" i="39"/>
  <c r="AD2050" i="39"/>
  <c r="AD2051" i="39"/>
  <c r="AD2052" i="39"/>
  <c r="AD2053" i="39"/>
  <c r="AD2054" i="39"/>
  <c r="AD2055" i="39"/>
  <c r="AD2056" i="39"/>
  <c r="AD2057" i="39"/>
  <c r="AD2058" i="39"/>
  <c r="AD2059" i="39"/>
  <c r="AD2060" i="39"/>
  <c r="AD2061" i="39"/>
  <c r="AD2062" i="39"/>
  <c r="AD2063" i="39"/>
  <c r="AD2064" i="39"/>
  <c r="AD2065" i="39"/>
  <c r="AD2066" i="39"/>
  <c r="AD2067" i="39"/>
  <c r="AD2068" i="39"/>
  <c r="AD2069" i="39"/>
  <c r="AD2070" i="39"/>
  <c r="AD2071" i="39"/>
  <c r="AD2072" i="39"/>
  <c r="AD2073" i="39"/>
  <c r="AD2074" i="39"/>
  <c r="AD2075" i="39"/>
  <c r="AD2076" i="39"/>
  <c r="AD2077" i="39"/>
  <c r="AD2078" i="39"/>
  <c r="AD2079" i="39"/>
  <c r="AD2080" i="39"/>
  <c r="AD2081" i="39"/>
  <c r="AD2082" i="39"/>
  <c r="AD2083" i="39"/>
  <c r="AD2084" i="39"/>
  <c r="AD2085" i="39"/>
  <c r="AD2086" i="39"/>
  <c r="AD2087" i="39"/>
  <c r="AD2088" i="39"/>
  <c r="AD2089" i="39"/>
  <c r="AD2090" i="39"/>
  <c r="AD2091" i="39"/>
  <c r="AD2092" i="39"/>
  <c r="AD2093" i="39"/>
  <c r="AD2094" i="39"/>
  <c r="AD2095" i="39"/>
  <c r="AD2096" i="39"/>
  <c r="AD2097" i="39"/>
  <c r="AD2098" i="39"/>
  <c r="AD2099" i="39"/>
  <c r="AD2100" i="39"/>
  <c r="AD2101" i="39"/>
  <c r="AD2102" i="39"/>
  <c r="AD2103" i="39"/>
  <c r="AD2104" i="39"/>
  <c r="AD2105" i="39"/>
  <c r="AD2106" i="39"/>
  <c r="AD2107" i="39"/>
  <c r="AD2108" i="39"/>
  <c r="AD2109" i="39"/>
  <c r="AD2110" i="39"/>
  <c r="AD2111" i="39"/>
  <c r="AD2112" i="39"/>
  <c r="AD2113" i="39"/>
  <c r="AD2114" i="39"/>
  <c r="AD2115" i="39"/>
  <c r="AD2116" i="39"/>
  <c r="AD2117" i="39"/>
  <c r="AD2118" i="39"/>
  <c r="AD2119" i="39"/>
  <c r="AD2120" i="39"/>
  <c r="AD2121" i="39"/>
  <c r="AD2122" i="39"/>
  <c r="AD2123" i="39"/>
  <c r="AD2124" i="39"/>
  <c r="AD2125" i="39"/>
  <c r="AD2126" i="39"/>
  <c r="AD2127" i="39"/>
  <c r="AD2128" i="39"/>
  <c r="AD2129" i="39"/>
  <c r="AD2130" i="39"/>
  <c r="AD2131" i="39"/>
  <c r="AD2132" i="39"/>
  <c r="AD2133" i="39"/>
  <c r="AD2134" i="39"/>
  <c r="AD2135" i="39"/>
  <c r="AD2136" i="39"/>
  <c r="AD2137" i="39"/>
  <c r="AD2138" i="39"/>
  <c r="AD2139" i="39"/>
  <c r="AD2140" i="39"/>
  <c r="AD2141" i="39"/>
  <c r="AD2142" i="39"/>
  <c r="AD2143" i="39"/>
  <c r="AD2144" i="39"/>
  <c r="AD2145" i="39"/>
  <c r="AD2146" i="39"/>
  <c r="AD2147" i="39"/>
  <c r="AD2148" i="39"/>
  <c r="AD2149" i="39"/>
  <c r="AD2150" i="39"/>
  <c r="AD2151" i="39"/>
  <c r="AD2152" i="39"/>
  <c r="AD2153" i="39"/>
  <c r="AD2154" i="39"/>
  <c r="AD2155" i="39"/>
  <c r="AD2156" i="39"/>
  <c r="AD2157" i="39"/>
  <c r="AD2158" i="39"/>
  <c r="AD2159" i="39"/>
  <c r="AD2160" i="39"/>
  <c r="AD2161" i="39"/>
  <c r="AD2162" i="39"/>
  <c r="AD2163" i="39"/>
  <c r="AD2164" i="39"/>
  <c r="AD2165" i="39"/>
  <c r="AD2166" i="39"/>
  <c r="AD2167" i="39"/>
  <c r="AD2168" i="39"/>
  <c r="AD2169" i="39"/>
  <c r="AD2170" i="39"/>
  <c r="AD2171" i="39"/>
  <c r="AD2" i="39"/>
  <c r="X3" i="39" l="1"/>
  <c r="X4" i="39"/>
  <c r="X5" i="39"/>
  <c r="X6" i="39"/>
  <c r="X7" i="39"/>
  <c r="X8" i="39"/>
  <c r="X9" i="39"/>
  <c r="X10" i="39"/>
  <c r="X11" i="39"/>
  <c r="X12" i="39"/>
  <c r="X13" i="39"/>
  <c r="X14" i="39"/>
  <c r="X15" i="39"/>
  <c r="X16" i="39"/>
  <c r="X17" i="39"/>
  <c r="X18" i="39"/>
  <c r="X19" i="39"/>
  <c r="X20" i="39"/>
  <c r="X21" i="39"/>
  <c r="X22" i="39"/>
  <c r="X23" i="39"/>
  <c r="X24" i="39"/>
  <c r="X25" i="39"/>
  <c r="X26" i="39"/>
  <c r="X27" i="39"/>
  <c r="X28" i="39"/>
  <c r="X29" i="39"/>
  <c r="X30" i="39"/>
  <c r="X31" i="39"/>
  <c r="X32" i="39"/>
  <c r="X33" i="39"/>
  <c r="X34" i="39"/>
  <c r="X35" i="39"/>
  <c r="X36" i="39"/>
  <c r="X37" i="39"/>
  <c r="X38" i="39"/>
  <c r="X39" i="39"/>
  <c r="X40" i="39"/>
  <c r="X41" i="39"/>
  <c r="X42" i="39"/>
  <c r="X43" i="39"/>
  <c r="X44" i="39"/>
  <c r="X45" i="39"/>
  <c r="X46" i="39"/>
  <c r="X47" i="39"/>
  <c r="X48" i="39"/>
  <c r="X49" i="39"/>
  <c r="X50" i="39"/>
  <c r="X51" i="39"/>
  <c r="X52" i="39"/>
  <c r="X53" i="39"/>
  <c r="X54" i="39"/>
  <c r="X55" i="39"/>
  <c r="X56" i="39"/>
  <c r="X57" i="39"/>
  <c r="X58" i="39"/>
  <c r="X59" i="39"/>
  <c r="X60" i="39"/>
  <c r="X61" i="39"/>
  <c r="X62" i="39"/>
  <c r="X63" i="39"/>
  <c r="X64" i="39"/>
  <c r="X65" i="39"/>
  <c r="X66" i="39"/>
  <c r="X67" i="39"/>
  <c r="X68" i="39"/>
  <c r="X69" i="39"/>
  <c r="X70" i="39"/>
  <c r="X71" i="39"/>
  <c r="X72" i="39"/>
  <c r="X73" i="39"/>
  <c r="X74" i="39"/>
  <c r="X75" i="39"/>
  <c r="X76" i="39"/>
  <c r="X77" i="39"/>
  <c r="X78" i="39"/>
  <c r="X79" i="39"/>
  <c r="X80" i="39"/>
  <c r="X81" i="39"/>
  <c r="X82" i="39"/>
  <c r="X83" i="39"/>
  <c r="X84" i="39"/>
  <c r="X85" i="39"/>
  <c r="X86" i="39"/>
  <c r="X87" i="39"/>
  <c r="X88" i="39"/>
  <c r="X89" i="39"/>
  <c r="X90" i="39"/>
  <c r="X91" i="39"/>
  <c r="X92" i="39"/>
  <c r="X93" i="39"/>
  <c r="X94" i="39"/>
  <c r="X95" i="39"/>
  <c r="X96" i="39"/>
  <c r="X97" i="39"/>
  <c r="X98" i="39"/>
  <c r="X99" i="39"/>
  <c r="X100" i="39"/>
  <c r="X101" i="39"/>
  <c r="X102" i="39"/>
  <c r="X103" i="39"/>
  <c r="X104" i="39"/>
  <c r="X105" i="39"/>
  <c r="X106" i="39"/>
  <c r="X107" i="39"/>
  <c r="X108" i="39"/>
  <c r="X109" i="39"/>
  <c r="X110" i="39"/>
  <c r="X111" i="39"/>
  <c r="X112" i="39"/>
  <c r="X113" i="39"/>
  <c r="X114" i="39"/>
  <c r="X115" i="39"/>
  <c r="X116" i="39"/>
  <c r="X117" i="39"/>
  <c r="X118" i="39"/>
  <c r="X119" i="39"/>
  <c r="X120" i="39"/>
  <c r="X121" i="39"/>
  <c r="X122" i="39"/>
  <c r="X123" i="39"/>
  <c r="X124" i="39"/>
  <c r="X125" i="39"/>
  <c r="X126" i="39"/>
  <c r="X127" i="39"/>
  <c r="X128" i="39"/>
  <c r="X129" i="39"/>
  <c r="X130" i="39"/>
  <c r="X131" i="39"/>
  <c r="X132" i="39"/>
  <c r="X133" i="39"/>
  <c r="X134" i="39"/>
  <c r="X135" i="39"/>
  <c r="X136" i="39"/>
  <c r="X137" i="39"/>
  <c r="X138" i="39"/>
  <c r="X139" i="39"/>
  <c r="X140" i="39"/>
  <c r="X141" i="39"/>
  <c r="X142" i="39"/>
  <c r="X143" i="39"/>
  <c r="X144" i="39"/>
  <c r="X145" i="39"/>
  <c r="X146" i="39"/>
  <c r="X147" i="39"/>
  <c r="X148" i="39"/>
  <c r="X149" i="39"/>
  <c r="X150" i="39"/>
  <c r="X151" i="39"/>
  <c r="X152" i="39"/>
  <c r="X153" i="39"/>
  <c r="X154" i="39"/>
  <c r="X155" i="39"/>
  <c r="X156" i="39"/>
  <c r="X157" i="39"/>
  <c r="X158" i="39"/>
  <c r="X159" i="39"/>
  <c r="X160" i="39"/>
  <c r="X161" i="39"/>
  <c r="X162" i="39"/>
  <c r="X163" i="39"/>
  <c r="X164" i="39"/>
  <c r="X165" i="39"/>
  <c r="X166" i="39"/>
  <c r="X167" i="39"/>
  <c r="X168" i="39"/>
  <c r="X169" i="39"/>
  <c r="X170" i="39"/>
  <c r="X171" i="39"/>
  <c r="X172" i="39"/>
  <c r="X173" i="39"/>
  <c r="X174" i="39"/>
  <c r="X175" i="39"/>
  <c r="X176" i="39"/>
  <c r="X177" i="39"/>
  <c r="X178" i="39"/>
  <c r="X179" i="39"/>
  <c r="X180" i="39"/>
  <c r="X181" i="39"/>
  <c r="X182" i="39"/>
  <c r="X183" i="39"/>
  <c r="X184" i="39"/>
  <c r="X185" i="39"/>
  <c r="X186" i="39"/>
  <c r="X187" i="39"/>
  <c r="X188" i="39"/>
  <c r="X189" i="39"/>
  <c r="X190" i="39"/>
  <c r="X191" i="39"/>
  <c r="X192" i="39"/>
  <c r="X193" i="39"/>
  <c r="X194" i="39"/>
  <c r="X195" i="39"/>
  <c r="X196" i="39"/>
  <c r="X197" i="39"/>
  <c r="X198" i="39"/>
  <c r="X199" i="39"/>
  <c r="X200" i="39"/>
  <c r="X201" i="39"/>
  <c r="X202" i="39"/>
  <c r="X203" i="39"/>
  <c r="X204" i="39"/>
  <c r="X205" i="39"/>
  <c r="X206" i="39"/>
  <c r="X207" i="39"/>
  <c r="X208" i="39"/>
  <c r="X209" i="39"/>
  <c r="X210" i="39"/>
  <c r="X211" i="39"/>
  <c r="X212" i="39"/>
  <c r="X213" i="39"/>
  <c r="X214" i="39"/>
  <c r="X215" i="39"/>
  <c r="X216" i="39"/>
  <c r="X217" i="39"/>
  <c r="X218" i="39"/>
  <c r="X219" i="39"/>
  <c r="X220" i="39"/>
  <c r="X221" i="39"/>
  <c r="X222" i="39"/>
  <c r="X223" i="39"/>
  <c r="X224" i="39"/>
  <c r="X225" i="39"/>
  <c r="X226" i="39"/>
  <c r="X227" i="39"/>
  <c r="X228" i="39"/>
  <c r="X229" i="39"/>
  <c r="X230" i="39"/>
  <c r="X231" i="39"/>
  <c r="X232" i="39"/>
  <c r="X233" i="39"/>
  <c r="X234" i="39"/>
  <c r="X235" i="39"/>
  <c r="X236" i="39"/>
  <c r="X237" i="39"/>
  <c r="X238" i="39"/>
  <c r="X239" i="39"/>
  <c r="X240" i="39"/>
  <c r="X241" i="39"/>
  <c r="X242" i="39"/>
  <c r="X243" i="39"/>
  <c r="X244" i="39"/>
  <c r="X245" i="39"/>
  <c r="X246" i="39"/>
  <c r="X247" i="39"/>
  <c r="X248" i="39"/>
  <c r="X249" i="39"/>
  <c r="X250" i="39"/>
  <c r="X251" i="39"/>
  <c r="X252" i="39"/>
  <c r="X253" i="39"/>
  <c r="X254" i="39"/>
  <c r="X255" i="39"/>
  <c r="X256" i="39"/>
  <c r="X257" i="39"/>
  <c r="X258" i="39"/>
  <c r="X259" i="39"/>
  <c r="X260" i="39"/>
  <c r="X261" i="39"/>
  <c r="X262" i="39"/>
  <c r="X263" i="39"/>
  <c r="X264" i="39"/>
  <c r="X265" i="39"/>
  <c r="X266" i="39"/>
  <c r="X267" i="39"/>
  <c r="X268" i="39"/>
  <c r="X269" i="39"/>
  <c r="X270" i="39"/>
  <c r="X271" i="39"/>
  <c r="X272" i="39"/>
  <c r="X273" i="39"/>
  <c r="X274" i="39"/>
  <c r="X275" i="39"/>
  <c r="X276" i="39"/>
  <c r="X277" i="39"/>
  <c r="X278" i="39"/>
  <c r="X279" i="39"/>
  <c r="X280" i="39"/>
  <c r="X281" i="39"/>
  <c r="X282" i="39"/>
  <c r="X283" i="39"/>
  <c r="X284" i="39"/>
  <c r="X285" i="39"/>
  <c r="X286" i="39"/>
  <c r="X287" i="39"/>
  <c r="X288" i="39"/>
  <c r="X289" i="39"/>
  <c r="X290" i="39"/>
  <c r="X291" i="39"/>
  <c r="X292" i="39"/>
  <c r="X293" i="39"/>
  <c r="X294" i="39"/>
  <c r="X295" i="39"/>
  <c r="X296" i="39"/>
  <c r="X297" i="39"/>
  <c r="X298" i="39"/>
  <c r="X299" i="39"/>
  <c r="X300" i="39"/>
  <c r="X301" i="39"/>
  <c r="X302" i="39"/>
  <c r="X303" i="39"/>
  <c r="X304" i="39"/>
  <c r="X305" i="39"/>
  <c r="X306" i="39"/>
  <c r="X307" i="39"/>
  <c r="X308" i="39"/>
  <c r="X309" i="39"/>
  <c r="X310" i="39"/>
  <c r="X311" i="39"/>
  <c r="X312" i="39"/>
  <c r="X313" i="39"/>
  <c r="X314" i="39"/>
  <c r="X315" i="39"/>
  <c r="X316" i="39"/>
  <c r="X317" i="39"/>
  <c r="X318" i="39"/>
  <c r="X319" i="39"/>
  <c r="X320" i="39"/>
  <c r="X321" i="39"/>
  <c r="X322" i="39"/>
  <c r="X323" i="39"/>
  <c r="X324" i="39"/>
  <c r="X325" i="39"/>
  <c r="X326" i="39"/>
  <c r="X327" i="39"/>
  <c r="X328" i="39"/>
  <c r="X329" i="39"/>
  <c r="X330" i="39"/>
  <c r="X331" i="39"/>
  <c r="X332" i="39"/>
  <c r="X333" i="39"/>
  <c r="X334" i="39"/>
  <c r="X335" i="39"/>
  <c r="X336" i="39"/>
  <c r="X337" i="39"/>
  <c r="X338" i="39"/>
  <c r="X339" i="39"/>
  <c r="X340" i="39"/>
  <c r="X341" i="39"/>
  <c r="X342" i="39"/>
  <c r="X343" i="39"/>
  <c r="X344" i="39"/>
  <c r="X345" i="39"/>
  <c r="X346" i="39"/>
  <c r="X347" i="39"/>
  <c r="X348" i="39"/>
  <c r="X349" i="39"/>
  <c r="X350" i="39"/>
  <c r="X351" i="39"/>
  <c r="X352" i="39"/>
  <c r="X353" i="39"/>
  <c r="X354" i="39"/>
  <c r="X355" i="39"/>
  <c r="X356" i="39"/>
  <c r="X357" i="39"/>
  <c r="X358" i="39"/>
  <c r="X359" i="39"/>
  <c r="X360" i="39"/>
  <c r="X361" i="39"/>
  <c r="X362" i="39"/>
  <c r="X363" i="39"/>
  <c r="X364" i="39"/>
  <c r="X365" i="39"/>
  <c r="X366" i="39"/>
  <c r="X367" i="39"/>
  <c r="X368" i="39"/>
  <c r="X369" i="39"/>
  <c r="X370" i="39"/>
  <c r="X371" i="39"/>
  <c r="X372" i="39"/>
  <c r="X373" i="39"/>
  <c r="X374" i="39"/>
  <c r="X375" i="39"/>
  <c r="X376" i="39"/>
  <c r="X377" i="39"/>
  <c r="X378" i="39"/>
  <c r="X379" i="39"/>
  <c r="X380" i="39"/>
  <c r="X381" i="39"/>
  <c r="X382" i="39"/>
  <c r="X383" i="39"/>
  <c r="X384" i="39"/>
  <c r="X385" i="39"/>
  <c r="X386" i="39"/>
  <c r="X387" i="39"/>
  <c r="X388" i="39"/>
  <c r="X389" i="39"/>
  <c r="X390" i="39"/>
  <c r="X391" i="39"/>
  <c r="X392" i="39"/>
  <c r="X393" i="39"/>
  <c r="X394" i="39"/>
  <c r="X395" i="39"/>
  <c r="X396" i="39"/>
  <c r="X397" i="39"/>
  <c r="X398" i="39"/>
  <c r="X399" i="39"/>
  <c r="X400" i="39"/>
  <c r="X401" i="39"/>
  <c r="X402" i="39"/>
  <c r="X403" i="39"/>
  <c r="X404" i="39"/>
  <c r="X405" i="39"/>
  <c r="X406" i="39"/>
  <c r="X407" i="39"/>
  <c r="X408" i="39"/>
  <c r="X409" i="39"/>
  <c r="X410" i="39"/>
  <c r="X411" i="39"/>
  <c r="X412" i="39"/>
  <c r="X413" i="39"/>
  <c r="X414" i="39"/>
  <c r="X415" i="39"/>
  <c r="X416" i="39"/>
  <c r="X417" i="39"/>
  <c r="X418" i="39"/>
  <c r="X419" i="39"/>
  <c r="X420" i="39"/>
  <c r="X421" i="39"/>
  <c r="X422" i="39"/>
  <c r="X423" i="39"/>
  <c r="X424" i="39"/>
  <c r="X425" i="39"/>
  <c r="X426" i="39"/>
  <c r="X427" i="39"/>
  <c r="X428" i="39"/>
  <c r="X429" i="39"/>
  <c r="X430" i="39"/>
  <c r="X431" i="39"/>
  <c r="X432" i="39"/>
  <c r="X433" i="39"/>
  <c r="X434" i="39"/>
  <c r="X435" i="39"/>
  <c r="X436" i="39"/>
  <c r="X437" i="39"/>
  <c r="X438" i="39"/>
  <c r="X439" i="39"/>
  <c r="X440" i="39"/>
  <c r="X441" i="39"/>
  <c r="X442" i="39"/>
  <c r="X443" i="39"/>
  <c r="X444" i="39"/>
  <c r="X445" i="39"/>
  <c r="X446" i="39"/>
  <c r="X447" i="39"/>
  <c r="X448" i="39"/>
  <c r="X449" i="39"/>
  <c r="X450" i="39"/>
  <c r="X451" i="39"/>
  <c r="X452" i="39"/>
  <c r="X453" i="39"/>
  <c r="X454" i="39"/>
  <c r="X455" i="39"/>
  <c r="X456" i="39"/>
  <c r="X457" i="39"/>
  <c r="X458" i="39"/>
  <c r="X459" i="39"/>
  <c r="X460" i="39"/>
  <c r="X461" i="39"/>
  <c r="X462" i="39"/>
  <c r="X463" i="39"/>
  <c r="X464" i="39"/>
  <c r="X465" i="39"/>
  <c r="X466" i="39"/>
  <c r="X467" i="39"/>
  <c r="X468" i="39"/>
  <c r="X469" i="39"/>
  <c r="X470" i="39"/>
  <c r="X471" i="39"/>
  <c r="X472" i="39"/>
  <c r="X473" i="39"/>
  <c r="X474" i="39"/>
  <c r="X475" i="39"/>
  <c r="X476" i="39"/>
  <c r="X477" i="39"/>
  <c r="X478" i="39"/>
  <c r="X479" i="39"/>
  <c r="X480" i="39"/>
  <c r="X481" i="39"/>
  <c r="X482" i="39"/>
  <c r="X483" i="39"/>
  <c r="X484" i="39"/>
  <c r="X485" i="39"/>
  <c r="X486" i="39"/>
  <c r="X487" i="39"/>
  <c r="X488" i="39"/>
  <c r="X489" i="39"/>
  <c r="X490" i="39"/>
  <c r="X491" i="39"/>
  <c r="X492" i="39"/>
  <c r="X493" i="39"/>
  <c r="X494" i="39"/>
  <c r="X495" i="39"/>
  <c r="X496" i="39"/>
  <c r="X497" i="39"/>
  <c r="X498" i="39"/>
  <c r="X499" i="39"/>
  <c r="X500" i="39"/>
  <c r="X501" i="39"/>
  <c r="X502" i="39"/>
  <c r="X503" i="39"/>
  <c r="X504" i="39"/>
  <c r="X505" i="39"/>
  <c r="X506" i="39"/>
  <c r="X507" i="39"/>
  <c r="X508" i="39"/>
  <c r="X509" i="39"/>
  <c r="X510" i="39"/>
  <c r="X511" i="39"/>
  <c r="X512" i="39"/>
  <c r="X513" i="39"/>
  <c r="X514" i="39"/>
  <c r="X515" i="39"/>
  <c r="X516" i="39"/>
  <c r="X517" i="39"/>
  <c r="X518" i="39"/>
  <c r="X519" i="39"/>
  <c r="X520" i="39"/>
  <c r="X521" i="39"/>
  <c r="X522" i="39"/>
  <c r="X523" i="39"/>
  <c r="X524" i="39"/>
  <c r="X525" i="39"/>
  <c r="X526" i="39"/>
  <c r="X527" i="39"/>
  <c r="X528" i="39"/>
  <c r="X529" i="39"/>
  <c r="X530" i="39"/>
  <c r="X531" i="39"/>
  <c r="X532" i="39"/>
  <c r="X533" i="39"/>
  <c r="X534" i="39"/>
  <c r="X535" i="39"/>
  <c r="X536" i="39"/>
  <c r="X537" i="39"/>
  <c r="X538" i="39"/>
  <c r="X539" i="39"/>
  <c r="X540" i="39"/>
  <c r="X541" i="39"/>
  <c r="X542" i="39"/>
  <c r="X543" i="39"/>
  <c r="X544" i="39"/>
  <c r="X545" i="39"/>
  <c r="X546" i="39"/>
  <c r="X547" i="39"/>
  <c r="X548" i="39"/>
  <c r="X549" i="39"/>
  <c r="X550" i="39"/>
  <c r="X551" i="39"/>
  <c r="X552" i="39"/>
  <c r="X553" i="39"/>
  <c r="X554" i="39"/>
  <c r="X555" i="39"/>
  <c r="X556" i="39"/>
  <c r="X557" i="39"/>
  <c r="X558" i="39"/>
  <c r="X559" i="39"/>
  <c r="X560" i="39"/>
  <c r="X561" i="39"/>
  <c r="X562" i="39"/>
  <c r="X563" i="39"/>
  <c r="X564" i="39"/>
  <c r="X565" i="39"/>
  <c r="X566" i="39"/>
  <c r="X567" i="39"/>
  <c r="X568" i="39"/>
  <c r="X569" i="39"/>
  <c r="X570" i="39"/>
  <c r="X571" i="39"/>
  <c r="X572" i="39"/>
  <c r="X573" i="39"/>
  <c r="X574" i="39"/>
  <c r="X575" i="39"/>
  <c r="X576" i="39"/>
  <c r="X577" i="39"/>
  <c r="X578" i="39"/>
  <c r="X579" i="39"/>
  <c r="X580" i="39"/>
  <c r="X581" i="39"/>
  <c r="X582" i="39"/>
  <c r="X583" i="39"/>
  <c r="X584" i="39"/>
  <c r="X585" i="39"/>
  <c r="X586" i="39"/>
  <c r="X587" i="39"/>
  <c r="X588" i="39"/>
  <c r="X589" i="39"/>
  <c r="X590" i="39"/>
  <c r="X591" i="39"/>
  <c r="X592" i="39"/>
  <c r="X593" i="39"/>
  <c r="X594" i="39"/>
  <c r="X595" i="39"/>
  <c r="X596" i="39"/>
  <c r="X597" i="39"/>
  <c r="X598" i="39"/>
  <c r="X599" i="39"/>
  <c r="X600" i="39"/>
  <c r="X601" i="39"/>
  <c r="X602" i="39"/>
  <c r="X603" i="39"/>
  <c r="X604" i="39"/>
  <c r="X605" i="39"/>
  <c r="X606" i="39"/>
  <c r="X607" i="39"/>
  <c r="X608" i="39"/>
  <c r="X609" i="39"/>
  <c r="X610" i="39"/>
  <c r="X611" i="39"/>
  <c r="X612" i="39"/>
  <c r="X613" i="39"/>
  <c r="X614" i="39"/>
  <c r="X615" i="39"/>
  <c r="X616" i="39"/>
  <c r="X617" i="39"/>
  <c r="X618" i="39"/>
  <c r="X619" i="39"/>
  <c r="X620" i="39"/>
  <c r="X621" i="39"/>
  <c r="X622" i="39"/>
  <c r="X623" i="39"/>
  <c r="X624" i="39"/>
  <c r="X625" i="39"/>
  <c r="X626" i="39"/>
  <c r="X627" i="39"/>
  <c r="X628" i="39"/>
  <c r="X629" i="39"/>
  <c r="X630" i="39"/>
  <c r="X631" i="39"/>
  <c r="X632" i="39"/>
  <c r="X633" i="39"/>
  <c r="X634" i="39"/>
  <c r="X635" i="39"/>
  <c r="X636" i="39"/>
  <c r="X637" i="39"/>
  <c r="X638" i="39"/>
  <c r="X639" i="39"/>
  <c r="X640" i="39"/>
  <c r="X641" i="39"/>
  <c r="X642" i="39"/>
  <c r="X643" i="39"/>
  <c r="X644" i="39"/>
  <c r="X645" i="39"/>
  <c r="X646" i="39"/>
  <c r="X647" i="39"/>
  <c r="X648" i="39"/>
  <c r="X649" i="39"/>
  <c r="X650" i="39"/>
  <c r="X651" i="39"/>
  <c r="X652" i="39"/>
  <c r="X653" i="39"/>
  <c r="X654" i="39"/>
  <c r="X655" i="39"/>
  <c r="X656" i="39"/>
  <c r="X657" i="39"/>
  <c r="X658" i="39"/>
  <c r="X659" i="39"/>
  <c r="X660" i="39"/>
  <c r="X661" i="39"/>
  <c r="X662" i="39"/>
  <c r="X663" i="39"/>
  <c r="X664" i="39"/>
  <c r="X665" i="39"/>
  <c r="X666" i="39"/>
  <c r="X667" i="39"/>
  <c r="X668" i="39"/>
  <c r="X669" i="39"/>
  <c r="X670" i="39"/>
  <c r="X671" i="39"/>
  <c r="X672" i="39"/>
  <c r="X673" i="39"/>
  <c r="X674" i="39"/>
  <c r="X675" i="39"/>
  <c r="X676" i="39"/>
  <c r="X677" i="39"/>
  <c r="X678" i="39"/>
  <c r="X679" i="39"/>
  <c r="X680" i="39"/>
  <c r="X681" i="39"/>
  <c r="X682" i="39"/>
  <c r="X683" i="39"/>
  <c r="X684" i="39"/>
  <c r="X685" i="39"/>
  <c r="X686" i="39"/>
  <c r="X687" i="39"/>
  <c r="X688" i="39"/>
  <c r="X689" i="39"/>
  <c r="X690" i="39"/>
  <c r="X691" i="39"/>
  <c r="X692" i="39"/>
  <c r="X693" i="39"/>
  <c r="X694" i="39"/>
  <c r="X695" i="39"/>
  <c r="X696" i="39"/>
  <c r="X697" i="39"/>
  <c r="X698" i="39"/>
  <c r="X699" i="39"/>
  <c r="X700" i="39"/>
  <c r="X701" i="39"/>
  <c r="X702" i="39"/>
  <c r="X703" i="39"/>
  <c r="X704" i="39"/>
  <c r="X705" i="39"/>
  <c r="X706" i="39"/>
  <c r="X707" i="39"/>
  <c r="X708" i="39"/>
  <c r="X709" i="39"/>
  <c r="X710" i="39"/>
  <c r="X711" i="39"/>
  <c r="X712" i="39"/>
  <c r="X713" i="39"/>
  <c r="X714" i="39"/>
  <c r="X715" i="39"/>
  <c r="X716" i="39"/>
  <c r="X717" i="39"/>
  <c r="X718" i="39"/>
  <c r="X719" i="39"/>
  <c r="X720" i="39"/>
  <c r="X721" i="39"/>
  <c r="X722" i="39"/>
  <c r="X723" i="39"/>
  <c r="X724" i="39"/>
  <c r="X725" i="39"/>
  <c r="X726" i="39"/>
  <c r="X727" i="39"/>
  <c r="X728" i="39"/>
  <c r="X729" i="39"/>
  <c r="X730" i="39"/>
  <c r="X731" i="39"/>
  <c r="X732" i="39"/>
  <c r="X733" i="39"/>
  <c r="X734" i="39"/>
  <c r="X735" i="39"/>
  <c r="X736" i="39"/>
  <c r="X737" i="39"/>
  <c r="X738" i="39"/>
  <c r="X739" i="39"/>
  <c r="X740" i="39"/>
  <c r="X741" i="39"/>
  <c r="X742" i="39"/>
  <c r="X743" i="39"/>
  <c r="X744" i="39"/>
  <c r="X745" i="39"/>
  <c r="X746" i="39"/>
  <c r="X747" i="39"/>
  <c r="X748" i="39"/>
  <c r="X749" i="39"/>
  <c r="X750" i="39"/>
  <c r="X751" i="39"/>
  <c r="X752" i="39"/>
  <c r="X753" i="39"/>
  <c r="X754" i="39"/>
  <c r="X755" i="39"/>
  <c r="X756" i="39"/>
  <c r="X757" i="39"/>
  <c r="X758" i="39"/>
  <c r="X759" i="39"/>
  <c r="X760" i="39"/>
  <c r="X761" i="39"/>
  <c r="X762" i="39"/>
  <c r="X763" i="39"/>
  <c r="X764" i="39"/>
  <c r="X765" i="39"/>
  <c r="X766" i="39"/>
  <c r="X767" i="39"/>
  <c r="X768" i="39"/>
  <c r="X769" i="39"/>
  <c r="X770" i="39"/>
  <c r="X771" i="39"/>
  <c r="X772" i="39"/>
  <c r="X773" i="39"/>
  <c r="X774" i="39"/>
  <c r="X775" i="39"/>
  <c r="X776" i="39"/>
  <c r="X777" i="39"/>
  <c r="X778" i="39"/>
  <c r="X779" i="39"/>
  <c r="X780" i="39"/>
  <c r="X781" i="39"/>
  <c r="X782" i="39"/>
  <c r="X783" i="39"/>
  <c r="X784" i="39"/>
  <c r="X785" i="39"/>
  <c r="X786" i="39"/>
  <c r="X787" i="39"/>
  <c r="X788" i="39"/>
  <c r="X789" i="39"/>
  <c r="X790" i="39"/>
  <c r="X791" i="39"/>
  <c r="X792" i="39"/>
  <c r="X793" i="39"/>
  <c r="X794" i="39"/>
  <c r="X795" i="39"/>
  <c r="X796" i="39"/>
  <c r="X797" i="39"/>
  <c r="X798" i="39"/>
  <c r="X799" i="39"/>
  <c r="X800" i="39"/>
  <c r="X801" i="39"/>
  <c r="X802" i="39"/>
  <c r="X803" i="39"/>
  <c r="X804" i="39"/>
  <c r="X805" i="39"/>
  <c r="X806" i="39"/>
  <c r="X807" i="39"/>
  <c r="X808" i="39"/>
  <c r="X809" i="39"/>
  <c r="X810" i="39"/>
  <c r="X811" i="39"/>
  <c r="X812" i="39"/>
  <c r="X813" i="39"/>
  <c r="X814" i="39"/>
  <c r="X815" i="39"/>
  <c r="X816" i="39"/>
  <c r="X817" i="39"/>
  <c r="X818" i="39"/>
  <c r="X819" i="39"/>
  <c r="X820" i="39"/>
  <c r="X821" i="39"/>
  <c r="X822" i="39"/>
  <c r="X823" i="39"/>
  <c r="X824" i="39"/>
  <c r="X825" i="39"/>
  <c r="X826" i="39"/>
  <c r="X827" i="39"/>
  <c r="X828" i="39"/>
  <c r="X829" i="39"/>
  <c r="X830" i="39"/>
  <c r="X831" i="39"/>
  <c r="X832" i="39"/>
  <c r="X833" i="39"/>
  <c r="X834" i="39"/>
  <c r="X835" i="39"/>
  <c r="X836" i="39"/>
  <c r="X837" i="39"/>
  <c r="X838" i="39"/>
  <c r="X839" i="39"/>
  <c r="X840" i="39"/>
  <c r="X841" i="39"/>
  <c r="X842" i="39"/>
  <c r="X843" i="39"/>
  <c r="X844" i="39"/>
  <c r="X845" i="39"/>
  <c r="X846" i="39"/>
  <c r="X847" i="39"/>
  <c r="X848" i="39"/>
  <c r="X849" i="39"/>
  <c r="X850" i="39"/>
  <c r="X851" i="39"/>
  <c r="X852" i="39"/>
  <c r="X853" i="39"/>
  <c r="X854" i="39"/>
  <c r="X855" i="39"/>
  <c r="X856" i="39"/>
  <c r="X857" i="39"/>
  <c r="X858" i="39"/>
  <c r="X859" i="39"/>
  <c r="X860" i="39"/>
  <c r="X861" i="39"/>
  <c r="X862" i="39"/>
  <c r="X863" i="39"/>
  <c r="X864" i="39"/>
  <c r="X865" i="39"/>
  <c r="X866" i="39"/>
  <c r="X867" i="39"/>
  <c r="X868" i="39"/>
  <c r="X869" i="39"/>
  <c r="X870" i="39"/>
  <c r="X871" i="39"/>
  <c r="X872" i="39"/>
  <c r="X873" i="39"/>
  <c r="X874" i="39"/>
  <c r="X875" i="39"/>
  <c r="X876" i="39"/>
  <c r="X877" i="39"/>
  <c r="X878" i="39"/>
  <c r="X879" i="39"/>
  <c r="X880" i="39"/>
  <c r="X881" i="39"/>
  <c r="X882" i="39"/>
  <c r="X883" i="39"/>
  <c r="X884" i="39"/>
  <c r="X885" i="39"/>
  <c r="X886" i="39"/>
  <c r="X887" i="39"/>
  <c r="X888" i="39"/>
  <c r="X889" i="39"/>
  <c r="X890" i="39"/>
  <c r="X891" i="39"/>
  <c r="X892" i="39"/>
  <c r="X893" i="39"/>
  <c r="X894" i="39"/>
  <c r="X895" i="39"/>
  <c r="X896" i="39"/>
  <c r="X897" i="39"/>
  <c r="X898" i="39"/>
  <c r="X899" i="39"/>
  <c r="X900" i="39"/>
  <c r="X901" i="39"/>
  <c r="X902" i="39"/>
  <c r="X903" i="39"/>
  <c r="X904" i="39"/>
  <c r="X905" i="39"/>
  <c r="X906" i="39"/>
  <c r="X907" i="39"/>
  <c r="X908" i="39"/>
  <c r="X909" i="39"/>
  <c r="X910" i="39"/>
  <c r="X911" i="39"/>
  <c r="X912" i="39"/>
  <c r="X913" i="39"/>
  <c r="X914" i="39"/>
  <c r="X915" i="39"/>
  <c r="X916" i="39"/>
  <c r="X917" i="39"/>
  <c r="X918" i="39"/>
  <c r="X919" i="39"/>
  <c r="X920" i="39"/>
  <c r="X921" i="39"/>
  <c r="X922" i="39"/>
  <c r="X923" i="39"/>
  <c r="X924" i="39"/>
  <c r="X925" i="39"/>
  <c r="X926" i="39"/>
  <c r="X927" i="39"/>
  <c r="X928" i="39"/>
  <c r="X929" i="39"/>
  <c r="X930" i="39"/>
  <c r="X931" i="39"/>
  <c r="X932" i="39"/>
  <c r="X933" i="39"/>
  <c r="X934" i="39"/>
  <c r="X935" i="39"/>
  <c r="X936" i="39"/>
  <c r="X937" i="39"/>
  <c r="X938" i="39"/>
  <c r="X939" i="39"/>
  <c r="X940" i="39"/>
  <c r="X941" i="39"/>
  <c r="X942" i="39"/>
  <c r="X943" i="39"/>
  <c r="X944" i="39"/>
  <c r="X945" i="39"/>
  <c r="X946" i="39"/>
  <c r="X947" i="39"/>
  <c r="X948" i="39"/>
  <c r="X949" i="39"/>
  <c r="X950" i="39"/>
  <c r="X951" i="39"/>
  <c r="X952" i="39"/>
  <c r="X953" i="39"/>
  <c r="X954" i="39"/>
  <c r="X955" i="39"/>
  <c r="X956" i="39"/>
  <c r="X957" i="39"/>
  <c r="X958" i="39"/>
  <c r="X959" i="39"/>
  <c r="X960" i="39"/>
  <c r="X961" i="39"/>
  <c r="X962" i="39"/>
  <c r="X963" i="39"/>
  <c r="X964" i="39"/>
  <c r="X965" i="39"/>
  <c r="X966" i="39"/>
  <c r="X967" i="39"/>
  <c r="X968" i="39"/>
  <c r="X969" i="39"/>
  <c r="X970" i="39"/>
  <c r="X971" i="39"/>
  <c r="X972" i="39"/>
  <c r="X973" i="39"/>
  <c r="X974" i="39"/>
  <c r="X975" i="39"/>
  <c r="X976" i="39"/>
  <c r="X977" i="39"/>
  <c r="X978" i="39"/>
  <c r="X979" i="39"/>
  <c r="X980" i="39"/>
  <c r="X981" i="39"/>
  <c r="X982" i="39"/>
  <c r="X983" i="39"/>
  <c r="X984" i="39"/>
  <c r="X985" i="39"/>
  <c r="X986" i="39"/>
  <c r="X987" i="39"/>
  <c r="X988" i="39"/>
  <c r="X989" i="39"/>
  <c r="X990" i="39"/>
  <c r="X991" i="39"/>
  <c r="X992" i="39"/>
  <c r="X993" i="39"/>
  <c r="X994" i="39"/>
  <c r="X995" i="39"/>
  <c r="X996" i="39"/>
  <c r="X997" i="39"/>
  <c r="X998" i="39"/>
  <c r="X999" i="39"/>
  <c r="X1000" i="39"/>
  <c r="X1001" i="39"/>
  <c r="X1002" i="39"/>
  <c r="X1003" i="39"/>
  <c r="X1004" i="39"/>
  <c r="X1005" i="39"/>
  <c r="X1006" i="39"/>
  <c r="X1007" i="39"/>
  <c r="X1008" i="39"/>
  <c r="X1009" i="39"/>
  <c r="X1010" i="39"/>
  <c r="X1011" i="39"/>
  <c r="X1012" i="39"/>
  <c r="X1013" i="39"/>
  <c r="X1014" i="39"/>
  <c r="X1015" i="39"/>
  <c r="X1016" i="39"/>
  <c r="X1017" i="39"/>
  <c r="X1018" i="39"/>
  <c r="X1019" i="39"/>
  <c r="X1020" i="39"/>
  <c r="X1021" i="39"/>
  <c r="X1022" i="39"/>
  <c r="X1023" i="39"/>
  <c r="X1024" i="39"/>
  <c r="X1025" i="39"/>
  <c r="X1026" i="39"/>
  <c r="X1027" i="39"/>
  <c r="X1028" i="39"/>
  <c r="X1029" i="39"/>
  <c r="X1030" i="39"/>
  <c r="X1031" i="39"/>
  <c r="X1032" i="39"/>
  <c r="X1033" i="39"/>
  <c r="X1034" i="39"/>
  <c r="X1035" i="39"/>
  <c r="X1036" i="39"/>
  <c r="X1037" i="39"/>
  <c r="X1038" i="39"/>
  <c r="X1039" i="39"/>
  <c r="X1040" i="39"/>
  <c r="X1041" i="39"/>
  <c r="X1042" i="39"/>
  <c r="X1043" i="39"/>
  <c r="X1044" i="39"/>
  <c r="X1045" i="39"/>
  <c r="X1046" i="39"/>
  <c r="X1047" i="39"/>
  <c r="X1048" i="39"/>
  <c r="X1049" i="39"/>
  <c r="X1050" i="39"/>
  <c r="X1051" i="39"/>
  <c r="X1052" i="39"/>
  <c r="X1053" i="39"/>
  <c r="X1054" i="39"/>
  <c r="X1055" i="39"/>
  <c r="X1056" i="39"/>
  <c r="X1057" i="39"/>
  <c r="X1058" i="39"/>
  <c r="X1059" i="39"/>
  <c r="X1060" i="39"/>
  <c r="X1061" i="39"/>
  <c r="X1062" i="39"/>
  <c r="X1063" i="39"/>
  <c r="X1064" i="39"/>
  <c r="X1065" i="39"/>
  <c r="X1066" i="39"/>
  <c r="X1067" i="39"/>
  <c r="X1068" i="39"/>
  <c r="X1069" i="39"/>
  <c r="X1070" i="39"/>
  <c r="X1071" i="39"/>
  <c r="X1072" i="39"/>
  <c r="X1073" i="39"/>
  <c r="X1074" i="39"/>
  <c r="X1075" i="39"/>
  <c r="X1076" i="39"/>
  <c r="X1077" i="39"/>
  <c r="X1078" i="39"/>
  <c r="X1079" i="39"/>
  <c r="X1080" i="39"/>
  <c r="X1081" i="39"/>
  <c r="X1082" i="39"/>
  <c r="X1083" i="39"/>
  <c r="X1084" i="39"/>
  <c r="X1085" i="39"/>
  <c r="X1086" i="39"/>
  <c r="X1087" i="39"/>
  <c r="X1088" i="39"/>
  <c r="X1089" i="39"/>
  <c r="X1090" i="39"/>
  <c r="X1091" i="39"/>
  <c r="X1092" i="39"/>
  <c r="X1093" i="39"/>
  <c r="X1094" i="39"/>
  <c r="X1095" i="39"/>
  <c r="X1096" i="39"/>
  <c r="X1097" i="39"/>
  <c r="X1098" i="39"/>
  <c r="X1099" i="39"/>
  <c r="X1100" i="39"/>
  <c r="X1101" i="39"/>
  <c r="X1102" i="39"/>
  <c r="X1103" i="39"/>
  <c r="X1104" i="39"/>
  <c r="X1105" i="39"/>
  <c r="X1106" i="39"/>
  <c r="X1107" i="39"/>
  <c r="X1108" i="39"/>
  <c r="X1109" i="39"/>
  <c r="X1110" i="39"/>
  <c r="X1111" i="39"/>
  <c r="X1112" i="39"/>
  <c r="X1113" i="39"/>
  <c r="X1114" i="39"/>
  <c r="X1115" i="39"/>
  <c r="X1116" i="39"/>
  <c r="X1117" i="39"/>
  <c r="X1118" i="39"/>
  <c r="X1119" i="39"/>
  <c r="X1120" i="39"/>
  <c r="X1121" i="39"/>
  <c r="X1122" i="39"/>
  <c r="X1123" i="39"/>
  <c r="X1124" i="39"/>
  <c r="X1125" i="39"/>
  <c r="X1126" i="39"/>
  <c r="X1127" i="39"/>
  <c r="X1128" i="39"/>
  <c r="X1129" i="39"/>
  <c r="X1130" i="39"/>
  <c r="X1131" i="39"/>
  <c r="X1132" i="39"/>
  <c r="X1133" i="39"/>
  <c r="X1134" i="39"/>
  <c r="X1135" i="39"/>
  <c r="X1136" i="39"/>
  <c r="X1137" i="39"/>
  <c r="X1138" i="39"/>
  <c r="X1139" i="39"/>
  <c r="X1140" i="39"/>
  <c r="X1141" i="39"/>
  <c r="X1142" i="39"/>
  <c r="X1143" i="39"/>
  <c r="X1144" i="39"/>
  <c r="X1145" i="39"/>
  <c r="X1146" i="39"/>
  <c r="X1147" i="39"/>
  <c r="X1148" i="39"/>
  <c r="X1149" i="39"/>
  <c r="X1150" i="39"/>
  <c r="X1151" i="39"/>
  <c r="X1152" i="39"/>
  <c r="X1153" i="39"/>
  <c r="X1154" i="39"/>
  <c r="X1155" i="39"/>
  <c r="X1156" i="39"/>
  <c r="X1157" i="39"/>
  <c r="X1158" i="39"/>
  <c r="X1159" i="39"/>
  <c r="X1160" i="39"/>
  <c r="X1161" i="39"/>
  <c r="X1162" i="39"/>
  <c r="X1163" i="39"/>
  <c r="X1164" i="39"/>
  <c r="X1165" i="39"/>
  <c r="X1166" i="39"/>
  <c r="X1167" i="39"/>
  <c r="X1168" i="39"/>
  <c r="X1169" i="39"/>
  <c r="X1170" i="39"/>
  <c r="X1171" i="39"/>
  <c r="X1172" i="39"/>
  <c r="X1173" i="39"/>
  <c r="X1174" i="39"/>
  <c r="X1175" i="39"/>
  <c r="X1176" i="39"/>
  <c r="X1177" i="39"/>
  <c r="X1178" i="39"/>
  <c r="X1179" i="39"/>
  <c r="X1180" i="39"/>
  <c r="X1181" i="39"/>
  <c r="X1182" i="39"/>
  <c r="X1183" i="39"/>
  <c r="X1184" i="39"/>
  <c r="X1185" i="39"/>
  <c r="X1186" i="39"/>
  <c r="X1187" i="39"/>
  <c r="X1188" i="39"/>
  <c r="X1189" i="39"/>
  <c r="X1190" i="39"/>
  <c r="X1191" i="39"/>
  <c r="X1192" i="39"/>
  <c r="X1193" i="39"/>
  <c r="X1194" i="39"/>
  <c r="X1195" i="39"/>
  <c r="X1196" i="39"/>
  <c r="X1197" i="39"/>
  <c r="X1198" i="39"/>
  <c r="X1199" i="39"/>
  <c r="X1200" i="39"/>
  <c r="X1201" i="39"/>
  <c r="X1202" i="39"/>
  <c r="X1203" i="39"/>
  <c r="X1204" i="39"/>
  <c r="X1205" i="39"/>
  <c r="X1206" i="39"/>
  <c r="X1207" i="39"/>
  <c r="X1208" i="39"/>
  <c r="X1209" i="39"/>
  <c r="X1210" i="39"/>
  <c r="X1211" i="39"/>
  <c r="X1212" i="39"/>
  <c r="X1213" i="39"/>
  <c r="X1214" i="39"/>
  <c r="X1215" i="39"/>
  <c r="X1216" i="39"/>
  <c r="X1217" i="39"/>
  <c r="X1218" i="39"/>
  <c r="X1219" i="39"/>
  <c r="X1220" i="39"/>
  <c r="X1221" i="39"/>
  <c r="X1222" i="39"/>
  <c r="X1223" i="39"/>
  <c r="X1224" i="39"/>
  <c r="X1225" i="39"/>
  <c r="X1226" i="39"/>
  <c r="X1227" i="39"/>
  <c r="X1228" i="39"/>
  <c r="X1229" i="39"/>
  <c r="X1230" i="39"/>
  <c r="X1231" i="39"/>
  <c r="X1232" i="39"/>
  <c r="X1233" i="39"/>
  <c r="X1234" i="39"/>
  <c r="X1235" i="39"/>
  <c r="X1236" i="39"/>
  <c r="X1237" i="39"/>
  <c r="X1238" i="39"/>
  <c r="X1239" i="39"/>
  <c r="X1240" i="39"/>
  <c r="X1241" i="39"/>
  <c r="X1242" i="39"/>
  <c r="X1243" i="39"/>
  <c r="X1244" i="39"/>
  <c r="X1245" i="39"/>
  <c r="X1246" i="39"/>
  <c r="X1247" i="39"/>
  <c r="X1248" i="39"/>
  <c r="X1249" i="39"/>
  <c r="X1250" i="39"/>
  <c r="X1251" i="39"/>
  <c r="X1252" i="39"/>
  <c r="X1253" i="39"/>
  <c r="X1254" i="39"/>
  <c r="X1255" i="39"/>
  <c r="X1256" i="39"/>
  <c r="X1257" i="39"/>
  <c r="X1258" i="39"/>
  <c r="X1259" i="39"/>
  <c r="X1260" i="39"/>
  <c r="X1261" i="39"/>
  <c r="X1262" i="39"/>
  <c r="X1263" i="39"/>
  <c r="X1264" i="39"/>
  <c r="X1265" i="39"/>
  <c r="X1266" i="39"/>
  <c r="X1267" i="39"/>
  <c r="X1268" i="39"/>
  <c r="X1269" i="39"/>
  <c r="X1270" i="39"/>
  <c r="X1271" i="39"/>
  <c r="X1272" i="39"/>
  <c r="X1273" i="39"/>
  <c r="X1274" i="39"/>
  <c r="X1275" i="39"/>
  <c r="X1276" i="39"/>
  <c r="X1277" i="39"/>
  <c r="X1278" i="39"/>
  <c r="X1279" i="39"/>
  <c r="X1280" i="39"/>
  <c r="X1281" i="39"/>
  <c r="X1282" i="39"/>
  <c r="X1283" i="39"/>
  <c r="X1284" i="39"/>
  <c r="X1285" i="39"/>
  <c r="X1286" i="39"/>
  <c r="X1287" i="39"/>
  <c r="X1288" i="39"/>
  <c r="X1289" i="39"/>
  <c r="X1290" i="39"/>
  <c r="X1291" i="39"/>
  <c r="X1292" i="39"/>
  <c r="X1293" i="39"/>
  <c r="X1294" i="39"/>
  <c r="X1295" i="39"/>
  <c r="X1296" i="39"/>
  <c r="X1297" i="39"/>
  <c r="X1298" i="39"/>
  <c r="X1299" i="39"/>
  <c r="X1300" i="39"/>
  <c r="X1301" i="39"/>
  <c r="X1302" i="39"/>
  <c r="X1303" i="39"/>
  <c r="X1304" i="39"/>
  <c r="X1305" i="39"/>
  <c r="X1306" i="39"/>
  <c r="X1307" i="39"/>
  <c r="X1308" i="39"/>
  <c r="X1309" i="39"/>
  <c r="X1310" i="39"/>
  <c r="X1311" i="39"/>
  <c r="X1312" i="39"/>
  <c r="X1313" i="39"/>
  <c r="X1314" i="39"/>
  <c r="X1315" i="39"/>
  <c r="X1316" i="39"/>
  <c r="X1317" i="39"/>
  <c r="X1318" i="39"/>
  <c r="X1319" i="39"/>
  <c r="X1320" i="39"/>
  <c r="X1321" i="39"/>
  <c r="X1322" i="39"/>
  <c r="X1323" i="39"/>
  <c r="X1324" i="39"/>
  <c r="X1325" i="39"/>
  <c r="X1326" i="39"/>
  <c r="X1327" i="39"/>
  <c r="X1328" i="39"/>
  <c r="X1329" i="39"/>
  <c r="X1330" i="39"/>
  <c r="X1331" i="39"/>
  <c r="X1332" i="39"/>
  <c r="X1333" i="39"/>
  <c r="X1334" i="39"/>
  <c r="X1335" i="39"/>
  <c r="X1336" i="39"/>
  <c r="X1337" i="39"/>
  <c r="X1338" i="39"/>
  <c r="X1339" i="39"/>
  <c r="X1340" i="39"/>
  <c r="X1341" i="39"/>
  <c r="X1342" i="39"/>
  <c r="X1343" i="39"/>
  <c r="X1344" i="39"/>
  <c r="X1345" i="39"/>
  <c r="X1346" i="39"/>
  <c r="X1347" i="39"/>
  <c r="X1348" i="39"/>
  <c r="X1349" i="39"/>
  <c r="X1350" i="39"/>
  <c r="X1351" i="39"/>
  <c r="X1352" i="39"/>
  <c r="X1353" i="39"/>
  <c r="X1354" i="39"/>
  <c r="X1355" i="39"/>
  <c r="X1356" i="39"/>
  <c r="X1357" i="39"/>
  <c r="X1358" i="39"/>
  <c r="X1359" i="39"/>
  <c r="X1360" i="39"/>
  <c r="X1361" i="39"/>
  <c r="X1362" i="39"/>
  <c r="X1363" i="39"/>
  <c r="X1364" i="39"/>
  <c r="X1365" i="39"/>
  <c r="X1366" i="39"/>
  <c r="X1367" i="39"/>
  <c r="X1368" i="39"/>
  <c r="X1369" i="39"/>
  <c r="X1370" i="39"/>
  <c r="X1371" i="39"/>
  <c r="X1372" i="39"/>
  <c r="X1373" i="39"/>
  <c r="X1374" i="39"/>
  <c r="X1375" i="39"/>
  <c r="X1376" i="39"/>
  <c r="X1377" i="39"/>
  <c r="X1378" i="39"/>
  <c r="X1379" i="39"/>
  <c r="X1380" i="39"/>
  <c r="X1381" i="39"/>
  <c r="X1382" i="39"/>
  <c r="X1383" i="39"/>
  <c r="X1384" i="39"/>
  <c r="X1385" i="39"/>
  <c r="X1386" i="39"/>
  <c r="X1387" i="39"/>
  <c r="X1388" i="39"/>
  <c r="X1389" i="39"/>
  <c r="X1390" i="39"/>
  <c r="X1391" i="39"/>
  <c r="X1392" i="39"/>
  <c r="X1393" i="39"/>
  <c r="X1394" i="39"/>
  <c r="X1395" i="39"/>
  <c r="X1396" i="39"/>
  <c r="X1397" i="39"/>
  <c r="X1398" i="39"/>
  <c r="X1399" i="39"/>
  <c r="X1400" i="39"/>
  <c r="X1401" i="39"/>
  <c r="X1402" i="39"/>
  <c r="X1403" i="39"/>
  <c r="X1404" i="39"/>
  <c r="X1405" i="39"/>
  <c r="X1406" i="39"/>
  <c r="X1407" i="39"/>
  <c r="X1408" i="39"/>
  <c r="X1409" i="39"/>
  <c r="X1410" i="39"/>
  <c r="X1411" i="39"/>
  <c r="X1412" i="39"/>
  <c r="X1413" i="39"/>
  <c r="X1414" i="39"/>
  <c r="X1415" i="39"/>
  <c r="X1416" i="39"/>
  <c r="X1417" i="39"/>
  <c r="X1418" i="39"/>
  <c r="X1419" i="39"/>
  <c r="X1420" i="39"/>
  <c r="X1421" i="39"/>
  <c r="X1422" i="39"/>
  <c r="X1423" i="39"/>
  <c r="X1424" i="39"/>
  <c r="X1425" i="39"/>
  <c r="X1426" i="39"/>
  <c r="X1427" i="39"/>
  <c r="X1428" i="39"/>
  <c r="X1429" i="39"/>
  <c r="X1430" i="39"/>
  <c r="X1431" i="39"/>
  <c r="X1432" i="39"/>
  <c r="X1433" i="39"/>
  <c r="X1434" i="39"/>
  <c r="X1435" i="39"/>
  <c r="X1436" i="39"/>
  <c r="X1437" i="39"/>
  <c r="X1438" i="39"/>
  <c r="X1439" i="39"/>
  <c r="X1440" i="39"/>
  <c r="X1441" i="39"/>
  <c r="X1442" i="39"/>
  <c r="X1443" i="39"/>
  <c r="X1444" i="39"/>
  <c r="X1445" i="39"/>
  <c r="X1446" i="39"/>
  <c r="X1447" i="39"/>
  <c r="X1448" i="39"/>
  <c r="X1449" i="39"/>
  <c r="X1450" i="39"/>
  <c r="X1451" i="39"/>
  <c r="X1452" i="39"/>
  <c r="X1453" i="39"/>
  <c r="X1454" i="39"/>
  <c r="X1455" i="39"/>
  <c r="X1456" i="39"/>
  <c r="X1457" i="39"/>
  <c r="X1458" i="39"/>
  <c r="X1459" i="39"/>
  <c r="X1460" i="39"/>
  <c r="X1461" i="39"/>
  <c r="X1462" i="39"/>
  <c r="X1463" i="39"/>
  <c r="X1464" i="39"/>
  <c r="X1465" i="39"/>
  <c r="X1466" i="39"/>
  <c r="X1467" i="39"/>
  <c r="X1468" i="39"/>
  <c r="X1469" i="39"/>
  <c r="X1470" i="39"/>
  <c r="X1471" i="39"/>
  <c r="X1472" i="39"/>
  <c r="X1473" i="39"/>
  <c r="X1474" i="39"/>
  <c r="X1475" i="39"/>
  <c r="X1476" i="39"/>
  <c r="X1477" i="39"/>
  <c r="X1478" i="39"/>
  <c r="X1479" i="39"/>
  <c r="X1480" i="39"/>
  <c r="X1481" i="39"/>
  <c r="X1482" i="39"/>
  <c r="X1483" i="39"/>
  <c r="X1484" i="39"/>
  <c r="X1485" i="39"/>
  <c r="X1486" i="39"/>
  <c r="X1487" i="39"/>
  <c r="X1488" i="39"/>
  <c r="X1489" i="39"/>
  <c r="X1490" i="39"/>
  <c r="X1491" i="39"/>
  <c r="X1492" i="39"/>
  <c r="X1493" i="39"/>
  <c r="X1494" i="39"/>
  <c r="X1495" i="39"/>
  <c r="X1496" i="39"/>
  <c r="X1497" i="39"/>
  <c r="X1498" i="39"/>
  <c r="X1499" i="39"/>
  <c r="X1500" i="39"/>
  <c r="X1501" i="39"/>
  <c r="X1502" i="39"/>
  <c r="X1503" i="39"/>
  <c r="X1504" i="39"/>
  <c r="X1505" i="39"/>
  <c r="X1506" i="39"/>
  <c r="X1507" i="39"/>
  <c r="X1508" i="39"/>
  <c r="X1509" i="39"/>
  <c r="X1510" i="39"/>
  <c r="X1511" i="39"/>
  <c r="X1512" i="39"/>
  <c r="X1513" i="39"/>
  <c r="X1514" i="39"/>
  <c r="X1515" i="39"/>
  <c r="X1516" i="39"/>
  <c r="X1517" i="39"/>
  <c r="X1518" i="39"/>
  <c r="X1519" i="39"/>
  <c r="X1520" i="39"/>
  <c r="X1521" i="39"/>
  <c r="X1522" i="39"/>
  <c r="X1523" i="39"/>
  <c r="X1524" i="39"/>
  <c r="X1525" i="39"/>
  <c r="X1526" i="39"/>
  <c r="X1527" i="39"/>
  <c r="X1528" i="39"/>
  <c r="X1529" i="39"/>
  <c r="X1530" i="39"/>
  <c r="X1531" i="39"/>
  <c r="X1532" i="39"/>
  <c r="X1533" i="39"/>
  <c r="X1534" i="39"/>
  <c r="X1535" i="39"/>
  <c r="X1536" i="39"/>
  <c r="X1537" i="39"/>
  <c r="X1538" i="39"/>
  <c r="X1539" i="39"/>
  <c r="X1540" i="39"/>
  <c r="X1541" i="39"/>
  <c r="X1542" i="39"/>
  <c r="X1543" i="39"/>
  <c r="X1544" i="39"/>
  <c r="X1545" i="39"/>
  <c r="X1546" i="39"/>
  <c r="X1547" i="39"/>
  <c r="X1548" i="39"/>
  <c r="X1549" i="39"/>
  <c r="X1550" i="39"/>
  <c r="X1551" i="39"/>
  <c r="X1552" i="39"/>
  <c r="X1553" i="39"/>
  <c r="X1554" i="39"/>
  <c r="X1555" i="39"/>
  <c r="X1556" i="39"/>
  <c r="X1557" i="39"/>
  <c r="X1558" i="39"/>
  <c r="X1559" i="39"/>
  <c r="X1560" i="39"/>
  <c r="X1561" i="39"/>
  <c r="X1562" i="39"/>
  <c r="X1563" i="39"/>
  <c r="X1564" i="39"/>
  <c r="X1565" i="39"/>
  <c r="X1566" i="39"/>
  <c r="X1567" i="39"/>
  <c r="X1568" i="39"/>
  <c r="X1569" i="39"/>
  <c r="X1570" i="39"/>
  <c r="X1571" i="39"/>
  <c r="X1572" i="39"/>
  <c r="X1573" i="39"/>
  <c r="X1574" i="39"/>
  <c r="X1575" i="39"/>
  <c r="X1576" i="39"/>
  <c r="X1577" i="39"/>
  <c r="X1578" i="39"/>
  <c r="X1579" i="39"/>
  <c r="X1580" i="39"/>
  <c r="X1581" i="39"/>
  <c r="X1582" i="39"/>
  <c r="X1583" i="39"/>
  <c r="X1584" i="39"/>
  <c r="X1585" i="39"/>
  <c r="X1586" i="39"/>
  <c r="X1587" i="39"/>
  <c r="X1588" i="39"/>
  <c r="X1589" i="39"/>
  <c r="X1590" i="39"/>
  <c r="X1591" i="39"/>
  <c r="X1592" i="39"/>
  <c r="X1593" i="39"/>
  <c r="X1594" i="39"/>
  <c r="X1595" i="39"/>
  <c r="X1596" i="39"/>
  <c r="X1597" i="39"/>
  <c r="X1598" i="39"/>
  <c r="X1599" i="39"/>
  <c r="X1600" i="39"/>
  <c r="X1601" i="39"/>
  <c r="X1602" i="39"/>
  <c r="X1603" i="39"/>
  <c r="X1604" i="39"/>
  <c r="X1605" i="39"/>
  <c r="X1606" i="39"/>
  <c r="X1607" i="39"/>
  <c r="X1608" i="39"/>
  <c r="X1609" i="39"/>
  <c r="X1610" i="39"/>
  <c r="X1611" i="39"/>
  <c r="X1612" i="39"/>
  <c r="X1613" i="39"/>
  <c r="X1614" i="39"/>
  <c r="X1615" i="39"/>
  <c r="X1616" i="39"/>
  <c r="X1617" i="39"/>
  <c r="X1618" i="39"/>
  <c r="X1619" i="39"/>
  <c r="X1620" i="39"/>
  <c r="X1621" i="39"/>
  <c r="X1622" i="39"/>
  <c r="X1623" i="39"/>
  <c r="X1624" i="39"/>
  <c r="X1625" i="39"/>
  <c r="X1626" i="39"/>
  <c r="X1627" i="39"/>
  <c r="X1628" i="39"/>
  <c r="X1629" i="39"/>
  <c r="X1630" i="39"/>
  <c r="X1631" i="39"/>
  <c r="X1632" i="39"/>
  <c r="X1633" i="39"/>
  <c r="X1634" i="39"/>
  <c r="X1635" i="39"/>
  <c r="X1636" i="39"/>
  <c r="X1637" i="39"/>
  <c r="X1638" i="39"/>
  <c r="X1639" i="39"/>
  <c r="X1640" i="39"/>
  <c r="X1641" i="39"/>
  <c r="X1642" i="39"/>
  <c r="X1643" i="39"/>
  <c r="X1644" i="39"/>
  <c r="X1645" i="39"/>
  <c r="X1646" i="39"/>
  <c r="X1647" i="39"/>
  <c r="X1648" i="39"/>
  <c r="X1649" i="39"/>
  <c r="X1650" i="39"/>
  <c r="X1651" i="39"/>
  <c r="X1652" i="39"/>
  <c r="X1653" i="39"/>
  <c r="X1654" i="39"/>
  <c r="X1655" i="39"/>
  <c r="X1656" i="39"/>
  <c r="X1657" i="39"/>
  <c r="X1658" i="39"/>
  <c r="X1659" i="39"/>
  <c r="X1660" i="39"/>
  <c r="X1661" i="39"/>
  <c r="X1662" i="39"/>
  <c r="X1663" i="39"/>
  <c r="X1664" i="39"/>
  <c r="X1665" i="39"/>
  <c r="X1666" i="39"/>
  <c r="X1667" i="39"/>
  <c r="X1668" i="39"/>
  <c r="X1669" i="39"/>
  <c r="X1670" i="39"/>
  <c r="X1671" i="39"/>
  <c r="X1672" i="39"/>
  <c r="X1673" i="39"/>
  <c r="X1674" i="39"/>
  <c r="X1675" i="39"/>
  <c r="X1676" i="39"/>
  <c r="X1677" i="39"/>
  <c r="X1678" i="39"/>
  <c r="X1679" i="39"/>
  <c r="X1680" i="39"/>
  <c r="X1681" i="39"/>
  <c r="X1682" i="39"/>
  <c r="X1683" i="39"/>
  <c r="X1684" i="39"/>
  <c r="X1685" i="39"/>
  <c r="X1686" i="39"/>
  <c r="X1687" i="39"/>
  <c r="X1688" i="39"/>
  <c r="X1689" i="39"/>
  <c r="X1690" i="39"/>
  <c r="X1691" i="39"/>
  <c r="X1692" i="39"/>
  <c r="X1693" i="39"/>
  <c r="X1694" i="39"/>
  <c r="X1695" i="39"/>
  <c r="X1696" i="39"/>
  <c r="X1697" i="39"/>
  <c r="X1698" i="39"/>
  <c r="X1699" i="39"/>
  <c r="X1700" i="39"/>
  <c r="X1701" i="39"/>
  <c r="X1702" i="39"/>
  <c r="X1703" i="39"/>
  <c r="X1704" i="39"/>
  <c r="X1705" i="39"/>
  <c r="X1706" i="39"/>
  <c r="X1707" i="39"/>
  <c r="X1708" i="39"/>
  <c r="X1709" i="39"/>
  <c r="X1710" i="39"/>
  <c r="X1711" i="39"/>
  <c r="X1712" i="39"/>
  <c r="X1713" i="39"/>
  <c r="X1714" i="39"/>
  <c r="X1715" i="39"/>
  <c r="X1716" i="39"/>
  <c r="X1717" i="39"/>
  <c r="X1718" i="39"/>
  <c r="X1719" i="39"/>
  <c r="X1720" i="39"/>
  <c r="X1721" i="39"/>
  <c r="X1722" i="39"/>
  <c r="X1723" i="39"/>
  <c r="X1724" i="39"/>
  <c r="X1725" i="39"/>
  <c r="X1726" i="39"/>
  <c r="X1727" i="39"/>
  <c r="X1728" i="39"/>
  <c r="X1729" i="39"/>
  <c r="X1730" i="39"/>
  <c r="X1731" i="39"/>
  <c r="X1732" i="39"/>
  <c r="X1733" i="39"/>
  <c r="X1734" i="39"/>
  <c r="X1735" i="39"/>
  <c r="X1736" i="39"/>
  <c r="X1737" i="39"/>
  <c r="X1738" i="39"/>
  <c r="X1739" i="39"/>
  <c r="X1740" i="39"/>
  <c r="X1741" i="39"/>
  <c r="X1742" i="39"/>
  <c r="X1743" i="39"/>
  <c r="X1744" i="39"/>
  <c r="X1745" i="39"/>
  <c r="X1746" i="39"/>
  <c r="X1747" i="39"/>
  <c r="X1748" i="39"/>
  <c r="X1749" i="39"/>
  <c r="X1750" i="39"/>
  <c r="X1751" i="39"/>
  <c r="X1752" i="39"/>
  <c r="X1753" i="39"/>
  <c r="X1754" i="39"/>
  <c r="X1755" i="39"/>
  <c r="X1756" i="39"/>
  <c r="X1757" i="39"/>
  <c r="X1758" i="39"/>
  <c r="X1759" i="39"/>
  <c r="X1760" i="39"/>
  <c r="X1761" i="39"/>
  <c r="X1762" i="39"/>
  <c r="X1763" i="39"/>
  <c r="X1764" i="39"/>
  <c r="X1765" i="39"/>
  <c r="X1766" i="39"/>
  <c r="X1767" i="39"/>
  <c r="X1768" i="39"/>
  <c r="X1769" i="39"/>
  <c r="X1770" i="39"/>
  <c r="X1771" i="39"/>
  <c r="X1772" i="39"/>
  <c r="X1773" i="39"/>
  <c r="X1774" i="39"/>
  <c r="X1775" i="39"/>
  <c r="X1776" i="39"/>
  <c r="X1777" i="39"/>
  <c r="X1778" i="39"/>
  <c r="X1779" i="39"/>
  <c r="X1780" i="39"/>
  <c r="X1781" i="39"/>
  <c r="X1782" i="39"/>
  <c r="X1783" i="39"/>
  <c r="X1784" i="39"/>
  <c r="X1785" i="39"/>
  <c r="X1786" i="39"/>
  <c r="X1787" i="39"/>
  <c r="X1788" i="39"/>
  <c r="X1789" i="39"/>
  <c r="X1790" i="39"/>
  <c r="X1791" i="39"/>
  <c r="X1792" i="39"/>
  <c r="X1793" i="39"/>
  <c r="X1794" i="39"/>
  <c r="X1795" i="39"/>
  <c r="X1796" i="39"/>
  <c r="X1797" i="39"/>
  <c r="X1798" i="39"/>
  <c r="X1799" i="39"/>
  <c r="X1800" i="39"/>
  <c r="X1801" i="39"/>
  <c r="X1802" i="39"/>
  <c r="X1803" i="39"/>
  <c r="X1804" i="39"/>
  <c r="X1805" i="39"/>
  <c r="X1806" i="39"/>
  <c r="X1807" i="39"/>
  <c r="X1808" i="39"/>
  <c r="X1809" i="39"/>
  <c r="X1810" i="39"/>
  <c r="X1811" i="39"/>
  <c r="X1812" i="39"/>
  <c r="X1813" i="39"/>
  <c r="X1814" i="39"/>
  <c r="X1815" i="39"/>
  <c r="X1816" i="39"/>
  <c r="X1817" i="39"/>
  <c r="X1818" i="39"/>
  <c r="X1819" i="39"/>
  <c r="X1820" i="39"/>
  <c r="X1821" i="39"/>
  <c r="X1822" i="39"/>
  <c r="X1823" i="39"/>
  <c r="X1824" i="39"/>
  <c r="X1825" i="39"/>
  <c r="X1826" i="39"/>
  <c r="X1827" i="39"/>
  <c r="X1828" i="39"/>
  <c r="X1829" i="39"/>
  <c r="X1830" i="39"/>
  <c r="X1831" i="39"/>
  <c r="X1832" i="39"/>
  <c r="X1833" i="39"/>
  <c r="X1834" i="39"/>
  <c r="X1835" i="39"/>
  <c r="X1836" i="39"/>
  <c r="X1837" i="39"/>
  <c r="X1838" i="39"/>
  <c r="X1839" i="39"/>
  <c r="X1840" i="39"/>
  <c r="X1841" i="39"/>
  <c r="X1842" i="39"/>
  <c r="X1843" i="39"/>
  <c r="X1844" i="39"/>
  <c r="X1845" i="39"/>
  <c r="X1846" i="39"/>
  <c r="X1847" i="39"/>
  <c r="X1848" i="39"/>
  <c r="X1849" i="39"/>
  <c r="X1850" i="39"/>
  <c r="X1851" i="39"/>
  <c r="X1852" i="39"/>
  <c r="X1853" i="39"/>
  <c r="X1854" i="39"/>
  <c r="X1855" i="39"/>
  <c r="X1856" i="39"/>
  <c r="X1857" i="39"/>
  <c r="X1858" i="39"/>
  <c r="X1859" i="39"/>
  <c r="X1860" i="39"/>
  <c r="X1861" i="39"/>
  <c r="X1862" i="39"/>
  <c r="X1863" i="39"/>
  <c r="X1864" i="39"/>
  <c r="X1865" i="39"/>
  <c r="X1866" i="39"/>
  <c r="X1867" i="39"/>
  <c r="X1868" i="39"/>
  <c r="X1869" i="39"/>
  <c r="X1870" i="39"/>
  <c r="X1871" i="39"/>
  <c r="X1872" i="39"/>
  <c r="X1873" i="39"/>
  <c r="X1874" i="39"/>
  <c r="X1875" i="39"/>
  <c r="X1876" i="39"/>
  <c r="X1877" i="39"/>
  <c r="X1878" i="39"/>
  <c r="X1879" i="39"/>
  <c r="X1880" i="39"/>
  <c r="X1881" i="39"/>
  <c r="X1882" i="39"/>
  <c r="X1883" i="39"/>
  <c r="X1884" i="39"/>
  <c r="X1885" i="39"/>
  <c r="X1886" i="39"/>
  <c r="X1887" i="39"/>
  <c r="X1888" i="39"/>
  <c r="X1889" i="39"/>
  <c r="X1890" i="39"/>
  <c r="X1891" i="39"/>
  <c r="X1892" i="39"/>
  <c r="X1893" i="39"/>
  <c r="X1894" i="39"/>
  <c r="X1895" i="39"/>
  <c r="X1896" i="39"/>
  <c r="X1897" i="39"/>
  <c r="X1898" i="39"/>
  <c r="X1899" i="39"/>
  <c r="X1900" i="39"/>
  <c r="X1901" i="39"/>
  <c r="X1902" i="39"/>
  <c r="X1903" i="39"/>
  <c r="X1904" i="39"/>
  <c r="X1905" i="39"/>
  <c r="X1906" i="39"/>
  <c r="X1907" i="39"/>
  <c r="X1908" i="39"/>
  <c r="X1909" i="39"/>
  <c r="X1910" i="39"/>
  <c r="X1911" i="39"/>
  <c r="X1912" i="39"/>
  <c r="X1913" i="39"/>
  <c r="X1914" i="39"/>
  <c r="X1915" i="39"/>
  <c r="X1916" i="39"/>
  <c r="X1917" i="39"/>
  <c r="X1918" i="39"/>
  <c r="X1919" i="39"/>
  <c r="X1920" i="39"/>
  <c r="X1921" i="39"/>
  <c r="X1922" i="39"/>
  <c r="X1923" i="39"/>
  <c r="X1924" i="39"/>
  <c r="X1925" i="39"/>
  <c r="X1926" i="39"/>
  <c r="X1927" i="39"/>
  <c r="X1928" i="39"/>
  <c r="X1929" i="39"/>
  <c r="X1930" i="39"/>
  <c r="X1931" i="39"/>
  <c r="X1932" i="39"/>
  <c r="X1933" i="39"/>
  <c r="X1934" i="39"/>
  <c r="X1935" i="39"/>
  <c r="X1936" i="39"/>
  <c r="X1937" i="39"/>
  <c r="X1938" i="39"/>
  <c r="X1939" i="39"/>
  <c r="X1940" i="39"/>
  <c r="X1941" i="39"/>
  <c r="X1942" i="39"/>
  <c r="X1943" i="39"/>
  <c r="X1944" i="39"/>
  <c r="X1945" i="39"/>
  <c r="X1946" i="39"/>
  <c r="X1947" i="39"/>
  <c r="X1948" i="39"/>
  <c r="X1949" i="39"/>
  <c r="X1950" i="39"/>
  <c r="X1951" i="39"/>
  <c r="X1952" i="39"/>
  <c r="X1953" i="39"/>
  <c r="X1954" i="39"/>
  <c r="X1955" i="39"/>
  <c r="X1956" i="39"/>
  <c r="X1957" i="39"/>
  <c r="X1958" i="39"/>
  <c r="X1959" i="39"/>
  <c r="X1960" i="39"/>
  <c r="X1961" i="39"/>
  <c r="X1962" i="39"/>
  <c r="X1963" i="39"/>
  <c r="X1964" i="39"/>
  <c r="X1965" i="39"/>
  <c r="X1966" i="39"/>
  <c r="X1967" i="39"/>
  <c r="X1968" i="39"/>
  <c r="X1969" i="39"/>
  <c r="X1970" i="39"/>
  <c r="X1971" i="39"/>
  <c r="X1972" i="39"/>
  <c r="X1973" i="39"/>
  <c r="X1974" i="39"/>
  <c r="X1975" i="39"/>
  <c r="X1976" i="39"/>
  <c r="X1977" i="39"/>
  <c r="X1978" i="39"/>
  <c r="X1979" i="39"/>
  <c r="X1980" i="39"/>
  <c r="X1981" i="39"/>
  <c r="X1982" i="39"/>
  <c r="X1983" i="39"/>
  <c r="X1984" i="39"/>
  <c r="X1985" i="39"/>
  <c r="X1986" i="39"/>
  <c r="X1987" i="39"/>
  <c r="X1988" i="39"/>
  <c r="X1989" i="39"/>
  <c r="X1990" i="39"/>
  <c r="X1991" i="39"/>
  <c r="X1992" i="39"/>
  <c r="X1993" i="39"/>
  <c r="X1994" i="39"/>
  <c r="X1995" i="39"/>
  <c r="X1996" i="39"/>
  <c r="X1997" i="39"/>
  <c r="X1998" i="39"/>
  <c r="X1999" i="39"/>
  <c r="X2000" i="39"/>
  <c r="X2001" i="39"/>
  <c r="X2002" i="39"/>
  <c r="X2003" i="39"/>
  <c r="X2004" i="39"/>
  <c r="X2005" i="39"/>
  <c r="X2006" i="39"/>
  <c r="X2007" i="39"/>
  <c r="X2008" i="39"/>
  <c r="X2009" i="39"/>
  <c r="X2010" i="39"/>
  <c r="X2011" i="39"/>
  <c r="X2012" i="39"/>
  <c r="X2013" i="39"/>
  <c r="X2014" i="39"/>
  <c r="X2015" i="39"/>
  <c r="X2016" i="39"/>
  <c r="X2017" i="39"/>
  <c r="X2018" i="39"/>
  <c r="X2019" i="39"/>
  <c r="X2020" i="39"/>
  <c r="X2021" i="39"/>
  <c r="X2022" i="39"/>
  <c r="X2023" i="39"/>
  <c r="X2024" i="39"/>
  <c r="X2025" i="39"/>
  <c r="X2026" i="39"/>
  <c r="X2027" i="39"/>
  <c r="X2028" i="39"/>
  <c r="X2029" i="39"/>
  <c r="X2030" i="39"/>
  <c r="X2031" i="39"/>
  <c r="X2032" i="39"/>
  <c r="X2033" i="39"/>
  <c r="X2034" i="39"/>
  <c r="X2035" i="39"/>
  <c r="X2036" i="39"/>
  <c r="X2037" i="39"/>
  <c r="X2038" i="39"/>
  <c r="X2039" i="39"/>
  <c r="X2040" i="39"/>
  <c r="X2041" i="39"/>
  <c r="X2042" i="39"/>
  <c r="X2043" i="39"/>
  <c r="X2044" i="39"/>
  <c r="X2045" i="39"/>
  <c r="X2046" i="39"/>
  <c r="X2047" i="39"/>
  <c r="X2048" i="39"/>
  <c r="X2049" i="39"/>
  <c r="X2050" i="39"/>
  <c r="X2051" i="39"/>
  <c r="X2052" i="39"/>
  <c r="X2053" i="39"/>
  <c r="X2054" i="39"/>
  <c r="X2055" i="39"/>
  <c r="X2056" i="39"/>
  <c r="X2057" i="39"/>
  <c r="X2058" i="39"/>
  <c r="X2059" i="39"/>
  <c r="X2060" i="39"/>
  <c r="X2061" i="39"/>
  <c r="X2062" i="39"/>
  <c r="X2063" i="39"/>
  <c r="X2064" i="39"/>
  <c r="X2065" i="39"/>
  <c r="X2066" i="39"/>
  <c r="X2067" i="39"/>
  <c r="X2068" i="39"/>
  <c r="X2069" i="39"/>
  <c r="X2070" i="39"/>
  <c r="X2071" i="39"/>
  <c r="X2072" i="39"/>
  <c r="X2073" i="39"/>
  <c r="X2074" i="39"/>
  <c r="X2075" i="39"/>
  <c r="X2076" i="39"/>
  <c r="X2077" i="39"/>
  <c r="X2078" i="39"/>
  <c r="X2079" i="39"/>
  <c r="X2080" i="39"/>
  <c r="X2081" i="39"/>
  <c r="X2082" i="39"/>
  <c r="X2083" i="39"/>
  <c r="X2084" i="39"/>
  <c r="X2085" i="39"/>
  <c r="X2086" i="39"/>
  <c r="X2087" i="39"/>
  <c r="X2088" i="39"/>
  <c r="X2089" i="39"/>
  <c r="X2090" i="39"/>
  <c r="X2091" i="39"/>
  <c r="X2092" i="39"/>
  <c r="X2093" i="39"/>
  <c r="X2094" i="39"/>
  <c r="X2095" i="39"/>
  <c r="X2096" i="39"/>
  <c r="X2097" i="39"/>
  <c r="X2098" i="39"/>
  <c r="X2099" i="39"/>
  <c r="X2100" i="39"/>
  <c r="X2101" i="39"/>
  <c r="X2102" i="39"/>
  <c r="X2103" i="39"/>
  <c r="X2104" i="39"/>
  <c r="X2105" i="39"/>
  <c r="X2106" i="39"/>
  <c r="X2107" i="39"/>
  <c r="X2108" i="39"/>
  <c r="X2109" i="39"/>
  <c r="X2110" i="39"/>
  <c r="X2111" i="39"/>
  <c r="X2112" i="39"/>
  <c r="X2113" i="39"/>
  <c r="X2114" i="39"/>
  <c r="X2115" i="39"/>
  <c r="X2116" i="39"/>
  <c r="X2117" i="39"/>
  <c r="X2118" i="39"/>
  <c r="X2119" i="39"/>
  <c r="X2120" i="39"/>
  <c r="X2121" i="39"/>
  <c r="X2122" i="39"/>
  <c r="X2123" i="39"/>
  <c r="X2124" i="39"/>
  <c r="X2125" i="39"/>
  <c r="X2126" i="39"/>
  <c r="X2127" i="39"/>
  <c r="X2128" i="39"/>
  <c r="X2129" i="39"/>
  <c r="X2130" i="39"/>
  <c r="X2131" i="39"/>
  <c r="X2132" i="39"/>
  <c r="X2133" i="39"/>
  <c r="X2134" i="39"/>
  <c r="X2135" i="39"/>
  <c r="X2136" i="39"/>
  <c r="X2137" i="39"/>
  <c r="X2138" i="39"/>
  <c r="X2139" i="39"/>
  <c r="X2140" i="39"/>
  <c r="X2141" i="39"/>
  <c r="X2142" i="39"/>
  <c r="X2143" i="39"/>
  <c r="X2144" i="39"/>
  <c r="X2145" i="39"/>
  <c r="X2146" i="39"/>
  <c r="X2147" i="39"/>
  <c r="X2148" i="39"/>
  <c r="X2149" i="39"/>
  <c r="X2150" i="39"/>
  <c r="X2151" i="39"/>
  <c r="X2152" i="39"/>
  <c r="X2153" i="39"/>
  <c r="X2154" i="39"/>
  <c r="X2155" i="39"/>
  <c r="X2156" i="39"/>
  <c r="X2157" i="39"/>
  <c r="X2158" i="39"/>
  <c r="X2159" i="39"/>
  <c r="X2160" i="39"/>
  <c r="X2161" i="39"/>
  <c r="X2162" i="39"/>
  <c r="X2163" i="39"/>
  <c r="X2164" i="39"/>
  <c r="X2165" i="39"/>
  <c r="X2166" i="39"/>
  <c r="X2167" i="39"/>
  <c r="X2168" i="39"/>
  <c r="X2169" i="39"/>
  <c r="X2170" i="39"/>
  <c r="X2171" i="39"/>
  <c r="X2" i="39"/>
  <c r="J3" i="38" l="1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2" i="38"/>
  <c r="AI1" i="39" l="1"/>
  <c r="AB2171" i="39"/>
  <c r="AA2171" i="39"/>
  <c r="AC2171" i="39" s="1"/>
  <c r="Z2171" i="39"/>
  <c r="Y2171" i="39"/>
  <c r="AB2170" i="39"/>
  <c r="AA2170" i="39"/>
  <c r="AC2170" i="39" s="1"/>
  <c r="Z2170" i="39"/>
  <c r="Y2170" i="39"/>
  <c r="AB2169" i="39"/>
  <c r="AA2169" i="39"/>
  <c r="AC2169" i="39" s="1"/>
  <c r="Z2169" i="39"/>
  <c r="Y2169" i="39"/>
  <c r="AB2168" i="39"/>
  <c r="AA2168" i="39"/>
  <c r="AC2168" i="39" s="1"/>
  <c r="Z2168" i="39"/>
  <c r="Y2168" i="39"/>
  <c r="AB2167" i="39"/>
  <c r="AA2167" i="39"/>
  <c r="AC2167" i="39" s="1"/>
  <c r="Z2167" i="39"/>
  <c r="Y2167" i="39"/>
  <c r="AB2166" i="39"/>
  <c r="AA2166" i="39"/>
  <c r="AC2166" i="39" s="1"/>
  <c r="Z2166" i="39"/>
  <c r="Y2166" i="39"/>
  <c r="AB2165" i="39"/>
  <c r="AA2165" i="39"/>
  <c r="AC2165" i="39" s="1"/>
  <c r="Z2165" i="39"/>
  <c r="Y2165" i="39"/>
  <c r="AB2164" i="39"/>
  <c r="AA2164" i="39"/>
  <c r="AC2164" i="39" s="1"/>
  <c r="Z2164" i="39"/>
  <c r="Y2164" i="39"/>
  <c r="AB2163" i="39"/>
  <c r="AA2163" i="39"/>
  <c r="AC2163" i="39" s="1"/>
  <c r="Z2163" i="39"/>
  <c r="Y2163" i="39"/>
  <c r="AB2162" i="39"/>
  <c r="AA2162" i="39"/>
  <c r="AC2162" i="39" s="1"/>
  <c r="Z2162" i="39"/>
  <c r="Y2162" i="39"/>
  <c r="AB2161" i="39"/>
  <c r="AA2161" i="39"/>
  <c r="AC2161" i="39" s="1"/>
  <c r="Z2161" i="39"/>
  <c r="Y2161" i="39"/>
  <c r="AB2160" i="39"/>
  <c r="AA2160" i="39"/>
  <c r="AC2160" i="39" s="1"/>
  <c r="Z2160" i="39"/>
  <c r="Y2160" i="39"/>
  <c r="AB2159" i="39"/>
  <c r="AA2159" i="39"/>
  <c r="AC2159" i="39" s="1"/>
  <c r="Z2159" i="39"/>
  <c r="Y2159" i="39"/>
  <c r="AB2158" i="39"/>
  <c r="AA2158" i="39"/>
  <c r="AC2158" i="39" s="1"/>
  <c r="Z2158" i="39"/>
  <c r="Y2158" i="39"/>
  <c r="AB2157" i="39"/>
  <c r="AA2157" i="39"/>
  <c r="AC2157" i="39" s="1"/>
  <c r="Z2157" i="39"/>
  <c r="Y2157" i="39"/>
  <c r="AB2156" i="39"/>
  <c r="AA2156" i="39"/>
  <c r="AC2156" i="39" s="1"/>
  <c r="Z2156" i="39"/>
  <c r="Y2156" i="39"/>
  <c r="AB2155" i="39"/>
  <c r="AA2155" i="39"/>
  <c r="AC2155" i="39" s="1"/>
  <c r="Z2155" i="39"/>
  <c r="Y2155" i="39"/>
  <c r="AB2154" i="39"/>
  <c r="AA2154" i="39"/>
  <c r="AC2154" i="39" s="1"/>
  <c r="Z2154" i="39"/>
  <c r="Y2154" i="39"/>
  <c r="AB2153" i="39"/>
  <c r="AA2153" i="39"/>
  <c r="AC2153" i="39" s="1"/>
  <c r="Z2153" i="39"/>
  <c r="Y2153" i="39"/>
  <c r="AB2152" i="39"/>
  <c r="AA2152" i="39"/>
  <c r="AC2152" i="39" s="1"/>
  <c r="Z2152" i="39"/>
  <c r="Y2152" i="39"/>
  <c r="AB2151" i="39"/>
  <c r="AA2151" i="39"/>
  <c r="AC2151" i="39" s="1"/>
  <c r="Z2151" i="39"/>
  <c r="Y2151" i="39"/>
  <c r="AB2150" i="39"/>
  <c r="AA2150" i="39"/>
  <c r="AC2150" i="39" s="1"/>
  <c r="Z2150" i="39"/>
  <c r="Y2150" i="39"/>
  <c r="AB2149" i="39"/>
  <c r="AA2149" i="39"/>
  <c r="AC2149" i="39" s="1"/>
  <c r="Z2149" i="39"/>
  <c r="Y2149" i="39"/>
  <c r="AB2148" i="39"/>
  <c r="AA2148" i="39"/>
  <c r="AC2148" i="39" s="1"/>
  <c r="Z2148" i="39"/>
  <c r="Y2148" i="39"/>
  <c r="AB2147" i="39"/>
  <c r="AA2147" i="39"/>
  <c r="AC2147" i="39" s="1"/>
  <c r="Z2147" i="39"/>
  <c r="Y2147" i="39"/>
  <c r="AB2146" i="39"/>
  <c r="AA2146" i="39"/>
  <c r="AC2146" i="39" s="1"/>
  <c r="Z2146" i="39"/>
  <c r="Y2146" i="39"/>
  <c r="AB2145" i="39"/>
  <c r="AA2145" i="39"/>
  <c r="AC2145" i="39" s="1"/>
  <c r="Z2145" i="39"/>
  <c r="Y2145" i="39"/>
  <c r="AB2144" i="39"/>
  <c r="AA2144" i="39"/>
  <c r="AC2144" i="39" s="1"/>
  <c r="Z2144" i="39"/>
  <c r="Y2144" i="39"/>
  <c r="AB2143" i="39"/>
  <c r="AA2143" i="39"/>
  <c r="AC2143" i="39" s="1"/>
  <c r="Z2143" i="39"/>
  <c r="Y2143" i="39"/>
  <c r="AB2142" i="39"/>
  <c r="AA2142" i="39"/>
  <c r="AC2142" i="39" s="1"/>
  <c r="Z2142" i="39"/>
  <c r="Y2142" i="39"/>
  <c r="AB2141" i="39"/>
  <c r="AA2141" i="39"/>
  <c r="AC2141" i="39" s="1"/>
  <c r="Z2141" i="39"/>
  <c r="Y2141" i="39"/>
  <c r="AB2140" i="39"/>
  <c r="AA2140" i="39"/>
  <c r="AC2140" i="39" s="1"/>
  <c r="Z2140" i="39"/>
  <c r="Y2140" i="39"/>
  <c r="AB2139" i="39"/>
  <c r="AA2139" i="39"/>
  <c r="AC2139" i="39" s="1"/>
  <c r="Z2139" i="39"/>
  <c r="Y2139" i="39"/>
  <c r="AB2138" i="39"/>
  <c r="AA2138" i="39"/>
  <c r="AC2138" i="39" s="1"/>
  <c r="Z2138" i="39"/>
  <c r="Y2138" i="39"/>
  <c r="AB2137" i="39"/>
  <c r="AA2137" i="39"/>
  <c r="AC2137" i="39" s="1"/>
  <c r="Z2137" i="39"/>
  <c r="Y2137" i="39"/>
  <c r="AB2136" i="39"/>
  <c r="AA2136" i="39"/>
  <c r="AC2136" i="39" s="1"/>
  <c r="Z2136" i="39"/>
  <c r="Y2136" i="39"/>
  <c r="AB2135" i="39"/>
  <c r="AA2135" i="39"/>
  <c r="AC2135" i="39" s="1"/>
  <c r="Z2135" i="39"/>
  <c r="Y2135" i="39"/>
  <c r="AB2134" i="39"/>
  <c r="AA2134" i="39"/>
  <c r="AC2134" i="39" s="1"/>
  <c r="Z2134" i="39"/>
  <c r="Y2134" i="39"/>
  <c r="AB2133" i="39"/>
  <c r="AA2133" i="39"/>
  <c r="AC2133" i="39" s="1"/>
  <c r="Z2133" i="39"/>
  <c r="Y2133" i="39"/>
  <c r="AB2132" i="39"/>
  <c r="AA2132" i="39"/>
  <c r="AC2132" i="39" s="1"/>
  <c r="Z2132" i="39"/>
  <c r="Y2132" i="39"/>
  <c r="AB2131" i="39"/>
  <c r="AA2131" i="39"/>
  <c r="AC2131" i="39" s="1"/>
  <c r="Z2131" i="39"/>
  <c r="Y2131" i="39"/>
  <c r="AB2130" i="39"/>
  <c r="AA2130" i="39"/>
  <c r="AC2130" i="39" s="1"/>
  <c r="Z2130" i="39"/>
  <c r="Y2130" i="39"/>
  <c r="AB2129" i="39"/>
  <c r="AA2129" i="39"/>
  <c r="AC2129" i="39" s="1"/>
  <c r="Z2129" i="39"/>
  <c r="Y2129" i="39"/>
  <c r="AB2128" i="39"/>
  <c r="AA2128" i="39"/>
  <c r="AC2128" i="39" s="1"/>
  <c r="Z2128" i="39"/>
  <c r="Y2128" i="39"/>
  <c r="AB2127" i="39"/>
  <c r="AA2127" i="39"/>
  <c r="AC2127" i="39" s="1"/>
  <c r="Z2127" i="39"/>
  <c r="Y2127" i="39"/>
  <c r="AB2126" i="39"/>
  <c r="AA2126" i="39"/>
  <c r="AC2126" i="39" s="1"/>
  <c r="Z2126" i="39"/>
  <c r="Y2126" i="39"/>
  <c r="AB2125" i="39"/>
  <c r="AA2125" i="39"/>
  <c r="AC2125" i="39" s="1"/>
  <c r="Z2125" i="39"/>
  <c r="Y2125" i="39"/>
  <c r="AB2124" i="39"/>
  <c r="AA2124" i="39"/>
  <c r="AC2124" i="39" s="1"/>
  <c r="Z2124" i="39"/>
  <c r="Y2124" i="39"/>
  <c r="AB2123" i="39"/>
  <c r="AA2123" i="39"/>
  <c r="AC2123" i="39" s="1"/>
  <c r="Z2123" i="39"/>
  <c r="Y2123" i="39"/>
  <c r="AB2122" i="39"/>
  <c r="AA2122" i="39"/>
  <c r="AC2122" i="39" s="1"/>
  <c r="Z2122" i="39"/>
  <c r="Y2122" i="39"/>
  <c r="AB2121" i="39"/>
  <c r="AA2121" i="39"/>
  <c r="AC2121" i="39" s="1"/>
  <c r="Z2121" i="39"/>
  <c r="Y2121" i="39"/>
  <c r="AB2120" i="39"/>
  <c r="AA2120" i="39"/>
  <c r="AC2120" i="39" s="1"/>
  <c r="Z2120" i="39"/>
  <c r="Y2120" i="39"/>
  <c r="AB2119" i="39"/>
  <c r="AA2119" i="39"/>
  <c r="AC2119" i="39" s="1"/>
  <c r="Z2119" i="39"/>
  <c r="Y2119" i="39"/>
  <c r="AB2118" i="39"/>
  <c r="AA2118" i="39"/>
  <c r="AC2118" i="39" s="1"/>
  <c r="Z2118" i="39"/>
  <c r="Y2118" i="39"/>
  <c r="AB2117" i="39"/>
  <c r="AA2117" i="39"/>
  <c r="AC2117" i="39" s="1"/>
  <c r="Z2117" i="39"/>
  <c r="Y2117" i="39"/>
  <c r="AB2116" i="39"/>
  <c r="AA2116" i="39"/>
  <c r="AC2116" i="39" s="1"/>
  <c r="Z2116" i="39"/>
  <c r="Y2116" i="39"/>
  <c r="AB2115" i="39"/>
  <c r="AA2115" i="39"/>
  <c r="AC2115" i="39" s="1"/>
  <c r="Z2115" i="39"/>
  <c r="Y2115" i="39"/>
  <c r="AB2114" i="39"/>
  <c r="AA2114" i="39"/>
  <c r="AC2114" i="39" s="1"/>
  <c r="Z2114" i="39"/>
  <c r="Y2114" i="39"/>
  <c r="AB2113" i="39"/>
  <c r="AA2113" i="39"/>
  <c r="AC2113" i="39" s="1"/>
  <c r="Z2113" i="39"/>
  <c r="Y2113" i="39"/>
  <c r="AB2112" i="39"/>
  <c r="AA2112" i="39"/>
  <c r="AC2112" i="39" s="1"/>
  <c r="Z2112" i="39"/>
  <c r="Y2112" i="39"/>
  <c r="AB2111" i="39"/>
  <c r="AA2111" i="39"/>
  <c r="AC2111" i="39" s="1"/>
  <c r="Z2111" i="39"/>
  <c r="Y2111" i="39"/>
  <c r="AB2110" i="39"/>
  <c r="AA2110" i="39"/>
  <c r="AC2110" i="39" s="1"/>
  <c r="Z2110" i="39"/>
  <c r="Y2110" i="39"/>
  <c r="AB2109" i="39"/>
  <c r="AA2109" i="39"/>
  <c r="AC2109" i="39" s="1"/>
  <c r="Z2109" i="39"/>
  <c r="Y2109" i="39"/>
  <c r="AB2108" i="39"/>
  <c r="AA2108" i="39"/>
  <c r="AC2108" i="39" s="1"/>
  <c r="Z2108" i="39"/>
  <c r="Y2108" i="39"/>
  <c r="AB2107" i="39"/>
  <c r="AA2107" i="39"/>
  <c r="AC2107" i="39" s="1"/>
  <c r="Z2107" i="39"/>
  <c r="Y2107" i="39"/>
  <c r="AB2106" i="39"/>
  <c r="AA2106" i="39"/>
  <c r="AC2106" i="39" s="1"/>
  <c r="Z2106" i="39"/>
  <c r="Y2106" i="39"/>
  <c r="AB2105" i="39"/>
  <c r="AA2105" i="39"/>
  <c r="AC2105" i="39" s="1"/>
  <c r="Z2105" i="39"/>
  <c r="Y2105" i="39"/>
  <c r="AB2104" i="39"/>
  <c r="AA2104" i="39"/>
  <c r="AC2104" i="39" s="1"/>
  <c r="Z2104" i="39"/>
  <c r="Y2104" i="39"/>
  <c r="AB2103" i="39"/>
  <c r="AA2103" i="39"/>
  <c r="AC2103" i="39" s="1"/>
  <c r="Z2103" i="39"/>
  <c r="Y2103" i="39"/>
  <c r="AB2102" i="39"/>
  <c r="AA2102" i="39"/>
  <c r="AC2102" i="39" s="1"/>
  <c r="Z2102" i="39"/>
  <c r="Y2102" i="39"/>
  <c r="AB2101" i="39"/>
  <c r="AA2101" i="39"/>
  <c r="AC2101" i="39" s="1"/>
  <c r="Z2101" i="39"/>
  <c r="Y2101" i="39"/>
  <c r="AB2100" i="39"/>
  <c r="AA2100" i="39"/>
  <c r="AC2100" i="39" s="1"/>
  <c r="Z2100" i="39"/>
  <c r="Y2100" i="39"/>
  <c r="AB2099" i="39"/>
  <c r="AA2099" i="39"/>
  <c r="AC2099" i="39" s="1"/>
  <c r="Z2099" i="39"/>
  <c r="Y2099" i="39"/>
  <c r="AB2098" i="39"/>
  <c r="AA2098" i="39"/>
  <c r="AC2098" i="39" s="1"/>
  <c r="Z2098" i="39"/>
  <c r="Y2098" i="39"/>
  <c r="AB2097" i="39"/>
  <c r="AA2097" i="39"/>
  <c r="AC2097" i="39" s="1"/>
  <c r="Z2097" i="39"/>
  <c r="Y2097" i="39"/>
  <c r="AB2096" i="39"/>
  <c r="AA2096" i="39"/>
  <c r="AC2096" i="39" s="1"/>
  <c r="Z2096" i="39"/>
  <c r="Y2096" i="39"/>
  <c r="AB2095" i="39"/>
  <c r="AA2095" i="39"/>
  <c r="AC2095" i="39" s="1"/>
  <c r="Z2095" i="39"/>
  <c r="Y2095" i="39"/>
  <c r="AB2094" i="39"/>
  <c r="AA2094" i="39"/>
  <c r="AC2094" i="39" s="1"/>
  <c r="Z2094" i="39"/>
  <c r="Y2094" i="39"/>
  <c r="AB2093" i="39"/>
  <c r="AA2093" i="39"/>
  <c r="AC2093" i="39" s="1"/>
  <c r="Z2093" i="39"/>
  <c r="Y2093" i="39"/>
  <c r="AB2092" i="39"/>
  <c r="AA2092" i="39"/>
  <c r="AC2092" i="39" s="1"/>
  <c r="Z2092" i="39"/>
  <c r="Y2092" i="39"/>
  <c r="AB2091" i="39"/>
  <c r="AA2091" i="39"/>
  <c r="AC2091" i="39" s="1"/>
  <c r="Z2091" i="39"/>
  <c r="Y2091" i="39"/>
  <c r="AB2090" i="39"/>
  <c r="AA2090" i="39"/>
  <c r="AC2090" i="39" s="1"/>
  <c r="Z2090" i="39"/>
  <c r="Y2090" i="39"/>
  <c r="AB2089" i="39"/>
  <c r="AA2089" i="39"/>
  <c r="AC2089" i="39" s="1"/>
  <c r="Z2089" i="39"/>
  <c r="Y2089" i="39"/>
  <c r="AB2088" i="39"/>
  <c r="AA2088" i="39"/>
  <c r="AC2088" i="39" s="1"/>
  <c r="Z2088" i="39"/>
  <c r="Y2088" i="39"/>
  <c r="AB2087" i="39"/>
  <c r="AA2087" i="39"/>
  <c r="AC2087" i="39" s="1"/>
  <c r="Z2087" i="39"/>
  <c r="Y2087" i="39"/>
  <c r="AB2086" i="39"/>
  <c r="AA2086" i="39"/>
  <c r="AC2086" i="39" s="1"/>
  <c r="Z2086" i="39"/>
  <c r="Y2086" i="39"/>
  <c r="AB2085" i="39"/>
  <c r="AA2085" i="39"/>
  <c r="AC2085" i="39" s="1"/>
  <c r="Z2085" i="39"/>
  <c r="Y2085" i="39"/>
  <c r="AB2084" i="39"/>
  <c r="AA2084" i="39"/>
  <c r="AC2084" i="39" s="1"/>
  <c r="Z2084" i="39"/>
  <c r="Y2084" i="39"/>
  <c r="AB2083" i="39"/>
  <c r="AA2083" i="39"/>
  <c r="AC2083" i="39" s="1"/>
  <c r="Z2083" i="39"/>
  <c r="Y2083" i="39"/>
  <c r="AB2082" i="39"/>
  <c r="AA2082" i="39"/>
  <c r="AC2082" i="39" s="1"/>
  <c r="Z2082" i="39"/>
  <c r="Y2082" i="39"/>
  <c r="AB2081" i="39"/>
  <c r="AA2081" i="39"/>
  <c r="AC2081" i="39" s="1"/>
  <c r="Z2081" i="39"/>
  <c r="Y2081" i="39"/>
  <c r="AB2080" i="39"/>
  <c r="AA2080" i="39"/>
  <c r="AC2080" i="39" s="1"/>
  <c r="Z2080" i="39"/>
  <c r="Y2080" i="39"/>
  <c r="AB2079" i="39"/>
  <c r="AA2079" i="39"/>
  <c r="AC2079" i="39" s="1"/>
  <c r="Z2079" i="39"/>
  <c r="Y2079" i="39"/>
  <c r="AB2078" i="39"/>
  <c r="AA2078" i="39"/>
  <c r="AC2078" i="39" s="1"/>
  <c r="Z2078" i="39"/>
  <c r="Y2078" i="39"/>
  <c r="AB2077" i="39"/>
  <c r="AA2077" i="39"/>
  <c r="AC2077" i="39" s="1"/>
  <c r="Z2077" i="39"/>
  <c r="Y2077" i="39"/>
  <c r="AB2076" i="39"/>
  <c r="AA2076" i="39"/>
  <c r="AC2076" i="39" s="1"/>
  <c r="Z2076" i="39"/>
  <c r="Y2076" i="39"/>
  <c r="AB2075" i="39"/>
  <c r="AA2075" i="39"/>
  <c r="AC2075" i="39" s="1"/>
  <c r="Z2075" i="39"/>
  <c r="Y2075" i="39"/>
  <c r="AB2074" i="39"/>
  <c r="AA2074" i="39"/>
  <c r="AC2074" i="39" s="1"/>
  <c r="Z2074" i="39"/>
  <c r="Y2074" i="39"/>
  <c r="AB2073" i="39"/>
  <c r="AA2073" i="39"/>
  <c r="AC2073" i="39" s="1"/>
  <c r="Z2073" i="39"/>
  <c r="Y2073" i="39"/>
  <c r="AB2072" i="39"/>
  <c r="AA2072" i="39"/>
  <c r="AC2072" i="39" s="1"/>
  <c r="Z2072" i="39"/>
  <c r="Y2072" i="39"/>
  <c r="AB2071" i="39"/>
  <c r="AA2071" i="39"/>
  <c r="AC2071" i="39" s="1"/>
  <c r="Z2071" i="39"/>
  <c r="Y2071" i="39"/>
  <c r="AB2070" i="39"/>
  <c r="AA2070" i="39"/>
  <c r="AC2070" i="39" s="1"/>
  <c r="Z2070" i="39"/>
  <c r="Y2070" i="39"/>
  <c r="AB2069" i="39"/>
  <c r="AA2069" i="39"/>
  <c r="AC2069" i="39" s="1"/>
  <c r="Z2069" i="39"/>
  <c r="Y2069" i="39"/>
  <c r="AB2068" i="39"/>
  <c r="AA2068" i="39"/>
  <c r="AC2068" i="39" s="1"/>
  <c r="Z2068" i="39"/>
  <c r="Y2068" i="39"/>
  <c r="AB2067" i="39"/>
  <c r="AA2067" i="39"/>
  <c r="AC2067" i="39" s="1"/>
  <c r="Z2067" i="39"/>
  <c r="Y2067" i="39"/>
  <c r="AB2066" i="39"/>
  <c r="AA2066" i="39"/>
  <c r="AC2066" i="39" s="1"/>
  <c r="Z2066" i="39"/>
  <c r="Y2066" i="39"/>
  <c r="AB2065" i="39"/>
  <c r="AA2065" i="39"/>
  <c r="AC2065" i="39" s="1"/>
  <c r="Z2065" i="39"/>
  <c r="Y2065" i="39"/>
  <c r="AB2064" i="39"/>
  <c r="AA2064" i="39"/>
  <c r="AC2064" i="39" s="1"/>
  <c r="Z2064" i="39"/>
  <c r="Y2064" i="39"/>
  <c r="AB2063" i="39"/>
  <c r="AA2063" i="39"/>
  <c r="AC2063" i="39" s="1"/>
  <c r="Z2063" i="39"/>
  <c r="Y2063" i="39"/>
  <c r="AB2062" i="39"/>
  <c r="AA2062" i="39"/>
  <c r="AC2062" i="39" s="1"/>
  <c r="Z2062" i="39"/>
  <c r="Y2062" i="39"/>
  <c r="AB2061" i="39"/>
  <c r="AA2061" i="39"/>
  <c r="AC2061" i="39" s="1"/>
  <c r="Z2061" i="39"/>
  <c r="Y2061" i="39"/>
  <c r="AB2060" i="39"/>
  <c r="AA2060" i="39"/>
  <c r="AC2060" i="39" s="1"/>
  <c r="Z2060" i="39"/>
  <c r="Y2060" i="39"/>
  <c r="AB2059" i="39"/>
  <c r="AA2059" i="39"/>
  <c r="AC2059" i="39" s="1"/>
  <c r="Z2059" i="39"/>
  <c r="Y2059" i="39"/>
  <c r="AB2058" i="39"/>
  <c r="AA2058" i="39"/>
  <c r="AC2058" i="39" s="1"/>
  <c r="Z2058" i="39"/>
  <c r="Y2058" i="39"/>
  <c r="AB2057" i="39"/>
  <c r="AA2057" i="39"/>
  <c r="AC2057" i="39" s="1"/>
  <c r="Z2057" i="39"/>
  <c r="Y2057" i="39"/>
  <c r="AB2056" i="39"/>
  <c r="AA2056" i="39"/>
  <c r="AC2056" i="39" s="1"/>
  <c r="Z2056" i="39"/>
  <c r="Y2056" i="39"/>
  <c r="AB2055" i="39"/>
  <c r="AA2055" i="39"/>
  <c r="AC2055" i="39" s="1"/>
  <c r="Z2055" i="39"/>
  <c r="Y2055" i="39"/>
  <c r="AB2054" i="39"/>
  <c r="AA2054" i="39"/>
  <c r="AC2054" i="39" s="1"/>
  <c r="Z2054" i="39"/>
  <c r="Y2054" i="39"/>
  <c r="AB2053" i="39"/>
  <c r="AA2053" i="39"/>
  <c r="AC2053" i="39" s="1"/>
  <c r="Z2053" i="39"/>
  <c r="Y2053" i="39"/>
  <c r="AB2052" i="39"/>
  <c r="AA2052" i="39"/>
  <c r="AC2052" i="39" s="1"/>
  <c r="Z2052" i="39"/>
  <c r="Y2052" i="39"/>
  <c r="AB2051" i="39"/>
  <c r="AA2051" i="39"/>
  <c r="AC2051" i="39" s="1"/>
  <c r="Z2051" i="39"/>
  <c r="Y2051" i="39"/>
  <c r="AB2050" i="39"/>
  <c r="AA2050" i="39"/>
  <c r="AC2050" i="39" s="1"/>
  <c r="Z2050" i="39"/>
  <c r="Y2050" i="39"/>
  <c r="AB2049" i="39"/>
  <c r="AA2049" i="39"/>
  <c r="AC2049" i="39" s="1"/>
  <c r="Z2049" i="39"/>
  <c r="Y2049" i="39"/>
  <c r="AB2048" i="39"/>
  <c r="AA2048" i="39"/>
  <c r="AC2048" i="39" s="1"/>
  <c r="Z2048" i="39"/>
  <c r="Y2048" i="39"/>
  <c r="AB2047" i="39"/>
  <c r="AA2047" i="39"/>
  <c r="AC2047" i="39" s="1"/>
  <c r="Z2047" i="39"/>
  <c r="Y2047" i="39"/>
  <c r="AB2046" i="39"/>
  <c r="AA2046" i="39"/>
  <c r="AC2046" i="39" s="1"/>
  <c r="Z2046" i="39"/>
  <c r="Y2046" i="39"/>
  <c r="AB2045" i="39"/>
  <c r="AA2045" i="39"/>
  <c r="AC2045" i="39" s="1"/>
  <c r="Z2045" i="39"/>
  <c r="Y2045" i="39"/>
  <c r="AB2044" i="39"/>
  <c r="AA2044" i="39"/>
  <c r="AC2044" i="39" s="1"/>
  <c r="Z2044" i="39"/>
  <c r="Y2044" i="39"/>
  <c r="AB2043" i="39"/>
  <c r="AA2043" i="39"/>
  <c r="AC2043" i="39" s="1"/>
  <c r="Z2043" i="39"/>
  <c r="Y2043" i="39"/>
  <c r="AB2042" i="39"/>
  <c r="AA2042" i="39"/>
  <c r="AC2042" i="39" s="1"/>
  <c r="Z2042" i="39"/>
  <c r="Y2042" i="39"/>
  <c r="AB2041" i="39"/>
  <c r="AA2041" i="39"/>
  <c r="AC2041" i="39" s="1"/>
  <c r="Z2041" i="39"/>
  <c r="Y2041" i="39"/>
  <c r="AB2040" i="39"/>
  <c r="AA2040" i="39"/>
  <c r="AC2040" i="39" s="1"/>
  <c r="Z2040" i="39"/>
  <c r="Y2040" i="39"/>
  <c r="AB2039" i="39"/>
  <c r="AA2039" i="39"/>
  <c r="AC2039" i="39" s="1"/>
  <c r="Z2039" i="39"/>
  <c r="Y2039" i="39"/>
  <c r="AB2038" i="39"/>
  <c r="AA2038" i="39"/>
  <c r="AC2038" i="39" s="1"/>
  <c r="Z2038" i="39"/>
  <c r="Y2038" i="39"/>
  <c r="AB2037" i="39"/>
  <c r="AA2037" i="39"/>
  <c r="AC2037" i="39" s="1"/>
  <c r="Z2037" i="39"/>
  <c r="Y2037" i="39"/>
  <c r="AB2036" i="39"/>
  <c r="AA2036" i="39"/>
  <c r="AC2036" i="39" s="1"/>
  <c r="Z2036" i="39"/>
  <c r="Y2036" i="39"/>
  <c r="AB2035" i="39"/>
  <c r="AA2035" i="39"/>
  <c r="AC2035" i="39" s="1"/>
  <c r="Z2035" i="39"/>
  <c r="Y2035" i="39"/>
  <c r="AB2034" i="39"/>
  <c r="AA2034" i="39"/>
  <c r="AC2034" i="39" s="1"/>
  <c r="Z2034" i="39"/>
  <c r="Y2034" i="39"/>
  <c r="AB2033" i="39"/>
  <c r="AA2033" i="39"/>
  <c r="AC2033" i="39" s="1"/>
  <c r="Z2033" i="39"/>
  <c r="Y2033" i="39"/>
  <c r="AB2032" i="39"/>
  <c r="AA2032" i="39"/>
  <c r="AC2032" i="39" s="1"/>
  <c r="Z2032" i="39"/>
  <c r="Y2032" i="39"/>
  <c r="AB2031" i="39"/>
  <c r="AA2031" i="39"/>
  <c r="AC2031" i="39" s="1"/>
  <c r="Z2031" i="39"/>
  <c r="Y2031" i="39"/>
  <c r="AB2030" i="39"/>
  <c r="AA2030" i="39"/>
  <c r="AC2030" i="39" s="1"/>
  <c r="Z2030" i="39"/>
  <c r="Y2030" i="39"/>
  <c r="AB2029" i="39"/>
  <c r="AA2029" i="39"/>
  <c r="AC2029" i="39" s="1"/>
  <c r="Z2029" i="39"/>
  <c r="Y2029" i="39"/>
  <c r="AB2028" i="39"/>
  <c r="AA2028" i="39"/>
  <c r="AC2028" i="39" s="1"/>
  <c r="Z2028" i="39"/>
  <c r="Y2028" i="39"/>
  <c r="AB2027" i="39"/>
  <c r="AA2027" i="39"/>
  <c r="AC2027" i="39" s="1"/>
  <c r="Z2027" i="39"/>
  <c r="Y2027" i="39"/>
  <c r="AB2026" i="39"/>
  <c r="AA2026" i="39"/>
  <c r="AC2026" i="39" s="1"/>
  <c r="Z2026" i="39"/>
  <c r="Y2026" i="39"/>
  <c r="AB2025" i="39"/>
  <c r="AA2025" i="39"/>
  <c r="AC2025" i="39" s="1"/>
  <c r="Z2025" i="39"/>
  <c r="Y2025" i="39"/>
  <c r="AB2024" i="39"/>
  <c r="AA2024" i="39"/>
  <c r="AC2024" i="39" s="1"/>
  <c r="Z2024" i="39"/>
  <c r="Y2024" i="39"/>
  <c r="AB2023" i="39"/>
  <c r="AA2023" i="39"/>
  <c r="AC2023" i="39" s="1"/>
  <c r="Z2023" i="39"/>
  <c r="Y2023" i="39"/>
  <c r="AB2022" i="39"/>
  <c r="AA2022" i="39"/>
  <c r="AC2022" i="39" s="1"/>
  <c r="Z2022" i="39"/>
  <c r="Y2022" i="39"/>
  <c r="AB2021" i="39"/>
  <c r="AA2021" i="39"/>
  <c r="AC2021" i="39" s="1"/>
  <c r="Z2021" i="39"/>
  <c r="Y2021" i="39"/>
  <c r="AB2020" i="39"/>
  <c r="AA2020" i="39"/>
  <c r="AC2020" i="39" s="1"/>
  <c r="Z2020" i="39"/>
  <c r="Y2020" i="39"/>
  <c r="AB2019" i="39"/>
  <c r="AA2019" i="39"/>
  <c r="AC2019" i="39" s="1"/>
  <c r="Z2019" i="39"/>
  <c r="Y2019" i="39"/>
  <c r="AB2018" i="39"/>
  <c r="AA2018" i="39"/>
  <c r="AC2018" i="39" s="1"/>
  <c r="Z2018" i="39"/>
  <c r="Y2018" i="39"/>
  <c r="AB2017" i="39"/>
  <c r="AA2017" i="39"/>
  <c r="AC2017" i="39" s="1"/>
  <c r="Z2017" i="39"/>
  <c r="Y2017" i="39"/>
  <c r="AB2016" i="39"/>
  <c r="AA2016" i="39"/>
  <c r="AC2016" i="39" s="1"/>
  <c r="Z2016" i="39"/>
  <c r="Y2016" i="39"/>
  <c r="AB2015" i="39"/>
  <c r="AA2015" i="39"/>
  <c r="AC2015" i="39" s="1"/>
  <c r="Z2015" i="39"/>
  <c r="Y2015" i="39"/>
  <c r="AB2014" i="39"/>
  <c r="AA2014" i="39"/>
  <c r="AC2014" i="39" s="1"/>
  <c r="Z2014" i="39"/>
  <c r="Y2014" i="39"/>
  <c r="AB2013" i="39"/>
  <c r="AA2013" i="39"/>
  <c r="AC2013" i="39" s="1"/>
  <c r="Z2013" i="39"/>
  <c r="Y2013" i="39"/>
  <c r="AB2012" i="39"/>
  <c r="AA2012" i="39"/>
  <c r="AC2012" i="39" s="1"/>
  <c r="Z2012" i="39"/>
  <c r="Y2012" i="39"/>
  <c r="AB2011" i="39"/>
  <c r="AA2011" i="39"/>
  <c r="AC2011" i="39" s="1"/>
  <c r="Z2011" i="39"/>
  <c r="Y2011" i="39"/>
  <c r="AB2010" i="39"/>
  <c r="AA2010" i="39"/>
  <c r="AC2010" i="39" s="1"/>
  <c r="Z2010" i="39"/>
  <c r="Y2010" i="39"/>
  <c r="AB2009" i="39"/>
  <c r="AA2009" i="39"/>
  <c r="AC2009" i="39" s="1"/>
  <c r="Z2009" i="39"/>
  <c r="Y2009" i="39"/>
  <c r="AB2008" i="39"/>
  <c r="AA2008" i="39"/>
  <c r="AC2008" i="39" s="1"/>
  <c r="Z2008" i="39"/>
  <c r="Y2008" i="39"/>
  <c r="AB2007" i="39"/>
  <c r="AA2007" i="39"/>
  <c r="AC2007" i="39" s="1"/>
  <c r="Z2007" i="39"/>
  <c r="Y2007" i="39"/>
  <c r="AB2006" i="39"/>
  <c r="AA2006" i="39"/>
  <c r="AC2006" i="39" s="1"/>
  <c r="Z2006" i="39"/>
  <c r="Y2006" i="39"/>
  <c r="AB2005" i="39"/>
  <c r="AA2005" i="39"/>
  <c r="AC2005" i="39" s="1"/>
  <c r="Z2005" i="39"/>
  <c r="Y2005" i="39"/>
  <c r="AB2004" i="39"/>
  <c r="AA2004" i="39"/>
  <c r="AC2004" i="39" s="1"/>
  <c r="Z2004" i="39"/>
  <c r="Y2004" i="39"/>
  <c r="AB2003" i="39"/>
  <c r="AA2003" i="39"/>
  <c r="AC2003" i="39" s="1"/>
  <c r="Z2003" i="39"/>
  <c r="Y2003" i="39"/>
  <c r="AB2002" i="39"/>
  <c r="AA2002" i="39"/>
  <c r="AC2002" i="39" s="1"/>
  <c r="Z2002" i="39"/>
  <c r="Y2002" i="39"/>
  <c r="AB2001" i="39"/>
  <c r="AA2001" i="39"/>
  <c r="AC2001" i="39" s="1"/>
  <c r="Z2001" i="39"/>
  <c r="Y2001" i="39"/>
  <c r="AB2000" i="39"/>
  <c r="AA2000" i="39"/>
  <c r="AC2000" i="39" s="1"/>
  <c r="Z2000" i="39"/>
  <c r="Y2000" i="39"/>
  <c r="AB1999" i="39"/>
  <c r="AA1999" i="39"/>
  <c r="AC1999" i="39" s="1"/>
  <c r="Z1999" i="39"/>
  <c r="Y1999" i="39"/>
  <c r="AB1998" i="39"/>
  <c r="AA1998" i="39"/>
  <c r="AC1998" i="39" s="1"/>
  <c r="Z1998" i="39"/>
  <c r="Y1998" i="39"/>
  <c r="AB1997" i="39"/>
  <c r="AA1997" i="39"/>
  <c r="AC1997" i="39" s="1"/>
  <c r="Z1997" i="39"/>
  <c r="Y1997" i="39"/>
  <c r="AB1996" i="39"/>
  <c r="AA1996" i="39"/>
  <c r="AC1996" i="39" s="1"/>
  <c r="Z1996" i="39"/>
  <c r="Y1996" i="39"/>
  <c r="AB1995" i="39"/>
  <c r="AA1995" i="39"/>
  <c r="AC1995" i="39" s="1"/>
  <c r="Z1995" i="39"/>
  <c r="Y1995" i="39"/>
  <c r="AB1994" i="39"/>
  <c r="AA1994" i="39"/>
  <c r="AC1994" i="39" s="1"/>
  <c r="Z1994" i="39"/>
  <c r="Y1994" i="39"/>
  <c r="AB1993" i="39"/>
  <c r="AA1993" i="39"/>
  <c r="AC1993" i="39" s="1"/>
  <c r="Z1993" i="39"/>
  <c r="Y1993" i="39"/>
  <c r="AB1992" i="39"/>
  <c r="AA1992" i="39"/>
  <c r="AC1992" i="39" s="1"/>
  <c r="Z1992" i="39"/>
  <c r="Y1992" i="39"/>
  <c r="AB1991" i="39"/>
  <c r="AA1991" i="39"/>
  <c r="AC1991" i="39" s="1"/>
  <c r="Z1991" i="39"/>
  <c r="Y1991" i="39"/>
  <c r="AB1990" i="39"/>
  <c r="AA1990" i="39"/>
  <c r="AC1990" i="39" s="1"/>
  <c r="Z1990" i="39"/>
  <c r="Y1990" i="39"/>
  <c r="AB1989" i="39"/>
  <c r="AA1989" i="39"/>
  <c r="AC1989" i="39" s="1"/>
  <c r="Z1989" i="39"/>
  <c r="Y1989" i="39"/>
  <c r="AB1988" i="39"/>
  <c r="AA1988" i="39"/>
  <c r="AC1988" i="39" s="1"/>
  <c r="Z1988" i="39"/>
  <c r="Y1988" i="39"/>
  <c r="AB1987" i="39"/>
  <c r="AA1987" i="39"/>
  <c r="AC1987" i="39" s="1"/>
  <c r="Z1987" i="39"/>
  <c r="Y1987" i="39"/>
  <c r="AB1986" i="39"/>
  <c r="AA1986" i="39"/>
  <c r="AC1986" i="39" s="1"/>
  <c r="Z1986" i="39"/>
  <c r="Y1986" i="39"/>
  <c r="AB1985" i="39"/>
  <c r="AA1985" i="39"/>
  <c r="AC1985" i="39" s="1"/>
  <c r="Z1985" i="39"/>
  <c r="Y1985" i="39"/>
  <c r="AB1984" i="39"/>
  <c r="AA1984" i="39"/>
  <c r="AC1984" i="39" s="1"/>
  <c r="Z1984" i="39"/>
  <c r="Y1984" i="39"/>
  <c r="AB1983" i="39"/>
  <c r="AA1983" i="39"/>
  <c r="AC1983" i="39" s="1"/>
  <c r="Z1983" i="39"/>
  <c r="Y1983" i="39"/>
  <c r="AB1982" i="39"/>
  <c r="AA1982" i="39"/>
  <c r="AC1982" i="39" s="1"/>
  <c r="Z1982" i="39"/>
  <c r="Y1982" i="39"/>
  <c r="AB1981" i="39"/>
  <c r="AA1981" i="39"/>
  <c r="AC1981" i="39" s="1"/>
  <c r="Z1981" i="39"/>
  <c r="Y1981" i="39"/>
  <c r="AB1980" i="39"/>
  <c r="AA1980" i="39"/>
  <c r="AC1980" i="39" s="1"/>
  <c r="Z1980" i="39"/>
  <c r="Y1980" i="39"/>
  <c r="AB1979" i="39"/>
  <c r="AA1979" i="39"/>
  <c r="AC1979" i="39" s="1"/>
  <c r="Z1979" i="39"/>
  <c r="Y1979" i="39"/>
  <c r="AB1978" i="39"/>
  <c r="AA1978" i="39"/>
  <c r="AC1978" i="39" s="1"/>
  <c r="Z1978" i="39"/>
  <c r="Y1978" i="39"/>
  <c r="AB1977" i="39"/>
  <c r="AA1977" i="39"/>
  <c r="AC1977" i="39" s="1"/>
  <c r="Z1977" i="39"/>
  <c r="Y1977" i="39"/>
  <c r="AB1976" i="39"/>
  <c r="AA1976" i="39"/>
  <c r="AC1976" i="39" s="1"/>
  <c r="Z1976" i="39"/>
  <c r="Y1976" i="39"/>
  <c r="AB1975" i="39"/>
  <c r="AA1975" i="39"/>
  <c r="AC1975" i="39" s="1"/>
  <c r="Z1975" i="39"/>
  <c r="Y1975" i="39"/>
  <c r="AB1974" i="39"/>
  <c r="AA1974" i="39"/>
  <c r="AC1974" i="39" s="1"/>
  <c r="Z1974" i="39"/>
  <c r="Y1974" i="39"/>
  <c r="AB1973" i="39"/>
  <c r="AA1973" i="39"/>
  <c r="AC1973" i="39" s="1"/>
  <c r="Z1973" i="39"/>
  <c r="Y1973" i="39"/>
  <c r="AB1972" i="39"/>
  <c r="AA1972" i="39"/>
  <c r="AC1972" i="39" s="1"/>
  <c r="Z1972" i="39"/>
  <c r="Y1972" i="39"/>
  <c r="AB1971" i="39"/>
  <c r="AA1971" i="39"/>
  <c r="AC1971" i="39" s="1"/>
  <c r="Z1971" i="39"/>
  <c r="Y1971" i="39"/>
  <c r="AB1970" i="39"/>
  <c r="AA1970" i="39"/>
  <c r="AC1970" i="39" s="1"/>
  <c r="Z1970" i="39"/>
  <c r="Y1970" i="39"/>
  <c r="AB1969" i="39"/>
  <c r="AA1969" i="39"/>
  <c r="AC1969" i="39" s="1"/>
  <c r="Z1969" i="39"/>
  <c r="Y1969" i="39"/>
  <c r="AB1968" i="39"/>
  <c r="AA1968" i="39"/>
  <c r="AC1968" i="39" s="1"/>
  <c r="Z1968" i="39"/>
  <c r="Y1968" i="39"/>
  <c r="AB1967" i="39"/>
  <c r="AA1967" i="39"/>
  <c r="AC1967" i="39" s="1"/>
  <c r="Z1967" i="39"/>
  <c r="Y1967" i="39"/>
  <c r="AB1966" i="39"/>
  <c r="AA1966" i="39"/>
  <c r="AC1966" i="39" s="1"/>
  <c r="Z1966" i="39"/>
  <c r="Y1966" i="39"/>
  <c r="AB1965" i="39"/>
  <c r="AA1965" i="39"/>
  <c r="AC1965" i="39" s="1"/>
  <c r="Z1965" i="39"/>
  <c r="Y1965" i="39"/>
  <c r="AB1964" i="39"/>
  <c r="AA1964" i="39"/>
  <c r="AC1964" i="39" s="1"/>
  <c r="Z1964" i="39"/>
  <c r="Y1964" i="39"/>
  <c r="AB1963" i="39"/>
  <c r="AA1963" i="39"/>
  <c r="AC1963" i="39" s="1"/>
  <c r="Z1963" i="39"/>
  <c r="Y1963" i="39"/>
  <c r="AB1962" i="39"/>
  <c r="AA1962" i="39"/>
  <c r="AC1962" i="39" s="1"/>
  <c r="Z1962" i="39"/>
  <c r="Y1962" i="39"/>
  <c r="AB1961" i="39"/>
  <c r="AA1961" i="39"/>
  <c r="AC1961" i="39" s="1"/>
  <c r="Z1961" i="39"/>
  <c r="Y1961" i="39"/>
  <c r="AB1960" i="39"/>
  <c r="AA1960" i="39"/>
  <c r="AC1960" i="39" s="1"/>
  <c r="Z1960" i="39"/>
  <c r="Y1960" i="39"/>
  <c r="AB1959" i="39"/>
  <c r="AA1959" i="39"/>
  <c r="AC1959" i="39" s="1"/>
  <c r="Z1959" i="39"/>
  <c r="Y1959" i="39"/>
  <c r="AB1958" i="39"/>
  <c r="AA1958" i="39"/>
  <c r="AC1958" i="39" s="1"/>
  <c r="Z1958" i="39"/>
  <c r="Y1958" i="39"/>
  <c r="AB1957" i="39"/>
  <c r="AA1957" i="39"/>
  <c r="AC1957" i="39" s="1"/>
  <c r="Z1957" i="39"/>
  <c r="Y1957" i="39"/>
  <c r="AB1956" i="39"/>
  <c r="AA1956" i="39"/>
  <c r="AC1956" i="39" s="1"/>
  <c r="Z1956" i="39"/>
  <c r="Y1956" i="39"/>
  <c r="AB1955" i="39"/>
  <c r="AA1955" i="39"/>
  <c r="AC1955" i="39" s="1"/>
  <c r="Z1955" i="39"/>
  <c r="Y1955" i="39"/>
  <c r="AB1954" i="39"/>
  <c r="AA1954" i="39"/>
  <c r="AC1954" i="39" s="1"/>
  <c r="Z1954" i="39"/>
  <c r="Y1954" i="39"/>
  <c r="AB1953" i="39"/>
  <c r="AA1953" i="39"/>
  <c r="AC1953" i="39" s="1"/>
  <c r="Z1953" i="39"/>
  <c r="Y1953" i="39"/>
  <c r="AB1952" i="39"/>
  <c r="AA1952" i="39"/>
  <c r="AC1952" i="39" s="1"/>
  <c r="Z1952" i="39"/>
  <c r="Y1952" i="39"/>
  <c r="AB1951" i="39"/>
  <c r="AA1951" i="39"/>
  <c r="AC1951" i="39" s="1"/>
  <c r="Z1951" i="39"/>
  <c r="Y1951" i="39"/>
  <c r="AB1950" i="39"/>
  <c r="AA1950" i="39"/>
  <c r="AC1950" i="39" s="1"/>
  <c r="Z1950" i="39"/>
  <c r="Y1950" i="39"/>
  <c r="AB1949" i="39"/>
  <c r="AA1949" i="39"/>
  <c r="AC1949" i="39" s="1"/>
  <c r="Z1949" i="39"/>
  <c r="Y1949" i="39"/>
  <c r="AB1948" i="39"/>
  <c r="AA1948" i="39"/>
  <c r="AC1948" i="39" s="1"/>
  <c r="Z1948" i="39"/>
  <c r="Y1948" i="39"/>
  <c r="AB1947" i="39"/>
  <c r="AA1947" i="39"/>
  <c r="AC1947" i="39" s="1"/>
  <c r="Z1947" i="39"/>
  <c r="Y1947" i="39"/>
  <c r="AB1946" i="39"/>
  <c r="AA1946" i="39"/>
  <c r="AC1946" i="39" s="1"/>
  <c r="Z1946" i="39"/>
  <c r="Y1946" i="39"/>
  <c r="AB1945" i="39"/>
  <c r="AA1945" i="39"/>
  <c r="AC1945" i="39" s="1"/>
  <c r="Z1945" i="39"/>
  <c r="Y1945" i="39"/>
  <c r="AB1944" i="39"/>
  <c r="AA1944" i="39"/>
  <c r="AC1944" i="39" s="1"/>
  <c r="Z1944" i="39"/>
  <c r="Y1944" i="39"/>
  <c r="AB1943" i="39"/>
  <c r="AA1943" i="39"/>
  <c r="AC1943" i="39" s="1"/>
  <c r="Z1943" i="39"/>
  <c r="Y1943" i="39"/>
  <c r="AB1942" i="39"/>
  <c r="AA1942" i="39"/>
  <c r="AC1942" i="39" s="1"/>
  <c r="Z1942" i="39"/>
  <c r="Y1942" i="39"/>
  <c r="AB1941" i="39"/>
  <c r="AA1941" i="39"/>
  <c r="AC1941" i="39" s="1"/>
  <c r="Z1941" i="39"/>
  <c r="Y1941" i="39"/>
  <c r="AB1940" i="39"/>
  <c r="AA1940" i="39"/>
  <c r="AC1940" i="39" s="1"/>
  <c r="Z1940" i="39"/>
  <c r="Y1940" i="39"/>
  <c r="AB1939" i="39"/>
  <c r="AA1939" i="39"/>
  <c r="AC1939" i="39" s="1"/>
  <c r="Z1939" i="39"/>
  <c r="Y1939" i="39"/>
  <c r="AB1938" i="39"/>
  <c r="AA1938" i="39"/>
  <c r="AC1938" i="39" s="1"/>
  <c r="Z1938" i="39"/>
  <c r="Y1938" i="39"/>
  <c r="AB1937" i="39"/>
  <c r="AA1937" i="39"/>
  <c r="AC1937" i="39" s="1"/>
  <c r="Z1937" i="39"/>
  <c r="Y1937" i="39"/>
  <c r="AB1936" i="39"/>
  <c r="AA1936" i="39"/>
  <c r="AC1936" i="39" s="1"/>
  <c r="Z1936" i="39"/>
  <c r="Y1936" i="39"/>
  <c r="AB1935" i="39"/>
  <c r="AA1935" i="39"/>
  <c r="AC1935" i="39" s="1"/>
  <c r="Z1935" i="39"/>
  <c r="Y1935" i="39"/>
  <c r="AB1934" i="39"/>
  <c r="AA1934" i="39"/>
  <c r="AC1934" i="39" s="1"/>
  <c r="Z1934" i="39"/>
  <c r="Y1934" i="39"/>
  <c r="AB1933" i="39"/>
  <c r="AA1933" i="39"/>
  <c r="AC1933" i="39" s="1"/>
  <c r="Z1933" i="39"/>
  <c r="Y1933" i="39"/>
  <c r="AB1932" i="39"/>
  <c r="AA1932" i="39"/>
  <c r="AC1932" i="39" s="1"/>
  <c r="Z1932" i="39"/>
  <c r="Y1932" i="39"/>
  <c r="AB1931" i="39"/>
  <c r="AA1931" i="39"/>
  <c r="AC1931" i="39" s="1"/>
  <c r="Z1931" i="39"/>
  <c r="Y1931" i="39"/>
  <c r="AB1930" i="39"/>
  <c r="AA1930" i="39"/>
  <c r="AC1930" i="39" s="1"/>
  <c r="Z1930" i="39"/>
  <c r="Y1930" i="39"/>
  <c r="AB1929" i="39"/>
  <c r="AA1929" i="39"/>
  <c r="AC1929" i="39" s="1"/>
  <c r="Z1929" i="39"/>
  <c r="Y1929" i="39"/>
  <c r="AB1928" i="39"/>
  <c r="AA1928" i="39"/>
  <c r="AC1928" i="39" s="1"/>
  <c r="Z1928" i="39"/>
  <c r="Y1928" i="39"/>
  <c r="AB1927" i="39"/>
  <c r="AA1927" i="39"/>
  <c r="AC1927" i="39" s="1"/>
  <c r="Z1927" i="39"/>
  <c r="Y1927" i="39"/>
  <c r="AB1926" i="39"/>
  <c r="AA1926" i="39"/>
  <c r="AC1926" i="39" s="1"/>
  <c r="Z1926" i="39"/>
  <c r="Y1926" i="39"/>
  <c r="AB1925" i="39"/>
  <c r="AA1925" i="39"/>
  <c r="AC1925" i="39" s="1"/>
  <c r="Z1925" i="39"/>
  <c r="Y1925" i="39"/>
  <c r="AB1924" i="39"/>
  <c r="AA1924" i="39"/>
  <c r="AC1924" i="39" s="1"/>
  <c r="Z1924" i="39"/>
  <c r="Y1924" i="39"/>
  <c r="AB1923" i="39"/>
  <c r="AA1923" i="39"/>
  <c r="AC1923" i="39" s="1"/>
  <c r="Z1923" i="39"/>
  <c r="Y1923" i="39"/>
  <c r="AB1922" i="39"/>
  <c r="AA1922" i="39"/>
  <c r="AC1922" i="39" s="1"/>
  <c r="Z1922" i="39"/>
  <c r="Y1922" i="39"/>
  <c r="AB1921" i="39"/>
  <c r="AA1921" i="39"/>
  <c r="AC1921" i="39" s="1"/>
  <c r="Z1921" i="39"/>
  <c r="Y1921" i="39"/>
  <c r="AB1920" i="39"/>
  <c r="AA1920" i="39"/>
  <c r="AC1920" i="39" s="1"/>
  <c r="Z1920" i="39"/>
  <c r="Y1920" i="39"/>
  <c r="AB1919" i="39"/>
  <c r="AA1919" i="39"/>
  <c r="AC1919" i="39" s="1"/>
  <c r="Z1919" i="39"/>
  <c r="Y1919" i="39"/>
  <c r="AB1918" i="39"/>
  <c r="AA1918" i="39"/>
  <c r="AC1918" i="39" s="1"/>
  <c r="Z1918" i="39"/>
  <c r="Y1918" i="39"/>
  <c r="AB1917" i="39"/>
  <c r="AA1917" i="39"/>
  <c r="AC1917" i="39" s="1"/>
  <c r="Z1917" i="39"/>
  <c r="Y1917" i="39"/>
  <c r="AB1916" i="39"/>
  <c r="AA1916" i="39"/>
  <c r="AC1916" i="39" s="1"/>
  <c r="Z1916" i="39"/>
  <c r="Y1916" i="39"/>
  <c r="AB1915" i="39"/>
  <c r="AA1915" i="39"/>
  <c r="AC1915" i="39" s="1"/>
  <c r="Z1915" i="39"/>
  <c r="Y1915" i="39"/>
  <c r="AB1914" i="39"/>
  <c r="AA1914" i="39"/>
  <c r="AC1914" i="39" s="1"/>
  <c r="Z1914" i="39"/>
  <c r="Y1914" i="39"/>
  <c r="AB1913" i="39"/>
  <c r="AA1913" i="39"/>
  <c r="AC1913" i="39" s="1"/>
  <c r="Z1913" i="39"/>
  <c r="Y1913" i="39"/>
  <c r="AB1912" i="39"/>
  <c r="AA1912" i="39"/>
  <c r="AC1912" i="39" s="1"/>
  <c r="Z1912" i="39"/>
  <c r="Y1912" i="39"/>
  <c r="AB1911" i="39"/>
  <c r="AA1911" i="39"/>
  <c r="AC1911" i="39" s="1"/>
  <c r="Z1911" i="39"/>
  <c r="Y1911" i="39"/>
  <c r="AB1910" i="39"/>
  <c r="AA1910" i="39"/>
  <c r="AC1910" i="39" s="1"/>
  <c r="Z1910" i="39"/>
  <c r="Y1910" i="39"/>
  <c r="AB1909" i="39"/>
  <c r="AA1909" i="39"/>
  <c r="AC1909" i="39" s="1"/>
  <c r="Z1909" i="39"/>
  <c r="Y1909" i="39"/>
  <c r="AB1908" i="39"/>
  <c r="AA1908" i="39"/>
  <c r="AC1908" i="39" s="1"/>
  <c r="Z1908" i="39"/>
  <c r="Y1908" i="39"/>
  <c r="AB1907" i="39"/>
  <c r="AA1907" i="39"/>
  <c r="AC1907" i="39" s="1"/>
  <c r="Z1907" i="39"/>
  <c r="Y1907" i="39"/>
  <c r="AB1906" i="39"/>
  <c r="AA1906" i="39"/>
  <c r="AC1906" i="39" s="1"/>
  <c r="Z1906" i="39"/>
  <c r="Y1906" i="39"/>
  <c r="AB1905" i="39"/>
  <c r="AA1905" i="39"/>
  <c r="AC1905" i="39" s="1"/>
  <c r="Z1905" i="39"/>
  <c r="Y1905" i="39"/>
  <c r="AB1904" i="39"/>
  <c r="AA1904" i="39"/>
  <c r="AC1904" i="39" s="1"/>
  <c r="Z1904" i="39"/>
  <c r="Y1904" i="39"/>
  <c r="AB1903" i="39"/>
  <c r="AA1903" i="39"/>
  <c r="AC1903" i="39" s="1"/>
  <c r="Z1903" i="39"/>
  <c r="Y1903" i="39"/>
  <c r="AB1902" i="39"/>
  <c r="AA1902" i="39"/>
  <c r="AC1902" i="39" s="1"/>
  <c r="Z1902" i="39"/>
  <c r="Y1902" i="39"/>
  <c r="AB1901" i="39"/>
  <c r="AA1901" i="39"/>
  <c r="AC1901" i="39" s="1"/>
  <c r="Z1901" i="39"/>
  <c r="Y1901" i="39"/>
  <c r="AB1900" i="39"/>
  <c r="AA1900" i="39"/>
  <c r="AC1900" i="39" s="1"/>
  <c r="Z1900" i="39"/>
  <c r="Y1900" i="39"/>
  <c r="AB1899" i="39"/>
  <c r="AA1899" i="39"/>
  <c r="AC1899" i="39" s="1"/>
  <c r="Z1899" i="39"/>
  <c r="Y1899" i="39"/>
  <c r="AB1898" i="39"/>
  <c r="AA1898" i="39"/>
  <c r="AC1898" i="39" s="1"/>
  <c r="Z1898" i="39"/>
  <c r="Y1898" i="39"/>
  <c r="AB1897" i="39"/>
  <c r="AA1897" i="39"/>
  <c r="AC1897" i="39" s="1"/>
  <c r="Z1897" i="39"/>
  <c r="Y1897" i="39"/>
  <c r="AB1896" i="39"/>
  <c r="AA1896" i="39"/>
  <c r="AC1896" i="39" s="1"/>
  <c r="Z1896" i="39"/>
  <c r="Y1896" i="39"/>
  <c r="AB1895" i="39"/>
  <c r="AA1895" i="39"/>
  <c r="AC1895" i="39" s="1"/>
  <c r="Z1895" i="39"/>
  <c r="Y1895" i="39"/>
  <c r="AB1894" i="39"/>
  <c r="AA1894" i="39"/>
  <c r="AC1894" i="39" s="1"/>
  <c r="Z1894" i="39"/>
  <c r="Y1894" i="39"/>
  <c r="AB1893" i="39"/>
  <c r="AA1893" i="39"/>
  <c r="AC1893" i="39" s="1"/>
  <c r="Z1893" i="39"/>
  <c r="Y1893" i="39"/>
  <c r="AB1892" i="39"/>
  <c r="AA1892" i="39"/>
  <c r="AC1892" i="39" s="1"/>
  <c r="Z1892" i="39"/>
  <c r="Y1892" i="39"/>
  <c r="AB1891" i="39"/>
  <c r="AA1891" i="39"/>
  <c r="AC1891" i="39" s="1"/>
  <c r="Z1891" i="39"/>
  <c r="Y1891" i="39"/>
  <c r="AB1890" i="39"/>
  <c r="AA1890" i="39"/>
  <c r="AC1890" i="39" s="1"/>
  <c r="Z1890" i="39"/>
  <c r="Y1890" i="39"/>
  <c r="AB1889" i="39"/>
  <c r="AA1889" i="39"/>
  <c r="AC1889" i="39" s="1"/>
  <c r="Z1889" i="39"/>
  <c r="Y1889" i="39"/>
  <c r="AB1888" i="39"/>
  <c r="AA1888" i="39"/>
  <c r="AC1888" i="39" s="1"/>
  <c r="Z1888" i="39"/>
  <c r="Y1888" i="39"/>
  <c r="AB1887" i="39"/>
  <c r="AA1887" i="39"/>
  <c r="AC1887" i="39" s="1"/>
  <c r="Z1887" i="39"/>
  <c r="Y1887" i="39"/>
  <c r="AB1886" i="39"/>
  <c r="AA1886" i="39"/>
  <c r="AC1886" i="39" s="1"/>
  <c r="Z1886" i="39"/>
  <c r="Y1886" i="39"/>
  <c r="AB1885" i="39"/>
  <c r="AA1885" i="39"/>
  <c r="AC1885" i="39" s="1"/>
  <c r="Z1885" i="39"/>
  <c r="Y1885" i="39"/>
  <c r="AB1884" i="39"/>
  <c r="AA1884" i="39"/>
  <c r="AC1884" i="39" s="1"/>
  <c r="Z1884" i="39"/>
  <c r="Y1884" i="39"/>
  <c r="AB1883" i="39"/>
  <c r="AA1883" i="39"/>
  <c r="AC1883" i="39" s="1"/>
  <c r="Z1883" i="39"/>
  <c r="Y1883" i="39"/>
  <c r="AB1882" i="39"/>
  <c r="AA1882" i="39"/>
  <c r="AC1882" i="39" s="1"/>
  <c r="Z1882" i="39"/>
  <c r="Y1882" i="39"/>
  <c r="AB1881" i="39"/>
  <c r="AA1881" i="39"/>
  <c r="AC1881" i="39" s="1"/>
  <c r="Z1881" i="39"/>
  <c r="Y1881" i="39"/>
  <c r="AB1880" i="39"/>
  <c r="AA1880" i="39"/>
  <c r="AC1880" i="39" s="1"/>
  <c r="Z1880" i="39"/>
  <c r="Y1880" i="39"/>
  <c r="AB1879" i="39"/>
  <c r="AA1879" i="39"/>
  <c r="AC1879" i="39" s="1"/>
  <c r="Z1879" i="39"/>
  <c r="Y1879" i="39"/>
  <c r="AB1878" i="39"/>
  <c r="AA1878" i="39"/>
  <c r="AC1878" i="39" s="1"/>
  <c r="Z1878" i="39"/>
  <c r="Y1878" i="39"/>
  <c r="AB1877" i="39"/>
  <c r="AA1877" i="39"/>
  <c r="AC1877" i="39" s="1"/>
  <c r="Z1877" i="39"/>
  <c r="Y1877" i="39"/>
  <c r="AB1876" i="39"/>
  <c r="AA1876" i="39"/>
  <c r="AC1876" i="39" s="1"/>
  <c r="Z1876" i="39"/>
  <c r="Y1876" i="39"/>
  <c r="AB1875" i="39"/>
  <c r="AA1875" i="39"/>
  <c r="AC1875" i="39" s="1"/>
  <c r="Z1875" i="39"/>
  <c r="Y1875" i="39"/>
  <c r="AB1874" i="39"/>
  <c r="AA1874" i="39"/>
  <c r="AC1874" i="39" s="1"/>
  <c r="Z1874" i="39"/>
  <c r="Y1874" i="39"/>
  <c r="AB1873" i="39"/>
  <c r="AA1873" i="39"/>
  <c r="AC1873" i="39" s="1"/>
  <c r="Z1873" i="39"/>
  <c r="Y1873" i="39"/>
  <c r="AB1872" i="39"/>
  <c r="AA1872" i="39"/>
  <c r="AC1872" i="39" s="1"/>
  <c r="Z1872" i="39"/>
  <c r="Y1872" i="39"/>
  <c r="AB1871" i="39"/>
  <c r="AA1871" i="39"/>
  <c r="AC1871" i="39" s="1"/>
  <c r="Z1871" i="39"/>
  <c r="Y1871" i="39"/>
  <c r="AB1870" i="39"/>
  <c r="AA1870" i="39"/>
  <c r="AC1870" i="39" s="1"/>
  <c r="Z1870" i="39"/>
  <c r="Y1870" i="39"/>
  <c r="AB1869" i="39"/>
  <c r="AA1869" i="39"/>
  <c r="AC1869" i="39" s="1"/>
  <c r="Z1869" i="39"/>
  <c r="Y1869" i="39"/>
  <c r="AB1868" i="39"/>
  <c r="AA1868" i="39"/>
  <c r="AC1868" i="39" s="1"/>
  <c r="Z1868" i="39"/>
  <c r="Y1868" i="39"/>
  <c r="AB1867" i="39"/>
  <c r="AA1867" i="39"/>
  <c r="AC1867" i="39" s="1"/>
  <c r="Z1867" i="39"/>
  <c r="Y1867" i="39"/>
  <c r="AB1866" i="39"/>
  <c r="AA1866" i="39"/>
  <c r="AC1866" i="39" s="1"/>
  <c r="Z1866" i="39"/>
  <c r="Y1866" i="39"/>
  <c r="AB1865" i="39"/>
  <c r="AA1865" i="39"/>
  <c r="AC1865" i="39" s="1"/>
  <c r="Z1865" i="39"/>
  <c r="Y1865" i="39"/>
  <c r="AB1864" i="39"/>
  <c r="AA1864" i="39"/>
  <c r="AC1864" i="39" s="1"/>
  <c r="Z1864" i="39"/>
  <c r="Y1864" i="39"/>
  <c r="AB1863" i="39"/>
  <c r="AA1863" i="39"/>
  <c r="AC1863" i="39" s="1"/>
  <c r="Z1863" i="39"/>
  <c r="Y1863" i="39"/>
  <c r="AB1862" i="39"/>
  <c r="AA1862" i="39"/>
  <c r="AC1862" i="39" s="1"/>
  <c r="Z1862" i="39"/>
  <c r="Y1862" i="39"/>
  <c r="AB1861" i="39"/>
  <c r="AA1861" i="39"/>
  <c r="AC1861" i="39" s="1"/>
  <c r="Z1861" i="39"/>
  <c r="Y1861" i="39"/>
  <c r="AB1860" i="39"/>
  <c r="AA1860" i="39"/>
  <c r="AC1860" i="39" s="1"/>
  <c r="Z1860" i="39"/>
  <c r="Y1860" i="39"/>
  <c r="AB1859" i="39"/>
  <c r="AA1859" i="39"/>
  <c r="AC1859" i="39" s="1"/>
  <c r="Z1859" i="39"/>
  <c r="Y1859" i="39"/>
  <c r="AB1858" i="39"/>
  <c r="AA1858" i="39"/>
  <c r="AC1858" i="39" s="1"/>
  <c r="Z1858" i="39"/>
  <c r="Y1858" i="39"/>
  <c r="AB1857" i="39"/>
  <c r="AA1857" i="39"/>
  <c r="AC1857" i="39" s="1"/>
  <c r="Z1857" i="39"/>
  <c r="Y1857" i="39"/>
  <c r="AB1856" i="39"/>
  <c r="AA1856" i="39"/>
  <c r="AC1856" i="39" s="1"/>
  <c r="Z1856" i="39"/>
  <c r="Y1856" i="39"/>
  <c r="AB1855" i="39"/>
  <c r="AA1855" i="39"/>
  <c r="AC1855" i="39" s="1"/>
  <c r="Z1855" i="39"/>
  <c r="Y1855" i="39"/>
  <c r="AB1854" i="39"/>
  <c r="AA1854" i="39"/>
  <c r="AC1854" i="39" s="1"/>
  <c r="Z1854" i="39"/>
  <c r="Y1854" i="39"/>
  <c r="AB1853" i="39"/>
  <c r="AA1853" i="39"/>
  <c r="AC1853" i="39" s="1"/>
  <c r="Z1853" i="39"/>
  <c r="Y1853" i="39"/>
  <c r="AB1852" i="39"/>
  <c r="AA1852" i="39"/>
  <c r="AC1852" i="39" s="1"/>
  <c r="Z1852" i="39"/>
  <c r="Y1852" i="39"/>
  <c r="AB1851" i="39"/>
  <c r="AA1851" i="39"/>
  <c r="AC1851" i="39" s="1"/>
  <c r="Z1851" i="39"/>
  <c r="Y1851" i="39"/>
  <c r="AB1850" i="39"/>
  <c r="AA1850" i="39"/>
  <c r="AC1850" i="39" s="1"/>
  <c r="Z1850" i="39"/>
  <c r="Y1850" i="39"/>
  <c r="AB1849" i="39"/>
  <c r="AA1849" i="39"/>
  <c r="AC1849" i="39" s="1"/>
  <c r="Z1849" i="39"/>
  <c r="Y1849" i="39"/>
  <c r="AB1848" i="39"/>
  <c r="AA1848" i="39"/>
  <c r="AC1848" i="39" s="1"/>
  <c r="Z1848" i="39"/>
  <c r="Y1848" i="39"/>
  <c r="AB1847" i="39"/>
  <c r="AA1847" i="39"/>
  <c r="AC1847" i="39" s="1"/>
  <c r="Z1847" i="39"/>
  <c r="Y1847" i="39"/>
  <c r="AB1846" i="39"/>
  <c r="AA1846" i="39"/>
  <c r="AC1846" i="39" s="1"/>
  <c r="Z1846" i="39"/>
  <c r="Y1846" i="39"/>
  <c r="AB1845" i="39"/>
  <c r="AA1845" i="39"/>
  <c r="AC1845" i="39" s="1"/>
  <c r="Z1845" i="39"/>
  <c r="Y1845" i="39"/>
  <c r="AB1844" i="39"/>
  <c r="AA1844" i="39"/>
  <c r="AC1844" i="39" s="1"/>
  <c r="Z1844" i="39"/>
  <c r="Y1844" i="39"/>
  <c r="AB1843" i="39"/>
  <c r="AA1843" i="39"/>
  <c r="AC1843" i="39" s="1"/>
  <c r="Z1843" i="39"/>
  <c r="Y1843" i="39"/>
  <c r="AB1842" i="39"/>
  <c r="AA1842" i="39"/>
  <c r="AC1842" i="39" s="1"/>
  <c r="Z1842" i="39"/>
  <c r="Y1842" i="39"/>
  <c r="AB1841" i="39"/>
  <c r="AA1841" i="39"/>
  <c r="AC1841" i="39" s="1"/>
  <c r="Z1841" i="39"/>
  <c r="Y1841" i="39"/>
  <c r="AB1840" i="39"/>
  <c r="AA1840" i="39"/>
  <c r="AC1840" i="39" s="1"/>
  <c r="Z1840" i="39"/>
  <c r="Y1840" i="39"/>
  <c r="AB1839" i="39"/>
  <c r="AA1839" i="39"/>
  <c r="AC1839" i="39" s="1"/>
  <c r="Z1839" i="39"/>
  <c r="Y1839" i="39"/>
  <c r="AB1838" i="39"/>
  <c r="AA1838" i="39"/>
  <c r="AC1838" i="39" s="1"/>
  <c r="Z1838" i="39"/>
  <c r="Y1838" i="39"/>
  <c r="AB1837" i="39"/>
  <c r="AA1837" i="39"/>
  <c r="AC1837" i="39" s="1"/>
  <c r="Z1837" i="39"/>
  <c r="Y1837" i="39"/>
  <c r="AB1836" i="39"/>
  <c r="AA1836" i="39"/>
  <c r="AC1836" i="39" s="1"/>
  <c r="Z1836" i="39"/>
  <c r="Y1836" i="39"/>
  <c r="AB1835" i="39"/>
  <c r="AA1835" i="39"/>
  <c r="AC1835" i="39" s="1"/>
  <c r="Z1835" i="39"/>
  <c r="Y1835" i="39"/>
  <c r="AB1834" i="39"/>
  <c r="AA1834" i="39"/>
  <c r="AC1834" i="39" s="1"/>
  <c r="Z1834" i="39"/>
  <c r="Y1834" i="39"/>
  <c r="AB1833" i="39"/>
  <c r="AA1833" i="39"/>
  <c r="AC1833" i="39" s="1"/>
  <c r="Z1833" i="39"/>
  <c r="Y1833" i="39"/>
  <c r="AB1832" i="39"/>
  <c r="AA1832" i="39"/>
  <c r="AC1832" i="39" s="1"/>
  <c r="Z1832" i="39"/>
  <c r="Y1832" i="39"/>
  <c r="AB1831" i="39"/>
  <c r="AA1831" i="39"/>
  <c r="AC1831" i="39" s="1"/>
  <c r="Z1831" i="39"/>
  <c r="Y1831" i="39"/>
  <c r="AB1830" i="39"/>
  <c r="AA1830" i="39"/>
  <c r="AC1830" i="39" s="1"/>
  <c r="Z1830" i="39"/>
  <c r="Y1830" i="39"/>
  <c r="AB1829" i="39"/>
  <c r="AA1829" i="39"/>
  <c r="AC1829" i="39" s="1"/>
  <c r="Z1829" i="39"/>
  <c r="Y1829" i="39"/>
  <c r="AB1828" i="39"/>
  <c r="AA1828" i="39"/>
  <c r="AC1828" i="39" s="1"/>
  <c r="Z1828" i="39"/>
  <c r="Y1828" i="39"/>
  <c r="AB1827" i="39"/>
  <c r="AA1827" i="39"/>
  <c r="AC1827" i="39" s="1"/>
  <c r="Z1827" i="39"/>
  <c r="Y1827" i="39"/>
  <c r="AB1826" i="39"/>
  <c r="AA1826" i="39"/>
  <c r="AC1826" i="39" s="1"/>
  <c r="Z1826" i="39"/>
  <c r="Y1826" i="39"/>
  <c r="AB1825" i="39"/>
  <c r="AA1825" i="39"/>
  <c r="AC1825" i="39" s="1"/>
  <c r="Z1825" i="39"/>
  <c r="Y1825" i="39"/>
  <c r="AB1824" i="39"/>
  <c r="AA1824" i="39"/>
  <c r="AC1824" i="39" s="1"/>
  <c r="Z1824" i="39"/>
  <c r="Y1824" i="39"/>
  <c r="AB1823" i="39"/>
  <c r="AA1823" i="39"/>
  <c r="AC1823" i="39" s="1"/>
  <c r="Z1823" i="39"/>
  <c r="Y1823" i="39"/>
  <c r="AB1822" i="39"/>
  <c r="AA1822" i="39"/>
  <c r="AC1822" i="39" s="1"/>
  <c r="Z1822" i="39"/>
  <c r="Y1822" i="39"/>
  <c r="AB1821" i="39"/>
  <c r="AA1821" i="39"/>
  <c r="AC1821" i="39" s="1"/>
  <c r="Z1821" i="39"/>
  <c r="Y1821" i="39"/>
  <c r="AB1820" i="39"/>
  <c r="AA1820" i="39"/>
  <c r="AC1820" i="39" s="1"/>
  <c r="Z1820" i="39"/>
  <c r="Y1820" i="39"/>
  <c r="AB1819" i="39"/>
  <c r="AA1819" i="39"/>
  <c r="AC1819" i="39" s="1"/>
  <c r="Z1819" i="39"/>
  <c r="Y1819" i="39"/>
  <c r="AB1818" i="39"/>
  <c r="AA1818" i="39"/>
  <c r="AC1818" i="39" s="1"/>
  <c r="Z1818" i="39"/>
  <c r="Y1818" i="39"/>
  <c r="AB1817" i="39"/>
  <c r="AA1817" i="39"/>
  <c r="AC1817" i="39" s="1"/>
  <c r="Z1817" i="39"/>
  <c r="Y1817" i="39"/>
  <c r="AB1816" i="39"/>
  <c r="AA1816" i="39"/>
  <c r="AC1816" i="39" s="1"/>
  <c r="Z1816" i="39"/>
  <c r="Y1816" i="39"/>
  <c r="AB1815" i="39"/>
  <c r="AA1815" i="39"/>
  <c r="AC1815" i="39" s="1"/>
  <c r="Z1815" i="39"/>
  <c r="Y1815" i="39"/>
  <c r="AB1814" i="39"/>
  <c r="AA1814" i="39"/>
  <c r="AC1814" i="39" s="1"/>
  <c r="Z1814" i="39"/>
  <c r="Y1814" i="39"/>
  <c r="AB1813" i="39"/>
  <c r="AA1813" i="39"/>
  <c r="AC1813" i="39" s="1"/>
  <c r="Z1813" i="39"/>
  <c r="Y1813" i="39"/>
  <c r="AB1812" i="39"/>
  <c r="AA1812" i="39"/>
  <c r="AC1812" i="39" s="1"/>
  <c r="Z1812" i="39"/>
  <c r="Y1812" i="39"/>
  <c r="AB1811" i="39"/>
  <c r="AA1811" i="39"/>
  <c r="AC1811" i="39" s="1"/>
  <c r="Z1811" i="39"/>
  <c r="Y1811" i="39"/>
  <c r="AB1810" i="39"/>
  <c r="AA1810" i="39"/>
  <c r="AC1810" i="39" s="1"/>
  <c r="Z1810" i="39"/>
  <c r="Y1810" i="39"/>
  <c r="AB1809" i="39"/>
  <c r="AA1809" i="39"/>
  <c r="AC1809" i="39" s="1"/>
  <c r="Z1809" i="39"/>
  <c r="Y1809" i="39"/>
  <c r="AB1808" i="39"/>
  <c r="AA1808" i="39"/>
  <c r="AC1808" i="39" s="1"/>
  <c r="Z1808" i="39"/>
  <c r="Y1808" i="39"/>
  <c r="AB1807" i="39"/>
  <c r="AA1807" i="39"/>
  <c r="AC1807" i="39" s="1"/>
  <c r="Z1807" i="39"/>
  <c r="Y1807" i="39"/>
  <c r="AB1806" i="39"/>
  <c r="AA1806" i="39"/>
  <c r="AC1806" i="39" s="1"/>
  <c r="Z1806" i="39"/>
  <c r="Y1806" i="39"/>
  <c r="AB1805" i="39"/>
  <c r="AA1805" i="39"/>
  <c r="AC1805" i="39" s="1"/>
  <c r="Z1805" i="39"/>
  <c r="Y1805" i="39"/>
  <c r="AB1804" i="39"/>
  <c r="AA1804" i="39"/>
  <c r="AC1804" i="39" s="1"/>
  <c r="Z1804" i="39"/>
  <c r="Y1804" i="39"/>
  <c r="AB1803" i="39"/>
  <c r="AA1803" i="39"/>
  <c r="AC1803" i="39" s="1"/>
  <c r="Z1803" i="39"/>
  <c r="Y1803" i="39"/>
  <c r="AB1802" i="39"/>
  <c r="AA1802" i="39"/>
  <c r="AC1802" i="39" s="1"/>
  <c r="Z1802" i="39"/>
  <c r="Y1802" i="39"/>
  <c r="AB1801" i="39"/>
  <c r="AA1801" i="39"/>
  <c r="AC1801" i="39" s="1"/>
  <c r="Z1801" i="39"/>
  <c r="Y1801" i="39"/>
  <c r="AB1800" i="39"/>
  <c r="AA1800" i="39"/>
  <c r="AC1800" i="39" s="1"/>
  <c r="Z1800" i="39"/>
  <c r="Y1800" i="39"/>
  <c r="AB1799" i="39"/>
  <c r="AA1799" i="39"/>
  <c r="AC1799" i="39" s="1"/>
  <c r="Z1799" i="39"/>
  <c r="Y1799" i="39"/>
  <c r="AB1798" i="39"/>
  <c r="AA1798" i="39"/>
  <c r="AC1798" i="39" s="1"/>
  <c r="Z1798" i="39"/>
  <c r="Y1798" i="39"/>
  <c r="AB1797" i="39"/>
  <c r="AA1797" i="39"/>
  <c r="AC1797" i="39" s="1"/>
  <c r="Z1797" i="39"/>
  <c r="Y1797" i="39"/>
  <c r="AB1796" i="39"/>
  <c r="AA1796" i="39"/>
  <c r="AC1796" i="39" s="1"/>
  <c r="Z1796" i="39"/>
  <c r="Y1796" i="39"/>
  <c r="AB1795" i="39"/>
  <c r="AA1795" i="39"/>
  <c r="AC1795" i="39" s="1"/>
  <c r="Z1795" i="39"/>
  <c r="Y1795" i="39"/>
  <c r="AB1794" i="39"/>
  <c r="AA1794" i="39"/>
  <c r="AC1794" i="39" s="1"/>
  <c r="Z1794" i="39"/>
  <c r="Y1794" i="39"/>
  <c r="AB1793" i="39"/>
  <c r="AA1793" i="39"/>
  <c r="AC1793" i="39" s="1"/>
  <c r="Z1793" i="39"/>
  <c r="Y1793" i="39"/>
  <c r="AB1792" i="39"/>
  <c r="AA1792" i="39"/>
  <c r="AC1792" i="39" s="1"/>
  <c r="Z1792" i="39"/>
  <c r="Y1792" i="39"/>
  <c r="AB1791" i="39"/>
  <c r="AA1791" i="39"/>
  <c r="AC1791" i="39" s="1"/>
  <c r="Z1791" i="39"/>
  <c r="Y1791" i="39"/>
  <c r="AB1790" i="39"/>
  <c r="AA1790" i="39"/>
  <c r="AC1790" i="39" s="1"/>
  <c r="Z1790" i="39"/>
  <c r="Y1790" i="39"/>
  <c r="AB1789" i="39"/>
  <c r="AA1789" i="39"/>
  <c r="AC1789" i="39" s="1"/>
  <c r="Z1789" i="39"/>
  <c r="Y1789" i="39"/>
  <c r="AB1788" i="39"/>
  <c r="AA1788" i="39"/>
  <c r="AC1788" i="39" s="1"/>
  <c r="Z1788" i="39"/>
  <c r="Y1788" i="39"/>
  <c r="AB1787" i="39"/>
  <c r="AA1787" i="39"/>
  <c r="AC1787" i="39" s="1"/>
  <c r="Z1787" i="39"/>
  <c r="Y1787" i="39"/>
  <c r="AB1786" i="39"/>
  <c r="AA1786" i="39"/>
  <c r="AC1786" i="39" s="1"/>
  <c r="Z1786" i="39"/>
  <c r="Y1786" i="39"/>
  <c r="AB1785" i="39"/>
  <c r="AA1785" i="39"/>
  <c r="AC1785" i="39" s="1"/>
  <c r="Z1785" i="39"/>
  <c r="Y1785" i="39"/>
  <c r="AB1784" i="39"/>
  <c r="AA1784" i="39"/>
  <c r="AC1784" i="39" s="1"/>
  <c r="Z1784" i="39"/>
  <c r="Y1784" i="39"/>
  <c r="AB1783" i="39"/>
  <c r="AA1783" i="39"/>
  <c r="AC1783" i="39" s="1"/>
  <c r="Z1783" i="39"/>
  <c r="Y1783" i="39"/>
  <c r="AB1782" i="39"/>
  <c r="AA1782" i="39"/>
  <c r="AC1782" i="39" s="1"/>
  <c r="Z1782" i="39"/>
  <c r="Y1782" i="39"/>
  <c r="AB1781" i="39"/>
  <c r="AA1781" i="39"/>
  <c r="AC1781" i="39" s="1"/>
  <c r="Z1781" i="39"/>
  <c r="Y1781" i="39"/>
  <c r="AB1780" i="39"/>
  <c r="AA1780" i="39"/>
  <c r="AC1780" i="39" s="1"/>
  <c r="Z1780" i="39"/>
  <c r="Y1780" i="39"/>
  <c r="AB1779" i="39"/>
  <c r="AA1779" i="39"/>
  <c r="AC1779" i="39" s="1"/>
  <c r="Z1779" i="39"/>
  <c r="Y1779" i="39"/>
  <c r="AB1778" i="39"/>
  <c r="AA1778" i="39"/>
  <c r="AC1778" i="39" s="1"/>
  <c r="Z1778" i="39"/>
  <c r="Y1778" i="39"/>
  <c r="AB1777" i="39"/>
  <c r="AA1777" i="39"/>
  <c r="AC1777" i="39" s="1"/>
  <c r="Z1777" i="39"/>
  <c r="Y1777" i="39"/>
  <c r="AB1776" i="39"/>
  <c r="AA1776" i="39"/>
  <c r="AC1776" i="39" s="1"/>
  <c r="Z1776" i="39"/>
  <c r="Y1776" i="39"/>
  <c r="AB1775" i="39"/>
  <c r="AA1775" i="39"/>
  <c r="AC1775" i="39" s="1"/>
  <c r="Z1775" i="39"/>
  <c r="Y1775" i="39"/>
  <c r="AB1774" i="39"/>
  <c r="AA1774" i="39"/>
  <c r="AC1774" i="39" s="1"/>
  <c r="Z1774" i="39"/>
  <c r="Y1774" i="39"/>
  <c r="AB1773" i="39"/>
  <c r="AA1773" i="39"/>
  <c r="AC1773" i="39" s="1"/>
  <c r="Z1773" i="39"/>
  <c r="Y1773" i="39"/>
  <c r="AB1772" i="39"/>
  <c r="AA1772" i="39"/>
  <c r="AC1772" i="39" s="1"/>
  <c r="Z1772" i="39"/>
  <c r="Y1772" i="39"/>
  <c r="AB1771" i="39"/>
  <c r="AA1771" i="39"/>
  <c r="AC1771" i="39" s="1"/>
  <c r="Z1771" i="39"/>
  <c r="Y1771" i="39"/>
  <c r="AB1770" i="39"/>
  <c r="AA1770" i="39"/>
  <c r="AC1770" i="39" s="1"/>
  <c r="Z1770" i="39"/>
  <c r="Y1770" i="39"/>
  <c r="AB1769" i="39"/>
  <c r="AA1769" i="39"/>
  <c r="AC1769" i="39" s="1"/>
  <c r="Z1769" i="39"/>
  <c r="Y1769" i="39"/>
  <c r="AB1768" i="39"/>
  <c r="AA1768" i="39"/>
  <c r="AC1768" i="39" s="1"/>
  <c r="Z1768" i="39"/>
  <c r="Y1768" i="39"/>
  <c r="AB1767" i="39"/>
  <c r="AA1767" i="39"/>
  <c r="AC1767" i="39" s="1"/>
  <c r="Z1767" i="39"/>
  <c r="Y1767" i="39"/>
  <c r="AB1766" i="39"/>
  <c r="AA1766" i="39"/>
  <c r="AC1766" i="39" s="1"/>
  <c r="Z1766" i="39"/>
  <c r="Y1766" i="39"/>
  <c r="AB1765" i="39"/>
  <c r="AA1765" i="39"/>
  <c r="AC1765" i="39" s="1"/>
  <c r="Z1765" i="39"/>
  <c r="Y1765" i="39"/>
  <c r="AB1764" i="39"/>
  <c r="AA1764" i="39"/>
  <c r="AC1764" i="39" s="1"/>
  <c r="Z1764" i="39"/>
  <c r="Y1764" i="39"/>
  <c r="AB1763" i="39"/>
  <c r="AA1763" i="39"/>
  <c r="AC1763" i="39" s="1"/>
  <c r="Z1763" i="39"/>
  <c r="Y1763" i="39"/>
  <c r="AB1762" i="39"/>
  <c r="AA1762" i="39"/>
  <c r="AC1762" i="39" s="1"/>
  <c r="Z1762" i="39"/>
  <c r="Y1762" i="39"/>
  <c r="AB1761" i="39"/>
  <c r="AA1761" i="39"/>
  <c r="AC1761" i="39" s="1"/>
  <c r="Z1761" i="39"/>
  <c r="Y1761" i="39"/>
  <c r="AB1760" i="39"/>
  <c r="AA1760" i="39"/>
  <c r="AC1760" i="39" s="1"/>
  <c r="Z1760" i="39"/>
  <c r="Y1760" i="39"/>
  <c r="AB1759" i="39"/>
  <c r="AA1759" i="39"/>
  <c r="AC1759" i="39" s="1"/>
  <c r="Z1759" i="39"/>
  <c r="Y1759" i="39"/>
  <c r="AB1758" i="39"/>
  <c r="AA1758" i="39"/>
  <c r="AC1758" i="39" s="1"/>
  <c r="Z1758" i="39"/>
  <c r="Y1758" i="39"/>
  <c r="AB1757" i="39"/>
  <c r="AA1757" i="39"/>
  <c r="AC1757" i="39" s="1"/>
  <c r="Z1757" i="39"/>
  <c r="Y1757" i="39"/>
  <c r="AB1756" i="39"/>
  <c r="AA1756" i="39"/>
  <c r="AC1756" i="39" s="1"/>
  <c r="Z1756" i="39"/>
  <c r="Y1756" i="39"/>
  <c r="AB1755" i="39"/>
  <c r="AA1755" i="39"/>
  <c r="AC1755" i="39" s="1"/>
  <c r="Z1755" i="39"/>
  <c r="Y1755" i="39"/>
  <c r="AB1754" i="39"/>
  <c r="AA1754" i="39"/>
  <c r="AC1754" i="39" s="1"/>
  <c r="Z1754" i="39"/>
  <c r="Y1754" i="39"/>
  <c r="AB1753" i="39"/>
  <c r="AA1753" i="39"/>
  <c r="AC1753" i="39" s="1"/>
  <c r="Z1753" i="39"/>
  <c r="Y1753" i="39"/>
  <c r="AB1752" i="39"/>
  <c r="AA1752" i="39"/>
  <c r="AC1752" i="39" s="1"/>
  <c r="Z1752" i="39"/>
  <c r="Y1752" i="39"/>
  <c r="AB1751" i="39"/>
  <c r="AA1751" i="39"/>
  <c r="AC1751" i="39" s="1"/>
  <c r="Z1751" i="39"/>
  <c r="Y1751" i="39"/>
  <c r="AB1750" i="39"/>
  <c r="AA1750" i="39"/>
  <c r="AC1750" i="39" s="1"/>
  <c r="Z1750" i="39"/>
  <c r="Y1750" i="39"/>
  <c r="AB1749" i="39"/>
  <c r="AA1749" i="39"/>
  <c r="AC1749" i="39" s="1"/>
  <c r="Z1749" i="39"/>
  <c r="Y1749" i="39"/>
  <c r="AB1748" i="39"/>
  <c r="AA1748" i="39"/>
  <c r="AC1748" i="39" s="1"/>
  <c r="Z1748" i="39"/>
  <c r="Y1748" i="39"/>
  <c r="AB1747" i="39"/>
  <c r="AA1747" i="39"/>
  <c r="AC1747" i="39" s="1"/>
  <c r="Z1747" i="39"/>
  <c r="Y1747" i="39"/>
  <c r="AB1746" i="39"/>
  <c r="AA1746" i="39"/>
  <c r="AC1746" i="39" s="1"/>
  <c r="Z1746" i="39"/>
  <c r="Y1746" i="39"/>
  <c r="AB1745" i="39"/>
  <c r="AA1745" i="39"/>
  <c r="AC1745" i="39" s="1"/>
  <c r="Z1745" i="39"/>
  <c r="Y1745" i="39"/>
  <c r="AB1744" i="39"/>
  <c r="AA1744" i="39"/>
  <c r="AC1744" i="39" s="1"/>
  <c r="Z1744" i="39"/>
  <c r="Y1744" i="39"/>
  <c r="AB1743" i="39"/>
  <c r="AA1743" i="39"/>
  <c r="AC1743" i="39" s="1"/>
  <c r="Z1743" i="39"/>
  <c r="Y1743" i="39"/>
  <c r="AB1742" i="39"/>
  <c r="AA1742" i="39"/>
  <c r="AC1742" i="39" s="1"/>
  <c r="Z1742" i="39"/>
  <c r="Y1742" i="39"/>
  <c r="AB1741" i="39"/>
  <c r="AA1741" i="39"/>
  <c r="AC1741" i="39" s="1"/>
  <c r="Z1741" i="39"/>
  <c r="Y1741" i="39"/>
  <c r="AB1740" i="39"/>
  <c r="AA1740" i="39"/>
  <c r="AC1740" i="39" s="1"/>
  <c r="Z1740" i="39"/>
  <c r="Y1740" i="39"/>
  <c r="AB1739" i="39"/>
  <c r="AA1739" i="39"/>
  <c r="AC1739" i="39" s="1"/>
  <c r="Z1739" i="39"/>
  <c r="Y1739" i="39"/>
  <c r="AB1738" i="39"/>
  <c r="AA1738" i="39"/>
  <c r="AC1738" i="39" s="1"/>
  <c r="Z1738" i="39"/>
  <c r="Y1738" i="39"/>
  <c r="AB1737" i="39"/>
  <c r="AA1737" i="39"/>
  <c r="AC1737" i="39" s="1"/>
  <c r="Z1737" i="39"/>
  <c r="Y1737" i="39"/>
  <c r="AB1736" i="39"/>
  <c r="AA1736" i="39"/>
  <c r="AC1736" i="39" s="1"/>
  <c r="Z1736" i="39"/>
  <c r="Y1736" i="39"/>
  <c r="AB1735" i="39"/>
  <c r="AA1735" i="39"/>
  <c r="AC1735" i="39" s="1"/>
  <c r="Z1735" i="39"/>
  <c r="Y1735" i="39"/>
  <c r="AB1734" i="39"/>
  <c r="AA1734" i="39"/>
  <c r="AC1734" i="39" s="1"/>
  <c r="Z1734" i="39"/>
  <c r="Y1734" i="39"/>
  <c r="AB1733" i="39"/>
  <c r="AA1733" i="39"/>
  <c r="AC1733" i="39" s="1"/>
  <c r="Z1733" i="39"/>
  <c r="Y1733" i="39"/>
  <c r="AB1732" i="39"/>
  <c r="AA1732" i="39"/>
  <c r="AC1732" i="39" s="1"/>
  <c r="Z1732" i="39"/>
  <c r="Y1732" i="39"/>
  <c r="AB1731" i="39"/>
  <c r="AA1731" i="39"/>
  <c r="AC1731" i="39" s="1"/>
  <c r="Z1731" i="39"/>
  <c r="Y1731" i="39"/>
  <c r="AB1730" i="39"/>
  <c r="AA1730" i="39"/>
  <c r="AC1730" i="39" s="1"/>
  <c r="Z1730" i="39"/>
  <c r="Y1730" i="39"/>
  <c r="AB1729" i="39"/>
  <c r="AA1729" i="39"/>
  <c r="AC1729" i="39" s="1"/>
  <c r="Z1729" i="39"/>
  <c r="Y1729" i="39"/>
  <c r="AB1728" i="39"/>
  <c r="AA1728" i="39"/>
  <c r="AC1728" i="39" s="1"/>
  <c r="Z1728" i="39"/>
  <c r="Y1728" i="39"/>
  <c r="AB1727" i="39"/>
  <c r="AA1727" i="39"/>
  <c r="AC1727" i="39" s="1"/>
  <c r="Z1727" i="39"/>
  <c r="Y1727" i="39"/>
  <c r="AB1726" i="39"/>
  <c r="AA1726" i="39"/>
  <c r="AC1726" i="39" s="1"/>
  <c r="Z1726" i="39"/>
  <c r="Y1726" i="39"/>
  <c r="AB1725" i="39"/>
  <c r="AA1725" i="39"/>
  <c r="AC1725" i="39" s="1"/>
  <c r="Z1725" i="39"/>
  <c r="Y1725" i="39"/>
  <c r="AB1724" i="39"/>
  <c r="AA1724" i="39"/>
  <c r="AC1724" i="39" s="1"/>
  <c r="Z1724" i="39"/>
  <c r="Y1724" i="39"/>
  <c r="AB1723" i="39"/>
  <c r="AA1723" i="39"/>
  <c r="AC1723" i="39" s="1"/>
  <c r="Z1723" i="39"/>
  <c r="Y1723" i="39"/>
  <c r="AB1722" i="39"/>
  <c r="AA1722" i="39"/>
  <c r="AC1722" i="39" s="1"/>
  <c r="Z1722" i="39"/>
  <c r="Y1722" i="39"/>
  <c r="AB1721" i="39"/>
  <c r="AA1721" i="39"/>
  <c r="AC1721" i="39" s="1"/>
  <c r="Z1721" i="39"/>
  <c r="Y1721" i="39"/>
  <c r="AB1720" i="39"/>
  <c r="AA1720" i="39"/>
  <c r="AC1720" i="39" s="1"/>
  <c r="Z1720" i="39"/>
  <c r="Y1720" i="39"/>
  <c r="AB1719" i="39"/>
  <c r="AA1719" i="39"/>
  <c r="AC1719" i="39" s="1"/>
  <c r="Z1719" i="39"/>
  <c r="Y1719" i="39"/>
  <c r="AB1718" i="39"/>
  <c r="AA1718" i="39"/>
  <c r="AC1718" i="39" s="1"/>
  <c r="Z1718" i="39"/>
  <c r="Y1718" i="39"/>
  <c r="AB1717" i="39"/>
  <c r="AA1717" i="39"/>
  <c r="AC1717" i="39" s="1"/>
  <c r="Z1717" i="39"/>
  <c r="Y1717" i="39"/>
  <c r="AB1716" i="39"/>
  <c r="AA1716" i="39"/>
  <c r="AC1716" i="39" s="1"/>
  <c r="Z1716" i="39"/>
  <c r="Y1716" i="39"/>
  <c r="AB1715" i="39"/>
  <c r="AA1715" i="39"/>
  <c r="AC1715" i="39" s="1"/>
  <c r="Z1715" i="39"/>
  <c r="Y1715" i="39"/>
  <c r="AB1714" i="39"/>
  <c r="AA1714" i="39"/>
  <c r="AC1714" i="39" s="1"/>
  <c r="Z1714" i="39"/>
  <c r="Y1714" i="39"/>
  <c r="AB1713" i="39"/>
  <c r="AA1713" i="39"/>
  <c r="AC1713" i="39" s="1"/>
  <c r="Z1713" i="39"/>
  <c r="Y1713" i="39"/>
  <c r="AB1712" i="39"/>
  <c r="AA1712" i="39"/>
  <c r="AC1712" i="39" s="1"/>
  <c r="Z1712" i="39"/>
  <c r="Y1712" i="39"/>
  <c r="AB1711" i="39"/>
  <c r="AA1711" i="39"/>
  <c r="AC1711" i="39" s="1"/>
  <c r="Z1711" i="39"/>
  <c r="Y1711" i="39"/>
  <c r="AB1710" i="39"/>
  <c r="AA1710" i="39"/>
  <c r="AC1710" i="39" s="1"/>
  <c r="Z1710" i="39"/>
  <c r="Y1710" i="39"/>
  <c r="AB1709" i="39"/>
  <c r="AA1709" i="39"/>
  <c r="AC1709" i="39" s="1"/>
  <c r="Z1709" i="39"/>
  <c r="Y1709" i="39"/>
  <c r="AB1708" i="39"/>
  <c r="AA1708" i="39"/>
  <c r="AC1708" i="39" s="1"/>
  <c r="Z1708" i="39"/>
  <c r="Y1708" i="39"/>
  <c r="AB1707" i="39"/>
  <c r="AA1707" i="39"/>
  <c r="AC1707" i="39" s="1"/>
  <c r="Z1707" i="39"/>
  <c r="Y1707" i="39"/>
  <c r="AB1706" i="39"/>
  <c r="AA1706" i="39"/>
  <c r="AC1706" i="39" s="1"/>
  <c r="Z1706" i="39"/>
  <c r="Y1706" i="39"/>
  <c r="AB1705" i="39"/>
  <c r="AA1705" i="39"/>
  <c r="AC1705" i="39" s="1"/>
  <c r="Z1705" i="39"/>
  <c r="Y1705" i="39"/>
  <c r="AB1704" i="39"/>
  <c r="AA1704" i="39"/>
  <c r="AC1704" i="39" s="1"/>
  <c r="Z1704" i="39"/>
  <c r="Y1704" i="39"/>
  <c r="AB1703" i="39"/>
  <c r="AA1703" i="39"/>
  <c r="AC1703" i="39" s="1"/>
  <c r="Z1703" i="39"/>
  <c r="Y1703" i="39"/>
  <c r="AB1702" i="39"/>
  <c r="AA1702" i="39"/>
  <c r="AC1702" i="39" s="1"/>
  <c r="Z1702" i="39"/>
  <c r="Y1702" i="39"/>
  <c r="AB1701" i="39"/>
  <c r="AA1701" i="39"/>
  <c r="AC1701" i="39" s="1"/>
  <c r="Z1701" i="39"/>
  <c r="Y1701" i="39"/>
  <c r="AB1700" i="39"/>
  <c r="AA1700" i="39"/>
  <c r="AC1700" i="39" s="1"/>
  <c r="Z1700" i="39"/>
  <c r="Y1700" i="39"/>
  <c r="AB1699" i="39"/>
  <c r="AA1699" i="39"/>
  <c r="AC1699" i="39" s="1"/>
  <c r="Z1699" i="39"/>
  <c r="Y1699" i="39"/>
  <c r="AB1698" i="39"/>
  <c r="AA1698" i="39"/>
  <c r="AC1698" i="39" s="1"/>
  <c r="Z1698" i="39"/>
  <c r="Y1698" i="39"/>
  <c r="AB1697" i="39"/>
  <c r="AA1697" i="39"/>
  <c r="AC1697" i="39" s="1"/>
  <c r="Z1697" i="39"/>
  <c r="Y1697" i="39"/>
  <c r="AB1696" i="39"/>
  <c r="AA1696" i="39"/>
  <c r="AC1696" i="39" s="1"/>
  <c r="Z1696" i="39"/>
  <c r="Y1696" i="39"/>
  <c r="AB1695" i="39"/>
  <c r="AA1695" i="39"/>
  <c r="AC1695" i="39" s="1"/>
  <c r="Z1695" i="39"/>
  <c r="Y1695" i="39"/>
  <c r="AB1694" i="39"/>
  <c r="AA1694" i="39"/>
  <c r="AC1694" i="39" s="1"/>
  <c r="Z1694" i="39"/>
  <c r="Y1694" i="39"/>
  <c r="AB1693" i="39"/>
  <c r="AA1693" i="39"/>
  <c r="AC1693" i="39" s="1"/>
  <c r="Z1693" i="39"/>
  <c r="Y1693" i="39"/>
  <c r="AB1692" i="39"/>
  <c r="AA1692" i="39"/>
  <c r="AC1692" i="39" s="1"/>
  <c r="Z1692" i="39"/>
  <c r="Y1692" i="39"/>
  <c r="AB1691" i="39"/>
  <c r="AA1691" i="39"/>
  <c r="AC1691" i="39" s="1"/>
  <c r="Z1691" i="39"/>
  <c r="Y1691" i="39"/>
  <c r="AB1690" i="39"/>
  <c r="AA1690" i="39"/>
  <c r="AC1690" i="39" s="1"/>
  <c r="Z1690" i="39"/>
  <c r="Y1690" i="39"/>
  <c r="AB1689" i="39"/>
  <c r="AA1689" i="39"/>
  <c r="AC1689" i="39" s="1"/>
  <c r="Z1689" i="39"/>
  <c r="Y1689" i="39"/>
  <c r="AB1688" i="39"/>
  <c r="AA1688" i="39"/>
  <c r="AC1688" i="39" s="1"/>
  <c r="Z1688" i="39"/>
  <c r="Y1688" i="39"/>
  <c r="AB1687" i="39"/>
  <c r="AA1687" i="39"/>
  <c r="AC1687" i="39" s="1"/>
  <c r="Z1687" i="39"/>
  <c r="Y1687" i="39"/>
  <c r="AB1686" i="39"/>
  <c r="AA1686" i="39"/>
  <c r="AC1686" i="39" s="1"/>
  <c r="Z1686" i="39"/>
  <c r="Y1686" i="39"/>
  <c r="AB1685" i="39"/>
  <c r="AA1685" i="39"/>
  <c r="AC1685" i="39" s="1"/>
  <c r="Z1685" i="39"/>
  <c r="Y1685" i="39"/>
  <c r="AB1684" i="39"/>
  <c r="AA1684" i="39"/>
  <c r="AC1684" i="39" s="1"/>
  <c r="Z1684" i="39"/>
  <c r="Y1684" i="39"/>
  <c r="AB1683" i="39"/>
  <c r="AA1683" i="39"/>
  <c r="AC1683" i="39" s="1"/>
  <c r="Z1683" i="39"/>
  <c r="Y1683" i="39"/>
  <c r="AB1682" i="39"/>
  <c r="AA1682" i="39"/>
  <c r="AC1682" i="39" s="1"/>
  <c r="Z1682" i="39"/>
  <c r="Y1682" i="39"/>
  <c r="AB1681" i="39"/>
  <c r="AA1681" i="39"/>
  <c r="AC1681" i="39" s="1"/>
  <c r="Z1681" i="39"/>
  <c r="Y1681" i="39"/>
  <c r="AB1680" i="39"/>
  <c r="AA1680" i="39"/>
  <c r="AC1680" i="39" s="1"/>
  <c r="Z1680" i="39"/>
  <c r="Y1680" i="39"/>
  <c r="AB1679" i="39"/>
  <c r="AA1679" i="39"/>
  <c r="AC1679" i="39" s="1"/>
  <c r="Z1679" i="39"/>
  <c r="Y1679" i="39"/>
  <c r="AB1678" i="39"/>
  <c r="AA1678" i="39"/>
  <c r="AC1678" i="39" s="1"/>
  <c r="Z1678" i="39"/>
  <c r="Y1678" i="39"/>
  <c r="AB1677" i="39"/>
  <c r="AA1677" i="39"/>
  <c r="AC1677" i="39" s="1"/>
  <c r="Z1677" i="39"/>
  <c r="Y1677" i="39"/>
  <c r="AB1676" i="39"/>
  <c r="AA1676" i="39"/>
  <c r="AC1676" i="39" s="1"/>
  <c r="Z1676" i="39"/>
  <c r="Y1676" i="39"/>
  <c r="AB1675" i="39"/>
  <c r="AA1675" i="39"/>
  <c r="AC1675" i="39" s="1"/>
  <c r="Z1675" i="39"/>
  <c r="Y1675" i="39"/>
  <c r="AB1674" i="39"/>
  <c r="AA1674" i="39"/>
  <c r="AC1674" i="39" s="1"/>
  <c r="Z1674" i="39"/>
  <c r="Y1674" i="39"/>
  <c r="AB1673" i="39"/>
  <c r="AA1673" i="39"/>
  <c r="AC1673" i="39" s="1"/>
  <c r="Z1673" i="39"/>
  <c r="Y1673" i="39"/>
  <c r="AB1672" i="39"/>
  <c r="AA1672" i="39"/>
  <c r="AC1672" i="39" s="1"/>
  <c r="Z1672" i="39"/>
  <c r="Y1672" i="39"/>
  <c r="AB1671" i="39"/>
  <c r="AA1671" i="39"/>
  <c r="AC1671" i="39" s="1"/>
  <c r="Z1671" i="39"/>
  <c r="Y1671" i="39"/>
  <c r="AB1670" i="39"/>
  <c r="AA1670" i="39"/>
  <c r="AC1670" i="39" s="1"/>
  <c r="Z1670" i="39"/>
  <c r="Y1670" i="39"/>
  <c r="AB1669" i="39"/>
  <c r="AA1669" i="39"/>
  <c r="AC1669" i="39" s="1"/>
  <c r="Z1669" i="39"/>
  <c r="Y1669" i="39"/>
  <c r="AB1668" i="39"/>
  <c r="AA1668" i="39"/>
  <c r="AC1668" i="39" s="1"/>
  <c r="Z1668" i="39"/>
  <c r="Y1668" i="39"/>
  <c r="AB1667" i="39"/>
  <c r="AA1667" i="39"/>
  <c r="AC1667" i="39" s="1"/>
  <c r="Z1667" i="39"/>
  <c r="Y1667" i="39"/>
  <c r="AB1666" i="39"/>
  <c r="AA1666" i="39"/>
  <c r="AC1666" i="39" s="1"/>
  <c r="Z1666" i="39"/>
  <c r="Y1666" i="39"/>
  <c r="AB1665" i="39"/>
  <c r="AA1665" i="39"/>
  <c r="AC1665" i="39" s="1"/>
  <c r="Z1665" i="39"/>
  <c r="Y1665" i="39"/>
  <c r="AB1664" i="39"/>
  <c r="AA1664" i="39"/>
  <c r="AC1664" i="39" s="1"/>
  <c r="Z1664" i="39"/>
  <c r="Y1664" i="39"/>
  <c r="AB1663" i="39"/>
  <c r="AA1663" i="39"/>
  <c r="AC1663" i="39" s="1"/>
  <c r="Z1663" i="39"/>
  <c r="Y1663" i="39"/>
  <c r="AB1662" i="39"/>
  <c r="AA1662" i="39"/>
  <c r="AC1662" i="39" s="1"/>
  <c r="Z1662" i="39"/>
  <c r="Y1662" i="39"/>
  <c r="AB1661" i="39"/>
  <c r="AA1661" i="39"/>
  <c r="AC1661" i="39" s="1"/>
  <c r="Z1661" i="39"/>
  <c r="Y1661" i="39"/>
  <c r="AB1660" i="39"/>
  <c r="AA1660" i="39"/>
  <c r="AC1660" i="39" s="1"/>
  <c r="Z1660" i="39"/>
  <c r="Y1660" i="39"/>
  <c r="AB1659" i="39"/>
  <c r="AA1659" i="39"/>
  <c r="AC1659" i="39" s="1"/>
  <c r="Z1659" i="39"/>
  <c r="Y1659" i="39"/>
  <c r="AB1658" i="39"/>
  <c r="AA1658" i="39"/>
  <c r="AC1658" i="39" s="1"/>
  <c r="Z1658" i="39"/>
  <c r="Y1658" i="39"/>
  <c r="AB1657" i="39"/>
  <c r="AA1657" i="39"/>
  <c r="AC1657" i="39" s="1"/>
  <c r="Z1657" i="39"/>
  <c r="Y1657" i="39"/>
  <c r="AB1656" i="39"/>
  <c r="AA1656" i="39"/>
  <c r="AC1656" i="39" s="1"/>
  <c r="Z1656" i="39"/>
  <c r="Y1656" i="39"/>
  <c r="AB1655" i="39"/>
  <c r="AA1655" i="39"/>
  <c r="AC1655" i="39" s="1"/>
  <c r="Z1655" i="39"/>
  <c r="Y1655" i="39"/>
  <c r="AB1654" i="39"/>
  <c r="AA1654" i="39"/>
  <c r="AC1654" i="39" s="1"/>
  <c r="Z1654" i="39"/>
  <c r="Y1654" i="39"/>
  <c r="AB1653" i="39"/>
  <c r="AA1653" i="39"/>
  <c r="AC1653" i="39" s="1"/>
  <c r="Z1653" i="39"/>
  <c r="Y1653" i="39"/>
  <c r="AB1652" i="39"/>
  <c r="AA1652" i="39"/>
  <c r="AC1652" i="39" s="1"/>
  <c r="Z1652" i="39"/>
  <c r="Y1652" i="39"/>
  <c r="AB1651" i="39"/>
  <c r="AA1651" i="39"/>
  <c r="AC1651" i="39" s="1"/>
  <c r="Z1651" i="39"/>
  <c r="Y1651" i="39"/>
  <c r="AB1650" i="39"/>
  <c r="AA1650" i="39"/>
  <c r="AC1650" i="39" s="1"/>
  <c r="Z1650" i="39"/>
  <c r="Y1650" i="39"/>
  <c r="AB1649" i="39"/>
  <c r="AA1649" i="39"/>
  <c r="AC1649" i="39" s="1"/>
  <c r="Z1649" i="39"/>
  <c r="Y1649" i="39"/>
  <c r="AB1648" i="39"/>
  <c r="AA1648" i="39"/>
  <c r="AC1648" i="39" s="1"/>
  <c r="Z1648" i="39"/>
  <c r="Y1648" i="39"/>
  <c r="AB1647" i="39"/>
  <c r="AA1647" i="39"/>
  <c r="AC1647" i="39" s="1"/>
  <c r="Z1647" i="39"/>
  <c r="Y1647" i="39"/>
  <c r="AB1646" i="39"/>
  <c r="AA1646" i="39"/>
  <c r="AC1646" i="39" s="1"/>
  <c r="Z1646" i="39"/>
  <c r="Y1646" i="39"/>
  <c r="AB1645" i="39"/>
  <c r="AA1645" i="39"/>
  <c r="AC1645" i="39" s="1"/>
  <c r="Z1645" i="39"/>
  <c r="Y1645" i="39"/>
  <c r="AB1644" i="39"/>
  <c r="AA1644" i="39"/>
  <c r="AC1644" i="39" s="1"/>
  <c r="Z1644" i="39"/>
  <c r="Y1644" i="39"/>
  <c r="AB1643" i="39"/>
  <c r="AA1643" i="39"/>
  <c r="AC1643" i="39" s="1"/>
  <c r="Z1643" i="39"/>
  <c r="Y1643" i="39"/>
  <c r="AB1642" i="39"/>
  <c r="AA1642" i="39"/>
  <c r="AC1642" i="39" s="1"/>
  <c r="Z1642" i="39"/>
  <c r="Y1642" i="39"/>
  <c r="AB1641" i="39"/>
  <c r="AA1641" i="39"/>
  <c r="AC1641" i="39" s="1"/>
  <c r="Z1641" i="39"/>
  <c r="Y1641" i="39"/>
  <c r="AB1640" i="39"/>
  <c r="AA1640" i="39"/>
  <c r="AC1640" i="39" s="1"/>
  <c r="Z1640" i="39"/>
  <c r="Y1640" i="39"/>
  <c r="AB1639" i="39"/>
  <c r="AA1639" i="39"/>
  <c r="AC1639" i="39" s="1"/>
  <c r="Z1639" i="39"/>
  <c r="Y1639" i="39"/>
  <c r="AB1638" i="39"/>
  <c r="AA1638" i="39"/>
  <c r="AC1638" i="39" s="1"/>
  <c r="Z1638" i="39"/>
  <c r="Y1638" i="39"/>
  <c r="AB1637" i="39"/>
  <c r="AA1637" i="39"/>
  <c r="AC1637" i="39" s="1"/>
  <c r="Z1637" i="39"/>
  <c r="Y1637" i="39"/>
  <c r="AB1636" i="39"/>
  <c r="AA1636" i="39"/>
  <c r="AC1636" i="39" s="1"/>
  <c r="Z1636" i="39"/>
  <c r="Y1636" i="39"/>
  <c r="AB1635" i="39"/>
  <c r="AA1635" i="39"/>
  <c r="AC1635" i="39" s="1"/>
  <c r="Z1635" i="39"/>
  <c r="Y1635" i="39"/>
  <c r="AB1634" i="39"/>
  <c r="AA1634" i="39"/>
  <c r="AC1634" i="39" s="1"/>
  <c r="Z1634" i="39"/>
  <c r="Y1634" i="39"/>
  <c r="AB1633" i="39"/>
  <c r="AA1633" i="39"/>
  <c r="AC1633" i="39" s="1"/>
  <c r="Z1633" i="39"/>
  <c r="Y1633" i="39"/>
  <c r="AB1632" i="39"/>
  <c r="AA1632" i="39"/>
  <c r="AC1632" i="39" s="1"/>
  <c r="Z1632" i="39"/>
  <c r="Y1632" i="39"/>
  <c r="AB1631" i="39"/>
  <c r="AA1631" i="39"/>
  <c r="AC1631" i="39" s="1"/>
  <c r="Z1631" i="39"/>
  <c r="Y1631" i="39"/>
  <c r="AB1630" i="39"/>
  <c r="AA1630" i="39"/>
  <c r="AC1630" i="39" s="1"/>
  <c r="Z1630" i="39"/>
  <c r="Y1630" i="39"/>
  <c r="AB1629" i="39"/>
  <c r="AA1629" i="39"/>
  <c r="AC1629" i="39" s="1"/>
  <c r="Z1629" i="39"/>
  <c r="Y1629" i="39"/>
  <c r="AB1628" i="39"/>
  <c r="AA1628" i="39"/>
  <c r="AC1628" i="39" s="1"/>
  <c r="Z1628" i="39"/>
  <c r="Y1628" i="39"/>
  <c r="AB1627" i="39"/>
  <c r="AA1627" i="39"/>
  <c r="AC1627" i="39" s="1"/>
  <c r="Z1627" i="39"/>
  <c r="Y1627" i="39"/>
  <c r="AB1626" i="39"/>
  <c r="AA1626" i="39"/>
  <c r="AC1626" i="39" s="1"/>
  <c r="Z1626" i="39"/>
  <c r="Y1626" i="39"/>
  <c r="AB1625" i="39"/>
  <c r="AA1625" i="39"/>
  <c r="AC1625" i="39" s="1"/>
  <c r="Z1625" i="39"/>
  <c r="Y1625" i="39"/>
  <c r="AB1624" i="39"/>
  <c r="AA1624" i="39"/>
  <c r="AC1624" i="39" s="1"/>
  <c r="Z1624" i="39"/>
  <c r="Y1624" i="39"/>
  <c r="AB1623" i="39"/>
  <c r="AA1623" i="39"/>
  <c r="AC1623" i="39" s="1"/>
  <c r="Z1623" i="39"/>
  <c r="Y1623" i="39"/>
  <c r="AB1622" i="39"/>
  <c r="AA1622" i="39"/>
  <c r="AC1622" i="39" s="1"/>
  <c r="Z1622" i="39"/>
  <c r="Y1622" i="39"/>
  <c r="AB1621" i="39"/>
  <c r="AA1621" i="39"/>
  <c r="AC1621" i="39" s="1"/>
  <c r="Z1621" i="39"/>
  <c r="Y1621" i="39"/>
  <c r="AB1620" i="39"/>
  <c r="AA1620" i="39"/>
  <c r="AC1620" i="39" s="1"/>
  <c r="Z1620" i="39"/>
  <c r="Y1620" i="39"/>
  <c r="AB1619" i="39"/>
  <c r="AA1619" i="39"/>
  <c r="AC1619" i="39" s="1"/>
  <c r="Z1619" i="39"/>
  <c r="Y1619" i="39"/>
  <c r="AB1618" i="39"/>
  <c r="AA1618" i="39"/>
  <c r="AC1618" i="39" s="1"/>
  <c r="Z1618" i="39"/>
  <c r="Y1618" i="39"/>
  <c r="AB1617" i="39"/>
  <c r="AA1617" i="39"/>
  <c r="AC1617" i="39" s="1"/>
  <c r="Z1617" i="39"/>
  <c r="Y1617" i="39"/>
  <c r="AB1616" i="39"/>
  <c r="AA1616" i="39"/>
  <c r="AC1616" i="39" s="1"/>
  <c r="Z1616" i="39"/>
  <c r="Y1616" i="39"/>
  <c r="AB1615" i="39"/>
  <c r="AA1615" i="39"/>
  <c r="AC1615" i="39" s="1"/>
  <c r="Z1615" i="39"/>
  <c r="Y1615" i="39"/>
  <c r="AB1614" i="39"/>
  <c r="AA1614" i="39"/>
  <c r="AC1614" i="39" s="1"/>
  <c r="Z1614" i="39"/>
  <c r="Y1614" i="39"/>
  <c r="AB1613" i="39"/>
  <c r="AA1613" i="39"/>
  <c r="AC1613" i="39" s="1"/>
  <c r="Z1613" i="39"/>
  <c r="Y1613" i="39"/>
  <c r="AB1612" i="39"/>
  <c r="AA1612" i="39"/>
  <c r="AC1612" i="39" s="1"/>
  <c r="Z1612" i="39"/>
  <c r="Y1612" i="39"/>
  <c r="AB1611" i="39"/>
  <c r="AA1611" i="39"/>
  <c r="AC1611" i="39" s="1"/>
  <c r="Z1611" i="39"/>
  <c r="Y1611" i="39"/>
  <c r="AB1610" i="39"/>
  <c r="AA1610" i="39"/>
  <c r="AC1610" i="39" s="1"/>
  <c r="Z1610" i="39"/>
  <c r="Y1610" i="39"/>
  <c r="AB1609" i="39"/>
  <c r="AA1609" i="39"/>
  <c r="AC1609" i="39" s="1"/>
  <c r="Z1609" i="39"/>
  <c r="Y1609" i="39"/>
  <c r="AB1608" i="39"/>
  <c r="AA1608" i="39"/>
  <c r="AC1608" i="39" s="1"/>
  <c r="Z1608" i="39"/>
  <c r="Y1608" i="39"/>
  <c r="AB1607" i="39"/>
  <c r="AA1607" i="39"/>
  <c r="AC1607" i="39" s="1"/>
  <c r="Z1607" i="39"/>
  <c r="Y1607" i="39"/>
  <c r="AB1606" i="39"/>
  <c r="AA1606" i="39"/>
  <c r="AC1606" i="39" s="1"/>
  <c r="Z1606" i="39"/>
  <c r="Y1606" i="39"/>
  <c r="AB1605" i="39"/>
  <c r="AA1605" i="39"/>
  <c r="AC1605" i="39" s="1"/>
  <c r="Z1605" i="39"/>
  <c r="Y1605" i="39"/>
  <c r="AB1604" i="39"/>
  <c r="AA1604" i="39"/>
  <c r="AC1604" i="39" s="1"/>
  <c r="Z1604" i="39"/>
  <c r="Y1604" i="39"/>
  <c r="AB1603" i="39"/>
  <c r="AA1603" i="39"/>
  <c r="AC1603" i="39" s="1"/>
  <c r="Z1603" i="39"/>
  <c r="Y1603" i="39"/>
  <c r="AB1602" i="39"/>
  <c r="AA1602" i="39"/>
  <c r="AC1602" i="39" s="1"/>
  <c r="Z1602" i="39"/>
  <c r="Y1602" i="39"/>
  <c r="AB1601" i="39"/>
  <c r="AA1601" i="39"/>
  <c r="AC1601" i="39" s="1"/>
  <c r="Z1601" i="39"/>
  <c r="Y1601" i="39"/>
  <c r="AB1600" i="39"/>
  <c r="AA1600" i="39"/>
  <c r="AC1600" i="39" s="1"/>
  <c r="Z1600" i="39"/>
  <c r="Y1600" i="39"/>
  <c r="AB1599" i="39"/>
  <c r="AA1599" i="39"/>
  <c r="AC1599" i="39" s="1"/>
  <c r="Z1599" i="39"/>
  <c r="Y1599" i="39"/>
  <c r="AB1598" i="39"/>
  <c r="AA1598" i="39"/>
  <c r="AC1598" i="39" s="1"/>
  <c r="Z1598" i="39"/>
  <c r="Y1598" i="39"/>
  <c r="AB1597" i="39"/>
  <c r="AA1597" i="39"/>
  <c r="AC1597" i="39" s="1"/>
  <c r="Z1597" i="39"/>
  <c r="Y1597" i="39"/>
  <c r="AB1596" i="39"/>
  <c r="AA1596" i="39"/>
  <c r="AC1596" i="39" s="1"/>
  <c r="Z1596" i="39"/>
  <c r="Y1596" i="39"/>
  <c r="AB1595" i="39"/>
  <c r="AA1595" i="39"/>
  <c r="AC1595" i="39" s="1"/>
  <c r="Z1595" i="39"/>
  <c r="Y1595" i="39"/>
  <c r="AB1594" i="39"/>
  <c r="AA1594" i="39"/>
  <c r="AC1594" i="39" s="1"/>
  <c r="Z1594" i="39"/>
  <c r="Y1594" i="39"/>
  <c r="AB1593" i="39"/>
  <c r="AA1593" i="39"/>
  <c r="AC1593" i="39" s="1"/>
  <c r="Z1593" i="39"/>
  <c r="Y1593" i="39"/>
  <c r="AB1592" i="39"/>
  <c r="AA1592" i="39"/>
  <c r="AC1592" i="39" s="1"/>
  <c r="Z1592" i="39"/>
  <c r="Y1592" i="39"/>
  <c r="AB1591" i="39"/>
  <c r="AA1591" i="39"/>
  <c r="AC1591" i="39" s="1"/>
  <c r="Z1591" i="39"/>
  <c r="Y1591" i="39"/>
  <c r="AB1590" i="39"/>
  <c r="AA1590" i="39"/>
  <c r="AC1590" i="39" s="1"/>
  <c r="Z1590" i="39"/>
  <c r="Y1590" i="39"/>
  <c r="AB1589" i="39"/>
  <c r="AA1589" i="39"/>
  <c r="AC1589" i="39" s="1"/>
  <c r="Z1589" i="39"/>
  <c r="Y1589" i="39"/>
  <c r="AB1588" i="39"/>
  <c r="AA1588" i="39"/>
  <c r="AC1588" i="39" s="1"/>
  <c r="Z1588" i="39"/>
  <c r="Y1588" i="39"/>
  <c r="AB1587" i="39"/>
  <c r="AA1587" i="39"/>
  <c r="AC1587" i="39" s="1"/>
  <c r="Z1587" i="39"/>
  <c r="Y1587" i="39"/>
  <c r="AB1586" i="39"/>
  <c r="AA1586" i="39"/>
  <c r="AC1586" i="39" s="1"/>
  <c r="Z1586" i="39"/>
  <c r="Y1586" i="39"/>
  <c r="AB1585" i="39"/>
  <c r="AA1585" i="39"/>
  <c r="AC1585" i="39" s="1"/>
  <c r="Z1585" i="39"/>
  <c r="Y1585" i="39"/>
  <c r="AB1584" i="39"/>
  <c r="AA1584" i="39"/>
  <c r="AC1584" i="39" s="1"/>
  <c r="Z1584" i="39"/>
  <c r="Y1584" i="39"/>
  <c r="AB1583" i="39"/>
  <c r="AA1583" i="39"/>
  <c r="AC1583" i="39" s="1"/>
  <c r="Z1583" i="39"/>
  <c r="Y1583" i="39"/>
  <c r="AB1582" i="39"/>
  <c r="AA1582" i="39"/>
  <c r="AC1582" i="39" s="1"/>
  <c r="Z1582" i="39"/>
  <c r="Y1582" i="39"/>
  <c r="AB1581" i="39"/>
  <c r="AA1581" i="39"/>
  <c r="AC1581" i="39" s="1"/>
  <c r="Z1581" i="39"/>
  <c r="Y1581" i="39"/>
  <c r="AB1580" i="39"/>
  <c r="AA1580" i="39"/>
  <c r="AC1580" i="39" s="1"/>
  <c r="Z1580" i="39"/>
  <c r="Y1580" i="39"/>
  <c r="AB1579" i="39"/>
  <c r="AA1579" i="39"/>
  <c r="AC1579" i="39" s="1"/>
  <c r="Z1579" i="39"/>
  <c r="Y1579" i="39"/>
  <c r="AB1578" i="39"/>
  <c r="AA1578" i="39"/>
  <c r="AC1578" i="39" s="1"/>
  <c r="Z1578" i="39"/>
  <c r="Y1578" i="39"/>
  <c r="AB1577" i="39"/>
  <c r="AA1577" i="39"/>
  <c r="AC1577" i="39" s="1"/>
  <c r="Z1577" i="39"/>
  <c r="Y1577" i="39"/>
  <c r="AB1576" i="39"/>
  <c r="AA1576" i="39"/>
  <c r="AC1576" i="39" s="1"/>
  <c r="Z1576" i="39"/>
  <c r="Y1576" i="39"/>
  <c r="AB1575" i="39"/>
  <c r="AA1575" i="39"/>
  <c r="AC1575" i="39" s="1"/>
  <c r="Z1575" i="39"/>
  <c r="Y1575" i="39"/>
  <c r="AB1574" i="39"/>
  <c r="AA1574" i="39"/>
  <c r="AC1574" i="39" s="1"/>
  <c r="Z1574" i="39"/>
  <c r="Y1574" i="39"/>
  <c r="AB1573" i="39"/>
  <c r="AA1573" i="39"/>
  <c r="AC1573" i="39" s="1"/>
  <c r="Z1573" i="39"/>
  <c r="Y1573" i="39"/>
  <c r="AB1572" i="39"/>
  <c r="AA1572" i="39"/>
  <c r="AC1572" i="39" s="1"/>
  <c r="Z1572" i="39"/>
  <c r="Y1572" i="39"/>
  <c r="AB1571" i="39"/>
  <c r="AA1571" i="39"/>
  <c r="AC1571" i="39" s="1"/>
  <c r="Z1571" i="39"/>
  <c r="Y1571" i="39"/>
  <c r="AB1570" i="39"/>
  <c r="AA1570" i="39"/>
  <c r="AC1570" i="39" s="1"/>
  <c r="Z1570" i="39"/>
  <c r="Y1570" i="39"/>
  <c r="AB1569" i="39"/>
  <c r="AA1569" i="39"/>
  <c r="AC1569" i="39" s="1"/>
  <c r="Z1569" i="39"/>
  <c r="Y1569" i="39"/>
  <c r="AB1568" i="39"/>
  <c r="AA1568" i="39"/>
  <c r="AC1568" i="39" s="1"/>
  <c r="Z1568" i="39"/>
  <c r="Y1568" i="39"/>
  <c r="AB1567" i="39"/>
  <c r="AA1567" i="39"/>
  <c r="AC1567" i="39" s="1"/>
  <c r="Z1567" i="39"/>
  <c r="Y1567" i="39"/>
  <c r="AB1566" i="39"/>
  <c r="AA1566" i="39"/>
  <c r="AC1566" i="39" s="1"/>
  <c r="Z1566" i="39"/>
  <c r="Y1566" i="39"/>
  <c r="AB1565" i="39"/>
  <c r="AA1565" i="39"/>
  <c r="AC1565" i="39" s="1"/>
  <c r="Z1565" i="39"/>
  <c r="Y1565" i="39"/>
  <c r="AB1564" i="39"/>
  <c r="AA1564" i="39"/>
  <c r="AC1564" i="39" s="1"/>
  <c r="Z1564" i="39"/>
  <c r="Y1564" i="39"/>
  <c r="AB1563" i="39"/>
  <c r="AA1563" i="39"/>
  <c r="AC1563" i="39" s="1"/>
  <c r="Z1563" i="39"/>
  <c r="Y1563" i="39"/>
  <c r="AB1562" i="39"/>
  <c r="AA1562" i="39"/>
  <c r="AC1562" i="39" s="1"/>
  <c r="Z1562" i="39"/>
  <c r="Y1562" i="39"/>
  <c r="AB1561" i="39"/>
  <c r="AA1561" i="39"/>
  <c r="AC1561" i="39" s="1"/>
  <c r="Z1561" i="39"/>
  <c r="Y1561" i="39"/>
  <c r="AB1560" i="39"/>
  <c r="AA1560" i="39"/>
  <c r="AC1560" i="39" s="1"/>
  <c r="Z1560" i="39"/>
  <c r="Y1560" i="39"/>
  <c r="AB1559" i="39"/>
  <c r="AA1559" i="39"/>
  <c r="AC1559" i="39" s="1"/>
  <c r="Z1559" i="39"/>
  <c r="Y1559" i="39"/>
  <c r="AB1558" i="39"/>
  <c r="AA1558" i="39"/>
  <c r="AC1558" i="39" s="1"/>
  <c r="Z1558" i="39"/>
  <c r="Y1558" i="39"/>
  <c r="AB1557" i="39"/>
  <c r="AA1557" i="39"/>
  <c r="AC1557" i="39" s="1"/>
  <c r="Z1557" i="39"/>
  <c r="Y1557" i="39"/>
  <c r="AB1556" i="39"/>
  <c r="AA1556" i="39"/>
  <c r="AC1556" i="39" s="1"/>
  <c r="Z1556" i="39"/>
  <c r="Y1556" i="39"/>
  <c r="AB1555" i="39"/>
  <c r="AA1555" i="39"/>
  <c r="AC1555" i="39" s="1"/>
  <c r="Z1555" i="39"/>
  <c r="Y1555" i="39"/>
  <c r="AB1554" i="39"/>
  <c r="AA1554" i="39"/>
  <c r="AC1554" i="39" s="1"/>
  <c r="Z1554" i="39"/>
  <c r="Y1554" i="39"/>
  <c r="AB1553" i="39"/>
  <c r="AA1553" i="39"/>
  <c r="AC1553" i="39" s="1"/>
  <c r="Z1553" i="39"/>
  <c r="Y1553" i="39"/>
  <c r="AB1552" i="39"/>
  <c r="AA1552" i="39"/>
  <c r="AC1552" i="39" s="1"/>
  <c r="Z1552" i="39"/>
  <c r="Y1552" i="39"/>
  <c r="AB1551" i="39"/>
  <c r="AA1551" i="39"/>
  <c r="AC1551" i="39" s="1"/>
  <c r="Z1551" i="39"/>
  <c r="Y1551" i="39"/>
  <c r="AB1550" i="39"/>
  <c r="AA1550" i="39"/>
  <c r="AC1550" i="39" s="1"/>
  <c r="Z1550" i="39"/>
  <c r="Y1550" i="39"/>
  <c r="AB1549" i="39"/>
  <c r="AA1549" i="39"/>
  <c r="AC1549" i="39" s="1"/>
  <c r="Z1549" i="39"/>
  <c r="Y1549" i="39"/>
  <c r="AB1548" i="39"/>
  <c r="AA1548" i="39"/>
  <c r="AC1548" i="39" s="1"/>
  <c r="Z1548" i="39"/>
  <c r="Y1548" i="39"/>
  <c r="AB1547" i="39"/>
  <c r="AA1547" i="39"/>
  <c r="AC1547" i="39" s="1"/>
  <c r="Z1547" i="39"/>
  <c r="Y1547" i="39"/>
  <c r="AB1546" i="39"/>
  <c r="AA1546" i="39"/>
  <c r="AC1546" i="39" s="1"/>
  <c r="Z1546" i="39"/>
  <c r="Y1546" i="39"/>
  <c r="AB1545" i="39"/>
  <c r="AA1545" i="39"/>
  <c r="AC1545" i="39" s="1"/>
  <c r="Z1545" i="39"/>
  <c r="Y1545" i="39"/>
  <c r="AB1544" i="39"/>
  <c r="AA1544" i="39"/>
  <c r="AC1544" i="39" s="1"/>
  <c r="Z1544" i="39"/>
  <c r="Y1544" i="39"/>
  <c r="AB1543" i="39"/>
  <c r="AA1543" i="39"/>
  <c r="AC1543" i="39" s="1"/>
  <c r="Z1543" i="39"/>
  <c r="Y1543" i="39"/>
  <c r="AB1542" i="39"/>
  <c r="AA1542" i="39"/>
  <c r="AC1542" i="39" s="1"/>
  <c r="Z1542" i="39"/>
  <c r="Y1542" i="39"/>
  <c r="AB1541" i="39"/>
  <c r="AA1541" i="39"/>
  <c r="AC1541" i="39" s="1"/>
  <c r="Z1541" i="39"/>
  <c r="Y1541" i="39"/>
  <c r="AB1540" i="39"/>
  <c r="AA1540" i="39"/>
  <c r="AC1540" i="39" s="1"/>
  <c r="Z1540" i="39"/>
  <c r="Y1540" i="39"/>
  <c r="AB1539" i="39"/>
  <c r="AA1539" i="39"/>
  <c r="AC1539" i="39" s="1"/>
  <c r="Z1539" i="39"/>
  <c r="Y1539" i="39"/>
  <c r="AB1538" i="39"/>
  <c r="AA1538" i="39"/>
  <c r="AC1538" i="39" s="1"/>
  <c r="Z1538" i="39"/>
  <c r="Y1538" i="39"/>
  <c r="AB1537" i="39"/>
  <c r="AA1537" i="39"/>
  <c r="AC1537" i="39" s="1"/>
  <c r="Z1537" i="39"/>
  <c r="Y1537" i="39"/>
  <c r="AB1536" i="39"/>
  <c r="AA1536" i="39"/>
  <c r="AC1536" i="39" s="1"/>
  <c r="Z1536" i="39"/>
  <c r="Y1536" i="39"/>
  <c r="AB1535" i="39"/>
  <c r="AA1535" i="39"/>
  <c r="AC1535" i="39" s="1"/>
  <c r="Z1535" i="39"/>
  <c r="Y1535" i="39"/>
  <c r="AB1534" i="39"/>
  <c r="AA1534" i="39"/>
  <c r="AC1534" i="39" s="1"/>
  <c r="Z1534" i="39"/>
  <c r="Y1534" i="39"/>
  <c r="AB1533" i="39"/>
  <c r="AA1533" i="39"/>
  <c r="AC1533" i="39" s="1"/>
  <c r="Z1533" i="39"/>
  <c r="Y1533" i="39"/>
  <c r="AB1532" i="39"/>
  <c r="AA1532" i="39"/>
  <c r="AC1532" i="39" s="1"/>
  <c r="Z1532" i="39"/>
  <c r="Y1532" i="39"/>
  <c r="AB1531" i="39"/>
  <c r="AA1531" i="39"/>
  <c r="AC1531" i="39" s="1"/>
  <c r="Z1531" i="39"/>
  <c r="Y1531" i="39"/>
  <c r="AB1530" i="39"/>
  <c r="AA1530" i="39"/>
  <c r="AC1530" i="39" s="1"/>
  <c r="Z1530" i="39"/>
  <c r="Y1530" i="39"/>
  <c r="AB1529" i="39"/>
  <c r="AA1529" i="39"/>
  <c r="AC1529" i="39" s="1"/>
  <c r="Z1529" i="39"/>
  <c r="Y1529" i="39"/>
  <c r="AB1528" i="39"/>
  <c r="AA1528" i="39"/>
  <c r="AC1528" i="39" s="1"/>
  <c r="Z1528" i="39"/>
  <c r="Y1528" i="39"/>
  <c r="AB1527" i="39"/>
  <c r="AA1527" i="39"/>
  <c r="AC1527" i="39" s="1"/>
  <c r="Z1527" i="39"/>
  <c r="Y1527" i="39"/>
  <c r="AB1526" i="39"/>
  <c r="AA1526" i="39"/>
  <c r="AC1526" i="39" s="1"/>
  <c r="Z1526" i="39"/>
  <c r="Y1526" i="39"/>
  <c r="AB1525" i="39"/>
  <c r="AA1525" i="39"/>
  <c r="AC1525" i="39" s="1"/>
  <c r="Z1525" i="39"/>
  <c r="Y1525" i="39"/>
  <c r="AB1524" i="39"/>
  <c r="AA1524" i="39"/>
  <c r="AC1524" i="39" s="1"/>
  <c r="Z1524" i="39"/>
  <c r="Y1524" i="39"/>
  <c r="AB1523" i="39"/>
  <c r="AA1523" i="39"/>
  <c r="AC1523" i="39" s="1"/>
  <c r="Z1523" i="39"/>
  <c r="Y1523" i="39"/>
  <c r="AB1522" i="39"/>
  <c r="AA1522" i="39"/>
  <c r="AC1522" i="39" s="1"/>
  <c r="Z1522" i="39"/>
  <c r="Y1522" i="39"/>
  <c r="AB1521" i="39"/>
  <c r="AA1521" i="39"/>
  <c r="AC1521" i="39" s="1"/>
  <c r="Z1521" i="39"/>
  <c r="Y1521" i="39"/>
  <c r="AB1520" i="39"/>
  <c r="AA1520" i="39"/>
  <c r="AC1520" i="39" s="1"/>
  <c r="Z1520" i="39"/>
  <c r="Y1520" i="39"/>
  <c r="AB1519" i="39"/>
  <c r="AA1519" i="39"/>
  <c r="AC1519" i="39" s="1"/>
  <c r="Z1519" i="39"/>
  <c r="Y1519" i="39"/>
  <c r="AB1518" i="39"/>
  <c r="AA1518" i="39"/>
  <c r="AC1518" i="39" s="1"/>
  <c r="Z1518" i="39"/>
  <c r="Y1518" i="39"/>
  <c r="AB1517" i="39"/>
  <c r="AA1517" i="39"/>
  <c r="AC1517" i="39" s="1"/>
  <c r="Z1517" i="39"/>
  <c r="Y1517" i="39"/>
  <c r="AB1516" i="39"/>
  <c r="AA1516" i="39"/>
  <c r="AC1516" i="39" s="1"/>
  <c r="Z1516" i="39"/>
  <c r="Y1516" i="39"/>
  <c r="AB1515" i="39"/>
  <c r="AA1515" i="39"/>
  <c r="AC1515" i="39" s="1"/>
  <c r="Z1515" i="39"/>
  <c r="Y1515" i="39"/>
  <c r="AB1514" i="39"/>
  <c r="AA1514" i="39"/>
  <c r="AC1514" i="39" s="1"/>
  <c r="Z1514" i="39"/>
  <c r="Y1514" i="39"/>
  <c r="AB1513" i="39"/>
  <c r="AA1513" i="39"/>
  <c r="AC1513" i="39" s="1"/>
  <c r="Z1513" i="39"/>
  <c r="Y1513" i="39"/>
  <c r="AB1512" i="39"/>
  <c r="AA1512" i="39"/>
  <c r="AC1512" i="39" s="1"/>
  <c r="Z1512" i="39"/>
  <c r="Y1512" i="39"/>
  <c r="AB1511" i="39"/>
  <c r="AA1511" i="39"/>
  <c r="AC1511" i="39" s="1"/>
  <c r="Z1511" i="39"/>
  <c r="Y1511" i="39"/>
  <c r="AB1510" i="39"/>
  <c r="AA1510" i="39"/>
  <c r="AC1510" i="39" s="1"/>
  <c r="Z1510" i="39"/>
  <c r="Y1510" i="39"/>
  <c r="AB1509" i="39"/>
  <c r="AA1509" i="39"/>
  <c r="AC1509" i="39" s="1"/>
  <c r="Z1509" i="39"/>
  <c r="Y1509" i="39"/>
  <c r="AB1508" i="39"/>
  <c r="AA1508" i="39"/>
  <c r="AC1508" i="39" s="1"/>
  <c r="Z1508" i="39"/>
  <c r="Y1508" i="39"/>
  <c r="AB1507" i="39"/>
  <c r="AA1507" i="39"/>
  <c r="AC1507" i="39" s="1"/>
  <c r="Z1507" i="39"/>
  <c r="Y1507" i="39"/>
  <c r="AB1506" i="39"/>
  <c r="AA1506" i="39"/>
  <c r="AC1506" i="39" s="1"/>
  <c r="Z1506" i="39"/>
  <c r="Y1506" i="39"/>
  <c r="AB1505" i="39"/>
  <c r="AA1505" i="39"/>
  <c r="AC1505" i="39" s="1"/>
  <c r="Z1505" i="39"/>
  <c r="Y1505" i="39"/>
  <c r="AB1504" i="39"/>
  <c r="AA1504" i="39"/>
  <c r="AC1504" i="39" s="1"/>
  <c r="Z1504" i="39"/>
  <c r="Y1504" i="39"/>
  <c r="AB1503" i="39"/>
  <c r="AA1503" i="39"/>
  <c r="AC1503" i="39" s="1"/>
  <c r="Z1503" i="39"/>
  <c r="Y1503" i="39"/>
  <c r="AB1502" i="39"/>
  <c r="AA1502" i="39"/>
  <c r="AC1502" i="39" s="1"/>
  <c r="Z1502" i="39"/>
  <c r="Y1502" i="39"/>
  <c r="AB1501" i="39"/>
  <c r="AA1501" i="39"/>
  <c r="AC1501" i="39" s="1"/>
  <c r="Z1501" i="39"/>
  <c r="Y1501" i="39"/>
  <c r="AB1500" i="39"/>
  <c r="AA1500" i="39"/>
  <c r="AC1500" i="39" s="1"/>
  <c r="Z1500" i="39"/>
  <c r="Y1500" i="39"/>
  <c r="AB1499" i="39"/>
  <c r="AA1499" i="39"/>
  <c r="AC1499" i="39" s="1"/>
  <c r="Z1499" i="39"/>
  <c r="Y1499" i="39"/>
  <c r="AB1498" i="39"/>
  <c r="AA1498" i="39"/>
  <c r="AC1498" i="39" s="1"/>
  <c r="Z1498" i="39"/>
  <c r="Y1498" i="39"/>
  <c r="AB1497" i="39"/>
  <c r="AA1497" i="39"/>
  <c r="AC1497" i="39" s="1"/>
  <c r="Z1497" i="39"/>
  <c r="Y1497" i="39"/>
  <c r="AB1496" i="39"/>
  <c r="AA1496" i="39"/>
  <c r="AC1496" i="39" s="1"/>
  <c r="Z1496" i="39"/>
  <c r="Y1496" i="39"/>
  <c r="AB1495" i="39"/>
  <c r="AA1495" i="39"/>
  <c r="AC1495" i="39" s="1"/>
  <c r="Z1495" i="39"/>
  <c r="Y1495" i="39"/>
  <c r="AB1494" i="39"/>
  <c r="AA1494" i="39"/>
  <c r="AC1494" i="39" s="1"/>
  <c r="Z1494" i="39"/>
  <c r="Y1494" i="39"/>
  <c r="AB1493" i="39"/>
  <c r="AA1493" i="39"/>
  <c r="AC1493" i="39" s="1"/>
  <c r="Z1493" i="39"/>
  <c r="Y1493" i="39"/>
  <c r="AB1492" i="39"/>
  <c r="AA1492" i="39"/>
  <c r="AC1492" i="39" s="1"/>
  <c r="Z1492" i="39"/>
  <c r="Y1492" i="39"/>
  <c r="AB1491" i="39"/>
  <c r="AA1491" i="39"/>
  <c r="AC1491" i="39" s="1"/>
  <c r="Z1491" i="39"/>
  <c r="Y1491" i="39"/>
  <c r="AB1490" i="39"/>
  <c r="AA1490" i="39"/>
  <c r="AC1490" i="39" s="1"/>
  <c r="Z1490" i="39"/>
  <c r="Y1490" i="39"/>
  <c r="AB1489" i="39"/>
  <c r="AA1489" i="39"/>
  <c r="AC1489" i="39" s="1"/>
  <c r="Z1489" i="39"/>
  <c r="Y1489" i="39"/>
  <c r="AB1488" i="39"/>
  <c r="AA1488" i="39"/>
  <c r="AC1488" i="39" s="1"/>
  <c r="Z1488" i="39"/>
  <c r="Y1488" i="39"/>
  <c r="AB1487" i="39"/>
  <c r="AA1487" i="39"/>
  <c r="AC1487" i="39" s="1"/>
  <c r="Z1487" i="39"/>
  <c r="Y1487" i="39"/>
  <c r="AB1486" i="39"/>
  <c r="AA1486" i="39"/>
  <c r="AC1486" i="39" s="1"/>
  <c r="Z1486" i="39"/>
  <c r="Y1486" i="39"/>
  <c r="AB1485" i="39"/>
  <c r="AA1485" i="39"/>
  <c r="AC1485" i="39" s="1"/>
  <c r="Z1485" i="39"/>
  <c r="Y1485" i="39"/>
  <c r="AB1484" i="39"/>
  <c r="AA1484" i="39"/>
  <c r="AC1484" i="39" s="1"/>
  <c r="Z1484" i="39"/>
  <c r="Y1484" i="39"/>
  <c r="AB1483" i="39"/>
  <c r="AA1483" i="39"/>
  <c r="AC1483" i="39" s="1"/>
  <c r="Z1483" i="39"/>
  <c r="Y1483" i="39"/>
  <c r="AB1482" i="39"/>
  <c r="AA1482" i="39"/>
  <c r="AC1482" i="39" s="1"/>
  <c r="Z1482" i="39"/>
  <c r="Y1482" i="39"/>
  <c r="AB1481" i="39"/>
  <c r="AA1481" i="39"/>
  <c r="AC1481" i="39" s="1"/>
  <c r="Z1481" i="39"/>
  <c r="Y1481" i="39"/>
  <c r="AB1480" i="39"/>
  <c r="AA1480" i="39"/>
  <c r="AC1480" i="39" s="1"/>
  <c r="Z1480" i="39"/>
  <c r="Y1480" i="39"/>
  <c r="AB1479" i="39"/>
  <c r="AA1479" i="39"/>
  <c r="AC1479" i="39" s="1"/>
  <c r="Z1479" i="39"/>
  <c r="Y1479" i="39"/>
  <c r="AB1478" i="39"/>
  <c r="AA1478" i="39"/>
  <c r="AC1478" i="39" s="1"/>
  <c r="Z1478" i="39"/>
  <c r="Y1478" i="39"/>
  <c r="AB1477" i="39"/>
  <c r="AA1477" i="39"/>
  <c r="AC1477" i="39" s="1"/>
  <c r="Z1477" i="39"/>
  <c r="Y1477" i="39"/>
  <c r="AB1476" i="39"/>
  <c r="AA1476" i="39"/>
  <c r="AC1476" i="39" s="1"/>
  <c r="Z1476" i="39"/>
  <c r="Y1476" i="39"/>
  <c r="AB1475" i="39"/>
  <c r="AA1475" i="39"/>
  <c r="AC1475" i="39" s="1"/>
  <c r="Z1475" i="39"/>
  <c r="Y1475" i="39"/>
  <c r="AB1474" i="39"/>
  <c r="AA1474" i="39"/>
  <c r="AC1474" i="39" s="1"/>
  <c r="Z1474" i="39"/>
  <c r="Y1474" i="39"/>
  <c r="AB1473" i="39"/>
  <c r="AA1473" i="39"/>
  <c r="AC1473" i="39" s="1"/>
  <c r="Z1473" i="39"/>
  <c r="Y1473" i="39"/>
  <c r="AB1472" i="39"/>
  <c r="AA1472" i="39"/>
  <c r="AC1472" i="39" s="1"/>
  <c r="Z1472" i="39"/>
  <c r="Y1472" i="39"/>
  <c r="AB1471" i="39"/>
  <c r="AA1471" i="39"/>
  <c r="AC1471" i="39" s="1"/>
  <c r="Z1471" i="39"/>
  <c r="Y1471" i="39"/>
  <c r="AB1470" i="39"/>
  <c r="AA1470" i="39"/>
  <c r="AC1470" i="39" s="1"/>
  <c r="Z1470" i="39"/>
  <c r="Y1470" i="39"/>
  <c r="AB1469" i="39"/>
  <c r="AA1469" i="39"/>
  <c r="AC1469" i="39" s="1"/>
  <c r="Z1469" i="39"/>
  <c r="Y1469" i="39"/>
  <c r="AB1468" i="39"/>
  <c r="AA1468" i="39"/>
  <c r="AC1468" i="39" s="1"/>
  <c r="Z1468" i="39"/>
  <c r="Y1468" i="39"/>
  <c r="AB1467" i="39"/>
  <c r="AA1467" i="39"/>
  <c r="AC1467" i="39" s="1"/>
  <c r="Z1467" i="39"/>
  <c r="Y1467" i="39"/>
  <c r="AB1466" i="39"/>
  <c r="AA1466" i="39"/>
  <c r="AC1466" i="39" s="1"/>
  <c r="Z1466" i="39"/>
  <c r="Y1466" i="39"/>
  <c r="AB1465" i="39"/>
  <c r="AA1465" i="39"/>
  <c r="AC1465" i="39" s="1"/>
  <c r="Z1465" i="39"/>
  <c r="Y1465" i="39"/>
  <c r="AB1464" i="39"/>
  <c r="AA1464" i="39"/>
  <c r="AC1464" i="39" s="1"/>
  <c r="Z1464" i="39"/>
  <c r="Y1464" i="39"/>
  <c r="AB1463" i="39"/>
  <c r="AA1463" i="39"/>
  <c r="AC1463" i="39" s="1"/>
  <c r="Z1463" i="39"/>
  <c r="Y1463" i="39"/>
  <c r="AB1462" i="39"/>
  <c r="AA1462" i="39"/>
  <c r="AC1462" i="39" s="1"/>
  <c r="Z1462" i="39"/>
  <c r="Y1462" i="39"/>
  <c r="AB1461" i="39"/>
  <c r="AA1461" i="39"/>
  <c r="AC1461" i="39" s="1"/>
  <c r="Z1461" i="39"/>
  <c r="Y1461" i="39"/>
  <c r="AB1460" i="39"/>
  <c r="AA1460" i="39"/>
  <c r="AC1460" i="39" s="1"/>
  <c r="Z1460" i="39"/>
  <c r="Y1460" i="39"/>
  <c r="AB1459" i="39"/>
  <c r="AA1459" i="39"/>
  <c r="AC1459" i="39" s="1"/>
  <c r="Z1459" i="39"/>
  <c r="Y1459" i="39"/>
  <c r="AB1458" i="39"/>
  <c r="AA1458" i="39"/>
  <c r="AC1458" i="39" s="1"/>
  <c r="Z1458" i="39"/>
  <c r="Y1458" i="39"/>
  <c r="AB1457" i="39"/>
  <c r="AA1457" i="39"/>
  <c r="AC1457" i="39" s="1"/>
  <c r="Z1457" i="39"/>
  <c r="Y1457" i="39"/>
  <c r="AB1456" i="39"/>
  <c r="AA1456" i="39"/>
  <c r="AC1456" i="39" s="1"/>
  <c r="Z1456" i="39"/>
  <c r="Y1456" i="39"/>
  <c r="AB1455" i="39"/>
  <c r="AA1455" i="39"/>
  <c r="AC1455" i="39" s="1"/>
  <c r="Z1455" i="39"/>
  <c r="Y1455" i="39"/>
  <c r="AB1454" i="39"/>
  <c r="AA1454" i="39"/>
  <c r="AC1454" i="39" s="1"/>
  <c r="Z1454" i="39"/>
  <c r="Y1454" i="39"/>
  <c r="AB1453" i="39"/>
  <c r="AA1453" i="39"/>
  <c r="AC1453" i="39" s="1"/>
  <c r="Z1453" i="39"/>
  <c r="Y1453" i="39"/>
  <c r="AB1452" i="39"/>
  <c r="AA1452" i="39"/>
  <c r="AC1452" i="39" s="1"/>
  <c r="Z1452" i="39"/>
  <c r="Y1452" i="39"/>
  <c r="AB1451" i="39"/>
  <c r="AA1451" i="39"/>
  <c r="AC1451" i="39" s="1"/>
  <c r="Z1451" i="39"/>
  <c r="Y1451" i="39"/>
  <c r="AB1450" i="39"/>
  <c r="AA1450" i="39"/>
  <c r="AC1450" i="39" s="1"/>
  <c r="Z1450" i="39"/>
  <c r="Y1450" i="39"/>
  <c r="AB1449" i="39"/>
  <c r="AA1449" i="39"/>
  <c r="AC1449" i="39" s="1"/>
  <c r="Z1449" i="39"/>
  <c r="Y1449" i="39"/>
  <c r="AB1448" i="39"/>
  <c r="AA1448" i="39"/>
  <c r="AC1448" i="39" s="1"/>
  <c r="Z1448" i="39"/>
  <c r="Y1448" i="39"/>
  <c r="AB1447" i="39"/>
  <c r="AA1447" i="39"/>
  <c r="AC1447" i="39" s="1"/>
  <c r="Z1447" i="39"/>
  <c r="Y1447" i="39"/>
  <c r="AB1446" i="39"/>
  <c r="AA1446" i="39"/>
  <c r="AC1446" i="39" s="1"/>
  <c r="Z1446" i="39"/>
  <c r="Y1446" i="39"/>
  <c r="AB1445" i="39"/>
  <c r="AA1445" i="39"/>
  <c r="AC1445" i="39" s="1"/>
  <c r="Z1445" i="39"/>
  <c r="Y1445" i="39"/>
  <c r="AB1444" i="39"/>
  <c r="AA1444" i="39"/>
  <c r="AC1444" i="39" s="1"/>
  <c r="Z1444" i="39"/>
  <c r="Y1444" i="39"/>
  <c r="AB1443" i="39"/>
  <c r="AA1443" i="39"/>
  <c r="AC1443" i="39" s="1"/>
  <c r="Z1443" i="39"/>
  <c r="Y1443" i="39"/>
  <c r="AB1442" i="39"/>
  <c r="AA1442" i="39"/>
  <c r="AC1442" i="39" s="1"/>
  <c r="Z1442" i="39"/>
  <c r="Y1442" i="39"/>
  <c r="AB1441" i="39"/>
  <c r="AA1441" i="39"/>
  <c r="AC1441" i="39" s="1"/>
  <c r="Z1441" i="39"/>
  <c r="Y1441" i="39"/>
  <c r="AB1440" i="39"/>
  <c r="AA1440" i="39"/>
  <c r="AC1440" i="39" s="1"/>
  <c r="Z1440" i="39"/>
  <c r="Y1440" i="39"/>
  <c r="AB1439" i="39"/>
  <c r="AA1439" i="39"/>
  <c r="AC1439" i="39" s="1"/>
  <c r="Z1439" i="39"/>
  <c r="Y1439" i="39"/>
  <c r="AB1438" i="39"/>
  <c r="AA1438" i="39"/>
  <c r="AC1438" i="39" s="1"/>
  <c r="Z1438" i="39"/>
  <c r="Y1438" i="39"/>
  <c r="AB1437" i="39"/>
  <c r="AA1437" i="39"/>
  <c r="AC1437" i="39" s="1"/>
  <c r="Z1437" i="39"/>
  <c r="Y1437" i="39"/>
  <c r="AB1436" i="39"/>
  <c r="AA1436" i="39"/>
  <c r="AC1436" i="39" s="1"/>
  <c r="Z1436" i="39"/>
  <c r="Y1436" i="39"/>
  <c r="AB1435" i="39"/>
  <c r="AA1435" i="39"/>
  <c r="AC1435" i="39" s="1"/>
  <c r="Z1435" i="39"/>
  <c r="Y1435" i="39"/>
  <c r="AB1434" i="39"/>
  <c r="AA1434" i="39"/>
  <c r="AC1434" i="39" s="1"/>
  <c r="Z1434" i="39"/>
  <c r="Y1434" i="39"/>
  <c r="AB1433" i="39"/>
  <c r="AA1433" i="39"/>
  <c r="AC1433" i="39" s="1"/>
  <c r="Z1433" i="39"/>
  <c r="Y1433" i="39"/>
  <c r="AB1432" i="39"/>
  <c r="AA1432" i="39"/>
  <c r="AC1432" i="39" s="1"/>
  <c r="Z1432" i="39"/>
  <c r="Y1432" i="39"/>
  <c r="AB1431" i="39"/>
  <c r="AA1431" i="39"/>
  <c r="AC1431" i="39" s="1"/>
  <c r="Z1431" i="39"/>
  <c r="Y1431" i="39"/>
  <c r="AB1430" i="39"/>
  <c r="AA1430" i="39"/>
  <c r="AC1430" i="39" s="1"/>
  <c r="Z1430" i="39"/>
  <c r="Y1430" i="39"/>
  <c r="AB1429" i="39"/>
  <c r="AA1429" i="39"/>
  <c r="AC1429" i="39" s="1"/>
  <c r="Z1429" i="39"/>
  <c r="Y1429" i="39"/>
  <c r="AB1428" i="39"/>
  <c r="AA1428" i="39"/>
  <c r="AC1428" i="39" s="1"/>
  <c r="Z1428" i="39"/>
  <c r="Y1428" i="39"/>
  <c r="AB1427" i="39"/>
  <c r="AA1427" i="39"/>
  <c r="AC1427" i="39" s="1"/>
  <c r="Z1427" i="39"/>
  <c r="Y1427" i="39"/>
  <c r="AB1426" i="39"/>
  <c r="AA1426" i="39"/>
  <c r="AC1426" i="39" s="1"/>
  <c r="Z1426" i="39"/>
  <c r="Y1426" i="39"/>
  <c r="AB1425" i="39"/>
  <c r="AA1425" i="39"/>
  <c r="AC1425" i="39" s="1"/>
  <c r="Z1425" i="39"/>
  <c r="Y1425" i="39"/>
  <c r="AB1424" i="39"/>
  <c r="AA1424" i="39"/>
  <c r="AC1424" i="39" s="1"/>
  <c r="Z1424" i="39"/>
  <c r="Y1424" i="39"/>
  <c r="AB1423" i="39"/>
  <c r="AA1423" i="39"/>
  <c r="AC1423" i="39" s="1"/>
  <c r="Z1423" i="39"/>
  <c r="Y1423" i="39"/>
  <c r="AB1422" i="39"/>
  <c r="AA1422" i="39"/>
  <c r="AC1422" i="39" s="1"/>
  <c r="Z1422" i="39"/>
  <c r="Y1422" i="39"/>
  <c r="AB1421" i="39"/>
  <c r="AA1421" i="39"/>
  <c r="AC1421" i="39" s="1"/>
  <c r="Z1421" i="39"/>
  <c r="Y1421" i="39"/>
  <c r="AB1420" i="39"/>
  <c r="AA1420" i="39"/>
  <c r="AC1420" i="39" s="1"/>
  <c r="Z1420" i="39"/>
  <c r="Y1420" i="39"/>
  <c r="AB1419" i="39"/>
  <c r="AA1419" i="39"/>
  <c r="AC1419" i="39" s="1"/>
  <c r="Z1419" i="39"/>
  <c r="Y1419" i="39"/>
  <c r="AB1418" i="39"/>
  <c r="AA1418" i="39"/>
  <c r="AC1418" i="39" s="1"/>
  <c r="Z1418" i="39"/>
  <c r="Y1418" i="39"/>
  <c r="AB1417" i="39"/>
  <c r="AA1417" i="39"/>
  <c r="AC1417" i="39" s="1"/>
  <c r="Z1417" i="39"/>
  <c r="Y1417" i="39"/>
  <c r="AB1416" i="39"/>
  <c r="AA1416" i="39"/>
  <c r="AC1416" i="39" s="1"/>
  <c r="Z1416" i="39"/>
  <c r="Y1416" i="39"/>
  <c r="AB1415" i="39"/>
  <c r="AA1415" i="39"/>
  <c r="AC1415" i="39" s="1"/>
  <c r="Z1415" i="39"/>
  <c r="Y1415" i="39"/>
  <c r="AB1414" i="39"/>
  <c r="AA1414" i="39"/>
  <c r="AC1414" i="39" s="1"/>
  <c r="Z1414" i="39"/>
  <c r="Y1414" i="39"/>
  <c r="AB1413" i="39"/>
  <c r="AA1413" i="39"/>
  <c r="AC1413" i="39" s="1"/>
  <c r="Z1413" i="39"/>
  <c r="Y1413" i="39"/>
  <c r="AB1412" i="39"/>
  <c r="AA1412" i="39"/>
  <c r="AC1412" i="39" s="1"/>
  <c r="Z1412" i="39"/>
  <c r="Y1412" i="39"/>
  <c r="AB1411" i="39"/>
  <c r="AA1411" i="39"/>
  <c r="AC1411" i="39" s="1"/>
  <c r="Z1411" i="39"/>
  <c r="Y1411" i="39"/>
  <c r="AB1410" i="39"/>
  <c r="AA1410" i="39"/>
  <c r="AC1410" i="39" s="1"/>
  <c r="Z1410" i="39"/>
  <c r="Y1410" i="39"/>
  <c r="AB1409" i="39"/>
  <c r="AA1409" i="39"/>
  <c r="AC1409" i="39" s="1"/>
  <c r="Z1409" i="39"/>
  <c r="Y1409" i="39"/>
  <c r="AB1408" i="39"/>
  <c r="AA1408" i="39"/>
  <c r="AC1408" i="39" s="1"/>
  <c r="Z1408" i="39"/>
  <c r="Y1408" i="39"/>
  <c r="AB1407" i="39"/>
  <c r="AA1407" i="39"/>
  <c r="AC1407" i="39" s="1"/>
  <c r="Z1407" i="39"/>
  <c r="Y1407" i="39"/>
  <c r="AB1406" i="39"/>
  <c r="AA1406" i="39"/>
  <c r="AC1406" i="39" s="1"/>
  <c r="Z1406" i="39"/>
  <c r="Y1406" i="39"/>
  <c r="AB1405" i="39"/>
  <c r="AA1405" i="39"/>
  <c r="AC1405" i="39" s="1"/>
  <c r="Z1405" i="39"/>
  <c r="Y1405" i="39"/>
  <c r="AB1404" i="39"/>
  <c r="AA1404" i="39"/>
  <c r="AC1404" i="39" s="1"/>
  <c r="Z1404" i="39"/>
  <c r="Y1404" i="39"/>
  <c r="AB1403" i="39"/>
  <c r="AA1403" i="39"/>
  <c r="AC1403" i="39" s="1"/>
  <c r="Z1403" i="39"/>
  <c r="Y1403" i="39"/>
  <c r="AB1402" i="39"/>
  <c r="AA1402" i="39"/>
  <c r="AC1402" i="39" s="1"/>
  <c r="Z1402" i="39"/>
  <c r="Y1402" i="39"/>
  <c r="AB1401" i="39"/>
  <c r="AA1401" i="39"/>
  <c r="AC1401" i="39" s="1"/>
  <c r="Z1401" i="39"/>
  <c r="Y1401" i="39"/>
  <c r="AB1400" i="39"/>
  <c r="AA1400" i="39"/>
  <c r="AC1400" i="39" s="1"/>
  <c r="Z1400" i="39"/>
  <c r="Y1400" i="39"/>
  <c r="AB1399" i="39"/>
  <c r="AA1399" i="39"/>
  <c r="AC1399" i="39" s="1"/>
  <c r="Z1399" i="39"/>
  <c r="Y1399" i="39"/>
  <c r="AB1398" i="39"/>
  <c r="AA1398" i="39"/>
  <c r="AC1398" i="39" s="1"/>
  <c r="Z1398" i="39"/>
  <c r="Y1398" i="39"/>
  <c r="AB1397" i="39"/>
  <c r="AA1397" i="39"/>
  <c r="AC1397" i="39" s="1"/>
  <c r="Z1397" i="39"/>
  <c r="Y1397" i="39"/>
  <c r="AB1396" i="39"/>
  <c r="AA1396" i="39"/>
  <c r="AC1396" i="39" s="1"/>
  <c r="Z1396" i="39"/>
  <c r="Y1396" i="39"/>
  <c r="AB1395" i="39"/>
  <c r="AA1395" i="39"/>
  <c r="AC1395" i="39" s="1"/>
  <c r="Z1395" i="39"/>
  <c r="Y1395" i="39"/>
  <c r="AB1394" i="39"/>
  <c r="AA1394" i="39"/>
  <c r="AC1394" i="39" s="1"/>
  <c r="Z1394" i="39"/>
  <c r="Y1394" i="39"/>
  <c r="AB1393" i="39"/>
  <c r="AA1393" i="39"/>
  <c r="AC1393" i="39" s="1"/>
  <c r="Z1393" i="39"/>
  <c r="Y1393" i="39"/>
  <c r="AB1392" i="39"/>
  <c r="AA1392" i="39"/>
  <c r="AC1392" i="39" s="1"/>
  <c r="Z1392" i="39"/>
  <c r="Y1392" i="39"/>
  <c r="AB1391" i="39"/>
  <c r="AA1391" i="39"/>
  <c r="AC1391" i="39" s="1"/>
  <c r="Z1391" i="39"/>
  <c r="Y1391" i="39"/>
  <c r="AB1390" i="39"/>
  <c r="AA1390" i="39"/>
  <c r="AC1390" i="39" s="1"/>
  <c r="Z1390" i="39"/>
  <c r="Y1390" i="39"/>
  <c r="AB1389" i="39"/>
  <c r="AA1389" i="39"/>
  <c r="AC1389" i="39" s="1"/>
  <c r="Z1389" i="39"/>
  <c r="Y1389" i="39"/>
  <c r="AB1388" i="39"/>
  <c r="AA1388" i="39"/>
  <c r="AC1388" i="39" s="1"/>
  <c r="Z1388" i="39"/>
  <c r="Y1388" i="39"/>
  <c r="AB1387" i="39"/>
  <c r="AA1387" i="39"/>
  <c r="AC1387" i="39" s="1"/>
  <c r="Z1387" i="39"/>
  <c r="Y1387" i="39"/>
  <c r="AB1386" i="39"/>
  <c r="AA1386" i="39"/>
  <c r="AC1386" i="39" s="1"/>
  <c r="Z1386" i="39"/>
  <c r="Y1386" i="39"/>
  <c r="AB1385" i="39"/>
  <c r="AA1385" i="39"/>
  <c r="AC1385" i="39" s="1"/>
  <c r="Z1385" i="39"/>
  <c r="Y1385" i="39"/>
  <c r="AB1384" i="39"/>
  <c r="AA1384" i="39"/>
  <c r="AC1384" i="39" s="1"/>
  <c r="Z1384" i="39"/>
  <c r="Y1384" i="39"/>
  <c r="AB1383" i="39"/>
  <c r="AA1383" i="39"/>
  <c r="AC1383" i="39" s="1"/>
  <c r="Z1383" i="39"/>
  <c r="Y1383" i="39"/>
  <c r="AB1382" i="39"/>
  <c r="AA1382" i="39"/>
  <c r="AC1382" i="39" s="1"/>
  <c r="Z1382" i="39"/>
  <c r="Y1382" i="39"/>
  <c r="AB1381" i="39"/>
  <c r="AA1381" i="39"/>
  <c r="AC1381" i="39" s="1"/>
  <c r="Z1381" i="39"/>
  <c r="Y1381" i="39"/>
  <c r="AB1380" i="39"/>
  <c r="AA1380" i="39"/>
  <c r="AC1380" i="39" s="1"/>
  <c r="Z1380" i="39"/>
  <c r="Y1380" i="39"/>
  <c r="AB1379" i="39"/>
  <c r="AA1379" i="39"/>
  <c r="AC1379" i="39" s="1"/>
  <c r="Z1379" i="39"/>
  <c r="Y1379" i="39"/>
  <c r="AB1378" i="39"/>
  <c r="AA1378" i="39"/>
  <c r="AC1378" i="39" s="1"/>
  <c r="Z1378" i="39"/>
  <c r="Y1378" i="39"/>
  <c r="AB1377" i="39"/>
  <c r="AA1377" i="39"/>
  <c r="AC1377" i="39" s="1"/>
  <c r="Z1377" i="39"/>
  <c r="Y1377" i="39"/>
  <c r="AB1376" i="39"/>
  <c r="AA1376" i="39"/>
  <c r="AC1376" i="39" s="1"/>
  <c r="Z1376" i="39"/>
  <c r="Y1376" i="39"/>
  <c r="AB1375" i="39"/>
  <c r="AA1375" i="39"/>
  <c r="AC1375" i="39" s="1"/>
  <c r="Z1375" i="39"/>
  <c r="Y1375" i="39"/>
  <c r="AB1374" i="39"/>
  <c r="AA1374" i="39"/>
  <c r="AC1374" i="39" s="1"/>
  <c r="Z1374" i="39"/>
  <c r="Y1374" i="39"/>
  <c r="AB1373" i="39"/>
  <c r="AA1373" i="39"/>
  <c r="AC1373" i="39" s="1"/>
  <c r="Z1373" i="39"/>
  <c r="Y1373" i="39"/>
  <c r="AB1372" i="39"/>
  <c r="AA1372" i="39"/>
  <c r="AC1372" i="39" s="1"/>
  <c r="Z1372" i="39"/>
  <c r="Y1372" i="39"/>
  <c r="AB1371" i="39"/>
  <c r="AA1371" i="39"/>
  <c r="AC1371" i="39" s="1"/>
  <c r="Z1371" i="39"/>
  <c r="Y1371" i="39"/>
  <c r="AB1370" i="39"/>
  <c r="AA1370" i="39"/>
  <c r="AC1370" i="39" s="1"/>
  <c r="Z1370" i="39"/>
  <c r="Y1370" i="39"/>
  <c r="AB1369" i="39"/>
  <c r="AA1369" i="39"/>
  <c r="AC1369" i="39" s="1"/>
  <c r="Z1369" i="39"/>
  <c r="Y1369" i="39"/>
  <c r="AB1368" i="39"/>
  <c r="AA1368" i="39"/>
  <c r="AC1368" i="39" s="1"/>
  <c r="Z1368" i="39"/>
  <c r="Y1368" i="39"/>
  <c r="AB1367" i="39"/>
  <c r="AA1367" i="39"/>
  <c r="AC1367" i="39" s="1"/>
  <c r="Z1367" i="39"/>
  <c r="Y1367" i="39"/>
  <c r="AB1366" i="39"/>
  <c r="AA1366" i="39"/>
  <c r="AC1366" i="39" s="1"/>
  <c r="Z1366" i="39"/>
  <c r="Y1366" i="39"/>
  <c r="AB1365" i="39"/>
  <c r="AA1365" i="39"/>
  <c r="AC1365" i="39" s="1"/>
  <c r="Z1365" i="39"/>
  <c r="Y1365" i="39"/>
  <c r="AB1364" i="39"/>
  <c r="AA1364" i="39"/>
  <c r="AC1364" i="39" s="1"/>
  <c r="Z1364" i="39"/>
  <c r="Y1364" i="39"/>
  <c r="AB1363" i="39"/>
  <c r="AA1363" i="39"/>
  <c r="AC1363" i="39" s="1"/>
  <c r="Z1363" i="39"/>
  <c r="Y1363" i="39"/>
  <c r="AB1362" i="39"/>
  <c r="AA1362" i="39"/>
  <c r="AC1362" i="39" s="1"/>
  <c r="Z1362" i="39"/>
  <c r="Y1362" i="39"/>
  <c r="AB1361" i="39"/>
  <c r="AA1361" i="39"/>
  <c r="AC1361" i="39" s="1"/>
  <c r="Z1361" i="39"/>
  <c r="Y1361" i="39"/>
  <c r="AB1360" i="39"/>
  <c r="AA1360" i="39"/>
  <c r="AC1360" i="39" s="1"/>
  <c r="Z1360" i="39"/>
  <c r="Y1360" i="39"/>
  <c r="AB1359" i="39"/>
  <c r="AA1359" i="39"/>
  <c r="AC1359" i="39" s="1"/>
  <c r="Z1359" i="39"/>
  <c r="Y1359" i="39"/>
  <c r="AB1358" i="39"/>
  <c r="AA1358" i="39"/>
  <c r="AC1358" i="39" s="1"/>
  <c r="Z1358" i="39"/>
  <c r="Y1358" i="39"/>
  <c r="AB1357" i="39"/>
  <c r="AA1357" i="39"/>
  <c r="AC1357" i="39" s="1"/>
  <c r="Z1357" i="39"/>
  <c r="Y1357" i="39"/>
  <c r="AB1356" i="39"/>
  <c r="AA1356" i="39"/>
  <c r="AC1356" i="39" s="1"/>
  <c r="Z1356" i="39"/>
  <c r="Y1356" i="39"/>
  <c r="AB1355" i="39"/>
  <c r="AA1355" i="39"/>
  <c r="AC1355" i="39" s="1"/>
  <c r="Z1355" i="39"/>
  <c r="Y1355" i="39"/>
  <c r="AB1354" i="39"/>
  <c r="AA1354" i="39"/>
  <c r="AC1354" i="39" s="1"/>
  <c r="Z1354" i="39"/>
  <c r="Y1354" i="39"/>
  <c r="AB1353" i="39"/>
  <c r="AA1353" i="39"/>
  <c r="AC1353" i="39" s="1"/>
  <c r="Z1353" i="39"/>
  <c r="Y1353" i="39"/>
  <c r="AB1352" i="39"/>
  <c r="AA1352" i="39"/>
  <c r="AC1352" i="39" s="1"/>
  <c r="Z1352" i="39"/>
  <c r="Y1352" i="39"/>
  <c r="AB1351" i="39"/>
  <c r="AA1351" i="39"/>
  <c r="AC1351" i="39" s="1"/>
  <c r="Z1351" i="39"/>
  <c r="Y1351" i="39"/>
  <c r="AB1350" i="39"/>
  <c r="AA1350" i="39"/>
  <c r="AC1350" i="39" s="1"/>
  <c r="Z1350" i="39"/>
  <c r="Y1350" i="39"/>
  <c r="AB1349" i="39"/>
  <c r="AA1349" i="39"/>
  <c r="AC1349" i="39" s="1"/>
  <c r="Z1349" i="39"/>
  <c r="Y1349" i="39"/>
  <c r="AB1348" i="39"/>
  <c r="AA1348" i="39"/>
  <c r="AC1348" i="39" s="1"/>
  <c r="Z1348" i="39"/>
  <c r="Y1348" i="39"/>
  <c r="AB1347" i="39"/>
  <c r="AA1347" i="39"/>
  <c r="AC1347" i="39" s="1"/>
  <c r="Z1347" i="39"/>
  <c r="Y1347" i="39"/>
  <c r="AB1346" i="39"/>
  <c r="AA1346" i="39"/>
  <c r="AC1346" i="39" s="1"/>
  <c r="Z1346" i="39"/>
  <c r="Y1346" i="39"/>
  <c r="AB1345" i="39"/>
  <c r="AA1345" i="39"/>
  <c r="AC1345" i="39" s="1"/>
  <c r="Z1345" i="39"/>
  <c r="Y1345" i="39"/>
  <c r="AB1344" i="39"/>
  <c r="AA1344" i="39"/>
  <c r="AC1344" i="39" s="1"/>
  <c r="Z1344" i="39"/>
  <c r="Y1344" i="39"/>
  <c r="AB1343" i="39"/>
  <c r="AA1343" i="39"/>
  <c r="AC1343" i="39" s="1"/>
  <c r="Z1343" i="39"/>
  <c r="Y1343" i="39"/>
  <c r="AB1342" i="39"/>
  <c r="AA1342" i="39"/>
  <c r="AC1342" i="39" s="1"/>
  <c r="Z1342" i="39"/>
  <c r="Y1342" i="39"/>
  <c r="AB1341" i="39"/>
  <c r="AA1341" i="39"/>
  <c r="AC1341" i="39" s="1"/>
  <c r="Z1341" i="39"/>
  <c r="Y1341" i="39"/>
  <c r="AB1340" i="39"/>
  <c r="AA1340" i="39"/>
  <c r="AC1340" i="39" s="1"/>
  <c r="Z1340" i="39"/>
  <c r="Y1340" i="39"/>
  <c r="AB1339" i="39"/>
  <c r="AA1339" i="39"/>
  <c r="AC1339" i="39" s="1"/>
  <c r="Z1339" i="39"/>
  <c r="Y1339" i="39"/>
  <c r="AB1338" i="39"/>
  <c r="AA1338" i="39"/>
  <c r="AC1338" i="39" s="1"/>
  <c r="Z1338" i="39"/>
  <c r="Y1338" i="39"/>
  <c r="AB1337" i="39"/>
  <c r="AA1337" i="39"/>
  <c r="AC1337" i="39" s="1"/>
  <c r="Z1337" i="39"/>
  <c r="Y1337" i="39"/>
  <c r="AB1336" i="39"/>
  <c r="AA1336" i="39"/>
  <c r="AC1336" i="39" s="1"/>
  <c r="Z1336" i="39"/>
  <c r="Y1336" i="39"/>
  <c r="AB1335" i="39"/>
  <c r="AA1335" i="39"/>
  <c r="AC1335" i="39" s="1"/>
  <c r="Z1335" i="39"/>
  <c r="Y1335" i="39"/>
  <c r="AB1334" i="39"/>
  <c r="AA1334" i="39"/>
  <c r="AC1334" i="39" s="1"/>
  <c r="Z1334" i="39"/>
  <c r="Y1334" i="39"/>
  <c r="AB1333" i="39"/>
  <c r="AA1333" i="39"/>
  <c r="AC1333" i="39" s="1"/>
  <c r="Z1333" i="39"/>
  <c r="Y1333" i="39"/>
  <c r="AB1332" i="39"/>
  <c r="AA1332" i="39"/>
  <c r="AC1332" i="39" s="1"/>
  <c r="Z1332" i="39"/>
  <c r="Y1332" i="39"/>
  <c r="AB1331" i="39"/>
  <c r="AA1331" i="39"/>
  <c r="AC1331" i="39" s="1"/>
  <c r="Z1331" i="39"/>
  <c r="Y1331" i="39"/>
  <c r="AB1330" i="39"/>
  <c r="AA1330" i="39"/>
  <c r="AC1330" i="39" s="1"/>
  <c r="Z1330" i="39"/>
  <c r="Y1330" i="39"/>
  <c r="AB1329" i="39"/>
  <c r="AA1329" i="39"/>
  <c r="AC1329" i="39" s="1"/>
  <c r="Z1329" i="39"/>
  <c r="Y1329" i="39"/>
  <c r="AB1328" i="39"/>
  <c r="AA1328" i="39"/>
  <c r="AC1328" i="39" s="1"/>
  <c r="Z1328" i="39"/>
  <c r="Y1328" i="39"/>
  <c r="AB1327" i="39"/>
  <c r="AA1327" i="39"/>
  <c r="AC1327" i="39" s="1"/>
  <c r="Z1327" i="39"/>
  <c r="Y1327" i="39"/>
  <c r="AB1326" i="39"/>
  <c r="AA1326" i="39"/>
  <c r="AC1326" i="39" s="1"/>
  <c r="Z1326" i="39"/>
  <c r="Y1326" i="39"/>
  <c r="AB1325" i="39"/>
  <c r="AA1325" i="39"/>
  <c r="AC1325" i="39" s="1"/>
  <c r="Z1325" i="39"/>
  <c r="Y1325" i="39"/>
  <c r="AB1324" i="39"/>
  <c r="AA1324" i="39"/>
  <c r="AC1324" i="39" s="1"/>
  <c r="Z1324" i="39"/>
  <c r="Y1324" i="39"/>
  <c r="AB1323" i="39"/>
  <c r="AA1323" i="39"/>
  <c r="AC1323" i="39" s="1"/>
  <c r="Z1323" i="39"/>
  <c r="Y1323" i="39"/>
  <c r="AB1322" i="39"/>
  <c r="AA1322" i="39"/>
  <c r="AC1322" i="39" s="1"/>
  <c r="Z1322" i="39"/>
  <c r="Y1322" i="39"/>
  <c r="AB1321" i="39"/>
  <c r="AA1321" i="39"/>
  <c r="AC1321" i="39" s="1"/>
  <c r="Z1321" i="39"/>
  <c r="Y1321" i="39"/>
  <c r="AB1320" i="39"/>
  <c r="AA1320" i="39"/>
  <c r="AC1320" i="39" s="1"/>
  <c r="Z1320" i="39"/>
  <c r="Y1320" i="39"/>
  <c r="AB1319" i="39"/>
  <c r="AA1319" i="39"/>
  <c r="AC1319" i="39" s="1"/>
  <c r="Z1319" i="39"/>
  <c r="Y1319" i="39"/>
  <c r="AB1318" i="39"/>
  <c r="AA1318" i="39"/>
  <c r="AC1318" i="39" s="1"/>
  <c r="Z1318" i="39"/>
  <c r="Y1318" i="39"/>
  <c r="AB1317" i="39"/>
  <c r="AA1317" i="39"/>
  <c r="AC1317" i="39" s="1"/>
  <c r="Z1317" i="39"/>
  <c r="Y1317" i="39"/>
  <c r="AB1316" i="39"/>
  <c r="AA1316" i="39"/>
  <c r="AC1316" i="39" s="1"/>
  <c r="Z1316" i="39"/>
  <c r="Y1316" i="39"/>
  <c r="AB1315" i="39"/>
  <c r="AA1315" i="39"/>
  <c r="AC1315" i="39" s="1"/>
  <c r="Z1315" i="39"/>
  <c r="Y1315" i="39"/>
  <c r="AB1314" i="39"/>
  <c r="AA1314" i="39"/>
  <c r="AC1314" i="39" s="1"/>
  <c r="Z1314" i="39"/>
  <c r="Y1314" i="39"/>
  <c r="AB1313" i="39"/>
  <c r="AA1313" i="39"/>
  <c r="AC1313" i="39" s="1"/>
  <c r="Z1313" i="39"/>
  <c r="Y1313" i="39"/>
  <c r="AB1312" i="39"/>
  <c r="AA1312" i="39"/>
  <c r="AC1312" i="39" s="1"/>
  <c r="Z1312" i="39"/>
  <c r="Y1312" i="39"/>
  <c r="AB1311" i="39"/>
  <c r="AA1311" i="39"/>
  <c r="AC1311" i="39" s="1"/>
  <c r="Z1311" i="39"/>
  <c r="Y1311" i="39"/>
  <c r="AB1310" i="39"/>
  <c r="AA1310" i="39"/>
  <c r="AC1310" i="39" s="1"/>
  <c r="Z1310" i="39"/>
  <c r="Y1310" i="39"/>
  <c r="AB1309" i="39"/>
  <c r="AA1309" i="39"/>
  <c r="AC1309" i="39" s="1"/>
  <c r="Z1309" i="39"/>
  <c r="Y1309" i="39"/>
  <c r="AB1308" i="39"/>
  <c r="AA1308" i="39"/>
  <c r="AC1308" i="39" s="1"/>
  <c r="Z1308" i="39"/>
  <c r="Y1308" i="39"/>
  <c r="AB1307" i="39"/>
  <c r="AA1307" i="39"/>
  <c r="AC1307" i="39" s="1"/>
  <c r="Z1307" i="39"/>
  <c r="Y1307" i="39"/>
  <c r="AB1306" i="39"/>
  <c r="AA1306" i="39"/>
  <c r="AC1306" i="39" s="1"/>
  <c r="Z1306" i="39"/>
  <c r="Y1306" i="39"/>
  <c r="AB1305" i="39"/>
  <c r="AA1305" i="39"/>
  <c r="AC1305" i="39" s="1"/>
  <c r="Z1305" i="39"/>
  <c r="Y1305" i="39"/>
  <c r="AB1304" i="39"/>
  <c r="AA1304" i="39"/>
  <c r="AC1304" i="39" s="1"/>
  <c r="Z1304" i="39"/>
  <c r="Y1304" i="39"/>
  <c r="AB1303" i="39"/>
  <c r="AA1303" i="39"/>
  <c r="AC1303" i="39" s="1"/>
  <c r="Z1303" i="39"/>
  <c r="Y1303" i="39"/>
  <c r="AB1302" i="39"/>
  <c r="AA1302" i="39"/>
  <c r="AC1302" i="39" s="1"/>
  <c r="Z1302" i="39"/>
  <c r="Y1302" i="39"/>
  <c r="AB1301" i="39"/>
  <c r="AA1301" i="39"/>
  <c r="AC1301" i="39" s="1"/>
  <c r="Z1301" i="39"/>
  <c r="Y1301" i="39"/>
  <c r="AB1300" i="39"/>
  <c r="AA1300" i="39"/>
  <c r="AC1300" i="39" s="1"/>
  <c r="Z1300" i="39"/>
  <c r="Y1300" i="39"/>
  <c r="AB1299" i="39"/>
  <c r="AA1299" i="39"/>
  <c r="AC1299" i="39" s="1"/>
  <c r="Z1299" i="39"/>
  <c r="Y1299" i="39"/>
  <c r="AB1298" i="39"/>
  <c r="AA1298" i="39"/>
  <c r="AC1298" i="39" s="1"/>
  <c r="Z1298" i="39"/>
  <c r="Y1298" i="39"/>
  <c r="AB1297" i="39"/>
  <c r="AA1297" i="39"/>
  <c r="AC1297" i="39" s="1"/>
  <c r="Z1297" i="39"/>
  <c r="Y1297" i="39"/>
  <c r="AB1296" i="39"/>
  <c r="AA1296" i="39"/>
  <c r="AC1296" i="39" s="1"/>
  <c r="Z1296" i="39"/>
  <c r="Y1296" i="39"/>
  <c r="AB1295" i="39"/>
  <c r="AA1295" i="39"/>
  <c r="AC1295" i="39" s="1"/>
  <c r="Z1295" i="39"/>
  <c r="Y1295" i="39"/>
  <c r="AB1294" i="39"/>
  <c r="AA1294" i="39"/>
  <c r="AC1294" i="39" s="1"/>
  <c r="Z1294" i="39"/>
  <c r="Y1294" i="39"/>
  <c r="AB1293" i="39"/>
  <c r="AA1293" i="39"/>
  <c r="AC1293" i="39" s="1"/>
  <c r="Z1293" i="39"/>
  <c r="Y1293" i="39"/>
  <c r="AB1292" i="39"/>
  <c r="AA1292" i="39"/>
  <c r="AC1292" i="39" s="1"/>
  <c r="Z1292" i="39"/>
  <c r="Y1292" i="39"/>
  <c r="AB1291" i="39"/>
  <c r="AA1291" i="39"/>
  <c r="AC1291" i="39" s="1"/>
  <c r="Z1291" i="39"/>
  <c r="Y1291" i="39"/>
  <c r="AB1290" i="39"/>
  <c r="AA1290" i="39"/>
  <c r="AC1290" i="39" s="1"/>
  <c r="Z1290" i="39"/>
  <c r="Y1290" i="39"/>
  <c r="AB1289" i="39"/>
  <c r="AA1289" i="39"/>
  <c r="AC1289" i="39" s="1"/>
  <c r="Z1289" i="39"/>
  <c r="Y1289" i="39"/>
  <c r="AB1288" i="39"/>
  <c r="AA1288" i="39"/>
  <c r="AC1288" i="39" s="1"/>
  <c r="Z1288" i="39"/>
  <c r="Y1288" i="39"/>
  <c r="AB1287" i="39"/>
  <c r="AA1287" i="39"/>
  <c r="AC1287" i="39" s="1"/>
  <c r="Z1287" i="39"/>
  <c r="Y1287" i="39"/>
  <c r="AB1286" i="39"/>
  <c r="AA1286" i="39"/>
  <c r="AC1286" i="39" s="1"/>
  <c r="Z1286" i="39"/>
  <c r="Y1286" i="39"/>
  <c r="AB1285" i="39"/>
  <c r="AA1285" i="39"/>
  <c r="AC1285" i="39" s="1"/>
  <c r="Z1285" i="39"/>
  <c r="Y1285" i="39"/>
  <c r="AB1284" i="39"/>
  <c r="AA1284" i="39"/>
  <c r="AC1284" i="39" s="1"/>
  <c r="Z1284" i="39"/>
  <c r="Y1284" i="39"/>
  <c r="AB1283" i="39"/>
  <c r="AA1283" i="39"/>
  <c r="AC1283" i="39" s="1"/>
  <c r="Z1283" i="39"/>
  <c r="Y1283" i="39"/>
  <c r="AB1282" i="39"/>
  <c r="AA1282" i="39"/>
  <c r="AC1282" i="39" s="1"/>
  <c r="Z1282" i="39"/>
  <c r="Y1282" i="39"/>
  <c r="AB1281" i="39"/>
  <c r="AA1281" i="39"/>
  <c r="AC1281" i="39" s="1"/>
  <c r="Z1281" i="39"/>
  <c r="Y1281" i="39"/>
  <c r="AB1280" i="39"/>
  <c r="AA1280" i="39"/>
  <c r="AC1280" i="39" s="1"/>
  <c r="Z1280" i="39"/>
  <c r="Y1280" i="39"/>
  <c r="AB1279" i="39"/>
  <c r="AA1279" i="39"/>
  <c r="AC1279" i="39" s="1"/>
  <c r="Z1279" i="39"/>
  <c r="Y1279" i="39"/>
  <c r="AB1278" i="39"/>
  <c r="AA1278" i="39"/>
  <c r="AC1278" i="39" s="1"/>
  <c r="Z1278" i="39"/>
  <c r="Y1278" i="39"/>
  <c r="AB1277" i="39"/>
  <c r="AA1277" i="39"/>
  <c r="AC1277" i="39" s="1"/>
  <c r="Z1277" i="39"/>
  <c r="Y1277" i="39"/>
  <c r="AB1276" i="39"/>
  <c r="AA1276" i="39"/>
  <c r="AC1276" i="39" s="1"/>
  <c r="Z1276" i="39"/>
  <c r="Y1276" i="39"/>
  <c r="AB1275" i="39"/>
  <c r="AA1275" i="39"/>
  <c r="AC1275" i="39" s="1"/>
  <c r="Z1275" i="39"/>
  <c r="Y1275" i="39"/>
  <c r="AB1274" i="39"/>
  <c r="AA1274" i="39"/>
  <c r="AC1274" i="39" s="1"/>
  <c r="Z1274" i="39"/>
  <c r="Y1274" i="39"/>
  <c r="AB1273" i="39"/>
  <c r="AA1273" i="39"/>
  <c r="AC1273" i="39" s="1"/>
  <c r="Z1273" i="39"/>
  <c r="Y1273" i="39"/>
  <c r="AB1272" i="39"/>
  <c r="AA1272" i="39"/>
  <c r="AC1272" i="39" s="1"/>
  <c r="Z1272" i="39"/>
  <c r="Y1272" i="39"/>
  <c r="AB1271" i="39"/>
  <c r="AA1271" i="39"/>
  <c r="AC1271" i="39" s="1"/>
  <c r="Z1271" i="39"/>
  <c r="Y1271" i="39"/>
  <c r="AB1270" i="39"/>
  <c r="AA1270" i="39"/>
  <c r="AC1270" i="39" s="1"/>
  <c r="Z1270" i="39"/>
  <c r="Y1270" i="39"/>
  <c r="AB1269" i="39"/>
  <c r="AA1269" i="39"/>
  <c r="AC1269" i="39" s="1"/>
  <c r="Z1269" i="39"/>
  <c r="Y1269" i="39"/>
  <c r="AB1268" i="39"/>
  <c r="AA1268" i="39"/>
  <c r="AC1268" i="39" s="1"/>
  <c r="Z1268" i="39"/>
  <c r="Y1268" i="39"/>
  <c r="AB1267" i="39"/>
  <c r="AA1267" i="39"/>
  <c r="AC1267" i="39" s="1"/>
  <c r="Z1267" i="39"/>
  <c r="Y1267" i="39"/>
  <c r="AB1266" i="39"/>
  <c r="AA1266" i="39"/>
  <c r="AC1266" i="39" s="1"/>
  <c r="Z1266" i="39"/>
  <c r="Y1266" i="39"/>
  <c r="AB1265" i="39"/>
  <c r="AA1265" i="39"/>
  <c r="AC1265" i="39" s="1"/>
  <c r="Z1265" i="39"/>
  <c r="Y1265" i="39"/>
  <c r="AB1264" i="39"/>
  <c r="AA1264" i="39"/>
  <c r="AC1264" i="39" s="1"/>
  <c r="Z1264" i="39"/>
  <c r="Y1264" i="39"/>
  <c r="AB1263" i="39"/>
  <c r="AA1263" i="39"/>
  <c r="AC1263" i="39" s="1"/>
  <c r="Z1263" i="39"/>
  <c r="Y1263" i="39"/>
  <c r="AB1262" i="39"/>
  <c r="AA1262" i="39"/>
  <c r="AC1262" i="39" s="1"/>
  <c r="Z1262" i="39"/>
  <c r="Y1262" i="39"/>
  <c r="AB1261" i="39"/>
  <c r="AA1261" i="39"/>
  <c r="AC1261" i="39" s="1"/>
  <c r="Z1261" i="39"/>
  <c r="Y1261" i="39"/>
  <c r="AB1260" i="39"/>
  <c r="AA1260" i="39"/>
  <c r="AC1260" i="39" s="1"/>
  <c r="Z1260" i="39"/>
  <c r="Y1260" i="39"/>
  <c r="AB1259" i="39"/>
  <c r="AA1259" i="39"/>
  <c r="AC1259" i="39" s="1"/>
  <c r="Z1259" i="39"/>
  <c r="Y1259" i="39"/>
  <c r="AB1258" i="39"/>
  <c r="AA1258" i="39"/>
  <c r="AC1258" i="39" s="1"/>
  <c r="Z1258" i="39"/>
  <c r="Y1258" i="39"/>
  <c r="AB1257" i="39"/>
  <c r="AA1257" i="39"/>
  <c r="AC1257" i="39" s="1"/>
  <c r="Z1257" i="39"/>
  <c r="Y1257" i="39"/>
  <c r="AB1256" i="39"/>
  <c r="AA1256" i="39"/>
  <c r="AC1256" i="39" s="1"/>
  <c r="Z1256" i="39"/>
  <c r="Y1256" i="39"/>
  <c r="AB1255" i="39"/>
  <c r="AA1255" i="39"/>
  <c r="AC1255" i="39" s="1"/>
  <c r="Z1255" i="39"/>
  <c r="Y1255" i="39"/>
  <c r="AB1254" i="39"/>
  <c r="AA1254" i="39"/>
  <c r="AC1254" i="39" s="1"/>
  <c r="Z1254" i="39"/>
  <c r="Y1254" i="39"/>
  <c r="AB1253" i="39"/>
  <c r="AA1253" i="39"/>
  <c r="AC1253" i="39" s="1"/>
  <c r="Z1253" i="39"/>
  <c r="Y1253" i="39"/>
  <c r="AB1252" i="39"/>
  <c r="AA1252" i="39"/>
  <c r="AC1252" i="39" s="1"/>
  <c r="Z1252" i="39"/>
  <c r="Y1252" i="39"/>
  <c r="AB1251" i="39"/>
  <c r="AA1251" i="39"/>
  <c r="AC1251" i="39" s="1"/>
  <c r="Z1251" i="39"/>
  <c r="Y1251" i="39"/>
  <c r="AB1250" i="39"/>
  <c r="AA1250" i="39"/>
  <c r="AC1250" i="39" s="1"/>
  <c r="Z1250" i="39"/>
  <c r="Y1250" i="39"/>
  <c r="AB1249" i="39"/>
  <c r="AA1249" i="39"/>
  <c r="AC1249" i="39" s="1"/>
  <c r="Z1249" i="39"/>
  <c r="Y1249" i="39"/>
  <c r="AB1248" i="39"/>
  <c r="AA1248" i="39"/>
  <c r="AC1248" i="39" s="1"/>
  <c r="Z1248" i="39"/>
  <c r="Y1248" i="39"/>
  <c r="AB1247" i="39"/>
  <c r="AA1247" i="39"/>
  <c r="AC1247" i="39" s="1"/>
  <c r="Z1247" i="39"/>
  <c r="Y1247" i="39"/>
  <c r="AB1246" i="39"/>
  <c r="AA1246" i="39"/>
  <c r="AC1246" i="39" s="1"/>
  <c r="Z1246" i="39"/>
  <c r="Y1246" i="39"/>
  <c r="AB1245" i="39"/>
  <c r="AA1245" i="39"/>
  <c r="AC1245" i="39" s="1"/>
  <c r="Z1245" i="39"/>
  <c r="Y1245" i="39"/>
  <c r="AB1244" i="39"/>
  <c r="AA1244" i="39"/>
  <c r="AC1244" i="39" s="1"/>
  <c r="Z1244" i="39"/>
  <c r="Y1244" i="39"/>
  <c r="AB1243" i="39"/>
  <c r="AA1243" i="39"/>
  <c r="AC1243" i="39" s="1"/>
  <c r="Z1243" i="39"/>
  <c r="Y1243" i="39"/>
  <c r="AB1242" i="39"/>
  <c r="AA1242" i="39"/>
  <c r="AC1242" i="39" s="1"/>
  <c r="Z1242" i="39"/>
  <c r="Y1242" i="39"/>
  <c r="AB1241" i="39"/>
  <c r="AA1241" i="39"/>
  <c r="AC1241" i="39" s="1"/>
  <c r="Z1241" i="39"/>
  <c r="Y1241" i="39"/>
  <c r="AB1240" i="39"/>
  <c r="AA1240" i="39"/>
  <c r="AC1240" i="39" s="1"/>
  <c r="Z1240" i="39"/>
  <c r="Y1240" i="39"/>
  <c r="AB1239" i="39"/>
  <c r="AA1239" i="39"/>
  <c r="AC1239" i="39" s="1"/>
  <c r="Z1239" i="39"/>
  <c r="Y1239" i="39"/>
  <c r="AB1238" i="39"/>
  <c r="AA1238" i="39"/>
  <c r="AC1238" i="39" s="1"/>
  <c r="Z1238" i="39"/>
  <c r="Y1238" i="39"/>
  <c r="AB1237" i="39"/>
  <c r="AA1237" i="39"/>
  <c r="AC1237" i="39" s="1"/>
  <c r="Z1237" i="39"/>
  <c r="Y1237" i="39"/>
  <c r="AB1236" i="39"/>
  <c r="AA1236" i="39"/>
  <c r="AC1236" i="39" s="1"/>
  <c r="Z1236" i="39"/>
  <c r="Y1236" i="39"/>
  <c r="AB1235" i="39"/>
  <c r="AA1235" i="39"/>
  <c r="AC1235" i="39" s="1"/>
  <c r="Z1235" i="39"/>
  <c r="Y1235" i="39"/>
  <c r="AB1234" i="39"/>
  <c r="AA1234" i="39"/>
  <c r="AC1234" i="39" s="1"/>
  <c r="Z1234" i="39"/>
  <c r="Y1234" i="39"/>
  <c r="AB1233" i="39"/>
  <c r="AA1233" i="39"/>
  <c r="AC1233" i="39" s="1"/>
  <c r="Z1233" i="39"/>
  <c r="Y1233" i="39"/>
  <c r="AB1232" i="39"/>
  <c r="AA1232" i="39"/>
  <c r="AC1232" i="39" s="1"/>
  <c r="Z1232" i="39"/>
  <c r="Y1232" i="39"/>
  <c r="AB1231" i="39"/>
  <c r="AA1231" i="39"/>
  <c r="AC1231" i="39" s="1"/>
  <c r="Z1231" i="39"/>
  <c r="Y1231" i="39"/>
  <c r="AB1230" i="39"/>
  <c r="AA1230" i="39"/>
  <c r="AC1230" i="39" s="1"/>
  <c r="Z1230" i="39"/>
  <c r="Y1230" i="39"/>
  <c r="AB1229" i="39"/>
  <c r="AA1229" i="39"/>
  <c r="AC1229" i="39" s="1"/>
  <c r="Z1229" i="39"/>
  <c r="Y1229" i="39"/>
  <c r="AB1228" i="39"/>
  <c r="AA1228" i="39"/>
  <c r="AC1228" i="39" s="1"/>
  <c r="Z1228" i="39"/>
  <c r="Y1228" i="39"/>
  <c r="AB1227" i="39"/>
  <c r="AA1227" i="39"/>
  <c r="AC1227" i="39" s="1"/>
  <c r="Z1227" i="39"/>
  <c r="Y1227" i="39"/>
  <c r="AB1226" i="39"/>
  <c r="AA1226" i="39"/>
  <c r="AC1226" i="39" s="1"/>
  <c r="Z1226" i="39"/>
  <c r="Y1226" i="39"/>
  <c r="AB1225" i="39"/>
  <c r="AA1225" i="39"/>
  <c r="AC1225" i="39" s="1"/>
  <c r="Z1225" i="39"/>
  <c r="Y1225" i="39"/>
  <c r="AB1224" i="39"/>
  <c r="AA1224" i="39"/>
  <c r="AC1224" i="39" s="1"/>
  <c r="Z1224" i="39"/>
  <c r="Y1224" i="39"/>
  <c r="AB1223" i="39"/>
  <c r="AA1223" i="39"/>
  <c r="AC1223" i="39" s="1"/>
  <c r="Z1223" i="39"/>
  <c r="Y1223" i="39"/>
  <c r="AB1222" i="39"/>
  <c r="AA1222" i="39"/>
  <c r="AC1222" i="39" s="1"/>
  <c r="Z1222" i="39"/>
  <c r="Y1222" i="39"/>
  <c r="AB1221" i="39"/>
  <c r="AA1221" i="39"/>
  <c r="AC1221" i="39" s="1"/>
  <c r="Z1221" i="39"/>
  <c r="Y1221" i="39"/>
  <c r="AB1220" i="39"/>
  <c r="AA1220" i="39"/>
  <c r="AC1220" i="39" s="1"/>
  <c r="Z1220" i="39"/>
  <c r="Y1220" i="39"/>
  <c r="AB1219" i="39"/>
  <c r="AA1219" i="39"/>
  <c r="AC1219" i="39" s="1"/>
  <c r="Z1219" i="39"/>
  <c r="Y1219" i="39"/>
  <c r="AB1218" i="39"/>
  <c r="AA1218" i="39"/>
  <c r="AC1218" i="39" s="1"/>
  <c r="Z1218" i="39"/>
  <c r="Y1218" i="39"/>
  <c r="AB1217" i="39"/>
  <c r="AA1217" i="39"/>
  <c r="AC1217" i="39" s="1"/>
  <c r="Z1217" i="39"/>
  <c r="Y1217" i="39"/>
  <c r="AB1216" i="39"/>
  <c r="AA1216" i="39"/>
  <c r="AC1216" i="39" s="1"/>
  <c r="Z1216" i="39"/>
  <c r="Y1216" i="39"/>
  <c r="AB1215" i="39"/>
  <c r="AA1215" i="39"/>
  <c r="AC1215" i="39" s="1"/>
  <c r="Z1215" i="39"/>
  <c r="Y1215" i="39"/>
  <c r="AB1214" i="39"/>
  <c r="AA1214" i="39"/>
  <c r="AC1214" i="39" s="1"/>
  <c r="Z1214" i="39"/>
  <c r="Y1214" i="39"/>
  <c r="AB1213" i="39"/>
  <c r="AA1213" i="39"/>
  <c r="AC1213" i="39" s="1"/>
  <c r="Z1213" i="39"/>
  <c r="Y1213" i="39"/>
  <c r="AB1212" i="39"/>
  <c r="AA1212" i="39"/>
  <c r="AC1212" i="39" s="1"/>
  <c r="Z1212" i="39"/>
  <c r="Y1212" i="39"/>
  <c r="AB1211" i="39"/>
  <c r="AA1211" i="39"/>
  <c r="AC1211" i="39" s="1"/>
  <c r="Z1211" i="39"/>
  <c r="Y1211" i="39"/>
  <c r="AB1210" i="39"/>
  <c r="AA1210" i="39"/>
  <c r="AC1210" i="39" s="1"/>
  <c r="Z1210" i="39"/>
  <c r="Y1210" i="39"/>
  <c r="AB1209" i="39"/>
  <c r="AA1209" i="39"/>
  <c r="AC1209" i="39" s="1"/>
  <c r="Z1209" i="39"/>
  <c r="Y1209" i="39"/>
  <c r="AB1208" i="39"/>
  <c r="AA1208" i="39"/>
  <c r="AC1208" i="39" s="1"/>
  <c r="Z1208" i="39"/>
  <c r="Y1208" i="39"/>
  <c r="AB1207" i="39"/>
  <c r="AA1207" i="39"/>
  <c r="AC1207" i="39" s="1"/>
  <c r="Z1207" i="39"/>
  <c r="Y1207" i="39"/>
  <c r="AB1206" i="39"/>
  <c r="AA1206" i="39"/>
  <c r="AC1206" i="39" s="1"/>
  <c r="Z1206" i="39"/>
  <c r="Y1206" i="39"/>
  <c r="AB1205" i="39"/>
  <c r="AA1205" i="39"/>
  <c r="AC1205" i="39" s="1"/>
  <c r="Z1205" i="39"/>
  <c r="Y1205" i="39"/>
  <c r="AB1204" i="39"/>
  <c r="AA1204" i="39"/>
  <c r="AC1204" i="39" s="1"/>
  <c r="Z1204" i="39"/>
  <c r="Y1204" i="39"/>
  <c r="AB1203" i="39"/>
  <c r="AA1203" i="39"/>
  <c r="AC1203" i="39" s="1"/>
  <c r="Z1203" i="39"/>
  <c r="Y1203" i="39"/>
  <c r="AB1202" i="39"/>
  <c r="AA1202" i="39"/>
  <c r="AC1202" i="39" s="1"/>
  <c r="Z1202" i="39"/>
  <c r="Y1202" i="39"/>
  <c r="AB1201" i="39"/>
  <c r="AA1201" i="39"/>
  <c r="AC1201" i="39" s="1"/>
  <c r="Z1201" i="39"/>
  <c r="Y1201" i="39"/>
  <c r="AB1200" i="39"/>
  <c r="AA1200" i="39"/>
  <c r="AC1200" i="39" s="1"/>
  <c r="Z1200" i="39"/>
  <c r="Y1200" i="39"/>
  <c r="AB1199" i="39"/>
  <c r="AA1199" i="39"/>
  <c r="AC1199" i="39" s="1"/>
  <c r="Z1199" i="39"/>
  <c r="Y1199" i="39"/>
  <c r="AB1198" i="39"/>
  <c r="AA1198" i="39"/>
  <c r="AC1198" i="39" s="1"/>
  <c r="Z1198" i="39"/>
  <c r="Y1198" i="39"/>
  <c r="AB1197" i="39"/>
  <c r="AA1197" i="39"/>
  <c r="AC1197" i="39" s="1"/>
  <c r="Z1197" i="39"/>
  <c r="Y1197" i="39"/>
  <c r="AB1196" i="39"/>
  <c r="AA1196" i="39"/>
  <c r="AC1196" i="39" s="1"/>
  <c r="Z1196" i="39"/>
  <c r="Y1196" i="39"/>
  <c r="AB1195" i="39"/>
  <c r="AA1195" i="39"/>
  <c r="AC1195" i="39" s="1"/>
  <c r="Z1195" i="39"/>
  <c r="Y1195" i="39"/>
  <c r="AB1194" i="39"/>
  <c r="AA1194" i="39"/>
  <c r="AC1194" i="39" s="1"/>
  <c r="Z1194" i="39"/>
  <c r="Y1194" i="39"/>
  <c r="AB1193" i="39"/>
  <c r="AA1193" i="39"/>
  <c r="AC1193" i="39" s="1"/>
  <c r="Z1193" i="39"/>
  <c r="Y1193" i="39"/>
  <c r="AB1192" i="39"/>
  <c r="AA1192" i="39"/>
  <c r="AC1192" i="39" s="1"/>
  <c r="Z1192" i="39"/>
  <c r="Y1192" i="39"/>
  <c r="AB1191" i="39"/>
  <c r="AA1191" i="39"/>
  <c r="AC1191" i="39" s="1"/>
  <c r="Z1191" i="39"/>
  <c r="Y1191" i="39"/>
  <c r="AB1190" i="39"/>
  <c r="AA1190" i="39"/>
  <c r="AC1190" i="39" s="1"/>
  <c r="Z1190" i="39"/>
  <c r="Y1190" i="39"/>
  <c r="AB1189" i="39"/>
  <c r="AA1189" i="39"/>
  <c r="AC1189" i="39" s="1"/>
  <c r="Z1189" i="39"/>
  <c r="Y1189" i="39"/>
  <c r="AB1188" i="39"/>
  <c r="AA1188" i="39"/>
  <c r="AC1188" i="39" s="1"/>
  <c r="Z1188" i="39"/>
  <c r="Y1188" i="39"/>
  <c r="AB1187" i="39"/>
  <c r="AA1187" i="39"/>
  <c r="AC1187" i="39" s="1"/>
  <c r="Z1187" i="39"/>
  <c r="Y1187" i="39"/>
  <c r="AB1186" i="39"/>
  <c r="AA1186" i="39"/>
  <c r="AC1186" i="39" s="1"/>
  <c r="Z1186" i="39"/>
  <c r="Y1186" i="39"/>
  <c r="AB1185" i="39"/>
  <c r="AA1185" i="39"/>
  <c r="AC1185" i="39" s="1"/>
  <c r="Z1185" i="39"/>
  <c r="Y1185" i="39"/>
  <c r="AB1184" i="39"/>
  <c r="AA1184" i="39"/>
  <c r="AC1184" i="39" s="1"/>
  <c r="Z1184" i="39"/>
  <c r="Y1184" i="39"/>
  <c r="AB1183" i="39"/>
  <c r="AA1183" i="39"/>
  <c r="AC1183" i="39" s="1"/>
  <c r="Z1183" i="39"/>
  <c r="Y1183" i="39"/>
  <c r="AB1182" i="39"/>
  <c r="AA1182" i="39"/>
  <c r="AC1182" i="39" s="1"/>
  <c r="Z1182" i="39"/>
  <c r="Y1182" i="39"/>
  <c r="AB1181" i="39"/>
  <c r="AA1181" i="39"/>
  <c r="AC1181" i="39" s="1"/>
  <c r="Z1181" i="39"/>
  <c r="Y1181" i="39"/>
  <c r="AB1180" i="39"/>
  <c r="AA1180" i="39"/>
  <c r="AC1180" i="39" s="1"/>
  <c r="Z1180" i="39"/>
  <c r="Y1180" i="39"/>
  <c r="AB1179" i="39"/>
  <c r="AA1179" i="39"/>
  <c r="AC1179" i="39" s="1"/>
  <c r="Z1179" i="39"/>
  <c r="Y1179" i="39"/>
  <c r="AB1178" i="39"/>
  <c r="AA1178" i="39"/>
  <c r="AC1178" i="39" s="1"/>
  <c r="Z1178" i="39"/>
  <c r="Y1178" i="39"/>
  <c r="AB1177" i="39"/>
  <c r="AA1177" i="39"/>
  <c r="AC1177" i="39" s="1"/>
  <c r="Z1177" i="39"/>
  <c r="Y1177" i="39"/>
  <c r="AB1176" i="39"/>
  <c r="AA1176" i="39"/>
  <c r="AC1176" i="39" s="1"/>
  <c r="Z1176" i="39"/>
  <c r="Y1176" i="39"/>
  <c r="AB1175" i="39"/>
  <c r="AA1175" i="39"/>
  <c r="AC1175" i="39" s="1"/>
  <c r="Z1175" i="39"/>
  <c r="Y1175" i="39"/>
  <c r="AB1174" i="39"/>
  <c r="AA1174" i="39"/>
  <c r="AC1174" i="39" s="1"/>
  <c r="Z1174" i="39"/>
  <c r="Y1174" i="39"/>
  <c r="AB1173" i="39"/>
  <c r="AA1173" i="39"/>
  <c r="AC1173" i="39" s="1"/>
  <c r="Z1173" i="39"/>
  <c r="Y1173" i="39"/>
  <c r="AB1172" i="39"/>
  <c r="AA1172" i="39"/>
  <c r="AC1172" i="39" s="1"/>
  <c r="Z1172" i="39"/>
  <c r="Y1172" i="39"/>
  <c r="AB1171" i="39"/>
  <c r="AA1171" i="39"/>
  <c r="AC1171" i="39" s="1"/>
  <c r="Z1171" i="39"/>
  <c r="Y1171" i="39"/>
  <c r="AB1170" i="39"/>
  <c r="AA1170" i="39"/>
  <c r="AC1170" i="39" s="1"/>
  <c r="Z1170" i="39"/>
  <c r="Y1170" i="39"/>
  <c r="AB1169" i="39"/>
  <c r="AA1169" i="39"/>
  <c r="AC1169" i="39" s="1"/>
  <c r="Z1169" i="39"/>
  <c r="Y1169" i="39"/>
  <c r="AB1168" i="39"/>
  <c r="AA1168" i="39"/>
  <c r="AC1168" i="39" s="1"/>
  <c r="Z1168" i="39"/>
  <c r="Y1168" i="39"/>
  <c r="AB1167" i="39"/>
  <c r="AA1167" i="39"/>
  <c r="AC1167" i="39" s="1"/>
  <c r="Z1167" i="39"/>
  <c r="Y1167" i="39"/>
  <c r="AB1166" i="39"/>
  <c r="AA1166" i="39"/>
  <c r="AC1166" i="39" s="1"/>
  <c r="Z1166" i="39"/>
  <c r="Y1166" i="39"/>
  <c r="AB1165" i="39"/>
  <c r="AA1165" i="39"/>
  <c r="AC1165" i="39" s="1"/>
  <c r="Z1165" i="39"/>
  <c r="Y1165" i="39"/>
  <c r="AB1164" i="39"/>
  <c r="AA1164" i="39"/>
  <c r="AC1164" i="39" s="1"/>
  <c r="Z1164" i="39"/>
  <c r="Y1164" i="39"/>
  <c r="AB1163" i="39"/>
  <c r="AA1163" i="39"/>
  <c r="AC1163" i="39" s="1"/>
  <c r="Z1163" i="39"/>
  <c r="Y1163" i="39"/>
  <c r="AB1162" i="39"/>
  <c r="AA1162" i="39"/>
  <c r="AC1162" i="39" s="1"/>
  <c r="Z1162" i="39"/>
  <c r="Y1162" i="39"/>
  <c r="AB1161" i="39"/>
  <c r="AA1161" i="39"/>
  <c r="AC1161" i="39" s="1"/>
  <c r="Z1161" i="39"/>
  <c r="Y1161" i="39"/>
  <c r="AB1160" i="39"/>
  <c r="AA1160" i="39"/>
  <c r="AC1160" i="39" s="1"/>
  <c r="Z1160" i="39"/>
  <c r="Y1160" i="39"/>
  <c r="AB1159" i="39"/>
  <c r="AA1159" i="39"/>
  <c r="AC1159" i="39" s="1"/>
  <c r="Z1159" i="39"/>
  <c r="Y1159" i="39"/>
  <c r="AB1158" i="39"/>
  <c r="AA1158" i="39"/>
  <c r="AC1158" i="39" s="1"/>
  <c r="Z1158" i="39"/>
  <c r="Y1158" i="39"/>
  <c r="AB1157" i="39"/>
  <c r="AA1157" i="39"/>
  <c r="AC1157" i="39" s="1"/>
  <c r="Z1157" i="39"/>
  <c r="Y1157" i="39"/>
  <c r="AB1156" i="39"/>
  <c r="AA1156" i="39"/>
  <c r="AC1156" i="39" s="1"/>
  <c r="Z1156" i="39"/>
  <c r="Y1156" i="39"/>
  <c r="AB1155" i="39"/>
  <c r="AA1155" i="39"/>
  <c r="AC1155" i="39" s="1"/>
  <c r="Z1155" i="39"/>
  <c r="Y1155" i="39"/>
  <c r="AB1154" i="39"/>
  <c r="AA1154" i="39"/>
  <c r="AC1154" i="39" s="1"/>
  <c r="Z1154" i="39"/>
  <c r="Y1154" i="39"/>
  <c r="AB1153" i="39"/>
  <c r="AA1153" i="39"/>
  <c r="AC1153" i="39" s="1"/>
  <c r="Z1153" i="39"/>
  <c r="Y1153" i="39"/>
  <c r="AB1152" i="39"/>
  <c r="AA1152" i="39"/>
  <c r="AC1152" i="39" s="1"/>
  <c r="Z1152" i="39"/>
  <c r="Y1152" i="39"/>
  <c r="AB1151" i="39"/>
  <c r="AA1151" i="39"/>
  <c r="AC1151" i="39" s="1"/>
  <c r="Z1151" i="39"/>
  <c r="Y1151" i="39"/>
  <c r="AB1150" i="39"/>
  <c r="AA1150" i="39"/>
  <c r="AC1150" i="39" s="1"/>
  <c r="Z1150" i="39"/>
  <c r="Y1150" i="39"/>
  <c r="AB1149" i="39"/>
  <c r="AA1149" i="39"/>
  <c r="AC1149" i="39" s="1"/>
  <c r="Z1149" i="39"/>
  <c r="Y1149" i="39"/>
  <c r="AB1148" i="39"/>
  <c r="AA1148" i="39"/>
  <c r="AC1148" i="39" s="1"/>
  <c r="Z1148" i="39"/>
  <c r="Y1148" i="39"/>
  <c r="AB1147" i="39"/>
  <c r="AA1147" i="39"/>
  <c r="AC1147" i="39" s="1"/>
  <c r="Z1147" i="39"/>
  <c r="Y1147" i="39"/>
  <c r="AB1146" i="39"/>
  <c r="AA1146" i="39"/>
  <c r="AC1146" i="39" s="1"/>
  <c r="Z1146" i="39"/>
  <c r="Y1146" i="39"/>
  <c r="AB1145" i="39"/>
  <c r="AA1145" i="39"/>
  <c r="AC1145" i="39" s="1"/>
  <c r="Z1145" i="39"/>
  <c r="Y1145" i="39"/>
  <c r="AB1144" i="39"/>
  <c r="AA1144" i="39"/>
  <c r="AC1144" i="39" s="1"/>
  <c r="Z1144" i="39"/>
  <c r="Y1144" i="39"/>
  <c r="AB1143" i="39"/>
  <c r="AA1143" i="39"/>
  <c r="AC1143" i="39" s="1"/>
  <c r="Z1143" i="39"/>
  <c r="Y1143" i="39"/>
  <c r="AB1142" i="39"/>
  <c r="AA1142" i="39"/>
  <c r="AC1142" i="39" s="1"/>
  <c r="Z1142" i="39"/>
  <c r="Y1142" i="39"/>
  <c r="AB1141" i="39"/>
  <c r="AA1141" i="39"/>
  <c r="AC1141" i="39" s="1"/>
  <c r="Z1141" i="39"/>
  <c r="Y1141" i="39"/>
  <c r="AB1140" i="39"/>
  <c r="AA1140" i="39"/>
  <c r="AC1140" i="39" s="1"/>
  <c r="Z1140" i="39"/>
  <c r="Y1140" i="39"/>
  <c r="AB1139" i="39"/>
  <c r="AA1139" i="39"/>
  <c r="AC1139" i="39" s="1"/>
  <c r="Z1139" i="39"/>
  <c r="Y1139" i="39"/>
  <c r="AB1138" i="39"/>
  <c r="AA1138" i="39"/>
  <c r="AC1138" i="39" s="1"/>
  <c r="Z1138" i="39"/>
  <c r="Y1138" i="39"/>
  <c r="AB1137" i="39"/>
  <c r="AA1137" i="39"/>
  <c r="AC1137" i="39" s="1"/>
  <c r="Z1137" i="39"/>
  <c r="Y1137" i="39"/>
  <c r="AB1136" i="39"/>
  <c r="AA1136" i="39"/>
  <c r="AC1136" i="39" s="1"/>
  <c r="Z1136" i="39"/>
  <c r="Y1136" i="39"/>
  <c r="AB1135" i="39"/>
  <c r="AA1135" i="39"/>
  <c r="AC1135" i="39" s="1"/>
  <c r="Z1135" i="39"/>
  <c r="Y1135" i="39"/>
  <c r="AB1134" i="39"/>
  <c r="AA1134" i="39"/>
  <c r="AC1134" i="39" s="1"/>
  <c r="Z1134" i="39"/>
  <c r="Y1134" i="39"/>
  <c r="AB1133" i="39"/>
  <c r="AA1133" i="39"/>
  <c r="AC1133" i="39" s="1"/>
  <c r="Z1133" i="39"/>
  <c r="Y1133" i="39"/>
  <c r="AB1132" i="39"/>
  <c r="AA1132" i="39"/>
  <c r="AC1132" i="39" s="1"/>
  <c r="Z1132" i="39"/>
  <c r="Y1132" i="39"/>
  <c r="AB1131" i="39"/>
  <c r="AA1131" i="39"/>
  <c r="AC1131" i="39" s="1"/>
  <c r="Z1131" i="39"/>
  <c r="Y1131" i="39"/>
  <c r="AB1130" i="39"/>
  <c r="AA1130" i="39"/>
  <c r="AC1130" i="39" s="1"/>
  <c r="Z1130" i="39"/>
  <c r="Y1130" i="39"/>
  <c r="AB1129" i="39"/>
  <c r="AA1129" i="39"/>
  <c r="AC1129" i="39" s="1"/>
  <c r="Z1129" i="39"/>
  <c r="Y1129" i="39"/>
  <c r="AB1128" i="39"/>
  <c r="AA1128" i="39"/>
  <c r="AC1128" i="39" s="1"/>
  <c r="Z1128" i="39"/>
  <c r="Y1128" i="39"/>
  <c r="AB1127" i="39"/>
  <c r="AA1127" i="39"/>
  <c r="AC1127" i="39" s="1"/>
  <c r="Z1127" i="39"/>
  <c r="Y1127" i="39"/>
  <c r="AB1126" i="39"/>
  <c r="AA1126" i="39"/>
  <c r="AC1126" i="39" s="1"/>
  <c r="Z1126" i="39"/>
  <c r="Y1126" i="39"/>
  <c r="AB1125" i="39"/>
  <c r="AA1125" i="39"/>
  <c r="AC1125" i="39" s="1"/>
  <c r="Z1125" i="39"/>
  <c r="Y1125" i="39"/>
  <c r="AB1124" i="39"/>
  <c r="AA1124" i="39"/>
  <c r="AC1124" i="39" s="1"/>
  <c r="Z1124" i="39"/>
  <c r="Y1124" i="39"/>
  <c r="AB1123" i="39"/>
  <c r="AA1123" i="39"/>
  <c r="AC1123" i="39" s="1"/>
  <c r="Z1123" i="39"/>
  <c r="Y1123" i="39"/>
  <c r="AB1122" i="39"/>
  <c r="AA1122" i="39"/>
  <c r="AC1122" i="39" s="1"/>
  <c r="Z1122" i="39"/>
  <c r="Y1122" i="39"/>
  <c r="AB1121" i="39"/>
  <c r="AA1121" i="39"/>
  <c r="AC1121" i="39" s="1"/>
  <c r="Z1121" i="39"/>
  <c r="Y1121" i="39"/>
  <c r="AB1120" i="39"/>
  <c r="AA1120" i="39"/>
  <c r="AC1120" i="39" s="1"/>
  <c r="Z1120" i="39"/>
  <c r="Y1120" i="39"/>
  <c r="AB1119" i="39"/>
  <c r="AA1119" i="39"/>
  <c r="AC1119" i="39" s="1"/>
  <c r="Z1119" i="39"/>
  <c r="Y1119" i="39"/>
  <c r="AB1118" i="39"/>
  <c r="AA1118" i="39"/>
  <c r="AC1118" i="39" s="1"/>
  <c r="Z1118" i="39"/>
  <c r="Y1118" i="39"/>
  <c r="AB1117" i="39"/>
  <c r="AA1117" i="39"/>
  <c r="AC1117" i="39" s="1"/>
  <c r="Z1117" i="39"/>
  <c r="Y1117" i="39"/>
  <c r="AB1116" i="39"/>
  <c r="AA1116" i="39"/>
  <c r="AC1116" i="39" s="1"/>
  <c r="Z1116" i="39"/>
  <c r="Y1116" i="39"/>
  <c r="AB1115" i="39"/>
  <c r="AA1115" i="39"/>
  <c r="AC1115" i="39" s="1"/>
  <c r="Z1115" i="39"/>
  <c r="Y1115" i="39"/>
  <c r="AB1114" i="39"/>
  <c r="AA1114" i="39"/>
  <c r="AC1114" i="39" s="1"/>
  <c r="Z1114" i="39"/>
  <c r="Y1114" i="39"/>
  <c r="AB1113" i="39"/>
  <c r="AA1113" i="39"/>
  <c r="AC1113" i="39" s="1"/>
  <c r="Z1113" i="39"/>
  <c r="Y1113" i="39"/>
  <c r="AB1112" i="39"/>
  <c r="AA1112" i="39"/>
  <c r="AC1112" i="39" s="1"/>
  <c r="Z1112" i="39"/>
  <c r="Y1112" i="39"/>
  <c r="AB1111" i="39"/>
  <c r="AA1111" i="39"/>
  <c r="AC1111" i="39" s="1"/>
  <c r="Z1111" i="39"/>
  <c r="Y1111" i="39"/>
  <c r="AB1110" i="39"/>
  <c r="AA1110" i="39"/>
  <c r="AC1110" i="39" s="1"/>
  <c r="Z1110" i="39"/>
  <c r="Y1110" i="39"/>
  <c r="AB1109" i="39"/>
  <c r="AA1109" i="39"/>
  <c r="AC1109" i="39" s="1"/>
  <c r="Z1109" i="39"/>
  <c r="Y1109" i="39"/>
  <c r="AB1108" i="39"/>
  <c r="AA1108" i="39"/>
  <c r="AC1108" i="39" s="1"/>
  <c r="Z1108" i="39"/>
  <c r="Y1108" i="39"/>
  <c r="AB1107" i="39"/>
  <c r="AA1107" i="39"/>
  <c r="AC1107" i="39" s="1"/>
  <c r="Z1107" i="39"/>
  <c r="Y1107" i="39"/>
  <c r="AB1106" i="39"/>
  <c r="AA1106" i="39"/>
  <c r="AC1106" i="39" s="1"/>
  <c r="Z1106" i="39"/>
  <c r="Y1106" i="39"/>
  <c r="AB1105" i="39"/>
  <c r="AA1105" i="39"/>
  <c r="AC1105" i="39" s="1"/>
  <c r="Z1105" i="39"/>
  <c r="Y1105" i="39"/>
  <c r="AB1104" i="39"/>
  <c r="AA1104" i="39"/>
  <c r="AC1104" i="39" s="1"/>
  <c r="Z1104" i="39"/>
  <c r="Y1104" i="39"/>
  <c r="AB1103" i="39"/>
  <c r="AA1103" i="39"/>
  <c r="AC1103" i="39" s="1"/>
  <c r="Z1103" i="39"/>
  <c r="Y1103" i="39"/>
  <c r="AB1102" i="39"/>
  <c r="AA1102" i="39"/>
  <c r="AC1102" i="39" s="1"/>
  <c r="Z1102" i="39"/>
  <c r="Y1102" i="39"/>
  <c r="AB1101" i="39"/>
  <c r="AA1101" i="39"/>
  <c r="AC1101" i="39" s="1"/>
  <c r="Z1101" i="39"/>
  <c r="Y1101" i="39"/>
  <c r="AB1100" i="39"/>
  <c r="AA1100" i="39"/>
  <c r="AC1100" i="39" s="1"/>
  <c r="Z1100" i="39"/>
  <c r="Y1100" i="39"/>
  <c r="AB1099" i="39"/>
  <c r="AA1099" i="39"/>
  <c r="AC1099" i="39" s="1"/>
  <c r="Z1099" i="39"/>
  <c r="Y1099" i="39"/>
  <c r="AB1098" i="39"/>
  <c r="AA1098" i="39"/>
  <c r="AC1098" i="39" s="1"/>
  <c r="Z1098" i="39"/>
  <c r="Y1098" i="39"/>
  <c r="AB1097" i="39"/>
  <c r="AA1097" i="39"/>
  <c r="AC1097" i="39" s="1"/>
  <c r="Z1097" i="39"/>
  <c r="Y1097" i="39"/>
  <c r="AB1096" i="39"/>
  <c r="AA1096" i="39"/>
  <c r="AC1096" i="39" s="1"/>
  <c r="Z1096" i="39"/>
  <c r="Y1096" i="39"/>
  <c r="AB1095" i="39"/>
  <c r="AA1095" i="39"/>
  <c r="AC1095" i="39" s="1"/>
  <c r="Z1095" i="39"/>
  <c r="Y1095" i="39"/>
  <c r="AB1094" i="39"/>
  <c r="AA1094" i="39"/>
  <c r="AC1094" i="39" s="1"/>
  <c r="Z1094" i="39"/>
  <c r="Y1094" i="39"/>
  <c r="AB1093" i="39"/>
  <c r="AA1093" i="39"/>
  <c r="AC1093" i="39" s="1"/>
  <c r="Z1093" i="39"/>
  <c r="Y1093" i="39"/>
  <c r="AB1092" i="39"/>
  <c r="AA1092" i="39"/>
  <c r="AC1092" i="39" s="1"/>
  <c r="Z1092" i="39"/>
  <c r="Y1092" i="39"/>
  <c r="AB1091" i="39"/>
  <c r="AA1091" i="39"/>
  <c r="AC1091" i="39" s="1"/>
  <c r="Z1091" i="39"/>
  <c r="Y1091" i="39"/>
  <c r="AB1090" i="39"/>
  <c r="AA1090" i="39"/>
  <c r="AC1090" i="39" s="1"/>
  <c r="Z1090" i="39"/>
  <c r="Y1090" i="39"/>
  <c r="AB1089" i="39"/>
  <c r="AA1089" i="39"/>
  <c r="AC1089" i="39" s="1"/>
  <c r="Z1089" i="39"/>
  <c r="Y1089" i="39"/>
  <c r="AB1088" i="39"/>
  <c r="AA1088" i="39"/>
  <c r="AC1088" i="39" s="1"/>
  <c r="Z1088" i="39"/>
  <c r="Y1088" i="39"/>
  <c r="AB1087" i="39"/>
  <c r="AA1087" i="39"/>
  <c r="AC1087" i="39" s="1"/>
  <c r="Z1087" i="39"/>
  <c r="Y1087" i="39"/>
  <c r="AB1086" i="39"/>
  <c r="AA1086" i="39"/>
  <c r="AC1086" i="39" s="1"/>
  <c r="Z1086" i="39"/>
  <c r="Y1086" i="39"/>
  <c r="AB1085" i="39"/>
  <c r="AA1085" i="39"/>
  <c r="AC1085" i="39" s="1"/>
  <c r="Z1085" i="39"/>
  <c r="Y1085" i="39"/>
  <c r="AB1084" i="39"/>
  <c r="AA1084" i="39"/>
  <c r="AC1084" i="39" s="1"/>
  <c r="Z1084" i="39"/>
  <c r="Y1084" i="39"/>
  <c r="AB1083" i="39"/>
  <c r="AA1083" i="39"/>
  <c r="AC1083" i="39" s="1"/>
  <c r="Z1083" i="39"/>
  <c r="Y1083" i="39"/>
  <c r="AB1082" i="39"/>
  <c r="AA1082" i="39"/>
  <c r="AC1082" i="39" s="1"/>
  <c r="Z1082" i="39"/>
  <c r="Y1082" i="39"/>
  <c r="AB1081" i="39"/>
  <c r="AA1081" i="39"/>
  <c r="AC1081" i="39" s="1"/>
  <c r="Z1081" i="39"/>
  <c r="Y1081" i="39"/>
  <c r="AB1080" i="39"/>
  <c r="AA1080" i="39"/>
  <c r="AC1080" i="39" s="1"/>
  <c r="Z1080" i="39"/>
  <c r="Y1080" i="39"/>
  <c r="AB1079" i="39"/>
  <c r="AA1079" i="39"/>
  <c r="AC1079" i="39" s="1"/>
  <c r="Z1079" i="39"/>
  <c r="Y1079" i="39"/>
  <c r="AB1078" i="39"/>
  <c r="AA1078" i="39"/>
  <c r="AC1078" i="39" s="1"/>
  <c r="Z1078" i="39"/>
  <c r="Y1078" i="39"/>
  <c r="AB1077" i="39"/>
  <c r="AA1077" i="39"/>
  <c r="AC1077" i="39" s="1"/>
  <c r="Z1077" i="39"/>
  <c r="Y1077" i="39"/>
  <c r="AB1076" i="39"/>
  <c r="AA1076" i="39"/>
  <c r="AC1076" i="39" s="1"/>
  <c r="Z1076" i="39"/>
  <c r="Y1076" i="39"/>
  <c r="AB1075" i="39"/>
  <c r="AA1075" i="39"/>
  <c r="AC1075" i="39" s="1"/>
  <c r="Z1075" i="39"/>
  <c r="Y1075" i="39"/>
  <c r="AB1074" i="39"/>
  <c r="AA1074" i="39"/>
  <c r="AC1074" i="39" s="1"/>
  <c r="Z1074" i="39"/>
  <c r="Y1074" i="39"/>
  <c r="AB1073" i="39"/>
  <c r="AA1073" i="39"/>
  <c r="AC1073" i="39" s="1"/>
  <c r="Z1073" i="39"/>
  <c r="Y1073" i="39"/>
  <c r="AB1072" i="39"/>
  <c r="AA1072" i="39"/>
  <c r="AC1072" i="39" s="1"/>
  <c r="Z1072" i="39"/>
  <c r="Y1072" i="39"/>
  <c r="AB1071" i="39"/>
  <c r="AA1071" i="39"/>
  <c r="AC1071" i="39" s="1"/>
  <c r="Z1071" i="39"/>
  <c r="Y1071" i="39"/>
  <c r="AB1070" i="39"/>
  <c r="AA1070" i="39"/>
  <c r="AC1070" i="39" s="1"/>
  <c r="Z1070" i="39"/>
  <c r="Y1070" i="39"/>
  <c r="AB1069" i="39"/>
  <c r="AA1069" i="39"/>
  <c r="AC1069" i="39" s="1"/>
  <c r="Z1069" i="39"/>
  <c r="Y1069" i="39"/>
  <c r="AB1068" i="39"/>
  <c r="AA1068" i="39"/>
  <c r="AC1068" i="39" s="1"/>
  <c r="Z1068" i="39"/>
  <c r="Y1068" i="39"/>
  <c r="AB1067" i="39"/>
  <c r="AA1067" i="39"/>
  <c r="AC1067" i="39" s="1"/>
  <c r="Z1067" i="39"/>
  <c r="Y1067" i="39"/>
  <c r="AB1066" i="39"/>
  <c r="AA1066" i="39"/>
  <c r="AC1066" i="39" s="1"/>
  <c r="Z1066" i="39"/>
  <c r="Y1066" i="39"/>
  <c r="AB1065" i="39"/>
  <c r="AA1065" i="39"/>
  <c r="AC1065" i="39" s="1"/>
  <c r="Z1065" i="39"/>
  <c r="Y1065" i="39"/>
  <c r="AB1064" i="39"/>
  <c r="AA1064" i="39"/>
  <c r="AC1064" i="39" s="1"/>
  <c r="Z1064" i="39"/>
  <c r="Y1064" i="39"/>
  <c r="AB1063" i="39"/>
  <c r="AA1063" i="39"/>
  <c r="AC1063" i="39" s="1"/>
  <c r="Z1063" i="39"/>
  <c r="Y1063" i="39"/>
  <c r="AB1062" i="39"/>
  <c r="AA1062" i="39"/>
  <c r="AC1062" i="39" s="1"/>
  <c r="Z1062" i="39"/>
  <c r="Y1062" i="39"/>
  <c r="AB1061" i="39"/>
  <c r="AA1061" i="39"/>
  <c r="AC1061" i="39" s="1"/>
  <c r="Z1061" i="39"/>
  <c r="Y1061" i="39"/>
  <c r="AB1060" i="39"/>
  <c r="AA1060" i="39"/>
  <c r="AC1060" i="39" s="1"/>
  <c r="Z1060" i="39"/>
  <c r="Y1060" i="39"/>
  <c r="AB1059" i="39"/>
  <c r="AA1059" i="39"/>
  <c r="AC1059" i="39" s="1"/>
  <c r="Z1059" i="39"/>
  <c r="Y1059" i="39"/>
  <c r="AB1058" i="39"/>
  <c r="AA1058" i="39"/>
  <c r="AC1058" i="39" s="1"/>
  <c r="Z1058" i="39"/>
  <c r="Y1058" i="39"/>
  <c r="AB1057" i="39"/>
  <c r="AA1057" i="39"/>
  <c r="AC1057" i="39" s="1"/>
  <c r="Z1057" i="39"/>
  <c r="Y1057" i="39"/>
  <c r="AB1056" i="39"/>
  <c r="AA1056" i="39"/>
  <c r="AC1056" i="39" s="1"/>
  <c r="Z1056" i="39"/>
  <c r="Y1056" i="39"/>
  <c r="AB1055" i="39"/>
  <c r="AA1055" i="39"/>
  <c r="AC1055" i="39" s="1"/>
  <c r="Z1055" i="39"/>
  <c r="Y1055" i="39"/>
  <c r="AB1054" i="39"/>
  <c r="AA1054" i="39"/>
  <c r="AC1054" i="39" s="1"/>
  <c r="Z1054" i="39"/>
  <c r="Y1054" i="39"/>
  <c r="AB1053" i="39"/>
  <c r="AA1053" i="39"/>
  <c r="AC1053" i="39" s="1"/>
  <c r="Z1053" i="39"/>
  <c r="Y1053" i="39"/>
  <c r="AB1052" i="39"/>
  <c r="AA1052" i="39"/>
  <c r="AC1052" i="39" s="1"/>
  <c r="Z1052" i="39"/>
  <c r="Y1052" i="39"/>
  <c r="AB1051" i="39"/>
  <c r="AA1051" i="39"/>
  <c r="AC1051" i="39" s="1"/>
  <c r="Z1051" i="39"/>
  <c r="Y1051" i="39"/>
  <c r="AB1050" i="39"/>
  <c r="AA1050" i="39"/>
  <c r="AC1050" i="39" s="1"/>
  <c r="Z1050" i="39"/>
  <c r="Y1050" i="39"/>
  <c r="AB1049" i="39"/>
  <c r="AA1049" i="39"/>
  <c r="AC1049" i="39" s="1"/>
  <c r="Z1049" i="39"/>
  <c r="Y1049" i="39"/>
  <c r="AB1048" i="39"/>
  <c r="AA1048" i="39"/>
  <c r="AC1048" i="39" s="1"/>
  <c r="Z1048" i="39"/>
  <c r="Y1048" i="39"/>
  <c r="AB1047" i="39"/>
  <c r="AA1047" i="39"/>
  <c r="AC1047" i="39" s="1"/>
  <c r="Z1047" i="39"/>
  <c r="Y1047" i="39"/>
  <c r="AB1046" i="39"/>
  <c r="AA1046" i="39"/>
  <c r="AC1046" i="39" s="1"/>
  <c r="Z1046" i="39"/>
  <c r="Y1046" i="39"/>
  <c r="AB1045" i="39"/>
  <c r="AA1045" i="39"/>
  <c r="AC1045" i="39" s="1"/>
  <c r="Z1045" i="39"/>
  <c r="Y1045" i="39"/>
  <c r="AB1044" i="39"/>
  <c r="AA1044" i="39"/>
  <c r="AC1044" i="39" s="1"/>
  <c r="Z1044" i="39"/>
  <c r="Y1044" i="39"/>
  <c r="AB1043" i="39"/>
  <c r="AA1043" i="39"/>
  <c r="AC1043" i="39" s="1"/>
  <c r="Z1043" i="39"/>
  <c r="Y1043" i="39"/>
  <c r="AB1042" i="39"/>
  <c r="AA1042" i="39"/>
  <c r="AC1042" i="39" s="1"/>
  <c r="Z1042" i="39"/>
  <c r="Y1042" i="39"/>
  <c r="AB1041" i="39"/>
  <c r="AA1041" i="39"/>
  <c r="AC1041" i="39" s="1"/>
  <c r="Z1041" i="39"/>
  <c r="Y1041" i="39"/>
  <c r="AB1040" i="39"/>
  <c r="AA1040" i="39"/>
  <c r="AC1040" i="39" s="1"/>
  <c r="Z1040" i="39"/>
  <c r="Y1040" i="39"/>
  <c r="AB1039" i="39"/>
  <c r="AA1039" i="39"/>
  <c r="AC1039" i="39" s="1"/>
  <c r="Z1039" i="39"/>
  <c r="Y1039" i="39"/>
  <c r="AB1038" i="39"/>
  <c r="AA1038" i="39"/>
  <c r="AC1038" i="39" s="1"/>
  <c r="Z1038" i="39"/>
  <c r="Y1038" i="39"/>
  <c r="AB1037" i="39"/>
  <c r="AA1037" i="39"/>
  <c r="AC1037" i="39" s="1"/>
  <c r="Z1037" i="39"/>
  <c r="Y1037" i="39"/>
  <c r="AB1036" i="39"/>
  <c r="AA1036" i="39"/>
  <c r="AC1036" i="39" s="1"/>
  <c r="Z1036" i="39"/>
  <c r="Y1036" i="39"/>
  <c r="AB1035" i="39"/>
  <c r="AA1035" i="39"/>
  <c r="AC1035" i="39" s="1"/>
  <c r="Z1035" i="39"/>
  <c r="Y1035" i="39"/>
  <c r="AB1034" i="39"/>
  <c r="AA1034" i="39"/>
  <c r="AC1034" i="39" s="1"/>
  <c r="Z1034" i="39"/>
  <c r="Y1034" i="39"/>
  <c r="AB1033" i="39"/>
  <c r="AA1033" i="39"/>
  <c r="AC1033" i="39" s="1"/>
  <c r="Z1033" i="39"/>
  <c r="Y1033" i="39"/>
  <c r="AB1032" i="39"/>
  <c r="AA1032" i="39"/>
  <c r="AC1032" i="39" s="1"/>
  <c r="Z1032" i="39"/>
  <c r="Y1032" i="39"/>
  <c r="AB1031" i="39"/>
  <c r="AA1031" i="39"/>
  <c r="AC1031" i="39" s="1"/>
  <c r="Z1031" i="39"/>
  <c r="Y1031" i="39"/>
  <c r="AB1030" i="39"/>
  <c r="AA1030" i="39"/>
  <c r="AC1030" i="39" s="1"/>
  <c r="Z1030" i="39"/>
  <c r="Y1030" i="39"/>
  <c r="AB1029" i="39"/>
  <c r="AA1029" i="39"/>
  <c r="AC1029" i="39" s="1"/>
  <c r="Z1029" i="39"/>
  <c r="Y1029" i="39"/>
  <c r="AB1028" i="39"/>
  <c r="AA1028" i="39"/>
  <c r="AC1028" i="39" s="1"/>
  <c r="Z1028" i="39"/>
  <c r="Y1028" i="39"/>
  <c r="AB1027" i="39"/>
  <c r="AA1027" i="39"/>
  <c r="AC1027" i="39" s="1"/>
  <c r="Z1027" i="39"/>
  <c r="Y1027" i="39"/>
  <c r="AB1026" i="39"/>
  <c r="AA1026" i="39"/>
  <c r="AC1026" i="39" s="1"/>
  <c r="Z1026" i="39"/>
  <c r="Y1026" i="39"/>
  <c r="AB1025" i="39"/>
  <c r="AA1025" i="39"/>
  <c r="AC1025" i="39" s="1"/>
  <c r="Z1025" i="39"/>
  <c r="Y1025" i="39"/>
  <c r="AB1024" i="39"/>
  <c r="AA1024" i="39"/>
  <c r="AC1024" i="39" s="1"/>
  <c r="Z1024" i="39"/>
  <c r="Y1024" i="39"/>
  <c r="AB1023" i="39"/>
  <c r="AA1023" i="39"/>
  <c r="AC1023" i="39" s="1"/>
  <c r="Z1023" i="39"/>
  <c r="Y1023" i="39"/>
  <c r="AB1022" i="39"/>
  <c r="AA1022" i="39"/>
  <c r="AC1022" i="39" s="1"/>
  <c r="Z1022" i="39"/>
  <c r="Y1022" i="39"/>
  <c r="AB1021" i="39"/>
  <c r="AA1021" i="39"/>
  <c r="AC1021" i="39" s="1"/>
  <c r="Z1021" i="39"/>
  <c r="Y1021" i="39"/>
  <c r="AB1020" i="39"/>
  <c r="AA1020" i="39"/>
  <c r="AC1020" i="39" s="1"/>
  <c r="Z1020" i="39"/>
  <c r="Y1020" i="39"/>
  <c r="AB1019" i="39"/>
  <c r="AA1019" i="39"/>
  <c r="AC1019" i="39" s="1"/>
  <c r="Z1019" i="39"/>
  <c r="Y1019" i="39"/>
  <c r="AB1018" i="39"/>
  <c r="AA1018" i="39"/>
  <c r="AC1018" i="39" s="1"/>
  <c r="Z1018" i="39"/>
  <c r="Y1018" i="39"/>
  <c r="AB1017" i="39"/>
  <c r="AA1017" i="39"/>
  <c r="AC1017" i="39" s="1"/>
  <c r="Z1017" i="39"/>
  <c r="Y1017" i="39"/>
  <c r="AB1016" i="39"/>
  <c r="AA1016" i="39"/>
  <c r="AC1016" i="39" s="1"/>
  <c r="Z1016" i="39"/>
  <c r="Y1016" i="39"/>
  <c r="AB1015" i="39"/>
  <c r="AA1015" i="39"/>
  <c r="AC1015" i="39" s="1"/>
  <c r="Z1015" i="39"/>
  <c r="Y1015" i="39"/>
  <c r="AB1014" i="39"/>
  <c r="AA1014" i="39"/>
  <c r="AC1014" i="39" s="1"/>
  <c r="Z1014" i="39"/>
  <c r="Y1014" i="39"/>
  <c r="AB1013" i="39"/>
  <c r="AA1013" i="39"/>
  <c r="AC1013" i="39" s="1"/>
  <c r="Z1013" i="39"/>
  <c r="Y1013" i="39"/>
  <c r="AB1012" i="39"/>
  <c r="AA1012" i="39"/>
  <c r="AC1012" i="39" s="1"/>
  <c r="Z1012" i="39"/>
  <c r="Y1012" i="39"/>
  <c r="AB1011" i="39"/>
  <c r="AA1011" i="39"/>
  <c r="AC1011" i="39" s="1"/>
  <c r="Z1011" i="39"/>
  <c r="Y1011" i="39"/>
  <c r="AB1010" i="39"/>
  <c r="AA1010" i="39"/>
  <c r="AC1010" i="39" s="1"/>
  <c r="Z1010" i="39"/>
  <c r="Y1010" i="39"/>
  <c r="AB1009" i="39"/>
  <c r="AA1009" i="39"/>
  <c r="AC1009" i="39" s="1"/>
  <c r="Z1009" i="39"/>
  <c r="Y1009" i="39"/>
  <c r="AB1008" i="39"/>
  <c r="AA1008" i="39"/>
  <c r="AC1008" i="39" s="1"/>
  <c r="Z1008" i="39"/>
  <c r="Y1008" i="39"/>
  <c r="AB1007" i="39"/>
  <c r="AA1007" i="39"/>
  <c r="AC1007" i="39" s="1"/>
  <c r="Z1007" i="39"/>
  <c r="Y1007" i="39"/>
  <c r="AB1006" i="39"/>
  <c r="AA1006" i="39"/>
  <c r="AC1006" i="39" s="1"/>
  <c r="Z1006" i="39"/>
  <c r="Y1006" i="39"/>
  <c r="AB1005" i="39"/>
  <c r="AA1005" i="39"/>
  <c r="AC1005" i="39" s="1"/>
  <c r="Z1005" i="39"/>
  <c r="Y1005" i="39"/>
  <c r="AB1004" i="39"/>
  <c r="AA1004" i="39"/>
  <c r="AC1004" i="39" s="1"/>
  <c r="Z1004" i="39"/>
  <c r="Y1004" i="39"/>
  <c r="AB1003" i="39"/>
  <c r="AA1003" i="39"/>
  <c r="AC1003" i="39" s="1"/>
  <c r="Z1003" i="39"/>
  <c r="Y1003" i="39"/>
  <c r="AB1002" i="39"/>
  <c r="AA1002" i="39"/>
  <c r="AC1002" i="39" s="1"/>
  <c r="Z1002" i="39"/>
  <c r="Y1002" i="39"/>
  <c r="AB1001" i="39"/>
  <c r="AA1001" i="39"/>
  <c r="AC1001" i="39" s="1"/>
  <c r="Z1001" i="39"/>
  <c r="Y1001" i="39"/>
  <c r="AB1000" i="39"/>
  <c r="AA1000" i="39"/>
  <c r="AC1000" i="39" s="1"/>
  <c r="Z1000" i="39"/>
  <c r="Y1000" i="39"/>
  <c r="AB999" i="39"/>
  <c r="AA999" i="39"/>
  <c r="AC999" i="39" s="1"/>
  <c r="Z999" i="39"/>
  <c r="Y999" i="39"/>
  <c r="AB998" i="39"/>
  <c r="AA998" i="39"/>
  <c r="AC998" i="39" s="1"/>
  <c r="Z998" i="39"/>
  <c r="Y998" i="39"/>
  <c r="AB997" i="39"/>
  <c r="AA997" i="39"/>
  <c r="AC997" i="39" s="1"/>
  <c r="Z997" i="39"/>
  <c r="Y997" i="39"/>
  <c r="AB996" i="39"/>
  <c r="AA996" i="39"/>
  <c r="AC996" i="39" s="1"/>
  <c r="Z996" i="39"/>
  <c r="Y996" i="39"/>
  <c r="AB995" i="39"/>
  <c r="AA995" i="39"/>
  <c r="AC995" i="39" s="1"/>
  <c r="Z995" i="39"/>
  <c r="Y995" i="39"/>
  <c r="AB994" i="39"/>
  <c r="AA994" i="39"/>
  <c r="AC994" i="39" s="1"/>
  <c r="Z994" i="39"/>
  <c r="Y994" i="39"/>
  <c r="AB993" i="39"/>
  <c r="AA993" i="39"/>
  <c r="AC993" i="39" s="1"/>
  <c r="Z993" i="39"/>
  <c r="Y993" i="39"/>
  <c r="AB992" i="39"/>
  <c r="AA992" i="39"/>
  <c r="AC992" i="39" s="1"/>
  <c r="Z992" i="39"/>
  <c r="Y992" i="39"/>
  <c r="AB991" i="39"/>
  <c r="AA991" i="39"/>
  <c r="AC991" i="39" s="1"/>
  <c r="Z991" i="39"/>
  <c r="Y991" i="39"/>
  <c r="AB990" i="39"/>
  <c r="AA990" i="39"/>
  <c r="AC990" i="39" s="1"/>
  <c r="Z990" i="39"/>
  <c r="Y990" i="39"/>
  <c r="AB989" i="39"/>
  <c r="AA989" i="39"/>
  <c r="AC989" i="39" s="1"/>
  <c r="Z989" i="39"/>
  <c r="Y989" i="39"/>
  <c r="AB988" i="39"/>
  <c r="AA988" i="39"/>
  <c r="AC988" i="39" s="1"/>
  <c r="Z988" i="39"/>
  <c r="Y988" i="39"/>
  <c r="AB987" i="39"/>
  <c r="AA987" i="39"/>
  <c r="AC987" i="39" s="1"/>
  <c r="Z987" i="39"/>
  <c r="Y987" i="39"/>
  <c r="AB986" i="39"/>
  <c r="AA986" i="39"/>
  <c r="AC986" i="39" s="1"/>
  <c r="Z986" i="39"/>
  <c r="Y986" i="39"/>
  <c r="AB985" i="39"/>
  <c r="AA985" i="39"/>
  <c r="AC985" i="39" s="1"/>
  <c r="Z985" i="39"/>
  <c r="Y985" i="39"/>
  <c r="AB984" i="39"/>
  <c r="AA984" i="39"/>
  <c r="AC984" i="39" s="1"/>
  <c r="Z984" i="39"/>
  <c r="Y984" i="39"/>
  <c r="AB983" i="39"/>
  <c r="AA983" i="39"/>
  <c r="AC983" i="39" s="1"/>
  <c r="Z983" i="39"/>
  <c r="Y983" i="39"/>
  <c r="AB982" i="39"/>
  <c r="AA982" i="39"/>
  <c r="AC982" i="39" s="1"/>
  <c r="Z982" i="39"/>
  <c r="Y982" i="39"/>
  <c r="AB981" i="39"/>
  <c r="AA981" i="39"/>
  <c r="AC981" i="39" s="1"/>
  <c r="Z981" i="39"/>
  <c r="Y981" i="39"/>
  <c r="AB980" i="39"/>
  <c r="AA980" i="39"/>
  <c r="AC980" i="39" s="1"/>
  <c r="Z980" i="39"/>
  <c r="Y980" i="39"/>
  <c r="AB979" i="39"/>
  <c r="AA979" i="39"/>
  <c r="AC979" i="39" s="1"/>
  <c r="Z979" i="39"/>
  <c r="Y979" i="39"/>
  <c r="AB978" i="39"/>
  <c r="AA978" i="39"/>
  <c r="AC978" i="39" s="1"/>
  <c r="Z978" i="39"/>
  <c r="Y978" i="39"/>
  <c r="AB977" i="39"/>
  <c r="AA977" i="39"/>
  <c r="AC977" i="39" s="1"/>
  <c r="Z977" i="39"/>
  <c r="Y977" i="39"/>
  <c r="AB976" i="39"/>
  <c r="AA976" i="39"/>
  <c r="AC976" i="39" s="1"/>
  <c r="Z976" i="39"/>
  <c r="Y976" i="39"/>
  <c r="AB975" i="39"/>
  <c r="AA975" i="39"/>
  <c r="AC975" i="39" s="1"/>
  <c r="Z975" i="39"/>
  <c r="Y975" i="39"/>
  <c r="AB974" i="39"/>
  <c r="AA974" i="39"/>
  <c r="AC974" i="39" s="1"/>
  <c r="Z974" i="39"/>
  <c r="Y974" i="39"/>
  <c r="AB973" i="39"/>
  <c r="AA973" i="39"/>
  <c r="AC973" i="39" s="1"/>
  <c r="Z973" i="39"/>
  <c r="Y973" i="39"/>
  <c r="AB972" i="39"/>
  <c r="AA972" i="39"/>
  <c r="AC972" i="39" s="1"/>
  <c r="Z972" i="39"/>
  <c r="Y972" i="39"/>
  <c r="AB971" i="39"/>
  <c r="AA971" i="39"/>
  <c r="AC971" i="39" s="1"/>
  <c r="Z971" i="39"/>
  <c r="Y971" i="39"/>
  <c r="AB970" i="39"/>
  <c r="AA970" i="39"/>
  <c r="AC970" i="39" s="1"/>
  <c r="Z970" i="39"/>
  <c r="Y970" i="39"/>
  <c r="AB969" i="39"/>
  <c r="AA969" i="39"/>
  <c r="AC969" i="39" s="1"/>
  <c r="Z969" i="39"/>
  <c r="Y969" i="39"/>
  <c r="AB968" i="39"/>
  <c r="AA968" i="39"/>
  <c r="AC968" i="39" s="1"/>
  <c r="Z968" i="39"/>
  <c r="Y968" i="39"/>
  <c r="AB967" i="39"/>
  <c r="AA967" i="39"/>
  <c r="AC967" i="39" s="1"/>
  <c r="Z967" i="39"/>
  <c r="Y967" i="39"/>
  <c r="AB966" i="39"/>
  <c r="AA966" i="39"/>
  <c r="AC966" i="39" s="1"/>
  <c r="Z966" i="39"/>
  <c r="Y966" i="39"/>
  <c r="AB965" i="39"/>
  <c r="AA965" i="39"/>
  <c r="AC965" i="39" s="1"/>
  <c r="Z965" i="39"/>
  <c r="Y965" i="39"/>
  <c r="AB964" i="39"/>
  <c r="AA964" i="39"/>
  <c r="AC964" i="39" s="1"/>
  <c r="Z964" i="39"/>
  <c r="Y964" i="39"/>
  <c r="AB963" i="39"/>
  <c r="AA963" i="39"/>
  <c r="AC963" i="39" s="1"/>
  <c r="Z963" i="39"/>
  <c r="Y963" i="39"/>
  <c r="AB962" i="39"/>
  <c r="AA962" i="39"/>
  <c r="AC962" i="39" s="1"/>
  <c r="Z962" i="39"/>
  <c r="Y962" i="39"/>
  <c r="AB961" i="39"/>
  <c r="AA961" i="39"/>
  <c r="AC961" i="39" s="1"/>
  <c r="Z961" i="39"/>
  <c r="Y961" i="39"/>
  <c r="AB960" i="39"/>
  <c r="AA960" i="39"/>
  <c r="AC960" i="39" s="1"/>
  <c r="Z960" i="39"/>
  <c r="Y960" i="39"/>
  <c r="AB959" i="39"/>
  <c r="AA959" i="39"/>
  <c r="AC959" i="39" s="1"/>
  <c r="Z959" i="39"/>
  <c r="Y959" i="39"/>
  <c r="AB958" i="39"/>
  <c r="AA958" i="39"/>
  <c r="AC958" i="39" s="1"/>
  <c r="Z958" i="39"/>
  <c r="Y958" i="39"/>
  <c r="AB957" i="39"/>
  <c r="AA957" i="39"/>
  <c r="AC957" i="39" s="1"/>
  <c r="Z957" i="39"/>
  <c r="Y957" i="39"/>
  <c r="AB956" i="39"/>
  <c r="AA956" i="39"/>
  <c r="AC956" i="39" s="1"/>
  <c r="Z956" i="39"/>
  <c r="Y956" i="39"/>
  <c r="AB955" i="39"/>
  <c r="AA955" i="39"/>
  <c r="AC955" i="39" s="1"/>
  <c r="Z955" i="39"/>
  <c r="Y955" i="39"/>
  <c r="AB954" i="39"/>
  <c r="AA954" i="39"/>
  <c r="AC954" i="39" s="1"/>
  <c r="Z954" i="39"/>
  <c r="Y954" i="39"/>
  <c r="AB953" i="39"/>
  <c r="AA953" i="39"/>
  <c r="AC953" i="39" s="1"/>
  <c r="Z953" i="39"/>
  <c r="Y953" i="39"/>
  <c r="AB952" i="39"/>
  <c r="AA952" i="39"/>
  <c r="AC952" i="39" s="1"/>
  <c r="Z952" i="39"/>
  <c r="Y952" i="39"/>
  <c r="AB951" i="39"/>
  <c r="AA951" i="39"/>
  <c r="AC951" i="39" s="1"/>
  <c r="Z951" i="39"/>
  <c r="Y951" i="39"/>
  <c r="AB950" i="39"/>
  <c r="AA950" i="39"/>
  <c r="AC950" i="39" s="1"/>
  <c r="Z950" i="39"/>
  <c r="Y950" i="39"/>
  <c r="AB949" i="39"/>
  <c r="AA949" i="39"/>
  <c r="AC949" i="39" s="1"/>
  <c r="Z949" i="39"/>
  <c r="Y949" i="39"/>
  <c r="AB948" i="39"/>
  <c r="AA948" i="39"/>
  <c r="AC948" i="39" s="1"/>
  <c r="Z948" i="39"/>
  <c r="Y948" i="39"/>
  <c r="AB947" i="39"/>
  <c r="AA947" i="39"/>
  <c r="AC947" i="39" s="1"/>
  <c r="Z947" i="39"/>
  <c r="Y947" i="39"/>
  <c r="AB946" i="39"/>
  <c r="AA946" i="39"/>
  <c r="AC946" i="39" s="1"/>
  <c r="Z946" i="39"/>
  <c r="Y946" i="39"/>
  <c r="AB945" i="39"/>
  <c r="AA945" i="39"/>
  <c r="AC945" i="39" s="1"/>
  <c r="Z945" i="39"/>
  <c r="Y945" i="39"/>
  <c r="AB944" i="39"/>
  <c r="AA944" i="39"/>
  <c r="AC944" i="39" s="1"/>
  <c r="Z944" i="39"/>
  <c r="Y944" i="39"/>
  <c r="AB943" i="39"/>
  <c r="AA943" i="39"/>
  <c r="AC943" i="39" s="1"/>
  <c r="Z943" i="39"/>
  <c r="Y943" i="39"/>
  <c r="AB942" i="39"/>
  <c r="AA942" i="39"/>
  <c r="AC942" i="39" s="1"/>
  <c r="Z942" i="39"/>
  <c r="Y942" i="39"/>
  <c r="AB941" i="39"/>
  <c r="AA941" i="39"/>
  <c r="AC941" i="39" s="1"/>
  <c r="Z941" i="39"/>
  <c r="Y941" i="39"/>
  <c r="AB940" i="39"/>
  <c r="AA940" i="39"/>
  <c r="AC940" i="39" s="1"/>
  <c r="Z940" i="39"/>
  <c r="Y940" i="39"/>
  <c r="AB939" i="39"/>
  <c r="AA939" i="39"/>
  <c r="AC939" i="39" s="1"/>
  <c r="Z939" i="39"/>
  <c r="Y939" i="39"/>
  <c r="AB938" i="39"/>
  <c r="AA938" i="39"/>
  <c r="AC938" i="39" s="1"/>
  <c r="Z938" i="39"/>
  <c r="Y938" i="39"/>
  <c r="AB937" i="39"/>
  <c r="AA937" i="39"/>
  <c r="AC937" i="39" s="1"/>
  <c r="Z937" i="39"/>
  <c r="Y937" i="39"/>
  <c r="AB936" i="39"/>
  <c r="AA936" i="39"/>
  <c r="AC936" i="39" s="1"/>
  <c r="Z936" i="39"/>
  <c r="Y936" i="39"/>
  <c r="AB935" i="39"/>
  <c r="AA935" i="39"/>
  <c r="AC935" i="39" s="1"/>
  <c r="Z935" i="39"/>
  <c r="Y935" i="39"/>
  <c r="AB934" i="39"/>
  <c r="AA934" i="39"/>
  <c r="AC934" i="39" s="1"/>
  <c r="Z934" i="39"/>
  <c r="Y934" i="39"/>
  <c r="AB933" i="39"/>
  <c r="AA933" i="39"/>
  <c r="AC933" i="39" s="1"/>
  <c r="Z933" i="39"/>
  <c r="Y933" i="39"/>
  <c r="AB932" i="39"/>
  <c r="AA932" i="39"/>
  <c r="AC932" i="39" s="1"/>
  <c r="Z932" i="39"/>
  <c r="Y932" i="39"/>
  <c r="AB931" i="39"/>
  <c r="AA931" i="39"/>
  <c r="AC931" i="39" s="1"/>
  <c r="Z931" i="39"/>
  <c r="Y931" i="39"/>
  <c r="AB930" i="39"/>
  <c r="AA930" i="39"/>
  <c r="AC930" i="39" s="1"/>
  <c r="Z930" i="39"/>
  <c r="Y930" i="39"/>
  <c r="AB929" i="39"/>
  <c r="AA929" i="39"/>
  <c r="AC929" i="39" s="1"/>
  <c r="Z929" i="39"/>
  <c r="Y929" i="39"/>
  <c r="AB928" i="39"/>
  <c r="AA928" i="39"/>
  <c r="AC928" i="39" s="1"/>
  <c r="Z928" i="39"/>
  <c r="Y928" i="39"/>
  <c r="AB927" i="39"/>
  <c r="AA927" i="39"/>
  <c r="AC927" i="39" s="1"/>
  <c r="Z927" i="39"/>
  <c r="Y927" i="39"/>
  <c r="AB926" i="39"/>
  <c r="AA926" i="39"/>
  <c r="AC926" i="39" s="1"/>
  <c r="Z926" i="39"/>
  <c r="Y926" i="39"/>
  <c r="AB925" i="39"/>
  <c r="AA925" i="39"/>
  <c r="AC925" i="39" s="1"/>
  <c r="Z925" i="39"/>
  <c r="Y925" i="39"/>
  <c r="AB924" i="39"/>
  <c r="AA924" i="39"/>
  <c r="AC924" i="39" s="1"/>
  <c r="Z924" i="39"/>
  <c r="Y924" i="39"/>
  <c r="AB923" i="39"/>
  <c r="AA923" i="39"/>
  <c r="AC923" i="39" s="1"/>
  <c r="Z923" i="39"/>
  <c r="Y923" i="39"/>
  <c r="AB922" i="39"/>
  <c r="AA922" i="39"/>
  <c r="AC922" i="39" s="1"/>
  <c r="Z922" i="39"/>
  <c r="Y922" i="39"/>
  <c r="AB921" i="39"/>
  <c r="AA921" i="39"/>
  <c r="AC921" i="39" s="1"/>
  <c r="Z921" i="39"/>
  <c r="Y921" i="39"/>
  <c r="AB920" i="39"/>
  <c r="AA920" i="39"/>
  <c r="AC920" i="39" s="1"/>
  <c r="Z920" i="39"/>
  <c r="Y920" i="39"/>
  <c r="AB919" i="39"/>
  <c r="AA919" i="39"/>
  <c r="AC919" i="39" s="1"/>
  <c r="Z919" i="39"/>
  <c r="Y919" i="39"/>
  <c r="AB918" i="39"/>
  <c r="AA918" i="39"/>
  <c r="AC918" i="39" s="1"/>
  <c r="Z918" i="39"/>
  <c r="Y918" i="39"/>
  <c r="AB917" i="39"/>
  <c r="AA917" i="39"/>
  <c r="AC917" i="39" s="1"/>
  <c r="Z917" i="39"/>
  <c r="Y917" i="39"/>
  <c r="AB916" i="39"/>
  <c r="AA916" i="39"/>
  <c r="AC916" i="39" s="1"/>
  <c r="Z916" i="39"/>
  <c r="Y916" i="39"/>
  <c r="AB915" i="39"/>
  <c r="AA915" i="39"/>
  <c r="AC915" i="39" s="1"/>
  <c r="Z915" i="39"/>
  <c r="Y915" i="39"/>
  <c r="AB914" i="39"/>
  <c r="AA914" i="39"/>
  <c r="AC914" i="39" s="1"/>
  <c r="Z914" i="39"/>
  <c r="Y914" i="39"/>
  <c r="AB913" i="39"/>
  <c r="AA913" i="39"/>
  <c r="AC913" i="39" s="1"/>
  <c r="Z913" i="39"/>
  <c r="Y913" i="39"/>
  <c r="AB912" i="39"/>
  <c r="AA912" i="39"/>
  <c r="AC912" i="39" s="1"/>
  <c r="Z912" i="39"/>
  <c r="Y912" i="39"/>
  <c r="AB911" i="39"/>
  <c r="AA911" i="39"/>
  <c r="AC911" i="39" s="1"/>
  <c r="Z911" i="39"/>
  <c r="Y911" i="39"/>
  <c r="AB910" i="39"/>
  <c r="AA910" i="39"/>
  <c r="AC910" i="39" s="1"/>
  <c r="Z910" i="39"/>
  <c r="Y910" i="39"/>
  <c r="AB909" i="39"/>
  <c r="AA909" i="39"/>
  <c r="AC909" i="39" s="1"/>
  <c r="Z909" i="39"/>
  <c r="Y909" i="39"/>
  <c r="AB908" i="39"/>
  <c r="AA908" i="39"/>
  <c r="AC908" i="39" s="1"/>
  <c r="Z908" i="39"/>
  <c r="Y908" i="39"/>
  <c r="AB907" i="39"/>
  <c r="AA907" i="39"/>
  <c r="AC907" i="39" s="1"/>
  <c r="Z907" i="39"/>
  <c r="Y907" i="39"/>
  <c r="AB906" i="39"/>
  <c r="AA906" i="39"/>
  <c r="AC906" i="39" s="1"/>
  <c r="Z906" i="39"/>
  <c r="Y906" i="39"/>
  <c r="AB905" i="39"/>
  <c r="AA905" i="39"/>
  <c r="AC905" i="39" s="1"/>
  <c r="Z905" i="39"/>
  <c r="Y905" i="39"/>
  <c r="AB904" i="39"/>
  <c r="AA904" i="39"/>
  <c r="AC904" i="39" s="1"/>
  <c r="Z904" i="39"/>
  <c r="Y904" i="39"/>
  <c r="AB903" i="39"/>
  <c r="AA903" i="39"/>
  <c r="AC903" i="39" s="1"/>
  <c r="Z903" i="39"/>
  <c r="Y903" i="39"/>
  <c r="AB902" i="39"/>
  <c r="AA902" i="39"/>
  <c r="AC902" i="39" s="1"/>
  <c r="Z902" i="39"/>
  <c r="Y902" i="39"/>
  <c r="AB901" i="39"/>
  <c r="AA901" i="39"/>
  <c r="AC901" i="39" s="1"/>
  <c r="Z901" i="39"/>
  <c r="Y901" i="39"/>
  <c r="AB900" i="39"/>
  <c r="AA900" i="39"/>
  <c r="AC900" i="39" s="1"/>
  <c r="Z900" i="39"/>
  <c r="Y900" i="39"/>
  <c r="AB899" i="39"/>
  <c r="AA899" i="39"/>
  <c r="AC899" i="39" s="1"/>
  <c r="Z899" i="39"/>
  <c r="Y899" i="39"/>
  <c r="AB898" i="39"/>
  <c r="AA898" i="39"/>
  <c r="AC898" i="39" s="1"/>
  <c r="Z898" i="39"/>
  <c r="Y898" i="39"/>
  <c r="AB897" i="39"/>
  <c r="AA897" i="39"/>
  <c r="AC897" i="39" s="1"/>
  <c r="Z897" i="39"/>
  <c r="Y897" i="39"/>
  <c r="AB896" i="39"/>
  <c r="AA896" i="39"/>
  <c r="AC896" i="39" s="1"/>
  <c r="Z896" i="39"/>
  <c r="Y896" i="39"/>
  <c r="AB895" i="39"/>
  <c r="AA895" i="39"/>
  <c r="AC895" i="39" s="1"/>
  <c r="Z895" i="39"/>
  <c r="Y895" i="39"/>
  <c r="AB894" i="39"/>
  <c r="AA894" i="39"/>
  <c r="AC894" i="39" s="1"/>
  <c r="Z894" i="39"/>
  <c r="Y894" i="39"/>
  <c r="AB893" i="39"/>
  <c r="AA893" i="39"/>
  <c r="AC893" i="39" s="1"/>
  <c r="Z893" i="39"/>
  <c r="Y893" i="39"/>
  <c r="AB892" i="39"/>
  <c r="AA892" i="39"/>
  <c r="AC892" i="39" s="1"/>
  <c r="Z892" i="39"/>
  <c r="Y892" i="39"/>
  <c r="AB891" i="39"/>
  <c r="AA891" i="39"/>
  <c r="AC891" i="39" s="1"/>
  <c r="Z891" i="39"/>
  <c r="Y891" i="39"/>
  <c r="AB890" i="39"/>
  <c r="AA890" i="39"/>
  <c r="AC890" i="39" s="1"/>
  <c r="Z890" i="39"/>
  <c r="Y890" i="39"/>
  <c r="AB889" i="39"/>
  <c r="AA889" i="39"/>
  <c r="AC889" i="39" s="1"/>
  <c r="Z889" i="39"/>
  <c r="Y889" i="39"/>
  <c r="AB888" i="39"/>
  <c r="AA888" i="39"/>
  <c r="AC888" i="39" s="1"/>
  <c r="Z888" i="39"/>
  <c r="Y888" i="39"/>
  <c r="AB887" i="39"/>
  <c r="AA887" i="39"/>
  <c r="AC887" i="39" s="1"/>
  <c r="Z887" i="39"/>
  <c r="Y887" i="39"/>
  <c r="AB886" i="39"/>
  <c r="AA886" i="39"/>
  <c r="AC886" i="39" s="1"/>
  <c r="Z886" i="39"/>
  <c r="Y886" i="39"/>
  <c r="AB885" i="39"/>
  <c r="AA885" i="39"/>
  <c r="AC885" i="39" s="1"/>
  <c r="Z885" i="39"/>
  <c r="Y885" i="39"/>
  <c r="AB884" i="39"/>
  <c r="AA884" i="39"/>
  <c r="AC884" i="39" s="1"/>
  <c r="Z884" i="39"/>
  <c r="Y884" i="39"/>
  <c r="AB883" i="39"/>
  <c r="AA883" i="39"/>
  <c r="AC883" i="39" s="1"/>
  <c r="Z883" i="39"/>
  <c r="Y883" i="39"/>
  <c r="AB882" i="39"/>
  <c r="AA882" i="39"/>
  <c r="AC882" i="39" s="1"/>
  <c r="Z882" i="39"/>
  <c r="Y882" i="39"/>
  <c r="AB881" i="39"/>
  <c r="AA881" i="39"/>
  <c r="AC881" i="39" s="1"/>
  <c r="Z881" i="39"/>
  <c r="Y881" i="39"/>
  <c r="AB880" i="39"/>
  <c r="AA880" i="39"/>
  <c r="AC880" i="39" s="1"/>
  <c r="Z880" i="39"/>
  <c r="Y880" i="39"/>
  <c r="AB879" i="39"/>
  <c r="AA879" i="39"/>
  <c r="AC879" i="39" s="1"/>
  <c r="Z879" i="39"/>
  <c r="Y879" i="39"/>
  <c r="AB878" i="39"/>
  <c r="AA878" i="39"/>
  <c r="AC878" i="39" s="1"/>
  <c r="Z878" i="39"/>
  <c r="Y878" i="39"/>
  <c r="AB877" i="39"/>
  <c r="AA877" i="39"/>
  <c r="AC877" i="39" s="1"/>
  <c r="Z877" i="39"/>
  <c r="Y877" i="39"/>
  <c r="AB876" i="39"/>
  <c r="AA876" i="39"/>
  <c r="AC876" i="39" s="1"/>
  <c r="Z876" i="39"/>
  <c r="Y876" i="39"/>
  <c r="AB875" i="39"/>
  <c r="AA875" i="39"/>
  <c r="AC875" i="39" s="1"/>
  <c r="Z875" i="39"/>
  <c r="Y875" i="39"/>
  <c r="AB874" i="39"/>
  <c r="AA874" i="39"/>
  <c r="AC874" i="39" s="1"/>
  <c r="Z874" i="39"/>
  <c r="Y874" i="39"/>
  <c r="AB873" i="39"/>
  <c r="AA873" i="39"/>
  <c r="AC873" i="39" s="1"/>
  <c r="Z873" i="39"/>
  <c r="Y873" i="39"/>
  <c r="AB872" i="39"/>
  <c r="AA872" i="39"/>
  <c r="AC872" i="39" s="1"/>
  <c r="Z872" i="39"/>
  <c r="Y872" i="39"/>
  <c r="AB871" i="39"/>
  <c r="AA871" i="39"/>
  <c r="AC871" i="39" s="1"/>
  <c r="Z871" i="39"/>
  <c r="Y871" i="39"/>
  <c r="AB870" i="39"/>
  <c r="AA870" i="39"/>
  <c r="AC870" i="39" s="1"/>
  <c r="Z870" i="39"/>
  <c r="Y870" i="39"/>
  <c r="AB869" i="39"/>
  <c r="AA869" i="39"/>
  <c r="AC869" i="39" s="1"/>
  <c r="Z869" i="39"/>
  <c r="Y869" i="39"/>
  <c r="AB868" i="39"/>
  <c r="AA868" i="39"/>
  <c r="AC868" i="39" s="1"/>
  <c r="Z868" i="39"/>
  <c r="Y868" i="39"/>
  <c r="AB867" i="39"/>
  <c r="AA867" i="39"/>
  <c r="AC867" i="39" s="1"/>
  <c r="Z867" i="39"/>
  <c r="Y867" i="39"/>
  <c r="AB866" i="39"/>
  <c r="AA866" i="39"/>
  <c r="AC866" i="39" s="1"/>
  <c r="Z866" i="39"/>
  <c r="Y866" i="39"/>
  <c r="AB865" i="39"/>
  <c r="AA865" i="39"/>
  <c r="AC865" i="39" s="1"/>
  <c r="Z865" i="39"/>
  <c r="Y865" i="39"/>
  <c r="AB864" i="39"/>
  <c r="AA864" i="39"/>
  <c r="AC864" i="39" s="1"/>
  <c r="Z864" i="39"/>
  <c r="Y864" i="39"/>
  <c r="AB863" i="39"/>
  <c r="AA863" i="39"/>
  <c r="AC863" i="39" s="1"/>
  <c r="Z863" i="39"/>
  <c r="Y863" i="39"/>
  <c r="AB862" i="39"/>
  <c r="AA862" i="39"/>
  <c r="AC862" i="39" s="1"/>
  <c r="Z862" i="39"/>
  <c r="Y862" i="39"/>
  <c r="AB861" i="39"/>
  <c r="AA861" i="39"/>
  <c r="AC861" i="39" s="1"/>
  <c r="Z861" i="39"/>
  <c r="Y861" i="39"/>
  <c r="AB860" i="39"/>
  <c r="AA860" i="39"/>
  <c r="AC860" i="39" s="1"/>
  <c r="Z860" i="39"/>
  <c r="Y860" i="39"/>
  <c r="AB859" i="39"/>
  <c r="AA859" i="39"/>
  <c r="AC859" i="39" s="1"/>
  <c r="Z859" i="39"/>
  <c r="Y859" i="39"/>
  <c r="AB858" i="39"/>
  <c r="AA858" i="39"/>
  <c r="AC858" i="39" s="1"/>
  <c r="Z858" i="39"/>
  <c r="Y858" i="39"/>
  <c r="AB857" i="39"/>
  <c r="AA857" i="39"/>
  <c r="AC857" i="39" s="1"/>
  <c r="Z857" i="39"/>
  <c r="Y857" i="39"/>
  <c r="AB856" i="39"/>
  <c r="AA856" i="39"/>
  <c r="AC856" i="39" s="1"/>
  <c r="Z856" i="39"/>
  <c r="Y856" i="39"/>
  <c r="AB855" i="39"/>
  <c r="AA855" i="39"/>
  <c r="AC855" i="39" s="1"/>
  <c r="Z855" i="39"/>
  <c r="Y855" i="39"/>
  <c r="AB854" i="39"/>
  <c r="AA854" i="39"/>
  <c r="AC854" i="39" s="1"/>
  <c r="Z854" i="39"/>
  <c r="Y854" i="39"/>
  <c r="AB853" i="39"/>
  <c r="AA853" i="39"/>
  <c r="AC853" i="39" s="1"/>
  <c r="Z853" i="39"/>
  <c r="Y853" i="39"/>
  <c r="AB852" i="39"/>
  <c r="AA852" i="39"/>
  <c r="AC852" i="39" s="1"/>
  <c r="Z852" i="39"/>
  <c r="Y852" i="39"/>
  <c r="AB851" i="39"/>
  <c r="AA851" i="39"/>
  <c r="AC851" i="39" s="1"/>
  <c r="Z851" i="39"/>
  <c r="Y851" i="39"/>
  <c r="AB850" i="39"/>
  <c r="AA850" i="39"/>
  <c r="AC850" i="39" s="1"/>
  <c r="Z850" i="39"/>
  <c r="Y850" i="39"/>
  <c r="AB849" i="39"/>
  <c r="AA849" i="39"/>
  <c r="AC849" i="39" s="1"/>
  <c r="Z849" i="39"/>
  <c r="Y849" i="39"/>
  <c r="AB848" i="39"/>
  <c r="AA848" i="39"/>
  <c r="AC848" i="39" s="1"/>
  <c r="Z848" i="39"/>
  <c r="Y848" i="39"/>
  <c r="AB847" i="39"/>
  <c r="AA847" i="39"/>
  <c r="AC847" i="39" s="1"/>
  <c r="Z847" i="39"/>
  <c r="Y847" i="39"/>
  <c r="AB846" i="39"/>
  <c r="AA846" i="39"/>
  <c r="AC846" i="39" s="1"/>
  <c r="Z846" i="39"/>
  <c r="Y846" i="39"/>
  <c r="AB845" i="39"/>
  <c r="AA845" i="39"/>
  <c r="AC845" i="39" s="1"/>
  <c r="Z845" i="39"/>
  <c r="Y845" i="39"/>
  <c r="AB844" i="39"/>
  <c r="AA844" i="39"/>
  <c r="AC844" i="39" s="1"/>
  <c r="Z844" i="39"/>
  <c r="Y844" i="39"/>
  <c r="AB843" i="39"/>
  <c r="AA843" i="39"/>
  <c r="AC843" i="39" s="1"/>
  <c r="Z843" i="39"/>
  <c r="Y843" i="39"/>
  <c r="AB842" i="39"/>
  <c r="AA842" i="39"/>
  <c r="AC842" i="39" s="1"/>
  <c r="Z842" i="39"/>
  <c r="Y842" i="39"/>
  <c r="AB841" i="39"/>
  <c r="AA841" i="39"/>
  <c r="AC841" i="39" s="1"/>
  <c r="Z841" i="39"/>
  <c r="Y841" i="39"/>
  <c r="AB840" i="39"/>
  <c r="AA840" i="39"/>
  <c r="AC840" i="39" s="1"/>
  <c r="Z840" i="39"/>
  <c r="Y840" i="39"/>
  <c r="AB839" i="39"/>
  <c r="AA839" i="39"/>
  <c r="AC839" i="39" s="1"/>
  <c r="Z839" i="39"/>
  <c r="Y839" i="39"/>
  <c r="AB838" i="39"/>
  <c r="AA838" i="39"/>
  <c r="AC838" i="39" s="1"/>
  <c r="Z838" i="39"/>
  <c r="Y838" i="39"/>
  <c r="AB837" i="39"/>
  <c r="AA837" i="39"/>
  <c r="AC837" i="39" s="1"/>
  <c r="Z837" i="39"/>
  <c r="Y837" i="39"/>
  <c r="AB836" i="39"/>
  <c r="AA836" i="39"/>
  <c r="AC836" i="39" s="1"/>
  <c r="Z836" i="39"/>
  <c r="Y836" i="39"/>
  <c r="AB835" i="39"/>
  <c r="AA835" i="39"/>
  <c r="AC835" i="39" s="1"/>
  <c r="Z835" i="39"/>
  <c r="Y835" i="39"/>
  <c r="AB834" i="39"/>
  <c r="AA834" i="39"/>
  <c r="AC834" i="39" s="1"/>
  <c r="Z834" i="39"/>
  <c r="Y834" i="39"/>
  <c r="AB833" i="39"/>
  <c r="AA833" i="39"/>
  <c r="AC833" i="39" s="1"/>
  <c r="Z833" i="39"/>
  <c r="Y833" i="39"/>
  <c r="AB832" i="39"/>
  <c r="AA832" i="39"/>
  <c r="AC832" i="39" s="1"/>
  <c r="Z832" i="39"/>
  <c r="Y832" i="39"/>
  <c r="AB831" i="39"/>
  <c r="AA831" i="39"/>
  <c r="AC831" i="39" s="1"/>
  <c r="Z831" i="39"/>
  <c r="Y831" i="39"/>
  <c r="AB830" i="39"/>
  <c r="AA830" i="39"/>
  <c r="AC830" i="39" s="1"/>
  <c r="Z830" i="39"/>
  <c r="Y830" i="39"/>
  <c r="AB829" i="39"/>
  <c r="AA829" i="39"/>
  <c r="AC829" i="39" s="1"/>
  <c r="Z829" i="39"/>
  <c r="Y829" i="39"/>
  <c r="AB828" i="39"/>
  <c r="AA828" i="39"/>
  <c r="AC828" i="39" s="1"/>
  <c r="Z828" i="39"/>
  <c r="Y828" i="39"/>
  <c r="AB827" i="39"/>
  <c r="AA827" i="39"/>
  <c r="AC827" i="39" s="1"/>
  <c r="Z827" i="39"/>
  <c r="Y827" i="39"/>
  <c r="AB826" i="39"/>
  <c r="AA826" i="39"/>
  <c r="AC826" i="39" s="1"/>
  <c r="Z826" i="39"/>
  <c r="Y826" i="39"/>
  <c r="AB825" i="39"/>
  <c r="AA825" i="39"/>
  <c r="AC825" i="39" s="1"/>
  <c r="Z825" i="39"/>
  <c r="Y825" i="39"/>
  <c r="AB824" i="39"/>
  <c r="AA824" i="39"/>
  <c r="AC824" i="39" s="1"/>
  <c r="Z824" i="39"/>
  <c r="Y824" i="39"/>
  <c r="AB823" i="39"/>
  <c r="AA823" i="39"/>
  <c r="AC823" i="39" s="1"/>
  <c r="Z823" i="39"/>
  <c r="Y823" i="39"/>
  <c r="AB822" i="39"/>
  <c r="AA822" i="39"/>
  <c r="AC822" i="39" s="1"/>
  <c r="Z822" i="39"/>
  <c r="Y822" i="39"/>
  <c r="AB821" i="39"/>
  <c r="AA821" i="39"/>
  <c r="AC821" i="39" s="1"/>
  <c r="Z821" i="39"/>
  <c r="Y821" i="39"/>
  <c r="AB820" i="39"/>
  <c r="AA820" i="39"/>
  <c r="AC820" i="39" s="1"/>
  <c r="Z820" i="39"/>
  <c r="Y820" i="39"/>
  <c r="AB819" i="39"/>
  <c r="AA819" i="39"/>
  <c r="AC819" i="39" s="1"/>
  <c r="Z819" i="39"/>
  <c r="Y819" i="39"/>
  <c r="AB818" i="39"/>
  <c r="AA818" i="39"/>
  <c r="AC818" i="39" s="1"/>
  <c r="Z818" i="39"/>
  <c r="Y818" i="39"/>
  <c r="AB817" i="39"/>
  <c r="AA817" i="39"/>
  <c r="AC817" i="39" s="1"/>
  <c r="Z817" i="39"/>
  <c r="Y817" i="39"/>
  <c r="AB816" i="39"/>
  <c r="AA816" i="39"/>
  <c r="AC816" i="39" s="1"/>
  <c r="Z816" i="39"/>
  <c r="Y816" i="39"/>
  <c r="AB815" i="39"/>
  <c r="AA815" i="39"/>
  <c r="AC815" i="39" s="1"/>
  <c r="Z815" i="39"/>
  <c r="Y815" i="39"/>
  <c r="AB814" i="39"/>
  <c r="AA814" i="39"/>
  <c r="AC814" i="39" s="1"/>
  <c r="Z814" i="39"/>
  <c r="Y814" i="39"/>
  <c r="AB813" i="39"/>
  <c r="AA813" i="39"/>
  <c r="AC813" i="39" s="1"/>
  <c r="Z813" i="39"/>
  <c r="Y813" i="39"/>
  <c r="AB812" i="39"/>
  <c r="AA812" i="39"/>
  <c r="AC812" i="39" s="1"/>
  <c r="Z812" i="39"/>
  <c r="Y812" i="39"/>
  <c r="AB811" i="39"/>
  <c r="AA811" i="39"/>
  <c r="AC811" i="39" s="1"/>
  <c r="Z811" i="39"/>
  <c r="Y811" i="39"/>
  <c r="AB810" i="39"/>
  <c r="AA810" i="39"/>
  <c r="AC810" i="39" s="1"/>
  <c r="Z810" i="39"/>
  <c r="Y810" i="39"/>
  <c r="AB809" i="39"/>
  <c r="AA809" i="39"/>
  <c r="AC809" i="39" s="1"/>
  <c r="Z809" i="39"/>
  <c r="Y809" i="39"/>
  <c r="AB808" i="39"/>
  <c r="AA808" i="39"/>
  <c r="AC808" i="39" s="1"/>
  <c r="Z808" i="39"/>
  <c r="Y808" i="39"/>
  <c r="AB807" i="39"/>
  <c r="AA807" i="39"/>
  <c r="AC807" i="39" s="1"/>
  <c r="Z807" i="39"/>
  <c r="Y807" i="39"/>
  <c r="AB806" i="39"/>
  <c r="AA806" i="39"/>
  <c r="AC806" i="39" s="1"/>
  <c r="Z806" i="39"/>
  <c r="Y806" i="39"/>
  <c r="AB805" i="39"/>
  <c r="AA805" i="39"/>
  <c r="AC805" i="39" s="1"/>
  <c r="Z805" i="39"/>
  <c r="Y805" i="39"/>
  <c r="AB804" i="39"/>
  <c r="AA804" i="39"/>
  <c r="AC804" i="39" s="1"/>
  <c r="Z804" i="39"/>
  <c r="Y804" i="39"/>
  <c r="AB803" i="39"/>
  <c r="AA803" i="39"/>
  <c r="AC803" i="39" s="1"/>
  <c r="Z803" i="39"/>
  <c r="Y803" i="39"/>
  <c r="AB802" i="39"/>
  <c r="AA802" i="39"/>
  <c r="AC802" i="39" s="1"/>
  <c r="Z802" i="39"/>
  <c r="Y802" i="39"/>
  <c r="AB801" i="39"/>
  <c r="AA801" i="39"/>
  <c r="AC801" i="39" s="1"/>
  <c r="Z801" i="39"/>
  <c r="Y801" i="39"/>
  <c r="AB800" i="39"/>
  <c r="AA800" i="39"/>
  <c r="AC800" i="39" s="1"/>
  <c r="Z800" i="39"/>
  <c r="Y800" i="39"/>
  <c r="AB799" i="39"/>
  <c r="AA799" i="39"/>
  <c r="AC799" i="39" s="1"/>
  <c r="Z799" i="39"/>
  <c r="Y799" i="39"/>
  <c r="AB798" i="39"/>
  <c r="AA798" i="39"/>
  <c r="AC798" i="39" s="1"/>
  <c r="Z798" i="39"/>
  <c r="Y798" i="39"/>
  <c r="AB797" i="39"/>
  <c r="AA797" i="39"/>
  <c r="AC797" i="39" s="1"/>
  <c r="Z797" i="39"/>
  <c r="Y797" i="39"/>
  <c r="AB796" i="39"/>
  <c r="AA796" i="39"/>
  <c r="AC796" i="39" s="1"/>
  <c r="Z796" i="39"/>
  <c r="Y796" i="39"/>
  <c r="AB795" i="39"/>
  <c r="AA795" i="39"/>
  <c r="AC795" i="39" s="1"/>
  <c r="Z795" i="39"/>
  <c r="Y795" i="39"/>
  <c r="AB794" i="39"/>
  <c r="AA794" i="39"/>
  <c r="AC794" i="39" s="1"/>
  <c r="Z794" i="39"/>
  <c r="Y794" i="39"/>
  <c r="AB793" i="39"/>
  <c r="AA793" i="39"/>
  <c r="AC793" i="39" s="1"/>
  <c r="Z793" i="39"/>
  <c r="Y793" i="39"/>
  <c r="AB792" i="39"/>
  <c r="AA792" i="39"/>
  <c r="AC792" i="39" s="1"/>
  <c r="Z792" i="39"/>
  <c r="Y792" i="39"/>
  <c r="AB791" i="39"/>
  <c r="AA791" i="39"/>
  <c r="AC791" i="39" s="1"/>
  <c r="Z791" i="39"/>
  <c r="Y791" i="39"/>
  <c r="AB790" i="39"/>
  <c r="AA790" i="39"/>
  <c r="AC790" i="39" s="1"/>
  <c r="Z790" i="39"/>
  <c r="Y790" i="39"/>
  <c r="AB789" i="39"/>
  <c r="AA789" i="39"/>
  <c r="AC789" i="39" s="1"/>
  <c r="Z789" i="39"/>
  <c r="Y789" i="39"/>
  <c r="AB788" i="39"/>
  <c r="AA788" i="39"/>
  <c r="AC788" i="39" s="1"/>
  <c r="Z788" i="39"/>
  <c r="Y788" i="39"/>
  <c r="AB787" i="39"/>
  <c r="AA787" i="39"/>
  <c r="AC787" i="39" s="1"/>
  <c r="Z787" i="39"/>
  <c r="Y787" i="39"/>
  <c r="AB786" i="39"/>
  <c r="AA786" i="39"/>
  <c r="AC786" i="39" s="1"/>
  <c r="Z786" i="39"/>
  <c r="Y786" i="39"/>
  <c r="AB785" i="39"/>
  <c r="AA785" i="39"/>
  <c r="AC785" i="39" s="1"/>
  <c r="Z785" i="39"/>
  <c r="Y785" i="39"/>
  <c r="AB784" i="39"/>
  <c r="AA784" i="39"/>
  <c r="AC784" i="39" s="1"/>
  <c r="Z784" i="39"/>
  <c r="Y784" i="39"/>
  <c r="AB783" i="39"/>
  <c r="AA783" i="39"/>
  <c r="AC783" i="39" s="1"/>
  <c r="Z783" i="39"/>
  <c r="Y783" i="39"/>
  <c r="AB782" i="39"/>
  <c r="AA782" i="39"/>
  <c r="AC782" i="39" s="1"/>
  <c r="Z782" i="39"/>
  <c r="Y782" i="39"/>
  <c r="AB781" i="39"/>
  <c r="AA781" i="39"/>
  <c r="AC781" i="39" s="1"/>
  <c r="Z781" i="39"/>
  <c r="Y781" i="39"/>
  <c r="AB780" i="39"/>
  <c r="AA780" i="39"/>
  <c r="AC780" i="39" s="1"/>
  <c r="Z780" i="39"/>
  <c r="Y780" i="39"/>
  <c r="AB779" i="39"/>
  <c r="AA779" i="39"/>
  <c r="AC779" i="39" s="1"/>
  <c r="Z779" i="39"/>
  <c r="Y779" i="39"/>
  <c r="AB778" i="39"/>
  <c r="AA778" i="39"/>
  <c r="AC778" i="39" s="1"/>
  <c r="Z778" i="39"/>
  <c r="Y778" i="39"/>
  <c r="AB777" i="39"/>
  <c r="AA777" i="39"/>
  <c r="AC777" i="39" s="1"/>
  <c r="Z777" i="39"/>
  <c r="Y777" i="39"/>
  <c r="AB776" i="39"/>
  <c r="AA776" i="39"/>
  <c r="AC776" i="39" s="1"/>
  <c r="Z776" i="39"/>
  <c r="Y776" i="39"/>
  <c r="AB775" i="39"/>
  <c r="AA775" i="39"/>
  <c r="AC775" i="39" s="1"/>
  <c r="Z775" i="39"/>
  <c r="Y775" i="39"/>
  <c r="AB774" i="39"/>
  <c r="AA774" i="39"/>
  <c r="AC774" i="39" s="1"/>
  <c r="Z774" i="39"/>
  <c r="Y774" i="39"/>
  <c r="AB773" i="39"/>
  <c r="AA773" i="39"/>
  <c r="AC773" i="39" s="1"/>
  <c r="Z773" i="39"/>
  <c r="Y773" i="39"/>
  <c r="AB772" i="39"/>
  <c r="AA772" i="39"/>
  <c r="AC772" i="39" s="1"/>
  <c r="Z772" i="39"/>
  <c r="Y772" i="39"/>
  <c r="AB771" i="39"/>
  <c r="AA771" i="39"/>
  <c r="AC771" i="39" s="1"/>
  <c r="Z771" i="39"/>
  <c r="Y771" i="39"/>
  <c r="AB770" i="39"/>
  <c r="AA770" i="39"/>
  <c r="AC770" i="39" s="1"/>
  <c r="Z770" i="39"/>
  <c r="Y770" i="39"/>
  <c r="AB769" i="39"/>
  <c r="AA769" i="39"/>
  <c r="AC769" i="39" s="1"/>
  <c r="Z769" i="39"/>
  <c r="Y769" i="39"/>
  <c r="AB768" i="39"/>
  <c r="AA768" i="39"/>
  <c r="AC768" i="39" s="1"/>
  <c r="Z768" i="39"/>
  <c r="Y768" i="39"/>
  <c r="AB767" i="39"/>
  <c r="AA767" i="39"/>
  <c r="AC767" i="39" s="1"/>
  <c r="Z767" i="39"/>
  <c r="Y767" i="39"/>
  <c r="AB766" i="39"/>
  <c r="AA766" i="39"/>
  <c r="AC766" i="39" s="1"/>
  <c r="Z766" i="39"/>
  <c r="Y766" i="39"/>
  <c r="AB765" i="39"/>
  <c r="AA765" i="39"/>
  <c r="AC765" i="39" s="1"/>
  <c r="Z765" i="39"/>
  <c r="Y765" i="39"/>
  <c r="AB764" i="39"/>
  <c r="AA764" i="39"/>
  <c r="AC764" i="39" s="1"/>
  <c r="Z764" i="39"/>
  <c r="Y764" i="39"/>
  <c r="AB763" i="39"/>
  <c r="AA763" i="39"/>
  <c r="AC763" i="39" s="1"/>
  <c r="Z763" i="39"/>
  <c r="Y763" i="39"/>
  <c r="AB762" i="39"/>
  <c r="AA762" i="39"/>
  <c r="AC762" i="39" s="1"/>
  <c r="Z762" i="39"/>
  <c r="Y762" i="39"/>
  <c r="AB761" i="39"/>
  <c r="AA761" i="39"/>
  <c r="AC761" i="39" s="1"/>
  <c r="Z761" i="39"/>
  <c r="Y761" i="39"/>
  <c r="AB760" i="39"/>
  <c r="AA760" i="39"/>
  <c r="AC760" i="39" s="1"/>
  <c r="Z760" i="39"/>
  <c r="Y760" i="39"/>
  <c r="AB759" i="39"/>
  <c r="AA759" i="39"/>
  <c r="AC759" i="39" s="1"/>
  <c r="Z759" i="39"/>
  <c r="Y759" i="39"/>
  <c r="AB758" i="39"/>
  <c r="AA758" i="39"/>
  <c r="AC758" i="39" s="1"/>
  <c r="Z758" i="39"/>
  <c r="Y758" i="39"/>
  <c r="AB757" i="39"/>
  <c r="AA757" i="39"/>
  <c r="AC757" i="39" s="1"/>
  <c r="Z757" i="39"/>
  <c r="Y757" i="39"/>
  <c r="AB756" i="39"/>
  <c r="AA756" i="39"/>
  <c r="AC756" i="39" s="1"/>
  <c r="Z756" i="39"/>
  <c r="Y756" i="39"/>
  <c r="AB755" i="39"/>
  <c r="AA755" i="39"/>
  <c r="AC755" i="39" s="1"/>
  <c r="Z755" i="39"/>
  <c r="Y755" i="39"/>
  <c r="AB754" i="39"/>
  <c r="AA754" i="39"/>
  <c r="AC754" i="39" s="1"/>
  <c r="Z754" i="39"/>
  <c r="Y754" i="39"/>
  <c r="AB753" i="39"/>
  <c r="AA753" i="39"/>
  <c r="AC753" i="39" s="1"/>
  <c r="Z753" i="39"/>
  <c r="Y753" i="39"/>
  <c r="AB752" i="39"/>
  <c r="AA752" i="39"/>
  <c r="AC752" i="39" s="1"/>
  <c r="Z752" i="39"/>
  <c r="Y752" i="39"/>
  <c r="AB751" i="39"/>
  <c r="AA751" i="39"/>
  <c r="AC751" i="39" s="1"/>
  <c r="Z751" i="39"/>
  <c r="Y751" i="39"/>
  <c r="AB750" i="39"/>
  <c r="AA750" i="39"/>
  <c r="AC750" i="39" s="1"/>
  <c r="Z750" i="39"/>
  <c r="Y750" i="39"/>
  <c r="AB749" i="39"/>
  <c r="AA749" i="39"/>
  <c r="AC749" i="39" s="1"/>
  <c r="Z749" i="39"/>
  <c r="Y749" i="39"/>
  <c r="AB748" i="39"/>
  <c r="AA748" i="39"/>
  <c r="AC748" i="39" s="1"/>
  <c r="Z748" i="39"/>
  <c r="Y748" i="39"/>
  <c r="AB747" i="39"/>
  <c r="AA747" i="39"/>
  <c r="AC747" i="39" s="1"/>
  <c r="Z747" i="39"/>
  <c r="Y747" i="39"/>
  <c r="AB746" i="39"/>
  <c r="AA746" i="39"/>
  <c r="AC746" i="39" s="1"/>
  <c r="Z746" i="39"/>
  <c r="Y746" i="39"/>
  <c r="AB745" i="39"/>
  <c r="AA745" i="39"/>
  <c r="AC745" i="39" s="1"/>
  <c r="Z745" i="39"/>
  <c r="Y745" i="39"/>
  <c r="AB744" i="39"/>
  <c r="AA744" i="39"/>
  <c r="AC744" i="39" s="1"/>
  <c r="Z744" i="39"/>
  <c r="Y744" i="39"/>
  <c r="AB743" i="39"/>
  <c r="AA743" i="39"/>
  <c r="AC743" i="39" s="1"/>
  <c r="Z743" i="39"/>
  <c r="Y743" i="39"/>
  <c r="AB742" i="39"/>
  <c r="AA742" i="39"/>
  <c r="AC742" i="39" s="1"/>
  <c r="Z742" i="39"/>
  <c r="Y742" i="39"/>
  <c r="AB741" i="39"/>
  <c r="AA741" i="39"/>
  <c r="AC741" i="39" s="1"/>
  <c r="Z741" i="39"/>
  <c r="Y741" i="39"/>
  <c r="AB740" i="39"/>
  <c r="AA740" i="39"/>
  <c r="AC740" i="39" s="1"/>
  <c r="Z740" i="39"/>
  <c r="Y740" i="39"/>
  <c r="AB739" i="39"/>
  <c r="AA739" i="39"/>
  <c r="AC739" i="39" s="1"/>
  <c r="Z739" i="39"/>
  <c r="Y739" i="39"/>
  <c r="AB738" i="39"/>
  <c r="AA738" i="39"/>
  <c r="AC738" i="39" s="1"/>
  <c r="Z738" i="39"/>
  <c r="Y738" i="39"/>
  <c r="AB737" i="39"/>
  <c r="AA737" i="39"/>
  <c r="AC737" i="39" s="1"/>
  <c r="Z737" i="39"/>
  <c r="Y737" i="39"/>
  <c r="AB736" i="39"/>
  <c r="AA736" i="39"/>
  <c r="AC736" i="39" s="1"/>
  <c r="Z736" i="39"/>
  <c r="Y736" i="39"/>
  <c r="AB735" i="39"/>
  <c r="AA735" i="39"/>
  <c r="AC735" i="39" s="1"/>
  <c r="Z735" i="39"/>
  <c r="Y735" i="39"/>
  <c r="AB734" i="39"/>
  <c r="AA734" i="39"/>
  <c r="AC734" i="39" s="1"/>
  <c r="Z734" i="39"/>
  <c r="Y734" i="39"/>
  <c r="AB733" i="39"/>
  <c r="AA733" i="39"/>
  <c r="AC733" i="39" s="1"/>
  <c r="Z733" i="39"/>
  <c r="Y733" i="39"/>
  <c r="AB732" i="39"/>
  <c r="AA732" i="39"/>
  <c r="AC732" i="39" s="1"/>
  <c r="Z732" i="39"/>
  <c r="Y732" i="39"/>
  <c r="AB731" i="39"/>
  <c r="AA731" i="39"/>
  <c r="AC731" i="39" s="1"/>
  <c r="Z731" i="39"/>
  <c r="Y731" i="39"/>
  <c r="AB730" i="39"/>
  <c r="AA730" i="39"/>
  <c r="AC730" i="39" s="1"/>
  <c r="Z730" i="39"/>
  <c r="Y730" i="39"/>
  <c r="AB729" i="39"/>
  <c r="AA729" i="39"/>
  <c r="AC729" i="39" s="1"/>
  <c r="Z729" i="39"/>
  <c r="Y729" i="39"/>
  <c r="AB728" i="39"/>
  <c r="AA728" i="39"/>
  <c r="AC728" i="39" s="1"/>
  <c r="Z728" i="39"/>
  <c r="Y728" i="39"/>
  <c r="AB727" i="39"/>
  <c r="AA727" i="39"/>
  <c r="AC727" i="39" s="1"/>
  <c r="Z727" i="39"/>
  <c r="Y727" i="39"/>
  <c r="AB726" i="39"/>
  <c r="AA726" i="39"/>
  <c r="AC726" i="39" s="1"/>
  <c r="Z726" i="39"/>
  <c r="Y726" i="39"/>
  <c r="AB725" i="39"/>
  <c r="AA725" i="39"/>
  <c r="AC725" i="39" s="1"/>
  <c r="Z725" i="39"/>
  <c r="Y725" i="39"/>
  <c r="AB724" i="39"/>
  <c r="AA724" i="39"/>
  <c r="AC724" i="39" s="1"/>
  <c r="Z724" i="39"/>
  <c r="Y724" i="39"/>
  <c r="AB723" i="39"/>
  <c r="AA723" i="39"/>
  <c r="AC723" i="39" s="1"/>
  <c r="Z723" i="39"/>
  <c r="Y723" i="39"/>
  <c r="AB722" i="39"/>
  <c r="AA722" i="39"/>
  <c r="AC722" i="39" s="1"/>
  <c r="Z722" i="39"/>
  <c r="Y722" i="39"/>
  <c r="AB721" i="39"/>
  <c r="AA721" i="39"/>
  <c r="AC721" i="39" s="1"/>
  <c r="Z721" i="39"/>
  <c r="Y721" i="39"/>
  <c r="AB720" i="39"/>
  <c r="AA720" i="39"/>
  <c r="AC720" i="39" s="1"/>
  <c r="Z720" i="39"/>
  <c r="Y720" i="39"/>
  <c r="AB719" i="39"/>
  <c r="AA719" i="39"/>
  <c r="AC719" i="39" s="1"/>
  <c r="Z719" i="39"/>
  <c r="Y719" i="39"/>
  <c r="AB718" i="39"/>
  <c r="AA718" i="39"/>
  <c r="AC718" i="39" s="1"/>
  <c r="Z718" i="39"/>
  <c r="Y718" i="39"/>
  <c r="AB717" i="39"/>
  <c r="AA717" i="39"/>
  <c r="AC717" i="39" s="1"/>
  <c r="Z717" i="39"/>
  <c r="Y717" i="39"/>
  <c r="AB716" i="39"/>
  <c r="AA716" i="39"/>
  <c r="AC716" i="39" s="1"/>
  <c r="Z716" i="39"/>
  <c r="Y716" i="39"/>
  <c r="AB715" i="39"/>
  <c r="AA715" i="39"/>
  <c r="AC715" i="39" s="1"/>
  <c r="Z715" i="39"/>
  <c r="Y715" i="39"/>
  <c r="AB714" i="39"/>
  <c r="AA714" i="39"/>
  <c r="AC714" i="39" s="1"/>
  <c r="Z714" i="39"/>
  <c r="Y714" i="39"/>
  <c r="AB713" i="39"/>
  <c r="AA713" i="39"/>
  <c r="AC713" i="39" s="1"/>
  <c r="Z713" i="39"/>
  <c r="Y713" i="39"/>
  <c r="AB712" i="39"/>
  <c r="AA712" i="39"/>
  <c r="AC712" i="39" s="1"/>
  <c r="Z712" i="39"/>
  <c r="Y712" i="39"/>
  <c r="AB711" i="39"/>
  <c r="AA711" i="39"/>
  <c r="AC711" i="39" s="1"/>
  <c r="Z711" i="39"/>
  <c r="Y711" i="39"/>
  <c r="AB710" i="39"/>
  <c r="AA710" i="39"/>
  <c r="AC710" i="39" s="1"/>
  <c r="Z710" i="39"/>
  <c r="Y710" i="39"/>
  <c r="AB709" i="39"/>
  <c r="AA709" i="39"/>
  <c r="AC709" i="39" s="1"/>
  <c r="Z709" i="39"/>
  <c r="Y709" i="39"/>
  <c r="AB708" i="39"/>
  <c r="AA708" i="39"/>
  <c r="AC708" i="39" s="1"/>
  <c r="Z708" i="39"/>
  <c r="Y708" i="39"/>
  <c r="AB707" i="39"/>
  <c r="AA707" i="39"/>
  <c r="AC707" i="39" s="1"/>
  <c r="Z707" i="39"/>
  <c r="Y707" i="39"/>
  <c r="AB706" i="39"/>
  <c r="AA706" i="39"/>
  <c r="AC706" i="39" s="1"/>
  <c r="Z706" i="39"/>
  <c r="Y706" i="39"/>
  <c r="AB705" i="39"/>
  <c r="AA705" i="39"/>
  <c r="AC705" i="39" s="1"/>
  <c r="Z705" i="39"/>
  <c r="Y705" i="39"/>
  <c r="AB704" i="39"/>
  <c r="AA704" i="39"/>
  <c r="AC704" i="39" s="1"/>
  <c r="Z704" i="39"/>
  <c r="Y704" i="39"/>
  <c r="AB703" i="39"/>
  <c r="AA703" i="39"/>
  <c r="AC703" i="39" s="1"/>
  <c r="Z703" i="39"/>
  <c r="Y703" i="39"/>
  <c r="AB702" i="39"/>
  <c r="AA702" i="39"/>
  <c r="AC702" i="39" s="1"/>
  <c r="Z702" i="39"/>
  <c r="Y702" i="39"/>
  <c r="AB701" i="39"/>
  <c r="AA701" i="39"/>
  <c r="AC701" i="39" s="1"/>
  <c r="Z701" i="39"/>
  <c r="Y701" i="39"/>
  <c r="AB700" i="39"/>
  <c r="AA700" i="39"/>
  <c r="AC700" i="39" s="1"/>
  <c r="Z700" i="39"/>
  <c r="Y700" i="39"/>
  <c r="AB699" i="39"/>
  <c r="AA699" i="39"/>
  <c r="AC699" i="39" s="1"/>
  <c r="Z699" i="39"/>
  <c r="Y699" i="39"/>
  <c r="AB698" i="39"/>
  <c r="AA698" i="39"/>
  <c r="AC698" i="39" s="1"/>
  <c r="Z698" i="39"/>
  <c r="Y698" i="39"/>
  <c r="AB697" i="39"/>
  <c r="AA697" i="39"/>
  <c r="AC697" i="39" s="1"/>
  <c r="Z697" i="39"/>
  <c r="Y697" i="39"/>
  <c r="AB696" i="39"/>
  <c r="AA696" i="39"/>
  <c r="AC696" i="39" s="1"/>
  <c r="Z696" i="39"/>
  <c r="Y696" i="39"/>
  <c r="AB695" i="39"/>
  <c r="AA695" i="39"/>
  <c r="AC695" i="39" s="1"/>
  <c r="Z695" i="39"/>
  <c r="Y695" i="39"/>
  <c r="AB694" i="39"/>
  <c r="AA694" i="39"/>
  <c r="AC694" i="39" s="1"/>
  <c r="Z694" i="39"/>
  <c r="Y694" i="39"/>
  <c r="AB693" i="39"/>
  <c r="AA693" i="39"/>
  <c r="AC693" i="39" s="1"/>
  <c r="Z693" i="39"/>
  <c r="Y693" i="39"/>
  <c r="AB692" i="39"/>
  <c r="AA692" i="39"/>
  <c r="AC692" i="39" s="1"/>
  <c r="Z692" i="39"/>
  <c r="Y692" i="39"/>
  <c r="AB691" i="39"/>
  <c r="AA691" i="39"/>
  <c r="AC691" i="39" s="1"/>
  <c r="Z691" i="39"/>
  <c r="Y691" i="39"/>
  <c r="AB690" i="39"/>
  <c r="AA690" i="39"/>
  <c r="AC690" i="39" s="1"/>
  <c r="Z690" i="39"/>
  <c r="Y690" i="39"/>
  <c r="AB689" i="39"/>
  <c r="AA689" i="39"/>
  <c r="AC689" i="39" s="1"/>
  <c r="Z689" i="39"/>
  <c r="Y689" i="39"/>
  <c r="AB688" i="39"/>
  <c r="AA688" i="39"/>
  <c r="AC688" i="39" s="1"/>
  <c r="Z688" i="39"/>
  <c r="Y688" i="39"/>
  <c r="AB687" i="39"/>
  <c r="AA687" i="39"/>
  <c r="AC687" i="39" s="1"/>
  <c r="Z687" i="39"/>
  <c r="Y687" i="39"/>
  <c r="AB686" i="39"/>
  <c r="AA686" i="39"/>
  <c r="AC686" i="39" s="1"/>
  <c r="Z686" i="39"/>
  <c r="Y686" i="39"/>
  <c r="AB685" i="39"/>
  <c r="AA685" i="39"/>
  <c r="AC685" i="39" s="1"/>
  <c r="Z685" i="39"/>
  <c r="Y685" i="39"/>
  <c r="AB684" i="39"/>
  <c r="AA684" i="39"/>
  <c r="AC684" i="39" s="1"/>
  <c r="Z684" i="39"/>
  <c r="Y684" i="39"/>
  <c r="AB683" i="39"/>
  <c r="AA683" i="39"/>
  <c r="AC683" i="39" s="1"/>
  <c r="Z683" i="39"/>
  <c r="Y683" i="39"/>
  <c r="AB682" i="39"/>
  <c r="AA682" i="39"/>
  <c r="AC682" i="39" s="1"/>
  <c r="Z682" i="39"/>
  <c r="Y682" i="39"/>
  <c r="AB681" i="39"/>
  <c r="AA681" i="39"/>
  <c r="AC681" i="39" s="1"/>
  <c r="Z681" i="39"/>
  <c r="Y681" i="39"/>
  <c r="AB680" i="39"/>
  <c r="AA680" i="39"/>
  <c r="AC680" i="39" s="1"/>
  <c r="Z680" i="39"/>
  <c r="Y680" i="39"/>
  <c r="AB679" i="39"/>
  <c r="AA679" i="39"/>
  <c r="AC679" i="39" s="1"/>
  <c r="Z679" i="39"/>
  <c r="Y679" i="39"/>
  <c r="AB678" i="39"/>
  <c r="AA678" i="39"/>
  <c r="AC678" i="39" s="1"/>
  <c r="Z678" i="39"/>
  <c r="Y678" i="39"/>
  <c r="AB677" i="39"/>
  <c r="AA677" i="39"/>
  <c r="AC677" i="39" s="1"/>
  <c r="Z677" i="39"/>
  <c r="Y677" i="39"/>
  <c r="AB676" i="39"/>
  <c r="AA676" i="39"/>
  <c r="AC676" i="39" s="1"/>
  <c r="Z676" i="39"/>
  <c r="Y676" i="39"/>
  <c r="AB675" i="39"/>
  <c r="AA675" i="39"/>
  <c r="AC675" i="39" s="1"/>
  <c r="Z675" i="39"/>
  <c r="Y675" i="39"/>
  <c r="AB674" i="39"/>
  <c r="AA674" i="39"/>
  <c r="AC674" i="39" s="1"/>
  <c r="Z674" i="39"/>
  <c r="Y674" i="39"/>
  <c r="AB673" i="39"/>
  <c r="AA673" i="39"/>
  <c r="AC673" i="39" s="1"/>
  <c r="Z673" i="39"/>
  <c r="Y673" i="39"/>
  <c r="AB672" i="39"/>
  <c r="AA672" i="39"/>
  <c r="AC672" i="39" s="1"/>
  <c r="Z672" i="39"/>
  <c r="Y672" i="39"/>
  <c r="AB671" i="39"/>
  <c r="AA671" i="39"/>
  <c r="AC671" i="39" s="1"/>
  <c r="Z671" i="39"/>
  <c r="Y671" i="39"/>
  <c r="AB670" i="39"/>
  <c r="AA670" i="39"/>
  <c r="AC670" i="39" s="1"/>
  <c r="Z670" i="39"/>
  <c r="Y670" i="39"/>
  <c r="AB669" i="39"/>
  <c r="AA669" i="39"/>
  <c r="AC669" i="39" s="1"/>
  <c r="Z669" i="39"/>
  <c r="Y669" i="39"/>
  <c r="AB668" i="39"/>
  <c r="AA668" i="39"/>
  <c r="AC668" i="39" s="1"/>
  <c r="Z668" i="39"/>
  <c r="Y668" i="39"/>
  <c r="AB667" i="39"/>
  <c r="AA667" i="39"/>
  <c r="AC667" i="39" s="1"/>
  <c r="Z667" i="39"/>
  <c r="Y667" i="39"/>
  <c r="AB666" i="39"/>
  <c r="AA666" i="39"/>
  <c r="AC666" i="39" s="1"/>
  <c r="Z666" i="39"/>
  <c r="Y666" i="39"/>
  <c r="AB665" i="39"/>
  <c r="AA665" i="39"/>
  <c r="AC665" i="39" s="1"/>
  <c r="Z665" i="39"/>
  <c r="Y665" i="39"/>
  <c r="AB664" i="39"/>
  <c r="AA664" i="39"/>
  <c r="AC664" i="39" s="1"/>
  <c r="Z664" i="39"/>
  <c r="Y664" i="39"/>
  <c r="AB663" i="39"/>
  <c r="AA663" i="39"/>
  <c r="AC663" i="39" s="1"/>
  <c r="Z663" i="39"/>
  <c r="Y663" i="39"/>
  <c r="AB662" i="39"/>
  <c r="AA662" i="39"/>
  <c r="AC662" i="39" s="1"/>
  <c r="Z662" i="39"/>
  <c r="Y662" i="39"/>
  <c r="AB661" i="39"/>
  <c r="AA661" i="39"/>
  <c r="AC661" i="39" s="1"/>
  <c r="Z661" i="39"/>
  <c r="Y661" i="39"/>
  <c r="AB660" i="39"/>
  <c r="AA660" i="39"/>
  <c r="AC660" i="39" s="1"/>
  <c r="Z660" i="39"/>
  <c r="Y660" i="39"/>
  <c r="AB659" i="39"/>
  <c r="AA659" i="39"/>
  <c r="AC659" i="39" s="1"/>
  <c r="Z659" i="39"/>
  <c r="Y659" i="39"/>
  <c r="AB658" i="39"/>
  <c r="AA658" i="39"/>
  <c r="AC658" i="39" s="1"/>
  <c r="Z658" i="39"/>
  <c r="Y658" i="39"/>
  <c r="AB657" i="39"/>
  <c r="AA657" i="39"/>
  <c r="AC657" i="39" s="1"/>
  <c r="Z657" i="39"/>
  <c r="Y657" i="39"/>
  <c r="AB656" i="39"/>
  <c r="AA656" i="39"/>
  <c r="AC656" i="39" s="1"/>
  <c r="Z656" i="39"/>
  <c r="Y656" i="39"/>
  <c r="AB655" i="39"/>
  <c r="AA655" i="39"/>
  <c r="AC655" i="39" s="1"/>
  <c r="Z655" i="39"/>
  <c r="Y655" i="39"/>
  <c r="AB654" i="39"/>
  <c r="AA654" i="39"/>
  <c r="AC654" i="39" s="1"/>
  <c r="Z654" i="39"/>
  <c r="Y654" i="39"/>
  <c r="AB653" i="39"/>
  <c r="AA653" i="39"/>
  <c r="AC653" i="39" s="1"/>
  <c r="Z653" i="39"/>
  <c r="Y653" i="39"/>
  <c r="AB652" i="39"/>
  <c r="AA652" i="39"/>
  <c r="AC652" i="39" s="1"/>
  <c r="Z652" i="39"/>
  <c r="Y652" i="39"/>
  <c r="AB651" i="39"/>
  <c r="AA651" i="39"/>
  <c r="AC651" i="39" s="1"/>
  <c r="Z651" i="39"/>
  <c r="Y651" i="39"/>
  <c r="AB650" i="39"/>
  <c r="AA650" i="39"/>
  <c r="AC650" i="39" s="1"/>
  <c r="Z650" i="39"/>
  <c r="Y650" i="39"/>
  <c r="AB649" i="39"/>
  <c r="AA649" i="39"/>
  <c r="AC649" i="39" s="1"/>
  <c r="Z649" i="39"/>
  <c r="Y649" i="39"/>
  <c r="AB648" i="39"/>
  <c r="AA648" i="39"/>
  <c r="AC648" i="39" s="1"/>
  <c r="Z648" i="39"/>
  <c r="Y648" i="39"/>
  <c r="AB647" i="39"/>
  <c r="AA647" i="39"/>
  <c r="AC647" i="39" s="1"/>
  <c r="Z647" i="39"/>
  <c r="Y647" i="39"/>
  <c r="AB646" i="39"/>
  <c r="AA646" i="39"/>
  <c r="AC646" i="39" s="1"/>
  <c r="Z646" i="39"/>
  <c r="Y646" i="39"/>
  <c r="AB645" i="39"/>
  <c r="AA645" i="39"/>
  <c r="AC645" i="39" s="1"/>
  <c r="Z645" i="39"/>
  <c r="Y645" i="39"/>
  <c r="AB644" i="39"/>
  <c r="AA644" i="39"/>
  <c r="AC644" i="39" s="1"/>
  <c r="Z644" i="39"/>
  <c r="Y644" i="39"/>
  <c r="AB643" i="39"/>
  <c r="AA643" i="39"/>
  <c r="AC643" i="39" s="1"/>
  <c r="Z643" i="39"/>
  <c r="Y643" i="39"/>
  <c r="AB642" i="39"/>
  <c r="AA642" i="39"/>
  <c r="AC642" i="39" s="1"/>
  <c r="Z642" i="39"/>
  <c r="Y642" i="39"/>
  <c r="AB641" i="39"/>
  <c r="AA641" i="39"/>
  <c r="AC641" i="39" s="1"/>
  <c r="Z641" i="39"/>
  <c r="Y641" i="39"/>
  <c r="AB640" i="39"/>
  <c r="AA640" i="39"/>
  <c r="AC640" i="39" s="1"/>
  <c r="Z640" i="39"/>
  <c r="Y640" i="39"/>
  <c r="AB639" i="39"/>
  <c r="AA639" i="39"/>
  <c r="AC639" i="39" s="1"/>
  <c r="Z639" i="39"/>
  <c r="Y639" i="39"/>
  <c r="AB638" i="39"/>
  <c r="AA638" i="39"/>
  <c r="AC638" i="39" s="1"/>
  <c r="Z638" i="39"/>
  <c r="Y638" i="39"/>
  <c r="AB637" i="39"/>
  <c r="AA637" i="39"/>
  <c r="AC637" i="39" s="1"/>
  <c r="Z637" i="39"/>
  <c r="Y637" i="39"/>
  <c r="AB636" i="39"/>
  <c r="AA636" i="39"/>
  <c r="AC636" i="39" s="1"/>
  <c r="Z636" i="39"/>
  <c r="Y636" i="39"/>
  <c r="AB635" i="39"/>
  <c r="AA635" i="39"/>
  <c r="AC635" i="39" s="1"/>
  <c r="Z635" i="39"/>
  <c r="Y635" i="39"/>
  <c r="AB634" i="39"/>
  <c r="AA634" i="39"/>
  <c r="AC634" i="39" s="1"/>
  <c r="Z634" i="39"/>
  <c r="Y634" i="39"/>
  <c r="AB633" i="39"/>
  <c r="AA633" i="39"/>
  <c r="AC633" i="39" s="1"/>
  <c r="Z633" i="39"/>
  <c r="Y633" i="39"/>
  <c r="AB632" i="39"/>
  <c r="AA632" i="39"/>
  <c r="AC632" i="39" s="1"/>
  <c r="Z632" i="39"/>
  <c r="Y632" i="39"/>
  <c r="AB631" i="39"/>
  <c r="AA631" i="39"/>
  <c r="AC631" i="39" s="1"/>
  <c r="Z631" i="39"/>
  <c r="Y631" i="39"/>
  <c r="AB630" i="39"/>
  <c r="AA630" i="39"/>
  <c r="AC630" i="39" s="1"/>
  <c r="Z630" i="39"/>
  <c r="Y630" i="39"/>
  <c r="AB629" i="39"/>
  <c r="AA629" i="39"/>
  <c r="AC629" i="39" s="1"/>
  <c r="Z629" i="39"/>
  <c r="Y629" i="39"/>
  <c r="AB628" i="39"/>
  <c r="AA628" i="39"/>
  <c r="AC628" i="39" s="1"/>
  <c r="Z628" i="39"/>
  <c r="Y628" i="39"/>
  <c r="AB627" i="39"/>
  <c r="AA627" i="39"/>
  <c r="AC627" i="39" s="1"/>
  <c r="Z627" i="39"/>
  <c r="Y627" i="39"/>
  <c r="AB626" i="39"/>
  <c r="AA626" i="39"/>
  <c r="AC626" i="39" s="1"/>
  <c r="Z626" i="39"/>
  <c r="Y626" i="39"/>
  <c r="AB625" i="39"/>
  <c r="AA625" i="39"/>
  <c r="AC625" i="39" s="1"/>
  <c r="Z625" i="39"/>
  <c r="Y625" i="39"/>
  <c r="AB624" i="39"/>
  <c r="AA624" i="39"/>
  <c r="AC624" i="39" s="1"/>
  <c r="Z624" i="39"/>
  <c r="Y624" i="39"/>
  <c r="AB623" i="39"/>
  <c r="AA623" i="39"/>
  <c r="AC623" i="39" s="1"/>
  <c r="Z623" i="39"/>
  <c r="Y623" i="39"/>
  <c r="AB622" i="39"/>
  <c r="AA622" i="39"/>
  <c r="AC622" i="39" s="1"/>
  <c r="Z622" i="39"/>
  <c r="Y622" i="39"/>
  <c r="AB621" i="39"/>
  <c r="AA621" i="39"/>
  <c r="AC621" i="39" s="1"/>
  <c r="Z621" i="39"/>
  <c r="Y621" i="39"/>
  <c r="AB620" i="39"/>
  <c r="AA620" i="39"/>
  <c r="AC620" i="39" s="1"/>
  <c r="Z620" i="39"/>
  <c r="Y620" i="39"/>
  <c r="AB619" i="39"/>
  <c r="AA619" i="39"/>
  <c r="AC619" i="39" s="1"/>
  <c r="Z619" i="39"/>
  <c r="Y619" i="39"/>
  <c r="AB618" i="39"/>
  <c r="AA618" i="39"/>
  <c r="AC618" i="39" s="1"/>
  <c r="Z618" i="39"/>
  <c r="Y618" i="39"/>
  <c r="AB617" i="39"/>
  <c r="AA617" i="39"/>
  <c r="AC617" i="39" s="1"/>
  <c r="Z617" i="39"/>
  <c r="Y617" i="39"/>
  <c r="AB616" i="39"/>
  <c r="AA616" i="39"/>
  <c r="AC616" i="39" s="1"/>
  <c r="Z616" i="39"/>
  <c r="Y616" i="39"/>
  <c r="AB615" i="39"/>
  <c r="AA615" i="39"/>
  <c r="AC615" i="39" s="1"/>
  <c r="Z615" i="39"/>
  <c r="Y615" i="39"/>
  <c r="AB614" i="39"/>
  <c r="AA614" i="39"/>
  <c r="AC614" i="39" s="1"/>
  <c r="Z614" i="39"/>
  <c r="Y614" i="39"/>
  <c r="AB613" i="39"/>
  <c r="AA613" i="39"/>
  <c r="AC613" i="39" s="1"/>
  <c r="Z613" i="39"/>
  <c r="Y613" i="39"/>
  <c r="AB612" i="39"/>
  <c r="AA612" i="39"/>
  <c r="AC612" i="39" s="1"/>
  <c r="Z612" i="39"/>
  <c r="Y612" i="39"/>
  <c r="AB611" i="39"/>
  <c r="AA611" i="39"/>
  <c r="AC611" i="39" s="1"/>
  <c r="Z611" i="39"/>
  <c r="Y611" i="39"/>
  <c r="AB610" i="39"/>
  <c r="AA610" i="39"/>
  <c r="AC610" i="39" s="1"/>
  <c r="Z610" i="39"/>
  <c r="Y610" i="39"/>
  <c r="AB609" i="39"/>
  <c r="AA609" i="39"/>
  <c r="AC609" i="39" s="1"/>
  <c r="Z609" i="39"/>
  <c r="Y609" i="39"/>
  <c r="AB608" i="39"/>
  <c r="AA608" i="39"/>
  <c r="AC608" i="39" s="1"/>
  <c r="Z608" i="39"/>
  <c r="Y608" i="39"/>
  <c r="AB607" i="39"/>
  <c r="AA607" i="39"/>
  <c r="AC607" i="39" s="1"/>
  <c r="Z607" i="39"/>
  <c r="Y607" i="39"/>
  <c r="AB606" i="39"/>
  <c r="AA606" i="39"/>
  <c r="AC606" i="39" s="1"/>
  <c r="Z606" i="39"/>
  <c r="Y606" i="39"/>
  <c r="AB605" i="39"/>
  <c r="AA605" i="39"/>
  <c r="AC605" i="39" s="1"/>
  <c r="Z605" i="39"/>
  <c r="Y605" i="39"/>
  <c r="AB604" i="39"/>
  <c r="AA604" i="39"/>
  <c r="AC604" i="39" s="1"/>
  <c r="Z604" i="39"/>
  <c r="Y604" i="39"/>
  <c r="AB603" i="39"/>
  <c r="AA603" i="39"/>
  <c r="AC603" i="39" s="1"/>
  <c r="Z603" i="39"/>
  <c r="Y603" i="39"/>
  <c r="AB602" i="39"/>
  <c r="AA602" i="39"/>
  <c r="AC602" i="39" s="1"/>
  <c r="Z602" i="39"/>
  <c r="Y602" i="39"/>
  <c r="AB601" i="39"/>
  <c r="AA601" i="39"/>
  <c r="AC601" i="39" s="1"/>
  <c r="Z601" i="39"/>
  <c r="Y601" i="39"/>
  <c r="AB600" i="39"/>
  <c r="AA600" i="39"/>
  <c r="AC600" i="39" s="1"/>
  <c r="Z600" i="39"/>
  <c r="Y600" i="39"/>
  <c r="AB599" i="39"/>
  <c r="AA599" i="39"/>
  <c r="AC599" i="39" s="1"/>
  <c r="Z599" i="39"/>
  <c r="Y599" i="39"/>
  <c r="AB598" i="39"/>
  <c r="AA598" i="39"/>
  <c r="AC598" i="39" s="1"/>
  <c r="Z598" i="39"/>
  <c r="Y598" i="39"/>
  <c r="AB597" i="39"/>
  <c r="AA597" i="39"/>
  <c r="AC597" i="39" s="1"/>
  <c r="Z597" i="39"/>
  <c r="Y597" i="39"/>
  <c r="AB596" i="39"/>
  <c r="AA596" i="39"/>
  <c r="AC596" i="39" s="1"/>
  <c r="Z596" i="39"/>
  <c r="Y596" i="39"/>
  <c r="AB595" i="39"/>
  <c r="AA595" i="39"/>
  <c r="AC595" i="39" s="1"/>
  <c r="Z595" i="39"/>
  <c r="Y595" i="39"/>
  <c r="AB594" i="39"/>
  <c r="AA594" i="39"/>
  <c r="AC594" i="39" s="1"/>
  <c r="Z594" i="39"/>
  <c r="Y594" i="39"/>
  <c r="AB593" i="39"/>
  <c r="AA593" i="39"/>
  <c r="AC593" i="39" s="1"/>
  <c r="Z593" i="39"/>
  <c r="Y593" i="39"/>
  <c r="AB592" i="39"/>
  <c r="AA592" i="39"/>
  <c r="AC592" i="39" s="1"/>
  <c r="Z592" i="39"/>
  <c r="Y592" i="39"/>
  <c r="AB591" i="39"/>
  <c r="AA591" i="39"/>
  <c r="AC591" i="39" s="1"/>
  <c r="Z591" i="39"/>
  <c r="Y591" i="39"/>
  <c r="AB590" i="39"/>
  <c r="AA590" i="39"/>
  <c r="AC590" i="39" s="1"/>
  <c r="Z590" i="39"/>
  <c r="Y590" i="39"/>
  <c r="AB589" i="39"/>
  <c r="AA589" i="39"/>
  <c r="AC589" i="39" s="1"/>
  <c r="Z589" i="39"/>
  <c r="Y589" i="39"/>
  <c r="AB588" i="39"/>
  <c r="AA588" i="39"/>
  <c r="AC588" i="39" s="1"/>
  <c r="Z588" i="39"/>
  <c r="Y588" i="39"/>
  <c r="AB587" i="39"/>
  <c r="AA587" i="39"/>
  <c r="AC587" i="39" s="1"/>
  <c r="Z587" i="39"/>
  <c r="Y587" i="39"/>
  <c r="AB586" i="39"/>
  <c r="AA586" i="39"/>
  <c r="AC586" i="39" s="1"/>
  <c r="Z586" i="39"/>
  <c r="Y586" i="39"/>
  <c r="AB585" i="39"/>
  <c r="AA585" i="39"/>
  <c r="AC585" i="39" s="1"/>
  <c r="Z585" i="39"/>
  <c r="Y585" i="39"/>
  <c r="AB584" i="39"/>
  <c r="AA584" i="39"/>
  <c r="AC584" i="39" s="1"/>
  <c r="Z584" i="39"/>
  <c r="Y584" i="39"/>
  <c r="AB583" i="39"/>
  <c r="AA583" i="39"/>
  <c r="AC583" i="39" s="1"/>
  <c r="Z583" i="39"/>
  <c r="Y583" i="39"/>
  <c r="AB582" i="39"/>
  <c r="AA582" i="39"/>
  <c r="AC582" i="39" s="1"/>
  <c r="Z582" i="39"/>
  <c r="Y582" i="39"/>
  <c r="AB581" i="39"/>
  <c r="AA581" i="39"/>
  <c r="AC581" i="39" s="1"/>
  <c r="Z581" i="39"/>
  <c r="Y581" i="39"/>
  <c r="AB580" i="39"/>
  <c r="AA580" i="39"/>
  <c r="AC580" i="39" s="1"/>
  <c r="Z580" i="39"/>
  <c r="Y580" i="39"/>
  <c r="AB579" i="39"/>
  <c r="AA579" i="39"/>
  <c r="AC579" i="39" s="1"/>
  <c r="Z579" i="39"/>
  <c r="Y579" i="39"/>
  <c r="AB578" i="39"/>
  <c r="AA578" i="39"/>
  <c r="AC578" i="39" s="1"/>
  <c r="Z578" i="39"/>
  <c r="Y578" i="39"/>
  <c r="AB577" i="39"/>
  <c r="AA577" i="39"/>
  <c r="AC577" i="39" s="1"/>
  <c r="Z577" i="39"/>
  <c r="Y577" i="39"/>
  <c r="AB576" i="39"/>
  <c r="AA576" i="39"/>
  <c r="AC576" i="39" s="1"/>
  <c r="Z576" i="39"/>
  <c r="Y576" i="39"/>
  <c r="AB575" i="39"/>
  <c r="AA575" i="39"/>
  <c r="AC575" i="39" s="1"/>
  <c r="Z575" i="39"/>
  <c r="Y575" i="39"/>
  <c r="AB574" i="39"/>
  <c r="AA574" i="39"/>
  <c r="AC574" i="39" s="1"/>
  <c r="Z574" i="39"/>
  <c r="Y574" i="39"/>
  <c r="AB573" i="39"/>
  <c r="AA573" i="39"/>
  <c r="AC573" i="39" s="1"/>
  <c r="Z573" i="39"/>
  <c r="Y573" i="39"/>
  <c r="AB572" i="39"/>
  <c r="AA572" i="39"/>
  <c r="AC572" i="39" s="1"/>
  <c r="Z572" i="39"/>
  <c r="Y572" i="39"/>
  <c r="AB571" i="39"/>
  <c r="AA571" i="39"/>
  <c r="AC571" i="39" s="1"/>
  <c r="Z571" i="39"/>
  <c r="Y571" i="39"/>
  <c r="AB570" i="39"/>
  <c r="AA570" i="39"/>
  <c r="AC570" i="39" s="1"/>
  <c r="Z570" i="39"/>
  <c r="Y570" i="39"/>
  <c r="AB569" i="39"/>
  <c r="AA569" i="39"/>
  <c r="AC569" i="39" s="1"/>
  <c r="Z569" i="39"/>
  <c r="Y569" i="39"/>
  <c r="AB568" i="39"/>
  <c r="AA568" i="39"/>
  <c r="AC568" i="39" s="1"/>
  <c r="Z568" i="39"/>
  <c r="Y568" i="39"/>
  <c r="AB567" i="39"/>
  <c r="AA567" i="39"/>
  <c r="AC567" i="39" s="1"/>
  <c r="Z567" i="39"/>
  <c r="Y567" i="39"/>
  <c r="AB566" i="39"/>
  <c r="AA566" i="39"/>
  <c r="AC566" i="39" s="1"/>
  <c r="Z566" i="39"/>
  <c r="Y566" i="39"/>
  <c r="AB565" i="39"/>
  <c r="AA565" i="39"/>
  <c r="AC565" i="39" s="1"/>
  <c r="Z565" i="39"/>
  <c r="Y565" i="39"/>
  <c r="AB564" i="39"/>
  <c r="AA564" i="39"/>
  <c r="AC564" i="39" s="1"/>
  <c r="Z564" i="39"/>
  <c r="Y564" i="39"/>
  <c r="AB563" i="39"/>
  <c r="AA563" i="39"/>
  <c r="AC563" i="39" s="1"/>
  <c r="Z563" i="39"/>
  <c r="Y563" i="39"/>
  <c r="AB562" i="39"/>
  <c r="AA562" i="39"/>
  <c r="AC562" i="39" s="1"/>
  <c r="Z562" i="39"/>
  <c r="Y562" i="39"/>
  <c r="AB561" i="39"/>
  <c r="AA561" i="39"/>
  <c r="AC561" i="39" s="1"/>
  <c r="Z561" i="39"/>
  <c r="Y561" i="39"/>
  <c r="AB560" i="39"/>
  <c r="AA560" i="39"/>
  <c r="AC560" i="39" s="1"/>
  <c r="Z560" i="39"/>
  <c r="Y560" i="39"/>
  <c r="AB559" i="39"/>
  <c r="AA559" i="39"/>
  <c r="AC559" i="39" s="1"/>
  <c r="Z559" i="39"/>
  <c r="Y559" i="39"/>
  <c r="AB558" i="39"/>
  <c r="AA558" i="39"/>
  <c r="AC558" i="39" s="1"/>
  <c r="Z558" i="39"/>
  <c r="Y558" i="39"/>
  <c r="AB557" i="39"/>
  <c r="AA557" i="39"/>
  <c r="AC557" i="39" s="1"/>
  <c r="Z557" i="39"/>
  <c r="Y557" i="39"/>
  <c r="AB556" i="39"/>
  <c r="AA556" i="39"/>
  <c r="AC556" i="39" s="1"/>
  <c r="Z556" i="39"/>
  <c r="Y556" i="39"/>
  <c r="AB555" i="39"/>
  <c r="AA555" i="39"/>
  <c r="AC555" i="39" s="1"/>
  <c r="Z555" i="39"/>
  <c r="Y555" i="39"/>
  <c r="AB554" i="39"/>
  <c r="AA554" i="39"/>
  <c r="AC554" i="39" s="1"/>
  <c r="Z554" i="39"/>
  <c r="Y554" i="39"/>
  <c r="AB553" i="39"/>
  <c r="AA553" i="39"/>
  <c r="AC553" i="39" s="1"/>
  <c r="Z553" i="39"/>
  <c r="Y553" i="39"/>
  <c r="AB552" i="39"/>
  <c r="AA552" i="39"/>
  <c r="AC552" i="39" s="1"/>
  <c r="Z552" i="39"/>
  <c r="Y552" i="39"/>
  <c r="AB551" i="39"/>
  <c r="AA551" i="39"/>
  <c r="AC551" i="39" s="1"/>
  <c r="Z551" i="39"/>
  <c r="Y551" i="39"/>
  <c r="AB550" i="39"/>
  <c r="AA550" i="39"/>
  <c r="AC550" i="39" s="1"/>
  <c r="Z550" i="39"/>
  <c r="Y550" i="39"/>
  <c r="AB549" i="39"/>
  <c r="AA549" i="39"/>
  <c r="AC549" i="39" s="1"/>
  <c r="Z549" i="39"/>
  <c r="Y549" i="39"/>
  <c r="AB548" i="39"/>
  <c r="AA548" i="39"/>
  <c r="AC548" i="39" s="1"/>
  <c r="Z548" i="39"/>
  <c r="Y548" i="39"/>
  <c r="AB547" i="39"/>
  <c r="AA547" i="39"/>
  <c r="AC547" i="39" s="1"/>
  <c r="Z547" i="39"/>
  <c r="Y547" i="39"/>
  <c r="AB546" i="39"/>
  <c r="AA546" i="39"/>
  <c r="AC546" i="39" s="1"/>
  <c r="Z546" i="39"/>
  <c r="Y546" i="39"/>
  <c r="AB545" i="39"/>
  <c r="AA545" i="39"/>
  <c r="AC545" i="39" s="1"/>
  <c r="Z545" i="39"/>
  <c r="Y545" i="39"/>
  <c r="AB544" i="39"/>
  <c r="AA544" i="39"/>
  <c r="AC544" i="39" s="1"/>
  <c r="Z544" i="39"/>
  <c r="Y544" i="39"/>
  <c r="AB543" i="39"/>
  <c r="AA543" i="39"/>
  <c r="AC543" i="39" s="1"/>
  <c r="Z543" i="39"/>
  <c r="Y543" i="39"/>
  <c r="AB542" i="39"/>
  <c r="AA542" i="39"/>
  <c r="AC542" i="39" s="1"/>
  <c r="Z542" i="39"/>
  <c r="Y542" i="39"/>
  <c r="AB541" i="39"/>
  <c r="AA541" i="39"/>
  <c r="AC541" i="39" s="1"/>
  <c r="Z541" i="39"/>
  <c r="Y541" i="39"/>
  <c r="AB540" i="39"/>
  <c r="AA540" i="39"/>
  <c r="AC540" i="39" s="1"/>
  <c r="Z540" i="39"/>
  <c r="Y540" i="39"/>
  <c r="AB539" i="39"/>
  <c r="AA539" i="39"/>
  <c r="AC539" i="39" s="1"/>
  <c r="Z539" i="39"/>
  <c r="Y539" i="39"/>
  <c r="AB538" i="39"/>
  <c r="AA538" i="39"/>
  <c r="AC538" i="39" s="1"/>
  <c r="Z538" i="39"/>
  <c r="Y538" i="39"/>
  <c r="AB537" i="39"/>
  <c r="AA537" i="39"/>
  <c r="AC537" i="39" s="1"/>
  <c r="Z537" i="39"/>
  <c r="Y537" i="39"/>
  <c r="AB536" i="39"/>
  <c r="AA536" i="39"/>
  <c r="AC536" i="39" s="1"/>
  <c r="Z536" i="39"/>
  <c r="Y536" i="39"/>
  <c r="AB535" i="39"/>
  <c r="AA535" i="39"/>
  <c r="AC535" i="39" s="1"/>
  <c r="Z535" i="39"/>
  <c r="Y535" i="39"/>
  <c r="AB534" i="39"/>
  <c r="AA534" i="39"/>
  <c r="AC534" i="39" s="1"/>
  <c r="Z534" i="39"/>
  <c r="Y534" i="39"/>
  <c r="AB533" i="39"/>
  <c r="AA533" i="39"/>
  <c r="AC533" i="39" s="1"/>
  <c r="Z533" i="39"/>
  <c r="Y533" i="39"/>
  <c r="AB532" i="39"/>
  <c r="AA532" i="39"/>
  <c r="AC532" i="39" s="1"/>
  <c r="Z532" i="39"/>
  <c r="Y532" i="39"/>
  <c r="AB531" i="39"/>
  <c r="AA531" i="39"/>
  <c r="AC531" i="39" s="1"/>
  <c r="Z531" i="39"/>
  <c r="Y531" i="39"/>
  <c r="AB530" i="39"/>
  <c r="AA530" i="39"/>
  <c r="AC530" i="39" s="1"/>
  <c r="Z530" i="39"/>
  <c r="Y530" i="39"/>
  <c r="AB529" i="39"/>
  <c r="AA529" i="39"/>
  <c r="AC529" i="39" s="1"/>
  <c r="Z529" i="39"/>
  <c r="Y529" i="39"/>
  <c r="AB528" i="39"/>
  <c r="AA528" i="39"/>
  <c r="AC528" i="39" s="1"/>
  <c r="Z528" i="39"/>
  <c r="Y528" i="39"/>
  <c r="AB527" i="39"/>
  <c r="AA527" i="39"/>
  <c r="AC527" i="39" s="1"/>
  <c r="Z527" i="39"/>
  <c r="Y527" i="39"/>
  <c r="AB526" i="39"/>
  <c r="AA526" i="39"/>
  <c r="AC526" i="39" s="1"/>
  <c r="Z526" i="39"/>
  <c r="Y526" i="39"/>
  <c r="AB525" i="39"/>
  <c r="AA525" i="39"/>
  <c r="AC525" i="39" s="1"/>
  <c r="Z525" i="39"/>
  <c r="Y525" i="39"/>
  <c r="AB524" i="39"/>
  <c r="AA524" i="39"/>
  <c r="AC524" i="39" s="1"/>
  <c r="Z524" i="39"/>
  <c r="Y524" i="39"/>
  <c r="AB523" i="39"/>
  <c r="AA523" i="39"/>
  <c r="AC523" i="39" s="1"/>
  <c r="Z523" i="39"/>
  <c r="Y523" i="39"/>
  <c r="AB522" i="39"/>
  <c r="AA522" i="39"/>
  <c r="AC522" i="39" s="1"/>
  <c r="Z522" i="39"/>
  <c r="Y522" i="39"/>
  <c r="AB521" i="39"/>
  <c r="AA521" i="39"/>
  <c r="AC521" i="39" s="1"/>
  <c r="Z521" i="39"/>
  <c r="Y521" i="39"/>
  <c r="AB520" i="39"/>
  <c r="AA520" i="39"/>
  <c r="AC520" i="39" s="1"/>
  <c r="Z520" i="39"/>
  <c r="Y520" i="39"/>
  <c r="AB519" i="39"/>
  <c r="AA519" i="39"/>
  <c r="AC519" i="39" s="1"/>
  <c r="Z519" i="39"/>
  <c r="Y519" i="39"/>
  <c r="AB518" i="39"/>
  <c r="AA518" i="39"/>
  <c r="AC518" i="39" s="1"/>
  <c r="Z518" i="39"/>
  <c r="Y518" i="39"/>
  <c r="AB517" i="39"/>
  <c r="AA517" i="39"/>
  <c r="AC517" i="39" s="1"/>
  <c r="Z517" i="39"/>
  <c r="Y517" i="39"/>
  <c r="AB516" i="39"/>
  <c r="AA516" i="39"/>
  <c r="AC516" i="39" s="1"/>
  <c r="Z516" i="39"/>
  <c r="Y516" i="39"/>
  <c r="AB515" i="39"/>
  <c r="AA515" i="39"/>
  <c r="AC515" i="39" s="1"/>
  <c r="Z515" i="39"/>
  <c r="Y515" i="39"/>
  <c r="AB514" i="39"/>
  <c r="AA514" i="39"/>
  <c r="AC514" i="39" s="1"/>
  <c r="Z514" i="39"/>
  <c r="Y514" i="39"/>
  <c r="AB513" i="39"/>
  <c r="AA513" i="39"/>
  <c r="AC513" i="39" s="1"/>
  <c r="Z513" i="39"/>
  <c r="Y513" i="39"/>
  <c r="AB512" i="39"/>
  <c r="AA512" i="39"/>
  <c r="AC512" i="39" s="1"/>
  <c r="Z512" i="39"/>
  <c r="Y512" i="39"/>
  <c r="AB511" i="39"/>
  <c r="AA511" i="39"/>
  <c r="AC511" i="39" s="1"/>
  <c r="Z511" i="39"/>
  <c r="Y511" i="39"/>
  <c r="AB510" i="39"/>
  <c r="AA510" i="39"/>
  <c r="AC510" i="39" s="1"/>
  <c r="Z510" i="39"/>
  <c r="Y510" i="39"/>
  <c r="AB509" i="39"/>
  <c r="AA509" i="39"/>
  <c r="AC509" i="39" s="1"/>
  <c r="Z509" i="39"/>
  <c r="Y509" i="39"/>
  <c r="AB508" i="39"/>
  <c r="AA508" i="39"/>
  <c r="AC508" i="39" s="1"/>
  <c r="Z508" i="39"/>
  <c r="Y508" i="39"/>
  <c r="AB507" i="39"/>
  <c r="AA507" i="39"/>
  <c r="AC507" i="39" s="1"/>
  <c r="Z507" i="39"/>
  <c r="Y507" i="39"/>
  <c r="AB506" i="39"/>
  <c r="AA506" i="39"/>
  <c r="AC506" i="39" s="1"/>
  <c r="Z506" i="39"/>
  <c r="Y506" i="39"/>
  <c r="AB505" i="39"/>
  <c r="AA505" i="39"/>
  <c r="AC505" i="39" s="1"/>
  <c r="Z505" i="39"/>
  <c r="Y505" i="39"/>
  <c r="AB504" i="39"/>
  <c r="AA504" i="39"/>
  <c r="AC504" i="39" s="1"/>
  <c r="Z504" i="39"/>
  <c r="Y504" i="39"/>
  <c r="AB503" i="39"/>
  <c r="AA503" i="39"/>
  <c r="AC503" i="39" s="1"/>
  <c r="Z503" i="39"/>
  <c r="Y503" i="39"/>
  <c r="AB502" i="39"/>
  <c r="AA502" i="39"/>
  <c r="AC502" i="39" s="1"/>
  <c r="Z502" i="39"/>
  <c r="Y502" i="39"/>
  <c r="AB501" i="39"/>
  <c r="AA501" i="39"/>
  <c r="AC501" i="39" s="1"/>
  <c r="Z501" i="39"/>
  <c r="Y501" i="39"/>
  <c r="AB500" i="39"/>
  <c r="AA500" i="39"/>
  <c r="AC500" i="39" s="1"/>
  <c r="Z500" i="39"/>
  <c r="Y500" i="39"/>
  <c r="AB499" i="39"/>
  <c r="AA499" i="39"/>
  <c r="AC499" i="39" s="1"/>
  <c r="Z499" i="39"/>
  <c r="Y499" i="39"/>
  <c r="AB498" i="39"/>
  <c r="AA498" i="39"/>
  <c r="AC498" i="39" s="1"/>
  <c r="Z498" i="39"/>
  <c r="Y498" i="39"/>
  <c r="AB497" i="39"/>
  <c r="AA497" i="39"/>
  <c r="AC497" i="39" s="1"/>
  <c r="Z497" i="39"/>
  <c r="Y497" i="39"/>
  <c r="AB496" i="39"/>
  <c r="AA496" i="39"/>
  <c r="AC496" i="39" s="1"/>
  <c r="Z496" i="39"/>
  <c r="Y496" i="39"/>
  <c r="AB495" i="39"/>
  <c r="AA495" i="39"/>
  <c r="AC495" i="39" s="1"/>
  <c r="Z495" i="39"/>
  <c r="Y495" i="39"/>
  <c r="AB494" i="39"/>
  <c r="AA494" i="39"/>
  <c r="AC494" i="39" s="1"/>
  <c r="Z494" i="39"/>
  <c r="Y494" i="39"/>
  <c r="AB493" i="39"/>
  <c r="AA493" i="39"/>
  <c r="AC493" i="39" s="1"/>
  <c r="Z493" i="39"/>
  <c r="Y493" i="39"/>
  <c r="AB492" i="39"/>
  <c r="AA492" i="39"/>
  <c r="AC492" i="39" s="1"/>
  <c r="Z492" i="39"/>
  <c r="Y492" i="39"/>
  <c r="AB491" i="39"/>
  <c r="AA491" i="39"/>
  <c r="AC491" i="39" s="1"/>
  <c r="Z491" i="39"/>
  <c r="Y491" i="39"/>
  <c r="AB490" i="39"/>
  <c r="AA490" i="39"/>
  <c r="AC490" i="39" s="1"/>
  <c r="Z490" i="39"/>
  <c r="Y490" i="39"/>
  <c r="AB489" i="39"/>
  <c r="AA489" i="39"/>
  <c r="AC489" i="39" s="1"/>
  <c r="Z489" i="39"/>
  <c r="Y489" i="39"/>
  <c r="AB488" i="39"/>
  <c r="AA488" i="39"/>
  <c r="AC488" i="39" s="1"/>
  <c r="Z488" i="39"/>
  <c r="Y488" i="39"/>
  <c r="AB487" i="39"/>
  <c r="AA487" i="39"/>
  <c r="AC487" i="39" s="1"/>
  <c r="Z487" i="39"/>
  <c r="Y487" i="39"/>
  <c r="AB486" i="39"/>
  <c r="AA486" i="39"/>
  <c r="AC486" i="39" s="1"/>
  <c r="Z486" i="39"/>
  <c r="Y486" i="39"/>
  <c r="AB485" i="39"/>
  <c r="AA485" i="39"/>
  <c r="AC485" i="39" s="1"/>
  <c r="Z485" i="39"/>
  <c r="Y485" i="39"/>
  <c r="AB484" i="39"/>
  <c r="AA484" i="39"/>
  <c r="AC484" i="39" s="1"/>
  <c r="Z484" i="39"/>
  <c r="Y484" i="39"/>
  <c r="AB483" i="39"/>
  <c r="AA483" i="39"/>
  <c r="AC483" i="39" s="1"/>
  <c r="Z483" i="39"/>
  <c r="Y483" i="39"/>
  <c r="AB482" i="39"/>
  <c r="AA482" i="39"/>
  <c r="AC482" i="39" s="1"/>
  <c r="Z482" i="39"/>
  <c r="Y482" i="39"/>
  <c r="AB481" i="39"/>
  <c r="AA481" i="39"/>
  <c r="AC481" i="39" s="1"/>
  <c r="Z481" i="39"/>
  <c r="Y481" i="39"/>
  <c r="AB480" i="39"/>
  <c r="AA480" i="39"/>
  <c r="AC480" i="39" s="1"/>
  <c r="Z480" i="39"/>
  <c r="Y480" i="39"/>
  <c r="AB479" i="39"/>
  <c r="AA479" i="39"/>
  <c r="AC479" i="39" s="1"/>
  <c r="Z479" i="39"/>
  <c r="Y479" i="39"/>
  <c r="AB478" i="39"/>
  <c r="AA478" i="39"/>
  <c r="AC478" i="39" s="1"/>
  <c r="Z478" i="39"/>
  <c r="Y478" i="39"/>
  <c r="AB477" i="39"/>
  <c r="AA477" i="39"/>
  <c r="AC477" i="39" s="1"/>
  <c r="Z477" i="39"/>
  <c r="Y477" i="39"/>
  <c r="AB476" i="39"/>
  <c r="AA476" i="39"/>
  <c r="AC476" i="39" s="1"/>
  <c r="Z476" i="39"/>
  <c r="Y476" i="39"/>
  <c r="AB475" i="39"/>
  <c r="AA475" i="39"/>
  <c r="AC475" i="39" s="1"/>
  <c r="Z475" i="39"/>
  <c r="Y475" i="39"/>
  <c r="AB474" i="39"/>
  <c r="AA474" i="39"/>
  <c r="AC474" i="39" s="1"/>
  <c r="Z474" i="39"/>
  <c r="Y474" i="39"/>
  <c r="AB473" i="39"/>
  <c r="AA473" i="39"/>
  <c r="AC473" i="39" s="1"/>
  <c r="Z473" i="39"/>
  <c r="Y473" i="39"/>
  <c r="AB472" i="39"/>
  <c r="AA472" i="39"/>
  <c r="AC472" i="39" s="1"/>
  <c r="Z472" i="39"/>
  <c r="Y472" i="39"/>
  <c r="AB471" i="39"/>
  <c r="AA471" i="39"/>
  <c r="AC471" i="39" s="1"/>
  <c r="Z471" i="39"/>
  <c r="Y471" i="39"/>
  <c r="AB470" i="39"/>
  <c r="AA470" i="39"/>
  <c r="AC470" i="39" s="1"/>
  <c r="Z470" i="39"/>
  <c r="Y470" i="39"/>
  <c r="AB469" i="39"/>
  <c r="AA469" i="39"/>
  <c r="AC469" i="39" s="1"/>
  <c r="Z469" i="39"/>
  <c r="Y469" i="39"/>
  <c r="AB468" i="39"/>
  <c r="AA468" i="39"/>
  <c r="AC468" i="39" s="1"/>
  <c r="Z468" i="39"/>
  <c r="Y468" i="39"/>
  <c r="AB467" i="39"/>
  <c r="AA467" i="39"/>
  <c r="AC467" i="39" s="1"/>
  <c r="Z467" i="39"/>
  <c r="Y467" i="39"/>
  <c r="AB466" i="39"/>
  <c r="AA466" i="39"/>
  <c r="AC466" i="39" s="1"/>
  <c r="Z466" i="39"/>
  <c r="Y466" i="39"/>
  <c r="AB465" i="39"/>
  <c r="AA465" i="39"/>
  <c r="AC465" i="39" s="1"/>
  <c r="Z465" i="39"/>
  <c r="Y465" i="39"/>
  <c r="AB464" i="39"/>
  <c r="AA464" i="39"/>
  <c r="AC464" i="39" s="1"/>
  <c r="Z464" i="39"/>
  <c r="Y464" i="39"/>
  <c r="AB463" i="39"/>
  <c r="AA463" i="39"/>
  <c r="AC463" i="39" s="1"/>
  <c r="Z463" i="39"/>
  <c r="Y463" i="39"/>
  <c r="AB462" i="39"/>
  <c r="AA462" i="39"/>
  <c r="AC462" i="39" s="1"/>
  <c r="Z462" i="39"/>
  <c r="Y462" i="39"/>
  <c r="AB461" i="39"/>
  <c r="AA461" i="39"/>
  <c r="AC461" i="39" s="1"/>
  <c r="Z461" i="39"/>
  <c r="Y461" i="39"/>
  <c r="AB460" i="39"/>
  <c r="AA460" i="39"/>
  <c r="AC460" i="39" s="1"/>
  <c r="Z460" i="39"/>
  <c r="Y460" i="39"/>
  <c r="AB459" i="39"/>
  <c r="AA459" i="39"/>
  <c r="AC459" i="39" s="1"/>
  <c r="Z459" i="39"/>
  <c r="Y459" i="39"/>
  <c r="AB458" i="39"/>
  <c r="AA458" i="39"/>
  <c r="AC458" i="39" s="1"/>
  <c r="Z458" i="39"/>
  <c r="Y458" i="39"/>
  <c r="AB457" i="39"/>
  <c r="AA457" i="39"/>
  <c r="AC457" i="39" s="1"/>
  <c r="Z457" i="39"/>
  <c r="Y457" i="39"/>
  <c r="AB456" i="39"/>
  <c r="AA456" i="39"/>
  <c r="AC456" i="39" s="1"/>
  <c r="Z456" i="39"/>
  <c r="Y456" i="39"/>
  <c r="AB455" i="39"/>
  <c r="AA455" i="39"/>
  <c r="AC455" i="39" s="1"/>
  <c r="Z455" i="39"/>
  <c r="Y455" i="39"/>
  <c r="AB454" i="39"/>
  <c r="AA454" i="39"/>
  <c r="AC454" i="39" s="1"/>
  <c r="Z454" i="39"/>
  <c r="Y454" i="39"/>
  <c r="AB453" i="39"/>
  <c r="AA453" i="39"/>
  <c r="AC453" i="39" s="1"/>
  <c r="Z453" i="39"/>
  <c r="Y453" i="39"/>
  <c r="AB452" i="39"/>
  <c r="AA452" i="39"/>
  <c r="AC452" i="39" s="1"/>
  <c r="Z452" i="39"/>
  <c r="Y452" i="39"/>
  <c r="AB451" i="39"/>
  <c r="AA451" i="39"/>
  <c r="AC451" i="39" s="1"/>
  <c r="Z451" i="39"/>
  <c r="Y451" i="39"/>
  <c r="AB450" i="39"/>
  <c r="AA450" i="39"/>
  <c r="AC450" i="39" s="1"/>
  <c r="Z450" i="39"/>
  <c r="Y450" i="39"/>
  <c r="AB449" i="39"/>
  <c r="AA449" i="39"/>
  <c r="AC449" i="39" s="1"/>
  <c r="Z449" i="39"/>
  <c r="Y449" i="39"/>
  <c r="AB448" i="39"/>
  <c r="AA448" i="39"/>
  <c r="AC448" i="39" s="1"/>
  <c r="Z448" i="39"/>
  <c r="Y448" i="39"/>
  <c r="AB447" i="39"/>
  <c r="AA447" i="39"/>
  <c r="AC447" i="39" s="1"/>
  <c r="Z447" i="39"/>
  <c r="Y447" i="39"/>
  <c r="AB446" i="39"/>
  <c r="AA446" i="39"/>
  <c r="AC446" i="39" s="1"/>
  <c r="Z446" i="39"/>
  <c r="Y446" i="39"/>
  <c r="AB445" i="39"/>
  <c r="AA445" i="39"/>
  <c r="AC445" i="39" s="1"/>
  <c r="Z445" i="39"/>
  <c r="Y445" i="39"/>
  <c r="AB444" i="39"/>
  <c r="AA444" i="39"/>
  <c r="AC444" i="39" s="1"/>
  <c r="Z444" i="39"/>
  <c r="Y444" i="39"/>
  <c r="AB443" i="39"/>
  <c r="AA443" i="39"/>
  <c r="AC443" i="39" s="1"/>
  <c r="Z443" i="39"/>
  <c r="Y443" i="39"/>
  <c r="AB442" i="39"/>
  <c r="AA442" i="39"/>
  <c r="AC442" i="39" s="1"/>
  <c r="Z442" i="39"/>
  <c r="Y442" i="39"/>
  <c r="AB441" i="39"/>
  <c r="AA441" i="39"/>
  <c r="AC441" i="39" s="1"/>
  <c r="Z441" i="39"/>
  <c r="Y441" i="39"/>
  <c r="AB440" i="39"/>
  <c r="AA440" i="39"/>
  <c r="AC440" i="39" s="1"/>
  <c r="Z440" i="39"/>
  <c r="Y440" i="39"/>
  <c r="AB439" i="39"/>
  <c r="AA439" i="39"/>
  <c r="AC439" i="39" s="1"/>
  <c r="Z439" i="39"/>
  <c r="Y439" i="39"/>
  <c r="AB438" i="39"/>
  <c r="AA438" i="39"/>
  <c r="AC438" i="39" s="1"/>
  <c r="Z438" i="39"/>
  <c r="Y438" i="39"/>
  <c r="AB437" i="39"/>
  <c r="AA437" i="39"/>
  <c r="AC437" i="39" s="1"/>
  <c r="Z437" i="39"/>
  <c r="Y437" i="39"/>
  <c r="AB436" i="39"/>
  <c r="AA436" i="39"/>
  <c r="AC436" i="39" s="1"/>
  <c r="Z436" i="39"/>
  <c r="Y436" i="39"/>
  <c r="AB435" i="39"/>
  <c r="AA435" i="39"/>
  <c r="AC435" i="39" s="1"/>
  <c r="Z435" i="39"/>
  <c r="Y435" i="39"/>
  <c r="AB434" i="39"/>
  <c r="AA434" i="39"/>
  <c r="AC434" i="39" s="1"/>
  <c r="Z434" i="39"/>
  <c r="Y434" i="39"/>
  <c r="AB433" i="39"/>
  <c r="AA433" i="39"/>
  <c r="AC433" i="39" s="1"/>
  <c r="Z433" i="39"/>
  <c r="Y433" i="39"/>
  <c r="AB432" i="39"/>
  <c r="AA432" i="39"/>
  <c r="AC432" i="39" s="1"/>
  <c r="Z432" i="39"/>
  <c r="Y432" i="39"/>
  <c r="AB431" i="39"/>
  <c r="AA431" i="39"/>
  <c r="AC431" i="39" s="1"/>
  <c r="Z431" i="39"/>
  <c r="Y431" i="39"/>
  <c r="AB430" i="39"/>
  <c r="AA430" i="39"/>
  <c r="AC430" i="39" s="1"/>
  <c r="Z430" i="39"/>
  <c r="Y430" i="39"/>
  <c r="AB429" i="39"/>
  <c r="AA429" i="39"/>
  <c r="AC429" i="39" s="1"/>
  <c r="Z429" i="39"/>
  <c r="Y429" i="39"/>
  <c r="AB428" i="39"/>
  <c r="AA428" i="39"/>
  <c r="AC428" i="39" s="1"/>
  <c r="Z428" i="39"/>
  <c r="Y428" i="39"/>
  <c r="AB427" i="39"/>
  <c r="AA427" i="39"/>
  <c r="AC427" i="39" s="1"/>
  <c r="Z427" i="39"/>
  <c r="Y427" i="39"/>
  <c r="AB426" i="39"/>
  <c r="AA426" i="39"/>
  <c r="AC426" i="39" s="1"/>
  <c r="Z426" i="39"/>
  <c r="Y426" i="39"/>
  <c r="AB425" i="39"/>
  <c r="AA425" i="39"/>
  <c r="AC425" i="39" s="1"/>
  <c r="Z425" i="39"/>
  <c r="Y425" i="39"/>
  <c r="AB424" i="39"/>
  <c r="AA424" i="39"/>
  <c r="AC424" i="39" s="1"/>
  <c r="Z424" i="39"/>
  <c r="Y424" i="39"/>
  <c r="AB423" i="39"/>
  <c r="AA423" i="39"/>
  <c r="AC423" i="39" s="1"/>
  <c r="Z423" i="39"/>
  <c r="Y423" i="39"/>
  <c r="AB422" i="39"/>
  <c r="AA422" i="39"/>
  <c r="AC422" i="39" s="1"/>
  <c r="Z422" i="39"/>
  <c r="Y422" i="39"/>
  <c r="AB421" i="39"/>
  <c r="AA421" i="39"/>
  <c r="AC421" i="39" s="1"/>
  <c r="Z421" i="39"/>
  <c r="Y421" i="39"/>
  <c r="AB420" i="39"/>
  <c r="AA420" i="39"/>
  <c r="AC420" i="39" s="1"/>
  <c r="Z420" i="39"/>
  <c r="Y420" i="39"/>
  <c r="AB419" i="39"/>
  <c r="AA419" i="39"/>
  <c r="AC419" i="39" s="1"/>
  <c r="Z419" i="39"/>
  <c r="Y419" i="39"/>
  <c r="AB418" i="39"/>
  <c r="AA418" i="39"/>
  <c r="AC418" i="39" s="1"/>
  <c r="Z418" i="39"/>
  <c r="Y418" i="39"/>
  <c r="AB417" i="39"/>
  <c r="AA417" i="39"/>
  <c r="AC417" i="39" s="1"/>
  <c r="Z417" i="39"/>
  <c r="Y417" i="39"/>
  <c r="AB416" i="39"/>
  <c r="AA416" i="39"/>
  <c r="AC416" i="39" s="1"/>
  <c r="Z416" i="39"/>
  <c r="Y416" i="39"/>
  <c r="AB415" i="39"/>
  <c r="AA415" i="39"/>
  <c r="AC415" i="39" s="1"/>
  <c r="Z415" i="39"/>
  <c r="Y415" i="39"/>
  <c r="AB414" i="39"/>
  <c r="AA414" i="39"/>
  <c r="AC414" i="39" s="1"/>
  <c r="Z414" i="39"/>
  <c r="Y414" i="39"/>
  <c r="AB413" i="39"/>
  <c r="AA413" i="39"/>
  <c r="AC413" i="39" s="1"/>
  <c r="Z413" i="39"/>
  <c r="Y413" i="39"/>
  <c r="AB412" i="39"/>
  <c r="AA412" i="39"/>
  <c r="AC412" i="39" s="1"/>
  <c r="Z412" i="39"/>
  <c r="Y412" i="39"/>
  <c r="AB411" i="39"/>
  <c r="AA411" i="39"/>
  <c r="AC411" i="39" s="1"/>
  <c r="Z411" i="39"/>
  <c r="Y411" i="39"/>
  <c r="AB410" i="39"/>
  <c r="AA410" i="39"/>
  <c r="AC410" i="39" s="1"/>
  <c r="Z410" i="39"/>
  <c r="Y410" i="39"/>
  <c r="AB409" i="39"/>
  <c r="AA409" i="39"/>
  <c r="AC409" i="39" s="1"/>
  <c r="Z409" i="39"/>
  <c r="Y409" i="39"/>
  <c r="AB408" i="39"/>
  <c r="AA408" i="39"/>
  <c r="AC408" i="39" s="1"/>
  <c r="Z408" i="39"/>
  <c r="Y408" i="39"/>
  <c r="AB407" i="39"/>
  <c r="AA407" i="39"/>
  <c r="AC407" i="39" s="1"/>
  <c r="Z407" i="39"/>
  <c r="Y407" i="39"/>
  <c r="AB406" i="39"/>
  <c r="AA406" i="39"/>
  <c r="AC406" i="39" s="1"/>
  <c r="Z406" i="39"/>
  <c r="Y406" i="39"/>
  <c r="AB405" i="39"/>
  <c r="AA405" i="39"/>
  <c r="AC405" i="39" s="1"/>
  <c r="Z405" i="39"/>
  <c r="Y405" i="39"/>
  <c r="AB404" i="39"/>
  <c r="AA404" i="39"/>
  <c r="AC404" i="39" s="1"/>
  <c r="Z404" i="39"/>
  <c r="Y404" i="39"/>
  <c r="AB403" i="39"/>
  <c r="AA403" i="39"/>
  <c r="AC403" i="39" s="1"/>
  <c r="Z403" i="39"/>
  <c r="Y403" i="39"/>
  <c r="AB402" i="39"/>
  <c r="AA402" i="39"/>
  <c r="AC402" i="39" s="1"/>
  <c r="Z402" i="39"/>
  <c r="Y402" i="39"/>
  <c r="AB401" i="39"/>
  <c r="AA401" i="39"/>
  <c r="AC401" i="39" s="1"/>
  <c r="Z401" i="39"/>
  <c r="Y401" i="39"/>
  <c r="AB400" i="39"/>
  <c r="AA400" i="39"/>
  <c r="AC400" i="39" s="1"/>
  <c r="Z400" i="39"/>
  <c r="Y400" i="39"/>
  <c r="AB399" i="39"/>
  <c r="AA399" i="39"/>
  <c r="AC399" i="39" s="1"/>
  <c r="Z399" i="39"/>
  <c r="Y399" i="39"/>
  <c r="AB398" i="39"/>
  <c r="AA398" i="39"/>
  <c r="AC398" i="39" s="1"/>
  <c r="Z398" i="39"/>
  <c r="Y398" i="39"/>
  <c r="AB397" i="39"/>
  <c r="AA397" i="39"/>
  <c r="AC397" i="39" s="1"/>
  <c r="Z397" i="39"/>
  <c r="Y397" i="39"/>
  <c r="AB396" i="39"/>
  <c r="AA396" i="39"/>
  <c r="AC396" i="39" s="1"/>
  <c r="Z396" i="39"/>
  <c r="Y396" i="39"/>
  <c r="AB395" i="39"/>
  <c r="AA395" i="39"/>
  <c r="AC395" i="39" s="1"/>
  <c r="Z395" i="39"/>
  <c r="Y395" i="39"/>
  <c r="AB394" i="39"/>
  <c r="AA394" i="39"/>
  <c r="AC394" i="39" s="1"/>
  <c r="Z394" i="39"/>
  <c r="Y394" i="39"/>
  <c r="AB393" i="39"/>
  <c r="AA393" i="39"/>
  <c r="AC393" i="39" s="1"/>
  <c r="Z393" i="39"/>
  <c r="Y393" i="39"/>
  <c r="AB392" i="39"/>
  <c r="AA392" i="39"/>
  <c r="AC392" i="39" s="1"/>
  <c r="Z392" i="39"/>
  <c r="Y392" i="39"/>
  <c r="AB391" i="39"/>
  <c r="AA391" i="39"/>
  <c r="AC391" i="39" s="1"/>
  <c r="Z391" i="39"/>
  <c r="Y391" i="39"/>
  <c r="AB390" i="39"/>
  <c r="AA390" i="39"/>
  <c r="AC390" i="39" s="1"/>
  <c r="Z390" i="39"/>
  <c r="Y390" i="39"/>
  <c r="AB389" i="39"/>
  <c r="AA389" i="39"/>
  <c r="AC389" i="39" s="1"/>
  <c r="Z389" i="39"/>
  <c r="Y389" i="39"/>
  <c r="AB388" i="39"/>
  <c r="AA388" i="39"/>
  <c r="AC388" i="39" s="1"/>
  <c r="Z388" i="39"/>
  <c r="Y388" i="39"/>
  <c r="AB387" i="39"/>
  <c r="AA387" i="39"/>
  <c r="AC387" i="39" s="1"/>
  <c r="Z387" i="39"/>
  <c r="Y387" i="39"/>
  <c r="AB386" i="39"/>
  <c r="AA386" i="39"/>
  <c r="AC386" i="39" s="1"/>
  <c r="Z386" i="39"/>
  <c r="Y386" i="39"/>
  <c r="AB385" i="39"/>
  <c r="AA385" i="39"/>
  <c r="AC385" i="39" s="1"/>
  <c r="Z385" i="39"/>
  <c r="Y385" i="39"/>
  <c r="AB384" i="39"/>
  <c r="AA384" i="39"/>
  <c r="AC384" i="39" s="1"/>
  <c r="Z384" i="39"/>
  <c r="Y384" i="39"/>
  <c r="AB383" i="39"/>
  <c r="AA383" i="39"/>
  <c r="AC383" i="39" s="1"/>
  <c r="Z383" i="39"/>
  <c r="Y383" i="39"/>
  <c r="AB382" i="39"/>
  <c r="AA382" i="39"/>
  <c r="AC382" i="39" s="1"/>
  <c r="Z382" i="39"/>
  <c r="Y382" i="39"/>
  <c r="AB381" i="39"/>
  <c r="AA381" i="39"/>
  <c r="AC381" i="39" s="1"/>
  <c r="Z381" i="39"/>
  <c r="Y381" i="39"/>
  <c r="AB380" i="39"/>
  <c r="AA380" i="39"/>
  <c r="AC380" i="39" s="1"/>
  <c r="Z380" i="39"/>
  <c r="Y380" i="39"/>
  <c r="AB379" i="39"/>
  <c r="AA379" i="39"/>
  <c r="AC379" i="39" s="1"/>
  <c r="Z379" i="39"/>
  <c r="Y379" i="39"/>
  <c r="AB378" i="39"/>
  <c r="AA378" i="39"/>
  <c r="AC378" i="39" s="1"/>
  <c r="Z378" i="39"/>
  <c r="Y378" i="39"/>
  <c r="AB377" i="39"/>
  <c r="AA377" i="39"/>
  <c r="AC377" i="39" s="1"/>
  <c r="Z377" i="39"/>
  <c r="Y377" i="39"/>
  <c r="AB376" i="39"/>
  <c r="AA376" i="39"/>
  <c r="AC376" i="39" s="1"/>
  <c r="Z376" i="39"/>
  <c r="Y376" i="39"/>
  <c r="AB375" i="39"/>
  <c r="AA375" i="39"/>
  <c r="AC375" i="39" s="1"/>
  <c r="Z375" i="39"/>
  <c r="Y375" i="39"/>
  <c r="AB374" i="39"/>
  <c r="AA374" i="39"/>
  <c r="AC374" i="39" s="1"/>
  <c r="Z374" i="39"/>
  <c r="Y374" i="39"/>
  <c r="AB373" i="39"/>
  <c r="AA373" i="39"/>
  <c r="AC373" i="39" s="1"/>
  <c r="Z373" i="39"/>
  <c r="Y373" i="39"/>
  <c r="AB372" i="39"/>
  <c r="AA372" i="39"/>
  <c r="AC372" i="39" s="1"/>
  <c r="Z372" i="39"/>
  <c r="Y372" i="39"/>
  <c r="AB371" i="39"/>
  <c r="AA371" i="39"/>
  <c r="AC371" i="39" s="1"/>
  <c r="Z371" i="39"/>
  <c r="Y371" i="39"/>
  <c r="AB370" i="39"/>
  <c r="AA370" i="39"/>
  <c r="AC370" i="39" s="1"/>
  <c r="Z370" i="39"/>
  <c r="Y370" i="39"/>
  <c r="AB369" i="39"/>
  <c r="AA369" i="39"/>
  <c r="AC369" i="39" s="1"/>
  <c r="Z369" i="39"/>
  <c r="Y369" i="39"/>
  <c r="AB368" i="39"/>
  <c r="AA368" i="39"/>
  <c r="AC368" i="39" s="1"/>
  <c r="Z368" i="39"/>
  <c r="Y368" i="39"/>
  <c r="AB367" i="39"/>
  <c r="AA367" i="39"/>
  <c r="AC367" i="39" s="1"/>
  <c r="Z367" i="39"/>
  <c r="Y367" i="39"/>
  <c r="AB366" i="39"/>
  <c r="AA366" i="39"/>
  <c r="AC366" i="39" s="1"/>
  <c r="Z366" i="39"/>
  <c r="Y366" i="39"/>
  <c r="AB365" i="39"/>
  <c r="AA365" i="39"/>
  <c r="AC365" i="39" s="1"/>
  <c r="Z365" i="39"/>
  <c r="Y365" i="39"/>
  <c r="AB364" i="39"/>
  <c r="AA364" i="39"/>
  <c r="AC364" i="39" s="1"/>
  <c r="Z364" i="39"/>
  <c r="Y364" i="39"/>
  <c r="AB363" i="39"/>
  <c r="AA363" i="39"/>
  <c r="AC363" i="39" s="1"/>
  <c r="Z363" i="39"/>
  <c r="Y363" i="39"/>
  <c r="AB362" i="39"/>
  <c r="AA362" i="39"/>
  <c r="AC362" i="39" s="1"/>
  <c r="Z362" i="39"/>
  <c r="Y362" i="39"/>
  <c r="AB361" i="39"/>
  <c r="AA361" i="39"/>
  <c r="AC361" i="39" s="1"/>
  <c r="Z361" i="39"/>
  <c r="Y361" i="39"/>
  <c r="AB360" i="39"/>
  <c r="AA360" i="39"/>
  <c r="AC360" i="39" s="1"/>
  <c r="Z360" i="39"/>
  <c r="Y360" i="39"/>
  <c r="AB359" i="39"/>
  <c r="AA359" i="39"/>
  <c r="AC359" i="39" s="1"/>
  <c r="Z359" i="39"/>
  <c r="Y359" i="39"/>
  <c r="AB358" i="39"/>
  <c r="AA358" i="39"/>
  <c r="AC358" i="39" s="1"/>
  <c r="Z358" i="39"/>
  <c r="Y358" i="39"/>
  <c r="AB357" i="39"/>
  <c r="AA357" i="39"/>
  <c r="AC357" i="39" s="1"/>
  <c r="Z357" i="39"/>
  <c r="Y357" i="39"/>
  <c r="AB356" i="39"/>
  <c r="AA356" i="39"/>
  <c r="AC356" i="39" s="1"/>
  <c r="Z356" i="39"/>
  <c r="Y356" i="39"/>
  <c r="AB355" i="39"/>
  <c r="AA355" i="39"/>
  <c r="AC355" i="39" s="1"/>
  <c r="Z355" i="39"/>
  <c r="Y355" i="39"/>
  <c r="AB354" i="39"/>
  <c r="AA354" i="39"/>
  <c r="AC354" i="39" s="1"/>
  <c r="Z354" i="39"/>
  <c r="Y354" i="39"/>
  <c r="AB353" i="39"/>
  <c r="AA353" i="39"/>
  <c r="AC353" i="39" s="1"/>
  <c r="Z353" i="39"/>
  <c r="Y353" i="39"/>
  <c r="AB352" i="39"/>
  <c r="AA352" i="39"/>
  <c r="AC352" i="39" s="1"/>
  <c r="Z352" i="39"/>
  <c r="Y352" i="39"/>
  <c r="AB351" i="39"/>
  <c r="AA351" i="39"/>
  <c r="AC351" i="39" s="1"/>
  <c r="Z351" i="39"/>
  <c r="Y351" i="39"/>
  <c r="AB350" i="39"/>
  <c r="AA350" i="39"/>
  <c r="AC350" i="39" s="1"/>
  <c r="Z350" i="39"/>
  <c r="Y350" i="39"/>
  <c r="AB349" i="39"/>
  <c r="AA349" i="39"/>
  <c r="AC349" i="39" s="1"/>
  <c r="Z349" i="39"/>
  <c r="Y349" i="39"/>
  <c r="AB348" i="39"/>
  <c r="AA348" i="39"/>
  <c r="AC348" i="39" s="1"/>
  <c r="Z348" i="39"/>
  <c r="Y348" i="39"/>
  <c r="AB347" i="39"/>
  <c r="AA347" i="39"/>
  <c r="AC347" i="39" s="1"/>
  <c r="Z347" i="39"/>
  <c r="Y347" i="39"/>
  <c r="AB346" i="39"/>
  <c r="AA346" i="39"/>
  <c r="AC346" i="39" s="1"/>
  <c r="Z346" i="39"/>
  <c r="Y346" i="39"/>
  <c r="AB345" i="39"/>
  <c r="AA345" i="39"/>
  <c r="AC345" i="39" s="1"/>
  <c r="Z345" i="39"/>
  <c r="Y345" i="39"/>
  <c r="AB344" i="39"/>
  <c r="AA344" i="39"/>
  <c r="AC344" i="39" s="1"/>
  <c r="Z344" i="39"/>
  <c r="Y344" i="39"/>
  <c r="AB343" i="39"/>
  <c r="AA343" i="39"/>
  <c r="AC343" i="39" s="1"/>
  <c r="Z343" i="39"/>
  <c r="Y343" i="39"/>
  <c r="AB342" i="39"/>
  <c r="AA342" i="39"/>
  <c r="AC342" i="39" s="1"/>
  <c r="Z342" i="39"/>
  <c r="Y342" i="39"/>
  <c r="AB341" i="39"/>
  <c r="AA341" i="39"/>
  <c r="AC341" i="39" s="1"/>
  <c r="Z341" i="39"/>
  <c r="Y341" i="39"/>
  <c r="AB340" i="39"/>
  <c r="AA340" i="39"/>
  <c r="AC340" i="39" s="1"/>
  <c r="Z340" i="39"/>
  <c r="Y340" i="39"/>
  <c r="AB339" i="39"/>
  <c r="AA339" i="39"/>
  <c r="AC339" i="39" s="1"/>
  <c r="Z339" i="39"/>
  <c r="Y339" i="39"/>
  <c r="AB338" i="39"/>
  <c r="AA338" i="39"/>
  <c r="AC338" i="39" s="1"/>
  <c r="Z338" i="39"/>
  <c r="Y338" i="39"/>
  <c r="AB337" i="39"/>
  <c r="AA337" i="39"/>
  <c r="AC337" i="39" s="1"/>
  <c r="Z337" i="39"/>
  <c r="Y337" i="39"/>
  <c r="AB336" i="39"/>
  <c r="AA336" i="39"/>
  <c r="AC336" i="39" s="1"/>
  <c r="Z336" i="39"/>
  <c r="Y336" i="39"/>
  <c r="AB335" i="39"/>
  <c r="AA335" i="39"/>
  <c r="AC335" i="39" s="1"/>
  <c r="Z335" i="39"/>
  <c r="Y335" i="39"/>
  <c r="AB334" i="39"/>
  <c r="AA334" i="39"/>
  <c r="AC334" i="39" s="1"/>
  <c r="Z334" i="39"/>
  <c r="Y334" i="39"/>
  <c r="AB333" i="39"/>
  <c r="AA333" i="39"/>
  <c r="AC333" i="39" s="1"/>
  <c r="Z333" i="39"/>
  <c r="Y333" i="39"/>
  <c r="AB332" i="39"/>
  <c r="AA332" i="39"/>
  <c r="AC332" i="39" s="1"/>
  <c r="Z332" i="39"/>
  <c r="Y332" i="39"/>
  <c r="AB331" i="39"/>
  <c r="AA331" i="39"/>
  <c r="AC331" i="39" s="1"/>
  <c r="Z331" i="39"/>
  <c r="Y331" i="39"/>
  <c r="AB330" i="39"/>
  <c r="AA330" i="39"/>
  <c r="AC330" i="39" s="1"/>
  <c r="Z330" i="39"/>
  <c r="Y330" i="39"/>
  <c r="AB329" i="39"/>
  <c r="AA329" i="39"/>
  <c r="AC329" i="39" s="1"/>
  <c r="Z329" i="39"/>
  <c r="Y329" i="39"/>
  <c r="AB328" i="39"/>
  <c r="AA328" i="39"/>
  <c r="AC328" i="39" s="1"/>
  <c r="Z328" i="39"/>
  <c r="Y328" i="39"/>
  <c r="AB327" i="39"/>
  <c r="AA327" i="39"/>
  <c r="AC327" i="39" s="1"/>
  <c r="Z327" i="39"/>
  <c r="Y327" i="39"/>
  <c r="AB326" i="39"/>
  <c r="AA326" i="39"/>
  <c r="AC326" i="39" s="1"/>
  <c r="Z326" i="39"/>
  <c r="Y326" i="39"/>
  <c r="AB325" i="39"/>
  <c r="AA325" i="39"/>
  <c r="AC325" i="39" s="1"/>
  <c r="Z325" i="39"/>
  <c r="Y325" i="39"/>
  <c r="AB324" i="39"/>
  <c r="AA324" i="39"/>
  <c r="AC324" i="39" s="1"/>
  <c r="Z324" i="39"/>
  <c r="Y324" i="39"/>
  <c r="AB323" i="39"/>
  <c r="AA323" i="39"/>
  <c r="AC323" i="39" s="1"/>
  <c r="Z323" i="39"/>
  <c r="Y323" i="39"/>
  <c r="AB322" i="39"/>
  <c r="AA322" i="39"/>
  <c r="AC322" i="39" s="1"/>
  <c r="Z322" i="39"/>
  <c r="Y322" i="39"/>
  <c r="AB321" i="39"/>
  <c r="AA321" i="39"/>
  <c r="AC321" i="39" s="1"/>
  <c r="Z321" i="39"/>
  <c r="Y321" i="39"/>
  <c r="AB320" i="39"/>
  <c r="AA320" i="39"/>
  <c r="AC320" i="39" s="1"/>
  <c r="Z320" i="39"/>
  <c r="Y320" i="39"/>
  <c r="AB319" i="39"/>
  <c r="AA319" i="39"/>
  <c r="AC319" i="39" s="1"/>
  <c r="Z319" i="39"/>
  <c r="Y319" i="39"/>
  <c r="AB318" i="39"/>
  <c r="AA318" i="39"/>
  <c r="AC318" i="39" s="1"/>
  <c r="Z318" i="39"/>
  <c r="Y318" i="39"/>
  <c r="AB317" i="39"/>
  <c r="AA317" i="39"/>
  <c r="AC317" i="39" s="1"/>
  <c r="Z317" i="39"/>
  <c r="Y317" i="39"/>
  <c r="AB316" i="39"/>
  <c r="AA316" i="39"/>
  <c r="AC316" i="39" s="1"/>
  <c r="Z316" i="39"/>
  <c r="Y316" i="39"/>
  <c r="AB315" i="39"/>
  <c r="AA315" i="39"/>
  <c r="AC315" i="39" s="1"/>
  <c r="Z315" i="39"/>
  <c r="Y315" i="39"/>
  <c r="AB314" i="39"/>
  <c r="AA314" i="39"/>
  <c r="AC314" i="39" s="1"/>
  <c r="Z314" i="39"/>
  <c r="Y314" i="39"/>
  <c r="AB313" i="39"/>
  <c r="AA313" i="39"/>
  <c r="AC313" i="39" s="1"/>
  <c r="Z313" i="39"/>
  <c r="Y313" i="39"/>
  <c r="AB312" i="39"/>
  <c r="AA312" i="39"/>
  <c r="AC312" i="39" s="1"/>
  <c r="Z312" i="39"/>
  <c r="Y312" i="39"/>
  <c r="AB311" i="39"/>
  <c r="AA311" i="39"/>
  <c r="AC311" i="39" s="1"/>
  <c r="Z311" i="39"/>
  <c r="Y311" i="39"/>
  <c r="AB310" i="39"/>
  <c r="AA310" i="39"/>
  <c r="AC310" i="39" s="1"/>
  <c r="Z310" i="39"/>
  <c r="Y310" i="39"/>
  <c r="AB309" i="39"/>
  <c r="AA309" i="39"/>
  <c r="AC309" i="39" s="1"/>
  <c r="Z309" i="39"/>
  <c r="Y309" i="39"/>
  <c r="AB308" i="39"/>
  <c r="AA308" i="39"/>
  <c r="AC308" i="39" s="1"/>
  <c r="Z308" i="39"/>
  <c r="Y308" i="39"/>
  <c r="AB307" i="39"/>
  <c r="AA307" i="39"/>
  <c r="AC307" i="39" s="1"/>
  <c r="Z307" i="39"/>
  <c r="Y307" i="39"/>
  <c r="AB306" i="39"/>
  <c r="AA306" i="39"/>
  <c r="AC306" i="39" s="1"/>
  <c r="Z306" i="39"/>
  <c r="Y306" i="39"/>
  <c r="AB305" i="39"/>
  <c r="AA305" i="39"/>
  <c r="AC305" i="39" s="1"/>
  <c r="Z305" i="39"/>
  <c r="Y305" i="39"/>
  <c r="AB304" i="39"/>
  <c r="AA304" i="39"/>
  <c r="AC304" i="39" s="1"/>
  <c r="Z304" i="39"/>
  <c r="Y304" i="39"/>
  <c r="AB303" i="39"/>
  <c r="AA303" i="39"/>
  <c r="AC303" i="39" s="1"/>
  <c r="Z303" i="39"/>
  <c r="Y303" i="39"/>
  <c r="AB302" i="39"/>
  <c r="AA302" i="39"/>
  <c r="AC302" i="39" s="1"/>
  <c r="Z302" i="39"/>
  <c r="Y302" i="39"/>
  <c r="AB301" i="39"/>
  <c r="AA301" i="39"/>
  <c r="AC301" i="39" s="1"/>
  <c r="Z301" i="39"/>
  <c r="Y301" i="39"/>
  <c r="AB300" i="39"/>
  <c r="AA300" i="39"/>
  <c r="AC300" i="39" s="1"/>
  <c r="Z300" i="39"/>
  <c r="Y300" i="39"/>
  <c r="AB299" i="39"/>
  <c r="AA299" i="39"/>
  <c r="AC299" i="39" s="1"/>
  <c r="Z299" i="39"/>
  <c r="Y299" i="39"/>
  <c r="AB298" i="39"/>
  <c r="AA298" i="39"/>
  <c r="AC298" i="39" s="1"/>
  <c r="Z298" i="39"/>
  <c r="Y298" i="39"/>
  <c r="AB297" i="39"/>
  <c r="AA297" i="39"/>
  <c r="AC297" i="39" s="1"/>
  <c r="Z297" i="39"/>
  <c r="Y297" i="39"/>
  <c r="AB296" i="39"/>
  <c r="AA296" i="39"/>
  <c r="AC296" i="39" s="1"/>
  <c r="Z296" i="39"/>
  <c r="Y296" i="39"/>
  <c r="AB295" i="39"/>
  <c r="AA295" i="39"/>
  <c r="AC295" i="39" s="1"/>
  <c r="Z295" i="39"/>
  <c r="Y295" i="39"/>
  <c r="AB294" i="39"/>
  <c r="AA294" i="39"/>
  <c r="AC294" i="39" s="1"/>
  <c r="Z294" i="39"/>
  <c r="Y294" i="39"/>
  <c r="AB293" i="39"/>
  <c r="AA293" i="39"/>
  <c r="AC293" i="39" s="1"/>
  <c r="Z293" i="39"/>
  <c r="Y293" i="39"/>
  <c r="AB292" i="39"/>
  <c r="AA292" i="39"/>
  <c r="AC292" i="39" s="1"/>
  <c r="Z292" i="39"/>
  <c r="Y292" i="39"/>
  <c r="AB291" i="39"/>
  <c r="AA291" i="39"/>
  <c r="AC291" i="39" s="1"/>
  <c r="Z291" i="39"/>
  <c r="Y291" i="39"/>
  <c r="AB290" i="39"/>
  <c r="AA290" i="39"/>
  <c r="AC290" i="39" s="1"/>
  <c r="Z290" i="39"/>
  <c r="Y290" i="39"/>
  <c r="AB289" i="39"/>
  <c r="AA289" i="39"/>
  <c r="AC289" i="39" s="1"/>
  <c r="Z289" i="39"/>
  <c r="Y289" i="39"/>
  <c r="AB288" i="39"/>
  <c r="AA288" i="39"/>
  <c r="AC288" i="39" s="1"/>
  <c r="Z288" i="39"/>
  <c r="Y288" i="39"/>
  <c r="AB287" i="39"/>
  <c r="AA287" i="39"/>
  <c r="AC287" i="39" s="1"/>
  <c r="Z287" i="39"/>
  <c r="Y287" i="39"/>
  <c r="AB286" i="39"/>
  <c r="AA286" i="39"/>
  <c r="AC286" i="39" s="1"/>
  <c r="Z286" i="39"/>
  <c r="Y286" i="39"/>
  <c r="AB285" i="39"/>
  <c r="AA285" i="39"/>
  <c r="AC285" i="39" s="1"/>
  <c r="Z285" i="39"/>
  <c r="Y285" i="39"/>
  <c r="AB284" i="39"/>
  <c r="AA284" i="39"/>
  <c r="AC284" i="39" s="1"/>
  <c r="Z284" i="39"/>
  <c r="Y284" i="39"/>
  <c r="AB283" i="39"/>
  <c r="AA283" i="39"/>
  <c r="AC283" i="39" s="1"/>
  <c r="Z283" i="39"/>
  <c r="Y283" i="39"/>
  <c r="AB282" i="39"/>
  <c r="AA282" i="39"/>
  <c r="AC282" i="39" s="1"/>
  <c r="Z282" i="39"/>
  <c r="Y282" i="39"/>
  <c r="AB281" i="39"/>
  <c r="AA281" i="39"/>
  <c r="AC281" i="39" s="1"/>
  <c r="Z281" i="39"/>
  <c r="Y281" i="39"/>
  <c r="AB280" i="39"/>
  <c r="AA280" i="39"/>
  <c r="AC280" i="39" s="1"/>
  <c r="Z280" i="39"/>
  <c r="Y280" i="39"/>
  <c r="AB279" i="39"/>
  <c r="AA279" i="39"/>
  <c r="AC279" i="39" s="1"/>
  <c r="Z279" i="39"/>
  <c r="Y279" i="39"/>
  <c r="AB278" i="39"/>
  <c r="AA278" i="39"/>
  <c r="AC278" i="39" s="1"/>
  <c r="Z278" i="39"/>
  <c r="Y278" i="39"/>
  <c r="AB277" i="39"/>
  <c r="AA277" i="39"/>
  <c r="AC277" i="39" s="1"/>
  <c r="Z277" i="39"/>
  <c r="Y277" i="39"/>
  <c r="AB276" i="39"/>
  <c r="AA276" i="39"/>
  <c r="AC276" i="39" s="1"/>
  <c r="Z276" i="39"/>
  <c r="Y276" i="39"/>
  <c r="AB275" i="39"/>
  <c r="AA275" i="39"/>
  <c r="AC275" i="39" s="1"/>
  <c r="Z275" i="39"/>
  <c r="Y275" i="39"/>
  <c r="AB274" i="39"/>
  <c r="AA274" i="39"/>
  <c r="AC274" i="39" s="1"/>
  <c r="Z274" i="39"/>
  <c r="Y274" i="39"/>
  <c r="AB273" i="39"/>
  <c r="AA273" i="39"/>
  <c r="AC273" i="39" s="1"/>
  <c r="Z273" i="39"/>
  <c r="Y273" i="39"/>
  <c r="AB272" i="39"/>
  <c r="AA272" i="39"/>
  <c r="AC272" i="39" s="1"/>
  <c r="Z272" i="39"/>
  <c r="Y272" i="39"/>
  <c r="AB271" i="39"/>
  <c r="AA271" i="39"/>
  <c r="AC271" i="39" s="1"/>
  <c r="Z271" i="39"/>
  <c r="Y271" i="39"/>
  <c r="AB270" i="39"/>
  <c r="AA270" i="39"/>
  <c r="AC270" i="39" s="1"/>
  <c r="Z270" i="39"/>
  <c r="Y270" i="39"/>
  <c r="AB269" i="39"/>
  <c r="AA269" i="39"/>
  <c r="AC269" i="39" s="1"/>
  <c r="Z269" i="39"/>
  <c r="Y269" i="39"/>
  <c r="AB268" i="39"/>
  <c r="AA268" i="39"/>
  <c r="AC268" i="39" s="1"/>
  <c r="Z268" i="39"/>
  <c r="Y268" i="39"/>
  <c r="AB267" i="39"/>
  <c r="AA267" i="39"/>
  <c r="AC267" i="39" s="1"/>
  <c r="Z267" i="39"/>
  <c r="Y267" i="39"/>
  <c r="AB266" i="39"/>
  <c r="AA266" i="39"/>
  <c r="AC266" i="39" s="1"/>
  <c r="Z266" i="39"/>
  <c r="Y266" i="39"/>
  <c r="AB265" i="39"/>
  <c r="AA265" i="39"/>
  <c r="AC265" i="39" s="1"/>
  <c r="Z265" i="39"/>
  <c r="Y265" i="39"/>
  <c r="AB264" i="39"/>
  <c r="AA264" i="39"/>
  <c r="AC264" i="39" s="1"/>
  <c r="Z264" i="39"/>
  <c r="Y264" i="39"/>
  <c r="AB263" i="39"/>
  <c r="AA263" i="39"/>
  <c r="AC263" i="39" s="1"/>
  <c r="Z263" i="39"/>
  <c r="Y263" i="39"/>
  <c r="AB262" i="39"/>
  <c r="AA262" i="39"/>
  <c r="AC262" i="39" s="1"/>
  <c r="Z262" i="39"/>
  <c r="Y262" i="39"/>
  <c r="AB261" i="39"/>
  <c r="AA261" i="39"/>
  <c r="AC261" i="39" s="1"/>
  <c r="Z261" i="39"/>
  <c r="Y261" i="39"/>
  <c r="AB260" i="39"/>
  <c r="AA260" i="39"/>
  <c r="AC260" i="39" s="1"/>
  <c r="Z260" i="39"/>
  <c r="Y260" i="39"/>
  <c r="AB259" i="39"/>
  <c r="AA259" i="39"/>
  <c r="AC259" i="39" s="1"/>
  <c r="Z259" i="39"/>
  <c r="Y259" i="39"/>
  <c r="AB258" i="39"/>
  <c r="AA258" i="39"/>
  <c r="AC258" i="39" s="1"/>
  <c r="Z258" i="39"/>
  <c r="Y258" i="39"/>
  <c r="AB257" i="39"/>
  <c r="AA257" i="39"/>
  <c r="AC257" i="39" s="1"/>
  <c r="Z257" i="39"/>
  <c r="Y257" i="39"/>
  <c r="AB256" i="39"/>
  <c r="AA256" i="39"/>
  <c r="AC256" i="39" s="1"/>
  <c r="Z256" i="39"/>
  <c r="Y256" i="39"/>
  <c r="AB255" i="39"/>
  <c r="AA255" i="39"/>
  <c r="AC255" i="39" s="1"/>
  <c r="Z255" i="39"/>
  <c r="Y255" i="39"/>
  <c r="AB254" i="39"/>
  <c r="AA254" i="39"/>
  <c r="AC254" i="39" s="1"/>
  <c r="Z254" i="39"/>
  <c r="Y254" i="39"/>
  <c r="AB253" i="39"/>
  <c r="AA253" i="39"/>
  <c r="AC253" i="39" s="1"/>
  <c r="Z253" i="39"/>
  <c r="Y253" i="39"/>
  <c r="AB252" i="39"/>
  <c r="AA252" i="39"/>
  <c r="AC252" i="39" s="1"/>
  <c r="Z252" i="39"/>
  <c r="Y252" i="39"/>
  <c r="AB251" i="39"/>
  <c r="AA251" i="39"/>
  <c r="AC251" i="39" s="1"/>
  <c r="Z251" i="39"/>
  <c r="Y251" i="39"/>
  <c r="AB250" i="39"/>
  <c r="AA250" i="39"/>
  <c r="AC250" i="39" s="1"/>
  <c r="Z250" i="39"/>
  <c r="Y250" i="39"/>
  <c r="AB249" i="39"/>
  <c r="AA249" i="39"/>
  <c r="AC249" i="39" s="1"/>
  <c r="Z249" i="39"/>
  <c r="Y249" i="39"/>
  <c r="AB248" i="39"/>
  <c r="AA248" i="39"/>
  <c r="AC248" i="39" s="1"/>
  <c r="Z248" i="39"/>
  <c r="Y248" i="39"/>
  <c r="AB247" i="39"/>
  <c r="AA247" i="39"/>
  <c r="AC247" i="39" s="1"/>
  <c r="Z247" i="39"/>
  <c r="Y247" i="39"/>
  <c r="AB246" i="39"/>
  <c r="AA246" i="39"/>
  <c r="AC246" i="39" s="1"/>
  <c r="Z246" i="39"/>
  <c r="Y246" i="39"/>
  <c r="AB245" i="39"/>
  <c r="AA245" i="39"/>
  <c r="AC245" i="39" s="1"/>
  <c r="Z245" i="39"/>
  <c r="Y245" i="39"/>
  <c r="AB244" i="39"/>
  <c r="AA244" i="39"/>
  <c r="AC244" i="39" s="1"/>
  <c r="Z244" i="39"/>
  <c r="Y244" i="39"/>
  <c r="AB243" i="39"/>
  <c r="AA243" i="39"/>
  <c r="AC243" i="39" s="1"/>
  <c r="Z243" i="39"/>
  <c r="Y243" i="39"/>
  <c r="AB242" i="39"/>
  <c r="AA242" i="39"/>
  <c r="AC242" i="39" s="1"/>
  <c r="Z242" i="39"/>
  <c r="Y242" i="39"/>
  <c r="AB241" i="39"/>
  <c r="AA241" i="39"/>
  <c r="AC241" i="39" s="1"/>
  <c r="Z241" i="39"/>
  <c r="Y241" i="39"/>
  <c r="AB240" i="39"/>
  <c r="AA240" i="39"/>
  <c r="AC240" i="39" s="1"/>
  <c r="Z240" i="39"/>
  <c r="Y240" i="39"/>
  <c r="AB239" i="39"/>
  <c r="AA239" i="39"/>
  <c r="AC239" i="39" s="1"/>
  <c r="Z239" i="39"/>
  <c r="Y239" i="39"/>
  <c r="AB238" i="39"/>
  <c r="AA238" i="39"/>
  <c r="AC238" i="39" s="1"/>
  <c r="Z238" i="39"/>
  <c r="Y238" i="39"/>
  <c r="AB237" i="39"/>
  <c r="AA237" i="39"/>
  <c r="AC237" i="39" s="1"/>
  <c r="Z237" i="39"/>
  <c r="Y237" i="39"/>
  <c r="AB236" i="39"/>
  <c r="AA236" i="39"/>
  <c r="AC236" i="39" s="1"/>
  <c r="Z236" i="39"/>
  <c r="Y236" i="39"/>
  <c r="AB235" i="39"/>
  <c r="AA235" i="39"/>
  <c r="AC235" i="39" s="1"/>
  <c r="Z235" i="39"/>
  <c r="Y235" i="39"/>
  <c r="AB234" i="39"/>
  <c r="AA234" i="39"/>
  <c r="AC234" i="39" s="1"/>
  <c r="Z234" i="39"/>
  <c r="Y234" i="39"/>
  <c r="AB233" i="39"/>
  <c r="AA233" i="39"/>
  <c r="AC233" i="39" s="1"/>
  <c r="Z233" i="39"/>
  <c r="Y233" i="39"/>
  <c r="AB232" i="39"/>
  <c r="AA232" i="39"/>
  <c r="AC232" i="39" s="1"/>
  <c r="Z232" i="39"/>
  <c r="Y232" i="39"/>
  <c r="AB231" i="39"/>
  <c r="AA231" i="39"/>
  <c r="AC231" i="39" s="1"/>
  <c r="Z231" i="39"/>
  <c r="Y231" i="39"/>
  <c r="AB230" i="39"/>
  <c r="AA230" i="39"/>
  <c r="AC230" i="39" s="1"/>
  <c r="Z230" i="39"/>
  <c r="Y230" i="39"/>
  <c r="AB229" i="39"/>
  <c r="AA229" i="39"/>
  <c r="AC229" i="39" s="1"/>
  <c r="Z229" i="39"/>
  <c r="Y229" i="39"/>
  <c r="AB228" i="39"/>
  <c r="AA228" i="39"/>
  <c r="AC228" i="39" s="1"/>
  <c r="Z228" i="39"/>
  <c r="Y228" i="39"/>
  <c r="AB227" i="39"/>
  <c r="AA227" i="39"/>
  <c r="AC227" i="39" s="1"/>
  <c r="Z227" i="39"/>
  <c r="Y227" i="39"/>
  <c r="AB226" i="39"/>
  <c r="AA226" i="39"/>
  <c r="AC226" i="39" s="1"/>
  <c r="Z226" i="39"/>
  <c r="Y226" i="39"/>
  <c r="AB225" i="39"/>
  <c r="AA225" i="39"/>
  <c r="AC225" i="39" s="1"/>
  <c r="Z225" i="39"/>
  <c r="Y225" i="39"/>
  <c r="AB224" i="39"/>
  <c r="AA224" i="39"/>
  <c r="AC224" i="39" s="1"/>
  <c r="Z224" i="39"/>
  <c r="Y224" i="39"/>
  <c r="AB223" i="39"/>
  <c r="AA223" i="39"/>
  <c r="AC223" i="39" s="1"/>
  <c r="Z223" i="39"/>
  <c r="Y223" i="39"/>
  <c r="AB222" i="39"/>
  <c r="AA222" i="39"/>
  <c r="AC222" i="39" s="1"/>
  <c r="Z222" i="39"/>
  <c r="Y222" i="39"/>
  <c r="AB221" i="39"/>
  <c r="AA221" i="39"/>
  <c r="AC221" i="39" s="1"/>
  <c r="Z221" i="39"/>
  <c r="Y221" i="39"/>
  <c r="AB220" i="39"/>
  <c r="AA220" i="39"/>
  <c r="AC220" i="39" s="1"/>
  <c r="Z220" i="39"/>
  <c r="Y220" i="39"/>
  <c r="AB219" i="39"/>
  <c r="AA219" i="39"/>
  <c r="AC219" i="39" s="1"/>
  <c r="Z219" i="39"/>
  <c r="Y219" i="39"/>
  <c r="AB218" i="39"/>
  <c r="AA218" i="39"/>
  <c r="AC218" i="39" s="1"/>
  <c r="Z218" i="39"/>
  <c r="Y218" i="39"/>
  <c r="AB217" i="39"/>
  <c r="AA217" i="39"/>
  <c r="AC217" i="39" s="1"/>
  <c r="Z217" i="39"/>
  <c r="Y217" i="39"/>
  <c r="AB216" i="39"/>
  <c r="AA216" i="39"/>
  <c r="AC216" i="39" s="1"/>
  <c r="Z216" i="39"/>
  <c r="Y216" i="39"/>
  <c r="AB215" i="39"/>
  <c r="AA215" i="39"/>
  <c r="AC215" i="39" s="1"/>
  <c r="Z215" i="39"/>
  <c r="Y215" i="39"/>
  <c r="AB214" i="39"/>
  <c r="AA214" i="39"/>
  <c r="AC214" i="39" s="1"/>
  <c r="Z214" i="39"/>
  <c r="Y214" i="39"/>
  <c r="AB213" i="39"/>
  <c r="AA213" i="39"/>
  <c r="AC213" i="39" s="1"/>
  <c r="Z213" i="39"/>
  <c r="Y213" i="39"/>
  <c r="AB212" i="39"/>
  <c r="AA212" i="39"/>
  <c r="AC212" i="39" s="1"/>
  <c r="Z212" i="39"/>
  <c r="Y212" i="39"/>
  <c r="AB211" i="39"/>
  <c r="AA211" i="39"/>
  <c r="AC211" i="39" s="1"/>
  <c r="Z211" i="39"/>
  <c r="Y211" i="39"/>
  <c r="AB210" i="39"/>
  <c r="AA210" i="39"/>
  <c r="AC210" i="39" s="1"/>
  <c r="Z210" i="39"/>
  <c r="Y210" i="39"/>
  <c r="AB209" i="39"/>
  <c r="AA209" i="39"/>
  <c r="AC209" i="39" s="1"/>
  <c r="Z209" i="39"/>
  <c r="Y209" i="39"/>
  <c r="AB208" i="39"/>
  <c r="AA208" i="39"/>
  <c r="AC208" i="39" s="1"/>
  <c r="Z208" i="39"/>
  <c r="Y208" i="39"/>
  <c r="AB207" i="39"/>
  <c r="AA207" i="39"/>
  <c r="AC207" i="39" s="1"/>
  <c r="Z207" i="39"/>
  <c r="Y207" i="39"/>
  <c r="AB206" i="39"/>
  <c r="AA206" i="39"/>
  <c r="AC206" i="39" s="1"/>
  <c r="Z206" i="39"/>
  <c r="Y206" i="39"/>
  <c r="AB205" i="39"/>
  <c r="AA205" i="39"/>
  <c r="AC205" i="39" s="1"/>
  <c r="Z205" i="39"/>
  <c r="Y205" i="39"/>
  <c r="AB204" i="39"/>
  <c r="AA204" i="39"/>
  <c r="AC204" i="39" s="1"/>
  <c r="Z204" i="39"/>
  <c r="Y204" i="39"/>
  <c r="AB203" i="39"/>
  <c r="AA203" i="39"/>
  <c r="AC203" i="39" s="1"/>
  <c r="Z203" i="39"/>
  <c r="Y203" i="39"/>
  <c r="AB202" i="39"/>
  <c r="AA202" i="39"/>
  <c r="AC202" i="39" s="1"/>
  <c r="Z202" i="39"/>
  <c r="Y202" i="39"/>
  <c r="AB201" i="39"/>
  <c r="AA201" i="39"/>
  <c r="AC201" i="39" s="1"/>
  <c r="Z201" i="39"/>
  <c r="Y201" i="39"/>
  <c r="AB200" i="39"/>
  <c r="AA200" i="39"/>
  <c r="AC200" i="39" s="1"/>
  <c r="Z200" i="39"/>
  <c r="Y200" i="39"/>
  <c r="AB199" i="39"/>
  <c r="AA199" i="39"/>
  <c r="AC199" i="39" s="1"/>
  <c r="Z199" i="39"/>
  <c r="Y199" i="39"/>
  <c r="AB198" i="39"/>
  <c r="AA198" i="39"/>
  <c r="AC198" i="39" s="1"/>
  <c r="Z198" i="39"/>
  <c r="Y198" i="39"/>
  <c r="AB197" i="39"/>
  <c r="AA197" i="39"/>
  <c r="AC197" i="39" s="1"/>
  <c r="Z197" i="39"/>
  <c r="Y197" i="39"/>
  <c r="AB196" i="39"/>
  <c r="AA196" i="39"/>
  <c r="AC196" i="39" s="1"/>
  <c r="Z196" i="39"/>
  <c r="Y196" i="39"/>
  <c r="AB195" i="39"/>
  <c r="AA195" i="39"/>
  <c r="AC195" i="39" s="1"/>
  <c r="Z195" i="39"/>
  <c r="Y195" i="39"/>
  <c r="AB194" i="39"/>
  <c r="AA194" i="39"/>
  <c r="AC194" i="39" s="1"/>
  <c r="Z194" i="39"/>
  <c r="Y194" i="39"/>
  <c r="AB193" i="39"/>
  <c r="AA193" i="39"/>
  <c r="AC193" i="39" s="1"/>
  <c r="Z193" i="39"/>
  <c r="Y193" i="39"/>
  <c r="AB192" i="39"/>
  <c r="AA192" i="39"/>
  <c r="AC192" i="39" s="1"/>
  <c r="Z192" i="39"/>
  <c r="Y192" i="39"/>
  <c r="AB191" i="39"/>
  <c r="AA191" i="39"/>
  <c r="AC191" i="39" s="1"/>
  <c r="Z191" i="39"/>
  <c r="Y191" i="39"/>
  <c r="AB190" i="39"/>
  <c r="AA190" i="39"/>
  <c r="AC190" i="39" s="1"/>
  <c r="Z190" i="39"/>
  <c r="Y190" i="39"/>
  <c r="AB189" i="39"/>
  <c r="AA189" i="39"/>
  <c r="AC189" i="39" s="1"/>
  <c r="Z189" i="39"/>
  <c r="Y189" i="39"/>
  <c r="AB188" i="39"/>
  <c r="AA188" i="39"/>
  <c r="AC188" i="39" s="1"/>
  <c r="Z188" i="39"/>
  <c r="Y188" i="39"/>
  <c r="AB187" i="39"/>
  <c r="AA187" i="39"/>
  <c r="AC187" i="39" s="1"/>
  <c r="Z187" i="39"/>
  <c r="Y187" i="39"/>
  <c r="AB186" i="39"/>
  <c r="AA186" i="39"/>
  <c r="AC186" i="39" s="1"/>
  <c r="Z186" i="39"/>
  <c r="Y186" i="39"/>
  <c r="AB185" i="39"/>
  <c r="AA185" i="39"/>
  <c r="AC185" i="39" s="1"/>
  <c r="Z185" i="39"/>
  <c r="Y185" i="39"/>
  <c r="AB184" i="39"/>
  <c r="AA184" i="39"/>
  <c r="AC184" i="39" s="1"/>
  <c r="Z184" i="39"/>
  <c r="Y184" i="39"/>
  <c r="AB183" i="39"/>
  <c r="AA183" i="39"/>
  <c r="AC183" i="39" s="1"/>
  <c r="Z183" i="39"/>
  <c r="Y183" i="39"/>
  <c r="AB182" i="39"/>
  <c r="AA182" i="39"/>
  <c r="AC182" i="39" s="1"/>
  <c r="Z182" i="39"/>
  <c r="Y182" i="39"/>
  <c r="AB181" i="39"/>
  <c r="AA181" i="39"/>
  <c r="AC181" i="39" s="1"/>
  <c r="Z181" i="39"/>
  <c r="Y181" i="39"/>
  <c r="AB180" i="39"/>
  <c r="AA180" i="39"/>
  <c r="AC180" i="39" s="1"/>
  <c r="Z180" i="39"/>
  <c r="Y180" i="39"/>
  <c r="AB179" i="39"/>
  <c r="AA179" i="39"/>
  <c r="AC179" i="39" s="1"/>
  <c r="Z179" i="39"/>
  <c r="Y179" i="39"/>
  <c r="AB178" i="39"/>
  <c r="AA178" i="39"/>
  <c r="AC178" i="39" s="1"/>
  <c r="Z178" i="39"/>
  <c r="Y178" i="39"/>
  <c r="AB177" i="39"/>
  <c r="AA177" i="39"/>
  <c r="AC177" i="39" s="1"/>
  <c r="Z177" i="39"/>
  <c r="Y177" i="39"/>
  <c r="AB176" i="39"/>
  <c r="AA176" i="39"/>
  <c r="AC176" i="39" s="1"/>
  <c r="Z176" i="39"/>
  <c r="Y176" i="39"/>
  <c r="AB175" i="39"/>
  <c r="AA175" i="39"/>
  <c r="AC175" i="39" s="1"/>
  <c r="Z175" i="39"/>
  <c r="Y175" i="39"/>
  <c r="AB174" i="39"/>
  <c r="AA174" i="39"/>
  <c r="AC174" i="39" s="1"/>
  <c r="Z174" i="39"/>
  <c r="Y174" i="39"/>
  <c r="AB173" i="39"/>
  <c r="AA173" i="39"/>
  <c r="AC173" i="39" s="1"/>
  <c r="Z173" i="39"/>
  <c r="Y173" i="39"/>
  <c r="AB172" i="39"/>
  <c r="AA172" i="39"/>
  <c r="AC172" i="39" s="1"/>
  <c r="Z172" i="39"/>
  <c r="Y172" i="39"/>
  <c r="AB171" i="39"/>
  <c r="AA171" i="39"/>
  <c r="AC171" i="39" s="1"/>
  <c r="Z171" i="39"/>
  <c r="Y171" i="39"/>
  <c r="AB170" i="39"/>
  <c r="AA170" i="39"/>
  <c r="AC170" i="39" s="1"/>
  <c r="Z170" i="39"/>
  <c r="Y170" i="39"/>
  <c r="AB169" i="39"/>
  <c r="AA169" i="39"/>
  <c r="AC169" i="39" s="1"/>
  <c r="Z169" i="39"/>
  <c r="Y169" i="39"/>
  <c r="AB168" i="39"/>
  <c r="AA168" i="39"/>
  <c r="AC168" i="39" s="1"/>
  <c r="Z168" i="39"/>
  <c r="Y168" i="39"/>
  <c r="AB167" i="39"/>
  <c r="AA167" i="39"/>
  <c r="AC167" i="39" s="1"/>
  <c r="Z167" i="39"/>
  <c r="Y167" i="39"/>
  <c r="AB166" i="39"/>
  <c r="AA166" i="39"/>
  <c r="AC166" i="39" s="1"/>
  <c r="Z166" i="39"/>
  <c r="Y166" i="39"/>
  <c r="AB165" i="39"/>
  <c r="AA165" i="39"/>
  <c r="AC165" i="39" s="1"/>
  <c r="Z165" i="39"/>
  <c r="Y165" i="39"/>
  <c r="AB164" i="39"/>
  <c r="AA164" i="39"/>
  <c r="AC164" i="39" s="1"/>
  <c r="Z164" i="39"/>
  <c r="Y164" i="39"/>
  <c r="AB163" i="39"/>
  <c r="AA163" i="39"/>
  <c r="AC163" i="39" s="1"/>
  <c r="Z163" i="39"/>
  <c r="Y163" i="39"/>
  <c r="AB162" i="39"/>
  <c r="AA162" i="39"/>
  <c r="AC162" i="39" s="1"/>
  <c r="Z162" i="39"/>
  <c r="Y162" i="39"/>
  <c r="AB161" i="39"/>
  <c r="AA161" i="39"/>
  <c r="AC161" i="39" s="1"/>
  <c r="Z161" i="39"/>
  <c r="Y161" i="39"/>
  <c r="AB160" i="39"/>
  <c r="AA160" i="39"/>
  <c r="AC160" i="39" s="1"/>
  <c r="Z160" i="39"/>
  <c r="Y160" i="39"/>
  <c r="AB159" i="39"/>
  <c r="AA159" i="39"/>
  <c r="AC159" i="39" s="1"/>
  <c r="Z159" i="39"/>
  <c r="Y159" i="39"/>
  <c r="AB158" i="39"/>
  <c r="AA158" i="39"/>
  <c r="AC158" i="39" s="1"/>
  <c r="Z158" i="39"/>
  <c r="Y158" i="39"/>
  <c r="AB157" i="39"/>
  <c r="AA157" i="39"/>
  <c r="AC157" i="39" s="1"/>
  <c r="Z157" i="39"/>
  <c r="Y157" i="39"/>
  <c r="AB156" i="39"/>
  <c r="AA156" i="39"/>
  <c r="AC156" i="39" s="1"/>
  <c r="Z156" i="39"/>
  <c r="Y156" i="39"/>
  <c r="AB155" i="39"/>
  <c r="AA155" i="39"/>
  <c r="AC155" i="39" s="1"/>
  <c r="Z155" i="39"/>
  <c r="Y155" i="39"/>
  <c r="AB154" i="39"/>
  <c r="AA154" i="39"/>
  <c r="AC154" i="39" s="1"/>
  <c r="Z154" i="39"/>
  <c r="Y154" i="39"/>
  <c r="AB153" i="39"/>
  <c r="AA153" i="39"/>
  <c r="AC153" i="39" s="1"/>
  <c r="Z153" i="39"/>
  <c r="Y153" i="39"/>
  <c r="AB152" i="39"/>
  <c r="AA152" i="39"/>
  <c r="AC152" i="39" s="1"/>
  <c r="Z152" i="39"/>
  <c r="Y152" i="39"/>
  <c r="AB151" i="39"/>
  <c r="AA151" i="39"/>
  <c r="AC151" i="39" s="1"/>
  <c r="Z151" i="39"/>
  <c r="Y151" i="39"/>
  <c r="AB150" i="39"/>
  <c r="AA150" i="39"/>
  <c r="AC150" i="39" s="1"/>
  <c r="Z150" i="39"/>
  <c r="Y150" i="39"/>
  <c r="AB149" i="39"/>
  <c r="AA149" i="39"/>
  <c r="AC149" i="39" s="1"/>
  <c r="Z149" i="39"/>
  <c r="Y149" i="39"/>
  <c r="AB148" i="39"/>
  <c r="AA148" i="39"/>
  <c r="AC148" i="39" s="1"/>
  <c r="Z148" i="39"/>
  <c r="Y148" i="39"/>
  <c r="AB147" i="39"/>
  <c r="AA147" i="39"/>
  <c r="AC147" i="39" s="1"/>
  <c r="Z147" i="39"/>
  <c r="Y147" i="39"/>
  <c r="AB146" i="39"/>
  <c r="AA146" i="39"/>
  <c r="AC146" i="39" s="1"/>
  <c r="Z146" i="39"/>
  <c r="Y146" i="39"/>
  <c r="AB145" i="39"/>
  <c r="AA145" i="39"/>
  <c r="AC145" i="39" s="1"/>
  <c r="Z145" i="39"/>
  <c r="Y145" i="39"/>
  <c r="AB144" i="39"/>
  <c r="AA144" i="39"/>
  <c r="AC144" i="39" s="1"/>
  <c r="Z144" i="39"/>
  <c r="Y144" i="39"/>
  <c r="AB143" i="39"/>
  <c r="AA143" i="39"/>
  <c r="AC143" i="39" s="1"/>
  <c r="Z143" i="39"/>
  <c r="Y143" i="39"/>
  <c r="AB142" i="39"/>
  <c r="AA142" i="39"/>
  <c r="AC142" i="39" s="1"/>
  <c r="Z142" i="39"/>
  <c r="Y142" i="39"/>
  <c r="AB141" i="39"/>
  <c r="AA141" i="39"/>
  <c r="AC141" i="39" s="1"/>
  <c r="Z141" i="39"/>
  <c r="Y141" i="39"/>
  <c r="AB140" i="39"/>
  <c r="AA140" i="39"/>
  <c r="AC140" i="39" s="1"/>
  <c r="Z140" i="39"/>
  <c r="Y140" i="39"/>
  <c r="AB139" i="39"/>
  <c r="AA139" i="39"/>
  <c r="AC139" i="39" s="1"/>
  <c r="Z139" i="39"/>
  <c r="Y139" i="39"/>
  <c r="AB138" i="39"/>
  <c r="AA138" i="39"/>
  <c r="AC138" i="39" s="1"/>
  <c r="Z138" i="39"/>
  <c r="Y138" i="39"/>
  <c r="AB137" i="39"/>
  <c r="AA137" i="39"/>
  <c r="AC137" i="39" s="1"/>
  <c r="Z137" i="39"/>
  <c r="Y137" i="39"/>
  <c r="AB136" i="39"/>
  <c r="AA136" i="39"/>
  <c r="AC136" i="39" s="1"/>
  <c r="Z136" i="39"/>
  <c r="Y136" i="39"/>
  <c r="AB135" i="39"/>
  <c r="AA135" i="39"/>
  <c r="AC135" i="39" s="1"/>
  <c r="Z135" i="39"/>
  <c r="Y135" i="39"/>
  <c r="AB134" i="39"/>
  <c r="AA134" i="39"/>
  <c r="AC134" i="39" s="1"/>
  <c r="Z134" i="39"/>
  <c r="Y134" i="39"/>
  <c r="AB133" i="39"/>
  <c r="AA133" i="39"/>
  <c r="AC133" i="39" s="1"/>
  <c r="Z133" i="39"/>
  <c r="Y133" i="39"/>
  <c r="AB132" i="39"/>
  <c r="AA132" i="39"/>
  <c r="AC132" i="39" s="1"/>
  <c r="Z132" i="39"/>
  <c r="Y132" i="39"/>
  <c r="AB131" i="39"/>
  <c r="AA131" i="39"/>
  <c r="AC131" i="39" s="1"/>
  <c r="Z131" i="39"/>
  <c r="Y131" i="39"/>
  <c r="AB130" i="39"/>
  <c r="AA130" i="39"/>
  <c r="AC130" i="39" s="1"/>
  <c r="Z130" i="39"/>
  <c r="Y130" i="39"/>
  <c r="AB129" i="39"/>
  <c r="AA129" i="39"/>
  <c r="AC129" i="39" s="1"/>
  <c r="Z129" i="39"/>
  <c r="Y129" i="39"/>
  <c r="AB128" i="39"/>
  <c r="AA128" i="39"/>
  <c r="AC128" i="39" s="1"/>
  <c r="Z128" i="39"/>
  <c r="Y128" i="39"/>
  <c r="AB127" i="39"/>
  <c r="AA127" i="39"/>
  <c r="AC127" i="39" s="1"/>
  <c r="Z127" i="39"/>
  <c r="Y127" i="39"/>
  <c r="AB126" i="39"/>
  <c r="AA126" i="39"/>
  <c r="AC126" i="39" s="1"/>
  <c r="Z126" i="39"/>
  <c r="Y126" i="39"/>
  <c r="AB125" i="39"/>
  <c r="AA125" i="39"/>
  <c r="AC125" i="39" s="1"/>
  <c r="Z125" i="39"/>
  <c r="Y125" i="39"/>
  <c r="AB124" i="39"/>
  <c r="AA124" i="39"/>
  <c r="AC124" i="39" s="1"/>
  <c r="Z124" i="39"/>
  <c r="Y124" i="39"/>
  <c r="AB123" i="39"/>
  <c r="AA123" i="39"/>
  <c r="AC123" i="39" s="1"/>
  <c r="Z123" i="39"/>
  <c r="Y123" i="39"/>
  <c r="AB122" i="39"/>
  <c r="AA122" i="39"/>
  <c r="AC122" i="39" s="1"/>
  <c r="Z122" i="39"/>
  <c r="Y122" i="39"/>
  <c r="AB121" i="39"/>
  <c r="AA121" i="39"/>
  <c r="AC121" i="39" s="1"/>
  <c r="Z121" i="39"/>
  <c r="Y121" i="39"/>
  <c r="AB120" i="39"/>
  <c r="AA120" i="39"/>
  <c r="AC120" i="39" s="1"/>
  <c r="Z120" i="39"/>
  <c r="Y120" i="39"/>
  <c r="AB119" i="39"/>
  <c r="AA119" i="39"/>
  <c r="AC119" i="39" s="1"/>
  <c r="Z119" i="39"/>
  <c r="Y119" i="39"/>
  <c r="AB118" i="39"/>
  <c r="AA118" i="39"/>
  <c r="AC118" i="39" s="1"/>
  <c r="Z118" i="39"/>
  <c r="Y118" i="39"/>
  <c r="AB117" i="39"/>
  <c r="AA117" i="39"/>
  <c r="AC117" i="39" s="1"/>
  <c r="Z117" i="39"/>
  <c r="Y117" i="39"/>
  <c r="AB116" i="39"/>
  <c r="AA116" i="39"/>
  <c r="AC116" i="39" s="1"/>
  <c r="Z116" i="39"/>
  <c r="Y116" i="39"/>
  <c r="AB115" i="39"/>
  <c r="AA115" i="39"/>
  <c r="AC115" i="39" s="1"/>
  <c r="Z115" i="39"/>
  <c r="Y115" i="39"/>
  <c r="AB114" i="39"/>
  <c r="AA114" i="39"/>
  <c r="AC114" i="39" s="1"/>
  <c r="Z114" i="39"/>
  <c r="Y114" i="39"/>
  <c r="AB113" i="39"/>
  <c r="AA113" i="39"/>
  <c r="AC113" i="39" s="1"/>
  <c r="Z113" i="39"/>
  <c r="Y113" i="39"/>
  <c r="AB112" i="39"/>
  <c r="AA112" i="39"/>
  <c r="AC112" i="39" s="1"/>
  <c r="Z112" i="39"/>
  <c r="Y112" i="39"/>
  <c r="AB111" i="39"/>
  <c r="AA111" i="39"/>
  <c r="AC111" i="39" s="1"/>
  <c r="Z111" i="39"/>
  <c r="Y111" i="39"/>
  <c r="AB110" i="39"/>
  <c r="AA110" i="39"/>
  <c r="AC110" i="39" s="1"/>
  <c r="Z110" i="39"/>
  <c r="Y110" i="39"/>
  <c r="AB109" i="39"/>
  <c r="AA109" i="39"/>
  <c r="AC109" i="39" s="1"/>
  <c r="Z109" i="39"/>
  <c r="Y109" i="39"/>
  <c r="AB108" i="39"/>
  <c r="AA108" i="39"/>
  <c r="AC108" i="39" s="1"/>
  <c r="Z108" i="39"/>
  <c r="Y108" i="39"/>
  <c r="AB107" i="39"/>
  <c r="AA107" i="39"/>
  <c r="AC107" i="39" s="1"/>
  <c r="Z107" i="39"/>
  <c r="Y107" i="39"/>
  <c r="AB106" i="39"/>
  <c r="AA106" i="39"/>
  <c r="AC106" i="39" s="1"/>
  <c r="Z106" i="39"/>
  <c r="Y106" i="39"/>
  <c r="AB105" i="39"/>
  <c r="AA105" i="39"/>
  <c r="AC105" i="39" s="1"/>
  <c r="Z105" i="39"/>
  <c r="Y105" i="39"/>
  <c r="AB104" i="39"/>
  <c r="AA104" i="39"/>
  <c r="AC104" i="39" s="1"/>
  <c r="Z104" i="39"/>
  <c r="Y104" i="39"/>
  <c r="AB103" i="39"/>
  <c r="AA103" i="39"/>
  <c r="AC103" i="39" s="1"/>
  <c r="Z103" i="39"/>
  <c r="Y103" i="39"/>
  <c r="AB102" i="39"/>
  <c r="AA102" i="39"/>
  <c r="AC102" i="39" s="1"/>
  <c r="Z102" i="39"/>
  <c r="Y102" i="39"/>
  <c r="AB101" i="39"/>
  <c r="AA101" i="39"/>
  <c r="AC101" i="39" s="1"/>
  <c r="Z101" i="39"/>
  <c r="Y101" i="39"/>
  <c r="AB100" i="39"/>
  <c r="AA100" i="39"/>
  <c r="AC100" i="39" s="1"/>
  <c r="Z100" i="39"/>
  <c r="Y100" i="39"/>
  <c r="AB99" i="39"/>
  <c r="AA99" i="39"/>
  <c r="AC99" i="39" s="1"/>
  <c r="Z99" i="39"/>
  <c r="Y99" i="39"/>
  <c r="AB98" i="39"/>
  <c r="AA98" i="39"/>
  <c r="AC98" i="39" s="1"/>
  <c r="Z98" i="39"/>
  <c r="Y98" i="39"/>
  <c r="AB97" i="39"/>
  <c r="AA97" i="39"/>
  <c r="AC97" i="39" s="1"/>
  <c r="Z97" i="39"/>
  <c r="Y97" i="39"/>
  <c r="AB96" i="39"/>
  <c r="AA96" i="39"/>
  <c r="AC96" i="39" s="1"/>
  <c r="Z96" i="39"/>
  <c r="Y96" i="39"/>
  <c r="AB95" i="39"/>
  <c r="AA95" i="39"/>
  <c r="AC95" i="39" s="1"/>
  <c r="Z95" i="39"/>
  <c r="Y95" i="39"/>
  <c r="AB94" i="39"/>
  <c r="AA94" i="39"/>
  <c r="AC94" i="39" s="1"/>
  <c r="Z94" i="39"/>
  <c r="Y94" i="39"/>
  <c r="AB93" i="39"/>
  <c r="AA93" i="39"/>
  <c r="AC93" i="39" s="1"/>
  <c r="Z93" i="39"/>
  <c r="Y93" i="39"/>
  <c r="AB92" i="39"/>
  <c r="AA92" i="39"/>
  <c r="AC92" i="39" s="1"/>
  <c r="Z92" i="39"/>
  <c r="Y92" i="39"/>
  <c r="AB91" i="39"/>
  <c r="AA91" i="39"/>
  <c r="AC91" i="39" s="1"/>
  <c r="Z91" i="39"/>
  <c r="Y91" i="39"/>
  <c r="AB90" i="39"/>
  <c r="AA90" i="39"/>
  <c r="AC90" i="39" s="1"/>
  <c r="Z90" i="39"/>
  <c r="Y90" i="39"/>
  <c r="AB89" i="39"/>
  <c r="AA89" i="39"/>
  <c r="AC89" i="39" s="1"/>
  <c r="Z89" i="39"/>
  <c r="Y89" i="39"/>
  <c r="AB88" i="39"/>
  <c r="AA88" i="39"/>
  <c r="AC88" i="39" s="1"/>
  <c r="Z88" i="39"/>
  <c r="Y88" i="39"/>
  <c r="AB87" i="39"/>
  <c r="AA87" i="39"/>
  <c r="AC87" i="39" s="1"/>
  <c r="Z87" i="39"/>
  <c r="Y87" i="39"/>
  <c r="AB86" i="39"/>
  <c r="AA86" i="39"/>
  <c r="AC86" i="39" s="1"/>
  <c r="Z86" i="39"/>
  <c r="Y86" i="39"/>
  <c r="AB85" i="39"/>
  <c r="AA85" i="39"/>
  <c r="AC85" i="39" s="1"/>
  <c r="Z85" i="39"/>
  <c r="Y85" i="39"/>
  <c r="AB84" i="39"/>
  <c r="AA84" i="39"/>
  <c r="AC84" i="39" s="1"/>
  <c r="Z84" i="39"/>
  <c r="Y84" i="39"/>
  <c r="AB83" i="39"/>
  <c r="AA83" i="39"/>
  <c r="AC83" i="39" s="1"/>
  <c r="Z83" i="39"/>
  <c r="Y83" i="39"/>
  <c r="AB82" i="39"/>
  <c r="AA82" i="39"/>
  <c r="AC82" i="39" s="1"/>
  <c r="Z82" i="39"/>
  <c r="Y82" i="39"/>
  <c r="AB81" i="39"/>
  <c r="AA81" i="39"/>
  <c r="AC81" i="39" s="1"/>
  <c r="Z81" i="39"/>
  <c r="Y81" i="39"/>
  <c r="AB80" i="39"/>
  <c r="AA80" i="39"/>
  <c r="AC80" i="39" s="1"/>
  <c r="Z80" i="39"/>
  <c r="Y80" i="39"/>
  <c r="AB79" i="39"/>
  <c r="AA79" i="39"/>
  <c r="AC79" i="39" s="1"/>
  <c r="Z79" i="39"/>
  <c r="Y79" i="39"/>
  <c r="AB78" i="39"/>
  <c r="AA78" i="39"/>
  <c r="AC78" i="39" s="1"/>
  <c r="Z78" i="39"/>
  <c r="Y78" i="39"/>
  <c r="AB77" i="39"/>
  <c r="AA77" i="39"/>
  <c r="AC77" i="39" s="1"/>
  <c r="Z77" i="39"/>
  <c r="Y77" i="39"/>
  <c r="AB76" i="39"/>
  <c r="AA76" i="39"/>
  <c r="AC76" i="39" s="1"/>
  <c r="Z76" i="39"/>
  <c r="Y76" i="39"/>
  <c r="AB75" i="39"/>
  <c r="AA75" i="39"/>
  <c r="AC75" i="39" s="1"/>
  <c r="Z75" i="39"/>
  <c r="Y75" i="39"/>
  <c r="AB74" i="39"/>
  <c r="AA74" i="39"/>
  <c r="AC74" i="39" s="1"/>
  <c r="Z74" i="39"/>
  <c r="Y74" i="39"/>
  <c r="AB73" i="39"/>
  <c r="AA73" i="39"/>
  <c r="AC73" i="39" s="1"/>
  <c r="Z73" i="39"/>
  <c r="Y73" i="39"/>
  <c r="AB72" i="39"/>
  <c r="AA72" i="39"/>
  <c r="AC72" i="39" s="1"/>
  <c r="Z72" i="39"/>
  <c r="Y72" i="39"/>
  <c r="AB71" i="39"/>
  <c r="AA71" i="39"/>
  <c r="AC71" i="39" s="1"/>
  <c r="Z71" i="39"/>
  <c r="Y71" i="39"/>
  <c r="AB70" i="39"/>
  <c r="AA70" i="39"/>
  <c r="AC70" i="39" s="1"/>
  <c r="Z70" i="39"/>
  <c r="Y70" i="39"/>
  <c r="AB69" i="39"/>
  <c r="AA69" i="39"/>
  <c r="AC69" i="39" s="1"/>
  <c r="Z69" i="39"/>
  <c r="Y69" i="39"/>
  <c r="AB68" i="39"/>
  <c r="AA68" i="39"/>
  <c r="AC68" i="39" s="1"/>
  <c r="Z68" i="39"/>
  <c r="Y68" i="39"/>
  <c r="AB67" i="39"/>
  <c r="AA67" i="39"/>
  <c r="AC67" i="39" s="1"/>
  <c r="Z67" i="39"/>
  <c r="Y67" i="39"/>
  <c r="AB66" i="39"/>
  <c r="AA66" i="39"/>
  <c r="AC66" i="39" s="1"/>
  <c r="Z66" i="39"/>
  <c r="Y66" i="39"/>
  <c r="AB65" i="39"/>
  <c r="AA65" i="39"/>
  <c r="AC65" i="39" s="1"/>
  <c r="Z65" i="39"/>
  <c r="Y65" i="39"/>
  <c r="AB64" i="39"/>
  <c r="AA64" i="39"/>
  <c r="AC64" i="39" s="1"/>
  <c r="Z64" i="39"/>
  <c r="Y64" i="39"/>
  <c r="AB63" i="39"/>
  <c r="AA63" i="39"/>
  <c r="AC63" i="39" s="1"/>
  <c r="Z63" i="39"/>
  <c r="Y63" i="39"/>
  <c r="AB62" i="39"/>
  <c r="AA62" i="39"/>
  <c r="AC62" i="39" s="1"/>
  <c r="Z62" i="39"/>
  <c r="Y62" i="39"/>
  <c r="AB61" i="39"/>
  <c r="AA61" i="39"/>
  <c r="AC61" i="39" s="1"/>
  <c r="Z61" i="39"/>
  <c r="Y61" i="39"/>
  <c r="AB60" i="39"/>
  <c r="AA60" i="39"/>
  <c r="AC60" i="39" s="1"/>
  <c r="Z60" i="39"/>
  <c r="Y60" i="39"/>
  <c r="AB59" i="39"/>
  <c r="AA59" i="39"/>
  <c r="AC59" i="39" s="1"/>
  <c r="Z59" i="39"/>
  <c r="Y59" i="39"/>
  <c r="AB58" i="39"/>
  <c r="AA58" i="39"/>
  <c r="AC58" i="39" s="1"/>
  <c r="Z58" i="39"/>
  <c r="Y58" i="39"/>
  <c r="AB57" i="39"/>
  <c r="AA57" i="39"/>
  <c r="AC57" i="39" s="1"/>
  <c r="Z57" i="39"/>
  <c r="Y57" i="39"/>
  <c r="AB56" i="39"/>
  <c r="AA56" i="39"/>
  <c r="AC56" i="39" s="1"/>
  <c r="Z56" i="39"/>
  <c r="Y56" i="39"/>
  <c r="AB55" i="39"/>
  <c r="AA55" i="39"/>
  <c r="AC55" i="39" s="1"/>
  <c r="Z55" i="39"/>
  <c r="Y55" i="39"/>
  <c r="AB54" i="39"/>
  <c r="AA54" i="39"/>
  <c r="AC54" i="39" s="1"/>
  <c r="Z54" i="39"/>
  <c r="Y54" i="39"/>
  <c r="AB53" i="39"/>
  <c r="AA53" i="39"/>
  <c r="AC53" i="39" s="1"/>
  <c r="Z53" i="39"/>
  <c r="Y53" i="39"/>
  <c r="AB52" i="39"/>
  <c r="AA52" i="39"/>
  <c r="AC52" i="39" s="1"/>
  <c r="Z52" i="39"/>
  <c r="Y52" i="39"/>
  <c r="AB51" i="39"/>
  <c r="AA51" i="39"/>
  <c r="AC51" i="39" s="1"/>
  <c r="Z51" i="39"/>
  <c r="Y51" i="39"/>
  <c r="AB50" i="39"/>
  <c r="AA50" i="39"/>
  <c r="AC50" i="39" s="1"/>
  <c r="Z50" i="39"/>
  <c r="Y50" i="39"/>
  <c r="AB49" i="39"/>
  <c r="AA49" i="39"/>
  <c r="AC49" i="39" s="1"/>
  <c r="Z49" i="39"/>
  <c r="Y49" i="39"/>
  <c r="AB48" i="39"/>
  <c r="AA48" i="39"/>
  <c r="AC48" i="39" s="1"/>
  <c r="Z48" i="39"/>
  <c r="Y48" i="39"/>
  <c r="AB47" i="39"/>
  <c r="AA47" i="39"/>
  <c r="AC47" i="39" s="1"/>
  <c r="Z47" i="39"/>
  <c r="Y47" i="39"/>
  <c r="AB46" i="39"/>
  <c r="AA46" i="39"/>
  <c r="AC46" i="39" s="1"/>
  <c r="Z46" i="39"/>
  <c r="Y46" i="39"/>
  <c r="AB45" i="39"/>
  <c r="AA45" i="39"/>
  <c r="AC45" i="39" s="1"/>
  <c r="Z45" i="39"/>
  <c r="Y45" i="39"/>
  <c r="AB44" i="39"/>
  <c r="AA44" i="39"/>
  <c r="AC44" i="39" s="1"/>
  <c r="Z44" i="39"/>
  <c r="Y44" i="39"/>
  <c r="AB43" i="39"/>
  <c r="AA43" i="39"/>
  <c r="AC43" i="39" s="1"/>
  <c r="Z43" i="39"/>
  <c r="Y43" i="39"/>
  <c r="AB42" i="39"/>
  <c r="AA42" i="39"/>
  <c r="AC42" i="39" s="1"/>
  <c r="Z42" i="39"/>
  <c r="Y42" i="39"/>
  <c r="AB41" i="39"/>
  <c r="AA41" i="39"/>
  <c r="AC41" i="39" s="1"/>
  <c r="Z41" i="39"/>
  <c r="Y41" i="39"/>
  <c r="AB40" i="39"/>
  <c r="AA40" i="39"/>
  <c r="AC40" i="39" s="1"/>
  <c r="Z40" i="39"/>
  <c r="Y40" i="39"/>
  <c r="AB39" i="39"/>
  <c r="AA39" i="39"/>
  <c r="AC39" i="39" s="1"/>
  <c r="Z39" i="39"/>
  <c r="Y39" i="39"/>
  <c r="AB38" i="39"/>
  <c r="AA38" i="39"/>
  <c r="AC38" i="39" s="1"/>
  <c r="Z38" i="39"/>
  <c r="Y38" i="39"/>
  <c r="AB37" i="39"/>
  <c r="AA37" i="39"/>
  <c r="AC37" i="39" s="1"/>
  <c r="Z37" i="39"/>
  <c r="Y37" i="39"/>
  <c r="AB36" i="39"/>
  <c r="AA36" i="39"/>
  <c r="AC36" i="39" s="1"/>
  <c r="Z36" i="39"/>
  <c r="Y36" i="39"/>
  <c r="AB35" i="39"/>
  <c r="AA35" i="39"/>
  <c r="AC35" i="39" s="1"/>
  <c r="Z35" i="39"/>
  <c r="Y35" i="39"/>
  <c r="AB34" i="39"/>
  <c r="AA34" i="39"/>
  <c r="AC34" i="39" s="1"/>
  <c r="Z34" i="39"/>
  <c r="Y34" i="39"/>
  <c r="AB33" i="39"/>
  <c r="AA33" i="39"/>
  <c r="AC33" i="39" s="1"/>
  <c r="Z33" i="39"/>
  <c r="Y33" i="39"/>
  <c r="AB32" i="39"/>
  <c r="AA32" i="39"/>
  <c r="AC32" i="39" s="1"/>
  <c r="Z32" i="39"/>
  <c r="Y32" i="39"/>
  <c r="AB31" i="39"/>
  <c r="AA31" i="39"/>
  <c r="AC31" i="39" s="1"/>
  <c r="Z31" i="39"/>
  <c r="Y31" i="39"/>
  <c r="AB30" i="39"/>
  <c r="AA30" i="39"/>
  <c r="AC30" i="39" s="1"/>
  <c r="Z30" i="39"/>
  <c r="Y30" i="39"/>
  <c r="AB29" i="39"/>
  <c r="AA29" i="39"/>
  <c r="AC29" i="39" s="1"/>
  <c r="Z29" i="39"/>
  <c r="Y29" i="39"/>
  <c r="AB28" i="39"/>
  <c r="AA28" i="39"/>
  <c r="AC28" i="39" s="1"/>
  <c r="Z28" i="39"/>
  <c r="Y28" i="39"/>
  <c r="AB27" i="39"/>
  <c r="AA27" i="39"/>
  <c r="AC27" i="39" s="1"/>
  <c r="Z27" i="39"/>
  <c r="Y27" i="39"/>
  <c r="AB26" i="39"/>
  <c r="AA26" i="39"/>
  <c r="AC26" i="39" s="1"/>
  <c r="Z26" i="39"/>
  <c r="Y26" i="39"/>
  <c r="AB25" i="39"/>
  <c r="AA25" i="39"/>
  <c r="AC25" i="39" s="1"/>
  <c r="Z25" i="39"/>
  <c r="Y25" i="39"/>
  <c r="AB24" i="39"/>
  <c r="AA24" i="39"/>
  <c r="AC24" i="39" s="1"/>
  <c r="Z24" i="39"/>
  <c r="Y24" i="39"/>
  <c r="AB23" i="39"/>
  <c r="AA23" i="39"/>
  <c r="AC23" i="39" s="1"/>
  <c r="Z23" i="39"/>
  <c r="Y23" i="39"/>
  <c r="AB22" i="39"/>
  <c r="AA22" i="39"/>
  <c r="AC22" i="39" s="1"/>
  <c r="Z22" i="39"/>
  <c r="Y22" i="39"/>
  <c r="AB21" i="39"/>
  <c r="AA21" i="39"/>
  <c r="AC21" i="39" s="1"/>
  <c r="Z21" i="39"/>
  <c r="Y21" i="39"/>
  <c r="AB20" i="39"/>
  <c r="AA20" i="39"/>
  <c r="AC20" i="39" s="1"/>
  <c r="Z20" i="39"/>
  <c r="Y20" i="39"/>
  <c r="AB19" i="39"/>
  <c r="AA19" i="39"/>
  <c r="AC19" i="39" s="1"/>
  <c r="Z19" i="39"/>
  <c r="Y19" i="39"/>
  <c r="AB18" i="39"/>
  <c r="AA18" i="39"/>
  <c r="AC18" i="39" s="1"/>
  <c r="Z18" i="39"/>
  <c r="Y18" i="39"/>
  <c r="AB17" i="39"/>
  <c r="AA17" i="39"/>
  <c r="AC17" i="39" s="1"/>
  <c r="Z17" i="39"/>
  <c r="Y17" i="39"/>
  <c r="AB16" i="39"/>
  <c r="AA16" i="39"/>
  <c r="AC16" i="39" s="1"/>
  <c r="Z16" i="39"/>
  <c r="Y16" i="39"/>
  <c r="AB15" i="39"/>
  <c r="AA15" i="39"/>
  <c r="AC15" i="39" s="1"/>
  <c r="Z15" i="39"/>
  <c r="Y15" i="39"/>
  <c r="AB14" i="39"/>
  <c r="AA14" i="39"/>
  <c r="AC14" i="39" s="1"/>
  <c r="Z14" i="39"/>
  <c r="Y14" i="39"/>
  <c r="AB13" i="39"/>
  <c r="AA13" i="39"/>
  <c r="AC13" i="39" s="1"/>
  <c r="Z13" i="39"/>
  <c r="Y13" i="39"/>
  <c r="AB12" i="39"/>
  <c r="AA12" i="39"/>
  <c r="AC12" i="39" s="1"/>
  <c r="Z12" i="39"/>
  <c r="Y12" i="39"/>
  <c r="AB11" i="39"/>
  <c r="AA11" i="39"/>
  <c r="AC11" i="39" s="1"/>
  <c r="Z11" i="39"/>
  <c r="Y11" i="39"/>
  <c r="AB10" i="39"/>
  <c r="AA10" i="39"/>
  <c r="AC10" i="39" s="1"/>
  <c r="Z10" i="39"/>
  <c r="Y10" i="39"/>
  <c r="AB9" i="39"/>
  <c r="AA9" i="39"/>
  <c r="AC9" i="39" s="1"/>
  <c r="Z9" i="39"/>
  <c r="Y9" i="39"/>
  <c r="AB8" i="39"/>
  <c r="AA8" i="39"/>
  <c r="AC8" i="39" s="1"/>
  <c r="Z8" i="39"/>
  <c r="Y8" i="39"/>
  <c r="AB7" i="39"/>
  <c r="AA7" i="39"/>
  <c r="AC7" i="39" s="1"/>
  <c r="Z7" i="39"/>
  <c r="Y7" i="39"/>
  <c r="AB6" i="39"/>
  <c r="AA6" i="39"/>
  <c r="AC6" i="39" s="1"/>
  <c r="Z6" i="39"/>
  <c r="Y6" i="39"/>
  <c r="AB5" i="39"/>
  <c r="AA5" i="39"/>
  <c r="AC5" i="39" s="1"/>
  <c r="Z5" i="39"/>
  <c r="Y5" i="39"/>
  <c r="AB4" i="39"/>
  <c r="AA4" i="39"/>
  <c r="AC4" i="39" s="1"/>
  <c r="Z4" i="39"/>
  <c r="Y4" i="39"/>
  <c r="AB3" i="39"/>
  <c r="AA3" i="39"/>
  <c r="AC3" i="39" s="1"/>
  <c r="Z3" i="39"/>
  <c r="Y3" i="39"/>
  <c r="AB2" i="39"/>
  <c r="AA2" i="39"/>
  <c r="AC2" i="39" s="1"/>
  <c r="Z2" i="39"/>
  <c r="Y2" i="39"/>
  <c r="AK1" i="39"/>
  <c r="AG1" i="39" l="1"/>
  <c r="Z3" i="38"/>
  <c r="Z4" i="38"/>
  <c r="Z5" i="38"/>
  <c r="Z6" i="38"/>
  <c r="Z7" i="38"/>
  <c r="Z8" i="38"/>
  <c r="Z9" i="38"/>
  <c r="Z10" i="38"/>
  <c r="Z11" i="38"/>
  <c r="Z12" i="38"/>
  <c r="Z13" i="38"/>
  <c r="Z14" i="38"/>
  <c r="Z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28" i="38"/>
  <c r="Z29" i="38"/>
  <c r="Z30" i="38"/>
  <c r="Z31" i="38"/>
  <c r="Z32" i="38"/>
  <c r="Z33" i="38"/>
  <c r="Z34" i="38"/>
  <c r="Z35" i="38"/>
  <c r="Z36" i="38"/>
  <c r="Z37" i="38"/>
  <c r="Z38" i="38"/>
  <c r="Z39" i="38"/>
  <c r="Z40" i="38"/>
  <c r="Z41" i="38"/>
  <c r="Z42" i="38"/>
  <c r="Z43" i="38"/>
  <c r="Z44" i="38"/>
  <c r="Z45" i="38"/>
  <c r="Z46" i="38"/>
  <c r="Z47" i="38"/>
  <c r="Z48" i="38"/>
  <c r="Z49" i="38"/>
  <c r="Z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" i="38"/>
</calcChain>
</file>

<file path=xl/connections.xml><?xml version="1.0" encoding="utf-8"?>
<connections xmlns="http://schemas.openxmlformats.org/spreadsheetml/2006/main">
  <connection id="1" sourceFile="C:\Cash_BI\Cash_BI.accdb" keepAlive="1" name="Cash_BI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CashFlowType" commandType="3"/>
  </connection>
  <connection id="2" sourceFile="C:\Cash_BI\Cash_BI.accdb" keepAlive="1" name="Cash_BI1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DataType" commandType="3"/>
  </connection>
  <connection id="3" sourceFile="C:\Cash_BI\Cash_BI.accdb" keepAlive="1" name="Cash_BI10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SubItem" commandType="3"/>
  </connection>
  <connection id="4" sourceFile="C:\Cash_BI\Cash_BI.accdb" keepAlive="1" name="Cash_BI11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SubItem_Item" commandType="3"/>
  </connection>
  <connection id="5" sourceFile="C:\Cash_BI\Cash_BI.accdb" keepAlive="1" name="Cash_BI12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SystemState" commandType="3"/>
  </connection>
  <connection id="6" sourceFile="C:\Cash_BI\Cash_BI.accdb" keepAlive="1" name="Cash_BI13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Tranche" commandType="3"/>
  </connection>
  <connection id="7" sourceFile="C:\Cash_BI\Cash_BI.accdb" keepAlive="1" name="Cash_BI2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ERPItem" commandType="3"/>
  </connection>
  <connection id="8" sourceFile="C:\Cash_BI\Cash_BI.accdb" keepAlive="1" name="Cash_BI3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ERPItem_ItemExtra" commandType="3"/>
  </connection>
  <connection id="9" sourceFile="C:\Cash_BI\Cash_BI.accdb" keepAlive="1" name="Cash_BI4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Item" commandType="3"/>
  </connection>
  <connection id="10" sourceFile="C:\Cash_BI\Cash_BI.accdb" keepAlive="1" name="Cash_BI5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ItemExtra" commandType="3"/>
  </connection>
  <connection id="11" sourceFile="C:\Cash_BI\Cash_BI.accdb" keepAlive="1" name="Cash_BI6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ItemExtra_SubItem" commandType="3"/>
  </connection>
  <connection id="12" sourceFile="C:\Cash_BI\Cash_BI.accdb" keepAlive="1" name="Cash_BI7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Plan_Fact" commandType="3"/>
  </connection>
  <connection id="13" sourceFile="C:\Cash_BI\Cash_BI.accdb" keepAlive="1" name="Cash_BI8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ReportPart" commandType="3"/>
  </connection>
  <connection id="14" sourceFile="C:\Cash_BI\Cash_BI.accdb" keepAlive="1" name="Cash_BI9" type="5" refreshedVersion="5" background="1" saveData="1">
    <dbPr connection="Provider=Microsoft.ACE.OLEDB.12.0;User ID=Admin;Data Source=C:\Cash_BI\Cash_BI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fSource" commandType="3"/>
  </connection>
  <connection id="15" name="Запрос из MS Access Database" type="1" refreshedVersion="5" background="1" saveData="1">
    <dbPr connection="DSN=MS Access Database;DBQ=C:\Cash_BI\Cash_BI.accdb;DefaultDir=C:\Cash_BI;DriverId=25;FIL=MS Access;MaxBufferSize=2048;PageTimeout=5;" command="SELECT refFundsCenter.FundsCenter, refFundsCenter.FundsCenterName_x000d__x000a_FROM `C:\Cash_BI\Cash_BI.accdb`.refFundsCenter refFundsCenter_x000d__x000a_ORDER BY refFundsCenter.FundsCenter"/>
  </connection>
</connections>
</file>

<file path=xl/sharedStrings.xml><?xml version="1.0" encoding="utf-8"?>
<sst xmlns="http://schemas.openxmlformats.org/spreadsheetml/2006/main" count="15397" uniqueCount="1238">
  <si>
    <t>средства ПАО «Газпром»</t>
  </si>
  <si>
    <t>д</t>
  </si>
  <si>
    <t>р</t>
  </si>
  <si>
    <t>средства ДООО</t>
  </si>
  <si>
    <t>10. Услуги транспорта</t>
  </si>
  <si>
    <t>11. Услуги связи</t>
  </si>
  <si>
    <t>12. Страхование</t>
  </si>
  <si>
    <t>13. Прочие расходы</t>
  </si>
  <si>
    <t>14. Капитальное строительство</t>
  </si>
  <si>
    <t>01. Оплата труда</t>
  </si>
  <si>
    <t>04. Капремонт внешними подрядчиками</t>
  </si>
  <si>
    <t>05. Арендная плата</t>
  </si>
  <si>
    <t>06. Теплоэнергоснабжение</t>
  </si>
  <si>
    <t>07. Газ на собственные нужды</t>
  </si>
  <si>
    <t>08. Диагностика газопровода</t>
  </si>
  <si>
    <t>09. МТР на технологические нужды и капремонт</t>
  </si>
  <si>
    <t>ПБ</t>
  </si>
  <si>
    <t>БДЗ</t>
  </si>
  <si>
    <t>15. Изъятие прибыли</t>
  </si>
  <si>
    <t>ОСТАТОК ТТР</t>
  </si>
  <si>
    <t>X</t>
  </si>
  <si>
    <t>п</t>
  </si>
  <si>
    <t>ф</t>
  </si>
  <si>
    <t>ЗАДОЛЖЕННОСТЬ</t>
  </si>
  <si>
    <t>АВАНСЫ</t>
  </si>
  <si>
    <t>03.1. НДС</t>
  </si>
  <si>
    <t>03.2. Налог на прибыль</t>
  </si>
  <si>
    <t>03.3. Государственная пошлина</t>
  </si>
  <si>
    <t>03.4. Водный налог</t>
  </si>
  <si>
    <t>03.5. Земельный налог</t>
  </si>
  <si>
    <t>03.6. Транспортный налог</t>
  </si>
  <si>
    <t>03.8. Прочие налоги</t>
  </si>
  <si>
    <t>03.7. Налог на имущество</t>
  </si>
  <si>
    <t>04.2. Прочие подрядчики</t>
  </si>
  <si>
    <t>09.1. Прямые поставщики</t>
  </si>
  <si>
    <t>09.2. ЖУВ</t>
  </si>
  <si>
    <t>09.3. Газпромтранс</t>
  </si>
  <si>
    <t>10.1. Услуги автотранспорта</t>
  </si>
  <si>
    <t>10.2. Услуги авиатранспорта</t>
  </si>
  <si>
    <t>10.3. Услуги ж/д транспорта</t>
  </si>
  <si>
    <t>13.1. ТО и ТР ГЦР</t>
  </si>
  <si>
    <t>13.2. ТО и ТР прочие контрагенты</t>
  </si>
  <si>
    <t>13.3. РКО</t>
  </si>
  <si>
    <t>13.4. Командировки</t>
  </si>
  <si>
    <t>13.5. Повышение квалификации</t>
  </si>
  <si>
    <t>13.8. Другие</t>
  </si>
  <si>
    <t>13.9. Благотворительная деятельность</t>
  </si>
  <si>
    <t>16. Инвестиционные договоры</t>
  </si>
  <si>
    <t>17. Агентские договоры</t>
  </si>
  <si>
    <t>18. АВР</t>
  </si>
  <si>
    <t>19. КГН</t>
  </si>
  <si>
    <t>05.1. Аренда ОС</t>
  </si>
  <si>
    <t>05.2. Прочая аренда</t>
  </si>
  <si>
    <t>03. Налоги</t>
  </si>
  <si>
    <t>02. Взносы в гос. внебюдж. фонды</t>
  </si>
  <si>
    <t>_1. За услуги по транспортировке газа</t>
  </si>
  <si>
    <t>_2. Прочая выручка и поступления</t>
  </si>
  <si>
    <t>ЗАГРУЖЕН</t>
  </si>
  <si>
    <t>ВКЛ В СХЕМУ</t>
  </si>
  <si>
    <t>ИСПОЛНЕН</t>
  </si>
  <si>
    <t>ОТКЛОНЕН</t>
  </si>
  <si>
    <t>Методика ввода</t>
  </si>
  <si>
    <t>Ответственный</t>
  </si>
  <si>
    <t>N</t>
  </si>
  <si>
    <t>план</t>
  </si>
  <si>
    <t>Бондарева Е.</t>
  </si>
  <si>
    <t>загрузка в ПУР АСБУ</t>
  </si>
  <si>
    <t>включение в схему ПУР АСБУ</t>
  </si>
  <si>
    <t>индикатор оплаты</t>
  </si>
  <si>
    <t>расход с расчетного счета</t>
  </si>
  <si>
    <t>остатки на начало</t>
  </si>
  <si>
    <t>Аксенова А.</t>
  </si>
  <si>
    <t>Долгих С.</t>
  </si>
  <si>
    <t>Ответственные по статьям</t>
  </si>
  <si>
    <t>по загруженным ЗНФПП проставить статус ЗАГРУЖЕН</t>
  </si>
  <si>
    <t>добавить данные с индикатором р/с, расход с р/с и знаком "минус"</t>
  </si>
  <si>
    <t>1) выбрать свои данные по загрузке (4), 2) уменьшить на суммы схем; 3) новым строкам поставить суммы схем и статус ВКЛ В СХЕМУ; 4) если частично исключен из схемы - делаем аналогичные шаги по разделению строк и возврату статуса ЗАГРУЖЕН</t>
  </si>
  <si>
    <t>остаток ТТР</t>
  </si>
  <si>
    <t>выбирать соответствующий вид данных</t>
  </si>
  <si>
    <t>где возможно - выбираем подстатью, где нет - статью</t>
  </si>
  <si>
    <t>Вид</t>
  </si>
  <si>
    <t>доход</t>
  </si>
  <si>
    <t>ОСТ НА НАЧАЛО</t>
  </si>
  <si>
    <t>НЕОТФ</t>
  </si>
  <si>
    <t>12.1. Обязательное страхование от несчастных случаев</t>
  </si>
  <si>
    <t>12.2. Иные виды страхования</t>
  </si>
  <si>
    <t>_3. Агентские договоры</t>
  </si>
  <si>
    <t>_4. Финансирование инвестиционных договоров ПАО «Газпром»</t>
  </si>
  <si>
    <t>_2.1. Реализация непрофильных и неэффективных активов</t>
  </si>
  <si>
    <t>_2.2. Прочая выручка</t>
  </si>
  <si>
    <t>_5. Прочие доходы и поступления</t>
  </si>
  <si>
    <t>20. Выдача займов по договору № 1 (в кэш-пул ПАО «Газпром»)</t>
  </si>
  <si>
    <t>задолженность</t>
  </si>
  <si>
    <t>авансы</t>
  </si>
  <si>
    <t>вести отдельно от постоплаты, проставляя индикатор аванса</t>
  </si>
  <si>
    <t>вводить доход по ТТР с доходной подстатьей (раздел: ПБ-д); сумма по месяцу должна совпасть с суммой проведенных схемных платежей (включая получение финансирования на р/с)</t>
  </si>
  <si>
    <t>вводить расход с индикатором р/с и видом ОСТ НА НАЧАЛО, расходной подстатьей</t>
  </si>
  <si>
    <t>в день обработки банковской выписки: проверить все схемы по суммам, статьям и датам, проставить статус ИСПОЛНЕН (при необходимости, разделить строки по датам)</t>
  </si>
  <si>
    <t>РАСХОД</t>
  </si>
  <si>
    <t>ОБНУЛЕНИЕ</t>
  </si>
  <si>
    <t>КЭШ-ПУЛ</t>
  </si>
  <si>
    <t>ДВ ОБ</t>
  </si>
  <si>
    <t>К ДВ ОБ</t>
  </si>
  <si>
    <t>04.1. КР.ГПИнвест</t>
  </si>
  <si>
    <t>09.4. МТР.ГПИнвест</t>
  </si>
  <si>
    <t>09.5. МТР.ГЦР</t>
  </si>
  <si>
    <t>ПК</t>
  </si>
  <si>
    <t>СКОЛ ПК</t>
  </si>
  <si>
    <t>1.</t>
  </si>
  <si>
    <t>1.01.</t>
  </si>
  <si>
    <t>1.01.1.</t>
  </si>
  <si>
    <t>1.01.2.</t>
  </si>
  <si>
    <t>1.02.</t>
  </si>
  <si>
    <t>1.02.1.</t>
  </si>
  <si>
    <t>1.02.2.</t>
  </si>
  <si>
    <t>1.03.</t>
  </si>
  <si>
    <t>1.04.</t>
  </si>
  <si>
    <t>1.04.1.</t>
  </si>
  <si>
    <t>1.04.2.</t>
  </si>
  <si>
    <t>1.05.</t>
  </si>
  <si>
    <t>1.05.1.</t>
  </si>
  <si>
    <t>1.05.2.</t>
  </si>
  <si>
    <t>1.05.3.</t>
  </si>
  <si>
    <t>1.06.</t>
  </si>
  <si>
    <t>1.06.1.</t>
  </si>
  <si>
    <t>1.06.2.</t>
  </si>
  <si>
    <t>1.06.3.</t>
  </si>
  <si>
    <t>1.06.4.</t>
  </si>
  <si>
    <t>1.06.5.</t>
  </si>
  <si>
    <t>1.06.6.</t>
  </si>
  <si>
    <t>1.06.7.</t>
  </si>
  <si>
    <t>1.06.7.1</t>
  </si>
  <si>
    <t>1.06.7.2</t>
  </si>
  <si>
    <t>1.07.</t>
  </si>
  <si>
    <t>1.08.</t>
  </si>
  <si>
    <t>1.08.1.</t>
  </si>
  <si>
    <t>1.08.2.</t>
  </si>
  <si>
    <t>1.09.</t>
  </si>
  <si>
    <t>1.09.1.</t>
  </si>
  <si>
    <t>1.09.2.</t>
  </si>
  <si>
    <t>1.10.</t>
  </si>
  <si>
    <t>1.10.1.</t>
  </si>
  <si>
    <t>1.10.1.1.</t>
  </si>
  <si>
    <t>1.10.1.2.</t>
  </si>
  <si>
    <t>1.10.1.3.</t>
  </si>
  <si>
    <t>1.10.1.4.</t>
  </si>
  <si>
    <t>1.10.2.</t>
  </si>
  <si>
    <t>1.10.3.</t>
  </si>
  <si>
    <t>1.10.4.</t>
  </si>
  <si>
    <t>1.10.5.</t>
  </si>
  <si>
    <t>1.10.6.</t>
  </si>
  <si>
    <t>1.10.7.</t>
  </si>
  <si>
    <t>1.11.</t>
  </si>
  <si>
    <t>1.12.</t>
  </si>
  <si>
    <t>1.12.1.</t>
  </si>
  <si>
    <t>1.12.2.</t>
  </si>
  <si>
    <t>1.12.3.</t>
  </si>
  <si>
    <t>1.12.4.</t>
  </si>
  <si>
    <t>1.12.5.</t>
  </si>
  <si>
    <t>1.12.6.</t>
  </si>
  <si>
    <t>1.12.7.</t>
  </si>
  <si>
    <t>1.12.8.</t>
  </si>
  <si>
    <t>1.12.9.</t>
  </si>
  <si>
    <t>1.12.10.</t>
  </si>
  <si>
    <t>1.12.11.</t>
  </si>
  <si>
    <t>2.</t>
  </si>
  <si>
    <t>2.01.</t>
  </si>
  <si>
    <t>2.01.1.</t>
  </si>
  <si>
    <t>2.01.2.</t>
  </si>
  <si>
    <t>2.01.3.</t>
  </si>
  <si>
    <t>2.01.4.</t>
  </si>
  <si>
    <t>2.01.4.1.</t>
  </si>
  <si>
    <t>2.01.4.2.</t>
  </si>
  <si>
    <t>2.02.</t>
  </si>
  <si>
    <t>2.03.</t>
  </si>
  <si>
    <t>2.03.1.</t>
  </si>
  <si>
    <t>2.03.1.1</t>
  </si>
  <si>
    <t>2.03.1.2</t>
  </si>
  <si>
    <t>2.03.1.3</t>
  </si>
  <si>
    <t>2.03.1.4</t>
  </si>
  <si>
    <t>2.03.1.5</t>
  </si>
  <si>
    <t>2.03.1.6</t>
  </si>
  <si>
    <t>2.03.1.7</t>
  </si>
  <si>
    <t>2.03.1.8</t>
  </si>
  <si>
    <t>2.03.1.9</t>
  </si>
  <si>
    <t>2.03.1.10</t>
  </si>
  <si>
    <t>2.03.1.11</t>
  </si>
  <si>
    <t>2.03.2.</t>
  </si>
  <si>
    <t>2.03.2.01</t>
  </si>
  <si>
    <t>2.03.2.02</t>
  </si>
  <si>
    <t>2.03.2.03</t>
  </si>
  <si>
    <t>2.03.2.04</t>
  </si>
  <si>
    <t>2.03.2.05</t>
  </si>
  <si>
    <t>2.03.2.06</t>
  </si>
  <si>
    <t>2.03.2.07</t>
  </si>
  <si>
    <t>2.03.2.08</t>
  </si>
  <si>
    <t>2.03.2.09</t>
  </si>
  <si>
    <t>2.04.</t>
  </si>
  <si>
    <t>2.04.1.</t>
  </si>
  <si>
    <t>2.04.2.</t>
  </si>
  <si>
    <t>2.04.3.</t>
  </si>
  <si>
    <t>2.05.</t>
  </si>
  <si>
    <t>2.05.1.</t>
  </si>
  <si>
    <t>2.05.2.</t>
  </si>
  <si>
    <t>2.06.</t>
  </si>
  <si>
    <t>2.06.1.</t>
  </si>
  <si>
    <t>2.06.2.</t>
  </si>
  <si>
    <t>2.06.3.</t>
  </si>
  <si>
    <t>2.07.</t>
  </si>
  <si>
    <t>2.07.1.</t>
  </si>
  <si>
    <t>2.07.2.</t>
  </si>
  <si>
    <t>2.08.</t>
  </si>
  <si>
    <t>2.09.</t>
  </si>
  <si>
    <t>2.09.1.</t>
  </si>
  <si>
    <t>2.09.1.1</t>
  </si>
  <si>
    <t>2.09.1.2</t>
  </si>
  <si>
    <t>2.09.1.3</t>
  </si>
  <si>
    <t>2.09.1.4</t>
  </si>
  <si>
    <t>2.09.2.</t>
  </si>
  <si>
    <t>2.09.3.</t>
  </si>
  <si>
    <t>2.10</t>
  </si>
  <si>
    <t>2.11.</t>
  </si>
  <si>
    <t>2.11.1.</t>
  </si>
  <si>
    <t>2.11.2.</t>
  </si>
  <si>
    <t>2.11.3.</t>
  </si>
  <si>
    <t>2.11.4.</t>
  </si>
  <si>
    <t>2.12.</t>
  </si>
  <si>
    <t>2.13.</t>
  </si>
  <si>
    <t>2.14.</t>
  </si>
  <si>
    <t>2.14.01</t>
  </si>
  <si>
    <t>2.14.02</t>
  </si>
  <si>
    <t>2.14.03</t>
  </si>
  <si>
    <t>2.14.04</t>
  </si>
  <si>
    <t>2.14.05</t>
  </si>
  <si>
    <t>2.14.06</t>
  </si>
  <si>
    <t>2.14.07</t>
  </si>
  <si>
    <t>2.14.08</t>
  </si>
  <si>
    <t>2.14.09</t>
  </si>
  <si>
    <t>2.14.10</t>
  </si>
  <si>
    <t>2.14.11</t>
  </si>
  <si>
    <t>2.14.12</t>
  </si>
  <si>
    <t>2.14.13</t>
  </si>
  <si>
    <t>2.14.14</t>
  </si>
  <si>
    <t>2.15.</t>
  </si>
  <si>
    <t>2.15.01</t>
  </si>
  <si>
    <t>2.15.02</t>
  </si>
  <si>
    <t>2.15.03</t>
  </si>
  <si>
    <t>2.15.04</t>
  </si>
  <si>
    <t>2.15.05</t>
  </si>
  <si>
    <t>2.15.06</t>
  </si>
  <si>
    <t>2.15.07</t>
  </si>
  <si>
    <t>2.15.08</t>
  </si>
  <si>
    <t>2.15.09</t>
  </si>
  <si>
    <t>2.15.10</t>
  </si>
  <si>
    <t>2.15.11</t>
  </si>
  <si>
    <t>2.15.12</t>
  </si>
  <si>
    <t>2.15.13</t>
  </si>
  <si>
    <t>2.15.14</t>
  </si>
  <si>
    <t>2.15.15</t>
  </si>
  <si>
    <t>2.15.16</t>
  </si>
  <si>
    <t>2.15.16.01</t>
  </si>
  <si>
    <t>2.15.16.02</t>
  </si>
  <si>
    <t>2.15.16.03</t>
  </si>
  <si>
    <t>2.15.16.04</t>
  </si>
  <si>
    <t>2.15.16.05</t>
  </si>
  <si>
    <t>2.15.16.06</t>
  </si>
  <si>
    <t>2.15.16.07</t>
  </si>
  <si>
    <t>2.15.16.08</t>
  </si>
  <si>
    <t>2.15.16.09</t>
  </si>
  <si>
    <t>2.15.16.10</t>
  </si>
  <si>
    <t>2.15.16.11</t>
  </si>
  <si>
    <t>2.15.16.12</t>
  </si>
  <si>
    <t>2.15.16.13</t>
  </si>
  <si>
    <t>2.15.16.14</t>
  </si>
  <si>
    <t>2.15.16.15</t>
  </si>
  <si>
    <t>2.15.16.16</t>
  </si>
  <si>
    <t>2.15.16.17</t>
  </si>
  <si>
    <t>2.15.16.18</t>
  </si>
  <si>
    <t>2.15.16.19</t>
  </si>
  <si>
    <t>2.16.</t>
  </si>
  <si>
    <t>2.16.1</t>
  </si>
  <si>
    <t>2.16.1.1</t>
  </si>
  <si>
    <t>2.16.1.2</t>
  </si>
  <si>
    <t>2.16.1.2.1</t>
  </si>
  <si>
    <t>2.16.1.2.2</t>
  </si>
  <si>
    <t>2.16.1.3</t>
  </si>
  <si>
    <t>2.16.1.3.1</t>
  </si>
  <si>
    <t>2.16.1.3.2</t>
  </si>
  <si>
    <t>2.16.1.4</t>
  </si>
  <si>
    <t>2.16.1.5</t>
  </si>
  <si>
    <t>2.16.1.5.1</t>
  </si>
  <si>
    <t>2.16.1.5.2</t>
  </si>
  <si>
    <t>2.16.1.5.3</t>
  </si>
  <si>
    <t>2.16.1.5.4</t>
  </si>
  <si>
    <t>2.16.1.5.5</t>
  </si>
  <si>
    <t>2.16.1.5.6</t>
  </si>
  <si>
    <t>2.16.1.5.7</t>
  </si>
  <si>
    <t>2.16.2</t>
  </si>
  <si>
    <t>2.16.3</t>
  </si>
  <si>
    <t>2.17.</t>
  </si>
  <si>
    <t>2.17.1</t>
  </si>
  <si>
    <t>2.17.2</t>
  </si>
  <si>
    <t>2.17.3</t>
  </si>
  <si>
    <t>2.18.</t>
  </si>
  <si>
    <t>2.21.</t>
  </si>
  <si>
    <t>2.22.</t>
  </si>
  <si>
    <t>2.23.</t>
  </si>
  <si>
    <t>3.</t>
  </si>
  <si>
    <t>3.1.</t>
  </si>
  <si>
    <t>3.2.</t>
  </si>
  <si>
    <t>3.2.1.</t>
  </si>
  <si>
    <t>3.2.2.</t>
  </si>
  <si>
    <t>3.3.</t>
  </si>
  <si>
    <t>3.3.1.</t>
  </si>
  <si>
    <t>3.3.2.</t>
  </si>
  <si>
    <t>3.4.</t>
  </si>
  <si>
    <t>3.5.</t>
  </si>
  <si>
    <t>3.5.1.</t>
  </si>
  <si>
    <t>3.5.2.</t>
  </si>
  <si>
    <t>3.5.3.</t>
  </si>
  <si>
    <t>3.5.4.</t>
  </si>
  <si>
    <t>3.5.5.</t>
  </si>
  <si>
    <t>3.5.6.</t>
  </si>
  <si>
    <t>3.5.7.</t>
  </si>
  <si>
    <t>4.</t>
  </si>
  <si>
    <t>5.</t>
  </si>
  <si>
    <t>5.1.</t>
  </si>
  <si>
    <t>5.2.</t>
  </si>
  <si>
    <t>5.3.</t>
  </si>
  <si>
    <t>5.3.1.</t>
  </si>
  <si>
    <t>5.3.2.</t>
  </si>
  <si>
    <t>5.3.3.</t>
  </si>
  <si>
    <t>6.</t>
  </si>
  <si>
    <t>6.1.</t>
  </si>
  <si>
    <t>6.2.</t>
  </si>
  <si>
    <t>6.3.</t>
  </si>
  <si>
    <t>7</t>
  </si>
  <si>
    <t>7.01</t>
  </si>
  <si>
    <t>7.02</t>
  </si>
  <si>
    <t>7.03</t>
  </si>
  <si>
    <t>7.04</t>
  </si>
  <si>
    <t>7.05</t>
  </si>
  <si>
    <t>7.06</t>
  </si>
  <si>
    <t>7.07</t>
  </si>
  <si>
    <t>7.08</t>
  </si>
  <si>
    <t>7.09</t>
  </si>
  <si>
    <t>7.10</t>
  </si>
  <si>
    <t>7.11</t>
  </si>
  <si>
    <t>7.12.</t>
  </si>
  <si>
    <t>8.01</t>
  </si>
  <si>
    <t>8.02</t>
  </si>
  <si>
    <t>8.03</t>
  </si>
  <si>
    <t>8.04</t>
  </si>
  <si>
    <t>8.05</t>
  </si>
  <si>
    <t>8.06</t>
  </si>
  <si>
    <t>8.07</t>
  </si>
  <si>
    <t>8.08</t>
  </si>
  <si>
    <t>8.09</t>
  </si>
  <si>
    <t>8.10</t>
  </si>
  <si>
    <t>8.11</t>
  </si>
  <si>
    <t>8.12</t>
  </si>
  <si>
    <t>8.13</t>
  </si>
  <si>
    <t>8.14</t>
  </si>
  <si>
    <t>8.15</t>
  </si>
  <si>
    <t>8.16</t>
  </si>
  <si>
    <t>8.17</t>
  </si>
  <si>
    <t>8.18</t>
  </si>
  <si>
    <t>8.19</t>
  </si>
  <si>
    <t>8.20</t>
  </si>
  <si>
    <t>8.21</t>
  </si>
  <si>
    <t>8.22</t>
  </si>
  <si>
    <t>8.23</t>
  </si>
  <si>
    <t>2Z00000000</t>
  </si>
  <si>
    <t xml:space="preserve">  9.1</t>
  </si>
  <si>
    <t>2Z10000000</t>
  </si>
  <si>
    <t xml:space="preserve">    9.1.1</t>
  </si>
  <si>
    <t>2Z11000000</t>
  </si>
  <si>
    <t xml:space="preserve">  9.2</t>
  </si>
  <si>
    <t>2Z20000000</t>
  </si>
  <si>
    <t xml:space="preserve">    9.2.2</t>
  </si>
  <si>
    <t>2Z21000000</t>
  </si>
  <si>
    <t>210VGF0000</t>
  </si>
  <si>
    <t>211VGF0000</t>
  </si>
  <si>
    <t>220VGF0000</t>
  </si>
  <si>
    <t>221VGF0000</t>
  </si>
  <si>
    <t>1.01.00.00.00.00</t>
  </si>
  <si>
    <t>1.02.00.00.00.00</t>
  </si>
  <si>
    <t>1.02.01.00.00.00</t>
  </si>
  <si>
    <t>1.02.02.00.00.00</t>
  </si>
  <si>
    <t>1.02.03.00.00.00</t>
  </si>
  <si>
    <t>1.02.04.00.00.00</t>
  </si>
  <si>
    <t>1.02.05.00.00.00</t>
  </si>
  <si>
    <t>1.02.06.00.00.00</t>
  </si>
  <si>
    <t>1.02.07.00.00.00</t>
  </si>
  <si>
    <t>1.02.07.01.00.00</t>
  </si>
  <si>
    <t>1.02.07.02.00.00</t>
  </si>
  <si>
    <t>1.02.09.00.00.00</t>
  </si>
  <si>
    <t>1.02.10.00.00.00</t>
  </si>
  <si>
    <t>1.02.11.00.00.00</t>
  </si>
  <si>
    <t>1.02.12.00.00.00</t>
  </si>
  <si>
    <t>1.02.13.00.00.00</t>
  </si>
  <si>
    <t>1.02.14.00.00.00</t>
  </si>
  <si>
    <t>1.02.15.00.00.00</t>
  </si>
  <si>
    <t>1.02.16.00.00.00</t>
  </si>
  <si>
    <t>1.02.17.00.00.00</t>
  </si>
  <si>
    <t>1.02.18.00.00.00</t>
  </si>
  <si>
    <t>1.03.00.00.00.00</t>
  </si>
  <si>
    <t>1.03.01.00.00.00</t>
  </si>
  <si>
    <t>1.03.02.00.00.00</t>
  </si>
  <si>
    <t>1.03.03.00.00.00</t>
  </si>
  <si>
    <t>1.03.04.00.00.00</t>
  </si>
  <si>
    <t>1.03.05.00.00.00</t>
  </si>
  <si>
    <t>1.03.06.00.00.00</t>
  </si>
  <si>
    <t>1.03.07.00.00.00</t>
  </si>
  <si>
    <t>1.03.08.00.00.00</t>
  </si>
  <si>
    <t>1.03.09.00.00.00</t>
  </si>
  <si>
    <t>1.04.00.00.00.00</t>
  </si>
  <si>
    <t>1.05.00.00.00.00</t>
  </si>
  <si>
    <t>1.05.01.00.00.00</t>
  </si>
  <si>
    <t>1.05.02.00.00.00</t>
  </si>
  <si>
    <t>1.06.00.00.00.00</t>
  </si>
  <si>
    <t>1.06.01.00.00.00</t>
  </si>
  <si>
    <t>1.06.02.00.00.00</t>
  </si>
  <si>
    <t>1.07.00.00.00.00</t>
  </si>
  <si>
    <t>1.08.00.00.00.00</t>
  </si>
  <si>
    <t>1.09.00.00.00.00</t>
  </si>
  <si>
    <t>1.10.00.00.00.00</t>
  </si>
  <si>
    <t>2.01.00.00.00.00</t>
  </si>
  <si>
    <t>2.01.01.01.00.00</t>
  </si>
  <si>
    <t>2.01.02.00.00.00</t>
  </si>
  <si>
    <t>2.01.04.00.00.00</t>
  </si>
  <si>
    <t>2.01.05.00.00.00</t>
  </si>
  <si>
    <t>2.01.05.01.00.00</t>
  </si>
  <si>
    <t>2.01.05.02.00.00</t>
  </si>
  <si>
    <t>2.02.00.00.00.00</t>
  </si>
  <si>
    <t>2.03.00.00.00.00</t>
  </si>
  <si>
    <t>2.03.01.00.00.00</t>
  </si>
  <si>
    <t>2.03.01.01.00.00</t>
  </si>
  <si>
    <t>2.03.01.02.00.00</t>
  </si>
  <si>
    <t>2.03.01.03.00.00</t>
  </si>
  <si>
    <t>2.03.01.04.00.00</t>
  </si>
  <si>
    <t>2.03.01.05.00.00</t>
  </si>
  <si>
    <t>2.03.01.06.00.00</t>
  </si>
  <si>
    <t>2.03.01.07.00.00</t>
  </si>
  <si>
    <t>2.03.01.08.00.00</t>
  </si>
  <si>
    <t>2.03.01.09.00.00</t>
  </si>
  <si>
    <t>2.03.01.10.00.00</t>
  </si>
  <si>
    <t>2.03.02.00.00.00</t>
  </si>
  <si>
    <t>2.03.02.01.00.00</t>
  </si>
  <si>
    <t>2.03.02.02.00.00</t>
  </si>
  <si>
    <t>2.03.02.03.00.00</t>
  </si>
  <si>
    <t>2.03.02.04.00.00</t>
  </si>
  <si>
    <t>2.03.02.05.00.00</t>
  </si>
  <si>
    <t>2.03.02.06.00.00</t>
  </si>
  <si>
    <t>2.03.02.07.00.00</t>
  </si>
  <si>
    <t>2.03.02.08.00.00</t>
  </si>
  <si>
    <t>2.03.02.09.00.00</t>
  </si>
  <si>
    <t>2.04.00.00.00.00</t>
  </si>
  <si>
    <t>2.04.01.00.00.00</t>
  </si>
  <si>
    <t>2.04.02.00.00.00</t>
  </si>
  <si>
    <t>2.04.03.00.00.00</t>
  </si>
  <si>
    <t>2.05.00.00.00.00</t>
  </si>
  <si>
    <t>2.05.01.00.00.00</t>
  </si>
  <si>
    <t>2.05.02.00.00.00</t>
  </si>
  <si>
    <t>2.06.00.00.00.00</t>
  </si>
  <si>
    <t>2.06.01.00.00.00</t>
  </si>
  <si>
    <t>2.06.02.00.00.00</t>
  </si>
  <si>
    <t>2.06.03.00.00.00</t>
  </si>
  <si>
    <t>2.07.00.00.00.00</t>
  </si>
  <si>
    <t>2.07.10.00.00.00</t>
  </si>
  <si>
    <t>2.07.10.01.00.00</t>
  </si>
  <si>
    <t>2.08.00.00.00.00</t>
  </si>
  <si>
    <t>2.09.00.00.00.00</t>
  </si>
  <si>
    <t>2.09.02.00.00.00</t>
  </si>
  <si>
    <t>2.09.02.01.00.00</t>
  </si>
  <si>
    <t>2.09.02.02.00.00</t>
  </si>
  <si>
    <t>2.09.02.03.00.00</t>
  </si>
  <si>
    <t>2.09.02.04.00.00</t>
  </si>
  <si>
    <t>2.09.02.05.00.00</t>
  </si>
  <si>
    <t>2.09.03.00.00.00</t>
  </si>
  <si>
    <t>2.10.00.00.00.00</t>
  </si>
  <si>
    <t>2.11.00.00.00.00</t>
  </si>
  <si>
    <t>2.11.01.00.00.00</t>
  </si>
  <si>
    <t>2.11.02.00.00.00</t>
  </si>
  <si>
    <t>2.11.03.00.00.00</t>
  </si>
  <si>
    <t>2.11.04.00.00.00</t>
  </si>
  <si>
    <t>2.12.00.00.00.00</t>
  </si>
  <si>
    <t>2.13.01.00.00.00</t>
  </si>
  <si>
    <t>2.14.00.00.00.00</t>
  </si>
  <si>
    <t>2.14.01.00.00.00</t>
  </si>
  <si>
    <t>2.14.02.01.00.00</t>
  </si>
  <si>
    <t>2.14.02.02.00.00</t>
  </si>
  <si>
    <t>2.14.03.00.00.00</t>
  </si>
  <si>
    <t>2.14.03.01.00.00</t>
  </si>
  <si>
    <t>2.14.03.02.00.00</t>
  </si>
  <si>
    <t>2.14.03.03.00.00</t>
  </si>
  <si>
    <t>2.14.03.04.00.00</t>
  </si>
  <si>
    <t>2.14.03.05.00.00</t>
  </si>
  <si>
    <t>2.14.03.06.00.00</t>
  </si>
  <si>
    <t>2.14.03.07.00.00</t>
  </si>
  <si>
    <t>2.14.03.08.00.00</t>
  </si>
  <si>
    <t>2.15.00.00.00.00</t>
  </si>
  <si>
    <t>2.15.01.01.00.00</t>
  </si>
  <si>
    <t>2.15.01.02.00.00</t>
  </si>
  <si>
    <t>2.15.01.03.00.00</t>
  </si>
  <si>
    <t>2.15.01.04.00.00</t>
  </si>
  <si>
    <t>2.15.01.05.00.00</t>
  </si>
  <si>
    <t>2.15.01.05.01.00</t>
  </si>
  <si>
    <t>2.15.01.05.02.00</t>
  </si>
  <si>
    <t>2.15.01.06.00.00</t>
  </si>
  <si>
    <t>2.15.01.07.00.00</t>
  </si>
  <si>
    <t>2.15.01.08.00.00</t>
  </si>
  <si>
    <t>2.15.01.09.00.00</t>
  </si>
  <si>
    <t>2.15.01.10.00.00</t>
  </si>
  <si>
    <t>2.15.01.11.00.00</t>
  </si>
  <si>
    <t>2.15.01.11.01.00</t>
  </si>
  <si>
    <t>2.15.01.11.02.00</t>
  </si>
  <si>
    <t>2.15.01.12.00.00</t>
  </si>
  <si>
    <t>2.15.01.13.00.00</t>
  </si>
  <si>
    <t>2.15.01.14.00.00</t>
  </si>
  <si>
    <t>2.15.01.15.00.00</t>
  </si>
  <si>
    <t>2.15.01.16.00.00</t>
  </si>
  <si>
    <t>2.15.01.17.00.00</t>
  </si>
  <si>
    <t>2.15.01.18.00.00</t>
  </si>
  <si>
    <t>2.15.02.00.00.00</t>
  </si>
  <si>
    <t>2.15.03.00.00.00</t>
  </si>
  <si>
    <t>2.15.04.00.00.00</t>
  </si>
  <si>
    <t>2.15.05.00.00.00</t>
  </si>
  <si>
    <t>2.15.06.00.00.00</t>
  </si>
  <si>
    <t>2.15.07.00.00.00</t>
  </si>
  <si>
    <t>2.15.08.00.00.00</t>
  </si>
  <si>
    <t>2.15.08.01.00.00</t>
  </si>
  <si>
    <t>2.15.08.02.00.00</t>
  </si>
  <si>
    <t>2.15.08.03.00.00</t>
  </si>
  <si>
    <t>2.15.08.04.00.00</t>
  </si>
  <si>
    <t>2.15.08.05.00.00</t>
  </si>
  <si>
    <t>2.15.08.06.00.00</t>
  </si>
  <si>
    <t>2.15.08.07.00.00</t>
  </si>
  <si>
    <t>2.15.08.08.00.00</t>
  </si>
  <si>
    <t>2.15.08.09.00.00</t>
  </si>
  <si>
    <t>2.15.08.10.00.00</t>
  </si>
  <si>
    <t>2.15.08.11.00.00</t>
  </si>
  <si>
    <t>2.15.08.12.00.00</t>
  </si>
  <si>
    <t>2.15.08.13.00.00</t>
  </si>
  <si>
    <t>2.15.08.14.00.00</t>
  </si>
  <si>
    <t>2.15.08.16.00.00</t>
  </si>
  <si>
    <t>2.15.08.17.00.00</t>
  </si>
  <si>
    <t>2.16.00.00.00.00</t>
  </si>
  <si>
    <t>2.16.01.00.00.00</t>
  </si>
  <si>
    <t>2.16.02.00.00.00</t>
  </si>
  <si>
    <t>2.16.03.00.00.00</t>
  </si>
  <si>
    <t>2.16.04.00.00.00</t>
  </si>
  <si>
    <t>2.16.05.00.00.00</t>
  </si>
  <si>
    <t>2.16.05.01.00.00</t>
  </si>
  <si>
    <t>2.16.06.00.00.00</t>
  </si>
  <si>
    <t>2.16.06.01.00.00</t>
  </si>
  <si>
    <t>2.16.06.02.00.00</t>
  </si>
  <si>
    <t>2.16.07.00.00.00</t>
  </si>
  <si>
    <t>2.16.07.01.00.00</t>
  </si>
  <si>
    <t>2.16.07.02.00.00</t>
  </si>
  <si>
    <t>2.16.08.00.00.00</t>
  </si>
  <si>
    <t>2.16.09.00.00.00</t>
  </si>
  <si>
    <t>2.16.09.01.00.00</t>
  </si>
  <si>
    <t>2.16.09.02.00.00</t>
  </si>
  <si>
    <t>2.16.09.03.00.00</t>
  </si>
  <si>
    <t>2.16.09.04.00.00</t>
  </si>
  <si>
    <t>2.16.09.05.00.00</t>
  </si>
  <si>
    <t>2.16.09.06.00.00</t>
  </si>
  <si>
    <t>2.16.09.07.00.00</t>
  </si>
  <si>
    <t>2.16.10.00.00.00</t>
  </si>
  <si>
    <t>2.17.00.00.00.00</t>
  </si>
  <si>
    <t>2.17.01.00.00.00</t>
  </si>
  <si>
    <t>2.17.02.00.00.00</t>
  </si>
  <si>
    <t>2.18.00.00.00.00</t>
  </si>
  <si>
    <t>2.19.00.00.00.00</t>
  </si>
  <si>
    <t>2.19.01.00.00.00</t>
  </si>
  <si>
    <t>2.19.02.00.00.00</t>
  </si>
  <si>
    <t>2.19.03.00.00.00</t>
  </si>
  <si>
    <t>2.21.00.00.00.00</t>
  </si>
  <si>
    <t>2.21.01.00.00.00</t>
  </si>
  <si>
    <t>2.21.01.01.00.00</t>
  </si>
  <si>
    <t>2.21.01.02.00.00</t>
  </si>
  <si>
    <t>2.21.01.03.00.00</t>
  </si>
  <si>
    <t>2.21.01.04.00.00</t>
  </si>
  <si>
    <t>2.22.00.00.00.00</t>
  </si>
  <si>
    <t>2.24.00.00.00.00</t>
  </si>
  <si>
    <t>2.25.01.00.00.00</t>
  </si>
  <si>
    <t>2.25.02.00.00.00</t>
  </si>
  <si>
    <t>2.25.02.01.00.00</t>
  </si>
  <si>
    <t>2.25.02.02.00.00</t>
  </si>
  <si>
    <t>2.25.03.00.00.00</t>
  </si>
  <si>
    <t>2.25.03.01.00.00</t>
  </si>
  <si>
    <t>2.25.03.02.00.00</t>
  </si>
  <si>
    <t>2.25.03.03.00.00</t>
  </si>
  <si>
    <t>2.25.03.04.00.00</t>
  </si>
  <si>
    <t>2.25.04.00.00.00</t>
  </si>
  <si>
    <t>2.25.05.00.00.00</t>
  </si>
  <si>
    <t>2.25.05.01.00.00</t>
  </si>
  <si>
    <t>2.25.05.01.01.00</t>
  </si>
  <si>
    <t>2.25.05.02.00.00</t>
  </si>
  <si>
    <t>2.25.05.03.00.00</t>
  </si>
  <si>
    <t>2.25.05.04.00.00</t>
  </si>
  <si>
    <t>2.25.05.05.00.00</t>
  </si>
  <si>
    <t>2.25.05.06.00.00</t>
  </si>
  <si>
    <t>2.25.05.07.00.00</t>
  </si>
  <si>
    <t>2.25.05.08.00.00</t>
  </si>
  <si>
    <t>2.25.05.09.00.00</t>
  </si>
  <si>
    <t>2.26.00.00.00.00</t>
  </si>
  <si>
    <t>21. Лизинговые платежи</t>
  </si>
  <si>
    <t>01.1. Финпомощь</t>
  </si>
  <si>
    <t>SubItem</t>
  </si>
  <si>
    <t>Item</t>
  </si>
  <si>
    <t>DataType</t>
  </si>
  <si>
    <t>Source</t>
  </si>
  <si>
    <t>ReportPart</t>
  </si>
  <si>
    <t>Residual</t>
  </si>
  <si>
    <t>Account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</si>
  <si>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</si>
  <si>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</si>
  <si>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</si>
  <si>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</si>
  <si>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</si>
  <si>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</si>
  <si>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</si>
  <si>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</si>
  <si>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</si>
  <si>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</si>
  <si>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</si>
  <si>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</si>
  <si>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</si>
  <si>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</si>
  <si>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</si>
  <si>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</si>
  <si>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</si>
  <si>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</si>
  <si>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LoadYear</t>
  </si>
  <si>
    <t>LimitYear</t>
  </si>
  <si>
    <t>NoError</t>
  </si>
  <si>
    <t>CashFlowType</t>
  </si>
  <si>
    <t>Advance</t>
  </si>
  <si>
    <t>Years</t>
  </si>
  <si>
    <t>CFStatement</t>
  </si>
  <si>
    <t>IncomeStatement</t>
  </si>
  <si>
    <t>MainReceivables</t>
  </si>
  <si>
    <t>Advances</t>
  </si>
  <si>
    <t>Remains</t>
  </si>
  <si>
    <t>NoInvoice</t>
  </si>
  <si>
    <t>Extra</t>
  </si>
  <si>
    <t>AccountsPayRec</t>
  </si>
  <si>
    <t>Centralized</t>
  </si>
  <si>
    <t>Decentralized</t>
  </si>
  <si>
    <t>In</t>
  </si>
  <si>
    <t>Out</t>
  </si>
  <si>
    <t>CANCEL</t>
  </si>
  <si>
    <t>OUTFLOW</t>
  </si>
  <si>
    <t>CASHPOOL</t>
  </si>
  <si>
    <t>OFFBALANCE</t>
  </si>
  <si>
    <t>TOBE_OFFBALANCE</t>
  </si>
  <si>
    <t>DOWNLOADED</t>
  </si>
  <si>
    <t>ACCEPTED</t>
  </si>
  <si>
    <t>COMPLETE</t>
  </si>
  <si>
    <t>DECLINED</t>
  </si>
  <si>
    <t>p</t>
  </si>
  <si>
    <t>f</t>
  </si>
  <si>
    <t xml:space="preserve">*Error description.
FALSE, if one or more conditions are true:
1. "SumPlan" or "SumFact" have more than 2 decimals or wrong combination of 'p/f' and corresponding sums, or sums are zero.
2. No formulas in check cells or a formula in a sum cell.
3. At least one of the dates is empty or dates range are out of corresponding range on "lookup_codes" sheet.
</t>
  </si>
  <si>
    <t>COMPLETE state control:</t>
  </si>
  <si>
    <t>Centralized inflow</t>
  </si>
  <si>
    <t>Centralized payments complete</t>
  </si>
  <si>
    <t>01. SubItem 01.</t>
  </si>
  <si>
    <t>02. SubItem 02.</t>
  </si>
  <si>
    <t>04.2. SubItem 04.2.</t>
  </si>
  <si>
    <t>05.1. SubItem 05.1.</t>
  </si>
  <si>
    <t>05.2. SubItem 05.2.</t>
  </si>
  <si>
    <t>07. SubItem 07.</t>
  </si>
  <si>
    <t>08. SubItem 08.</t>
  </si>
  <si>
    <t>09.1. SubItem 09.1.</t>
  </si>
  <si>
    <t>09.2. SubItem 09.2.</t>
  </si>
  <si>
    <t>11. SubItem 11.</t>
  </si>
  <si>
    <t>13.2. SubItem 13.2.</t>
  </si>
  <si>
    <t>13.4. SubItem 13.4.</t>
  </si>
  <si>
    <t>13.8. SubItem 13.8.</t>
  </si>
  <si>
    <t>19. SubItem 19.</t>
  </si>
  <si>
    <t>06. SubItem 06.</t>
  </si>
  <si>
    <t>_1. SubItem _1.</t>
  </si>
  <si>
    <t>09.3. SubItem 09.3.</t>
  </si>
  <si>
    <t>15. SubItem 15.</t>
  </si>
  <si>
    <t>_2.2. SubItem _2.2.</t>
  </si>
  <si>
    <t>14. SubItem 14.</t>
  </si>
  <si>
    <t>09.4. SubItem 09.4.</t>
  </si>
  <si>
    <t>04.1. SubItem 04.1.</t>
  </si>
  <si>
    <t>21. SubItem 21.</t>
  </si>
  <si>
    <t>03.4. SubItem 03.4.</t>
  </si>
  <si>
    <t>03.1. SubItem 03.1.</t>
  </si>
  <si>
    <t>16. SubItem 16.</t>
  </si>
  <si>
    <t>03.6. SubItem 03.6.</t>
  </si>
  <si>
    <t>03.8. SubItem 03.8.</t>
  </si>
  <si>
    <t>13.1. SubItem 13.1.</t>
  </si>
  <si>
    <t>10.1. SubItem 10.1.</t>
  </si>
  <si>
    <t>10.2. SubItem 10.2.</t>
  </si>
  <si>
    <t>12.2. SubItem 12.2.</t>
  </si>
  <si>
    <t>13.3. SubItem 13.3.</t>
  </si>
  <si>
    <t>13.5. SubItem 13.5.</t>
  </si>
  <si>
    <t>17. SubItem 17.</t>
  </si>
  <si>
    <t>_3. SubItem _3.</t>
  </si>
  <si>
    <t>_4. SubItem _4.</t>
  </si>
  <si>
    <t>03.5. SubItem 03.5.</t>
  </si>
  <si>
    <t>03.7. SubItem 03.7.</t>
  </si>
  <si>
    <t>18. SubItem 18.</t>
  </si>
  <si>
    <t>03. Item 03</t>
  </si>
  <si>
    <t>04. Item 04</t>
  </si>
  <si>
    <t>13. Item 13</t>
  </si>
  <si>
    <t>12. Item 12</t>
  </si>
  <si>
    <t>10. Item 10</t>
  </si>
  <si>
    <t>18. Item 18</t>
  </si>
  <si>
    <t>EXTRA</t>
  </si>
  <si>
    <t>CommitmentItemLocal</t>
  </si>
  <si>
    <t>CIGlobal</t>
  </si>
  <si>
    <t>CIGlobalPast</t>
  </si>
  <si>
    <t>CIGlobalOFFBALANCE</t>
  </si>
  <si>
    <t>CIGlobalIncome</t>
  </si>
  <si>
    <t>ItemE 1.02.1.</t>
  </si>
  <si>
    <t>_1. Item _1</t>
  </si>
  <si>
    <t>03.2. SubItem 03.2.</t>
  </si>
  <si>
    <t>ItemE 1.02.2.</t>
  </si>
  <si>
    <t>_2. Item _2</t>
  </si>
  <si>
    <t>03.3. SubItem 03.3.</t>
  </si>
  <si>
    <t>ItemE 1.04.1.</t>
  </si>
  <si>
    <t>_3. Item _3</t>
  </si>
  <si>
    <t>ItemE 1.04.2.</t>
  </si>
  <si>
    <t>_4. Item _4</t>
  </si>
  <si>
    <t>ItemE 1.05.1.</t>
  </si>
  <si>
    <t>_5. Item _5</t>
  </si>
  <si>
    <t>ItemE 1.05.2.</t>
  </si>
  <si>
    <t>01. Item 01</t>
  </si>
  <si>
    <t>ItemE 1.05.3.</t>
  </si>
  <si>
    <t>02. Item 02</t>
  </si>
  <si>
    <t>ItemE 1.06.2.</t>
  </si>
  <si>
    <t>ItemE 1.06.3.</t>
  </si>
  <si>
    <t>05. Item 05</t>
  </si>
  <si>
    <t>ItemE 1.06.4.</t>
  </si>
  <si>
    <t>ItemE 1.06.5.</t>
  </si>
  <si>
    <t>06. Item 06</t>
  </si>
  <si>
    <t>09. Item 09</t>
  </si>
  <si>
    <t>ItemE 1.06.6.</t>
  </si>
  <si>
    <t>07. Item 07</t>
  </si>
  <si>
    <t>ItemE 1.06.7.1</t>
  </si>
  <si>
    <t>08. Item 08</t>
  </si>
  <si>
    <t>ItemE 1.06.7.2</t>
  </si>
  <si>
    <t>ItemE 1.07.</t>
  </si>
  <si>
    <t>_2.1. SubItem _2.1.</t>
  </si>
  <si>
    <t>ItemE 1.08.1.</t>
  </si>
  <si>
    <t>11. Item 11</t>
  </si>
  <si>
    <t>10.3. SubItem 10.3.</t>
  </si>
  <si>
    <t>ItemE 1.08.2.</t>
  </si>
  <si>
    <t>ItemE 1.10.1.1.</t>
  </si>
  <si>
    <t>20. SubItem 20.</t>
  </si>
  <si>
    <t>ItemE 1.10.1.2.</t>
  </si>
  <si>
    <t>_5. SubItem _5.</t>
  </si>
  <si>
    <t>14. Item 14</t>
  </si>
  <si>
    <t>ItemE 1.10.1.3.</t>
  </si>
  <si>
    <t>15. Item 15</t>
  </si>
  <si>
    <t>ItemE 1.10.1.4.</t>
  </si>
  <si>
    <t>16. Item 16</t>
  </si>
  <si>
    <t>ItemE 1.10.2.</t>
  </si>
  <si>
    <t>17. Item 17</t>
  </si>
  <si>
    <t>ItemE 1.10.3.</t>
  </si>
  <si>
    <t>13.9. SubItem 13.9.</t>
  </si>
  <si>
    <t>ItemE 1.10.4.</t>
  </si>
  <si>
    <t>19. Item 19</t>
  </si>
  <si>
    <t>01.1. SubItem 01.1.</t>
  </si>
  <si>
    <t>ItemE 1.10.5.</t>
  </si>
  <si>
    <t>20. Item 20</t>
  </si>
  <si>
    <t>Ex</t>
  </si>
  <si>
    <t>ItemE 1.10.6.</t>
  </si>
  <si>
    <t>21. Item 21</t>
  </si>
  <si>
    <t>ItemE 1.10.7.</t>
  </si>
  <si>
    <t>ItemE 1.12.2.</t>
  </si>
  <si>
    <t>ItemE 1.12.5.</t>
  </si>
  <si>
    <t>ItemE 1.12.6.</t>
  </si>
  <si>
    <t>ItemE 1.12.7.</t>
  </si>
  <si>
    <t>ItemE 1.12.8.</t>
  </si>
  <si>
    <t>ItemE 1.12.10.</t>
  </si>
  <si>
    <t>ItemE 2.01.1.</t>
  </si>
  <si>
    <t>ItemE 2.01.2.</t>
  </si>
  <si>
    <t>ItemE 2.01.3.</t>
  </si>
  <si>
    <t>ItemE 2.01.4.1.</t>
  </si>
  <si>
    <t>12.1. SubItem 12.1.</t>
  </si>
  <si>
    <t>ItemE 2.01.4.2.</t>
  </si>
  <si>
    <t>ItemE 2.02.</t>
  </si>
  <si>
    <t>ItemE 2.03.1.1</t>
  </si>
  <si>
    <t>ItemE 2.03.1.4</t>
  </si>
  <si>
    <t>ItemE 2.03.1.5</t>
  </si>
  <si>
    <t>ItemE 2.03.1.6</t>
  </si>
  <si>
    <t>ItemE 2.03.1.9</t>
  </si>
  <si>
    <t>ItemE 2.03.2.01</t>
  </si>
  <si>
    <t>ItemE 2.03.2.06</t>
  </si>
  <si>
    <t>ItemE 2.03.2.07</t>
  </si>
  <si>
    <t>09.5. SubItem 09.5.</t>
  </si>
  <si>
    <t>ItemE 2.03.2.08</t>
  </si>
  <si>
    <t>ItemE 2.03.2.09</t>
  </si>
  <si>
    <t>02.1. SubItem 02.1</t>
  </si>
  <si>
    <t>ItemE 2.04.1.</t>
  </si>
  <si>
    <t>02.2. SubItem 02.2</t>
  </si>
  <si>
    <t>ItemE 2.04.2.</t>
  </si>
  <si>
    <t>ItemE 2.04.3.</t>
  </si>
  <si>
    <t>ItemE 2.05.1.</t>
  </si>
  <si>
    <t>ItemE 2.05.2.</t>
  </si>
  <si>
    <t>ItemE 2.06.1.</t>
  </si>
  <si>
    <t>ItemE 2.06.2.</t>
  </si>
  <si>
    <t>ItemE 2.06.3.</t>
  </si>
  <si>
    <t>ItemE 2.07.1.</t>
  </si>
  <si>
    <t>ItemE 2.07.2.</t>
  </si>
  <si>
    <t>ItemE 2.08.</t>
  </si>
  <si>
    <t>ItemE 2.09.1.1</t>
  </si>
  <si>
    <t>ItemE 2.09.1.2</t>
  </si>
  <si>
    <t>ItemE 2.09.1.3</t>
  </si>
  <si>
    <t>ItemE 2.09.2.</t>
  </si>
  <si>
    <t>ItemE 2.09.3.</t>
  </si>
  <si>
    <t>ItemE 2.11.1.</t>
  </si>
  <si>
    <t>ItemE 2.11.2.</t>
  </si>
  <si>
    <t>ItemE 2.11.3.</t>
  </si>
  <si>
    <t>ItemE 2.12.</t>
  </si>
  <si>
    <t>ItemE 2.14.01</t>
  </si>
  <si>
    <t>ItemE 2.14.02</t>
  </si>
  <si>
    <t>ItemE 2.14.03</t>
  </si>
  <si>
    <t>ItemE 2.14.04</t>
  </si>
  <si>
    <t>ItemE 2.14.05</t>
  </si>
  <si>
    <t>ItemE 2.14.06</t>
  </si>
  <si>
    <t>ItemE 2.14.07</t>
  </si>
  <si>
    <t>ItemE 2.14.08</t>
  </si>
  <si>
    <t>ItemE 2.14.09</t>
  </si>
  <si>
    <t>ItemE 2.14.10</t>
  </si>
  <si>
    <t>ItemE 2.14.11</t>
  </si>
  <si>
    <t>ItemE 2.14.12</t>
  </si>
  <si>
    <t>ItemE 2.14.13</t>
  </si>
  <si>
    <t>ItemE 2.14.14</t>
  </si>
  <si>
    <t>ItemE 2.15.01</t>
  </si>
  <si>
    <t>ItemE 2.15.02</t>
  </si>
  <si>
    <t>ItemE 2.15.03</t>
  </si>
  <si>
    <t>ItemE 2.15.04</t>
  </si>
  <si>
    <t>ItemE 2.15.05</t>
  </si>
  <si>
    <t>ItemE 2.15.06</t>
  </si>
  <si>
    <t>ItemE 2.15.07</t>
  </si>
  <si>
    <t>ItemE 2.15.08</t>
  </si>
  <si>
    <t>ItemE 2.15.09</t>
  </si>
  <si>
    <t>ItemE 2.15.10</t>
  </si>
  <si>
    <t>ItemE 2.15.11</t>
  </si>
  <si>
    <t>ItemE 2.15.12</t>
  </si>
  <si>
    <t>ItemE 2.15.13</t>
  </si>
  <si>
    <t>ItemE 2.15.14</t>
  </si>
  <si>
    <t>ItemE 2.15.15</t>
  </si>
  <si>
    <t>ItemE 2.15.16.01</t>
  </si>
  <si>
    <t>ItemE 2.15.16.02</t>
  </si>
  <si>
    <t>ItemE 2.15.16.03</t>
  </si>
  <si>
    <t>ItemE 2.15.16.04</t>
  </si>
  <si>
    <t>ItemE 2.15.16.05</t>
  </si>
  <si>
    <t>ItemE 2.15.16.06</t>
  </si>
  <si>
    <t>ItemE 2.15.16.07</t>
  </si>
  <si>
    <t>ItemE 2.15.16.08</t>
  </si>
  <si>
    <t>ItemE 2.15.16.09</t>
  </si>
  <si>
    <t>ItemE 2.15.16.10</t>
  </si>
  <si>
    <t>ItemE 2.15.16.11</t>
  </si>
  <si>
    <t>ItemE 2.15.16.12</t>
  </si>
  <si>
    <t>ItemE 2.15.16.13</t>
  </si>
  <si>
    <t>ItemE 2.15.16.14</t>
  </si>
  <si>
    <t>ItemE 2.15.16.15</t>
  </si>
  <si>
    <t>ItemE 2.15.16.16</t>
  </si>
  <si>
    <t>ItemE 2.15.16.17</t>
  </si>
  <si>
    <t>ItemE 2.15.16.18</t>
  </si>
  <si>
    <t>ItemE 2.15.16.19</t>
  </si>
  <si>
    <t>ItemE 2.16.1.1</t>
  </si>
  <si>
    <t>ItemE 2.16.1.2.1</t>
  </si>
  <si>
    <t>ItemE 2.16.1.2.2</t>
  </si>
  <si>
    <t>ItemE 2.16.1.3.1</t>
  </si>
  <si>
    <t>ItemE 2.16.1.3.2</t>
  </si>
  <si>
    <t>ItemE 2.16.1.4</t>
  </si>
  <si>
    <t>ItemE 2.16.1.5.1</t>
  </si>
  <si>
    <t>ItemE 2.16.1.5.2</t>
  </si>
  <si>
    <t>ItemE 2.16.1.5.3</t>
  </si>
  <si>
    <t>ItemE 2.16.1.5.4</t>
  </si>
  <si>
    <t>ItemE 2.16.1.5.5</t>
  </si>
  <si>
    <t>ItemE 2.16.1.5.6</t>
  </si>
  <si>
    <t>ItemE 2.16.1.5.7</t>
  </si>
  <si>
    <t>ItemE 2.16.2</t>
  </si>
  <si>
    <t>ItemE 2.16.3</t>
  </si>
  <si>
    <t>ItemE 2.17.1</t>
  </si>
  <si>
    <t>ItemE 2.17.2</t>
  </si>
  <si>
    <t>ItemE 2.17.3</t>
  </si>
  <si>
    <t>ItemE 2.18.</t>
  </si>
  <si>
    <t>ItemE 2.21.</t>
  </si>
  <si>
    <t>ItemE 3.1.</t>
  </si>
  <si>
    <t>ItemE 3.2.1.</t>
  </si>
  <si>
    <t>ItemE 3.2.2.</t>
  </si>
  <si>
    <t>ItemE 3.3.1.</t>
  </si>
  <si>
    <t>ItemE 3.3.2.</t>
  </si>
  <si>
    <t>ItemE 3.4.</t>
  </si>
  <si>
    <t>ItemE 3.5.1.</t>
  </si>
  <si>
    <t>ItemE 3.5.2.</t>
  </si>
  <si>
    <t>ItemE 3.5.3.</t>
  </si>
  <si>
    <t>ItemE 3.5.4.</t>
  </si>
  <si>
    <t>ItemE 3.5.5.</t>
  </si>
  <si>
    <t>ItemE 3.5.6.</t>
  </si>
  <si>
    <t>ItemE 3.5.7.</t>
  </si>
  <si>
    <t>ItemE 5.3.1.</t>
  </si>
  <si>
    <t>ItemE 6.1.</t>
  </si>
  <si>
    <t>ItemE 6.3.</t>
  </si>
  <si>
    <t>ItemE 7.01</t>
  </si>
  <si>
    <t>ItemE 7.02</t>
  </si>
  <si>
    <t>ItemE 7.03</t>
  </si>
  <si>
    <t>ItemE 7.04</t>
  </si>
  <si>
    <t>ItemE 7.05</t>
  </si>
  <si>
    <t>ItemE 7.06</t>
  </si>
  <si>
    <t>ItemE 7.08</t>
  </si>
  <si>
    <t>ItemE 7.09</t>
  </si>
  <si>
    <t>ItemE 7.10</t>
  </si>
  <si>
    <t>ItemE 7.11</t>
  </si>
  <si>
    <t>ItemE 8.01</t>
  </si>
  <si>
    <t>ItemE 8.02</t>
  </si>
  <si>
    <t>ItemE 8.03</t>
  </si>
  <si>
    <t>ItemE 8.04</t>
  </si>
  <si>
    <t>ItemE 8.05</t>
  </si>
  <si>
    <t>ItemE 8.06</t>
  </si>
  <si>
    <t>ItemE 8.07</t>
  </si>
  <si>
    <t>ItemE 8.08</t>
  </si>
  <si>
    <t>ItemE 8.09</t>
  </si>
  <si>
    <t>ItemE 8.11</t>
  </si>
  <si>
    <t>ItemE 8.12</t>
  </si>
  <si>
    <t>ItemE 8.14</t>
  </si>
  <si>
    <t>ItemE 8.15</t>
  </si>
  <si>
    <t>ItemE 8.16</t>
  </si>
  <si>
    <t>ItemE 8.17</t>
  </si>
  <si>
    <t>ItemE 8.18</t>
  </si>
  <si>
    <t>ItemE 8.19</t>
  </si>
  <si>
    <t>ItemE 8.22</t>
  </si>
  <si>
    <t>ERPItem</t>
  </si>
  <si>
    <t>ItemExtraPast</t>
  </si>
  <si>
    <t>ItemExtraOffbalance</t>
  </si>
  <si>
    <t>ItemExtraDecentralized</t>
  </si>
  <si>
    <t>2110210000</t>
  </si>
  <si>
    <t>2110600000</t>
  </si>
  <si>
    <t>2110672000</t>
  </si>
  <si>
    <t>2110671000</t>
  </si>
  <si>
    <t>2110700000</t>
  </si>
  <si>
    <t>2110650000</t>
  </si>
  <si>
    <t>2110610000</t>
  </si>
  <si>
    <t>2110620000</t>
  </si>
  <si>
    <t>2110630000</t>
  </si>
  <si>
    <t>2110660000</t>
  </si>
  <si>
    <t>2110670000</t>
  </si>
  <si>
    <t>2111000000</t>
  </si>
  <si>
    <t>2111040000</t>
  </si>
  <si>
    <t>2111010000</t>
  </si>
  <si>
    <t>2111020000</t>
  </si>
  <si>
    <t>2110640000</t>
  </si>
  <si>
    <t>2111070000</t>
  </si>
  <si>
    <t>2111050000</t>
  </si>
  <si>
    <t>2111060000</t>
  </si>
  <si>
    <t>2111030000</t>
  </si>
  <si>
    <t>2110900000</t>
  </si>
  <si>
    <t>2110510000</t>
  </si>
  <si>
    <t>2110530000</t>
  </si>
  <si>
    <t>2110520000</t>
  </si>
  <si>
    <t>2110800000</t>
  </si>
  <si>
    <t>2110820000</t>
  </si>
  <si>
    <t>2110810000</t>
  </si>
  <si>
    <t>2110100000</t>
  </si>
  <si>
    <t>2110300000</t>
  </si>
  <si>
    <t>2110400000</t>
  </si>
  <si>
    <t>2110500000</t>
  </si>
  <si>
    <t>2220100000</t>
  </si>
  <si>
    <t>2220110000</t>
  </si>
  <si>
    <t>2220120000</t>
  </si>
  <si>
    <t>2220130000</t>
  </si>
  <si>
    <t>2220140000</t>
  </si>
  <si>
    <t>2220141000</t>
  </si>
  <si>
    <t>2220142000</t>
  </si>
  <si>
    <t>2220210000</t>
  </si>
  <si>
    <t>2220300000</t>
  </si>
  <si>
    <t>2220310000</t>
  </si>
  <si>
    <t>2220315000</t>
  </si>
  <si>
    <t>2220220000</t>
  </si>
  <si>
    <t>2220311000</t>
  </si>
  <si>
    <t>2220314000</t>
  </si>
  <si>
    <t>2220319000</t>
  </si>
  <si>
    <t>2220313000</t>
  </si>
  <si>
    <t>2220316000</t>
  </si>
  <si>
    <t>2220318000</t>
  </si>
  <si>
    <t>2220317000</t>
  </si>
  <si>
    <t>2220312000</t>
  </si>
  <si>
    <t>2220320000</t>
  </si>
  <si>
    <t>2220320800</t>
  </si>
  <si>
    <t>2220320700</t>
  </si>
  <si>
    <t>2220320600</t>
  </si>
  <si>
    <t>2220320100</t>
  </si>
  <si>
    <t>2220321000</t>
  </si>
  <si>
    <t>2220320200</t>
  </si>
  <si>
    <t>2220320300</t>
  </si>
  <si>
    <t>2220320400</t>
  </si>
  <si>
    <t>2220320500</t>
  </si>
  <si>
    <t>2220400000</t>
  </si>
  <si>
    <t>2220420000</t>
  </si>
  <si>
    <t>2220410000</t>
  </si>
  <si>
    <t>2220500000</t>
  </si>
  <si>
    <t>2220510000</t>
  </si>
  <si>
    <t>2220520000</t>
  </si>
  <si>
    <t>2220600000</t>
  </si>
  <si>
    <t>2220610000</t>
  </si>
  <si>
    <t>2220620000</t>
  </si>
  <si>
    <t>2220630000</t>
  </si>
  <si>
    <t>2220710000</t>
  </si>
  <si>
    <t>2220700000</t>
  </si>
  <si>
    <t>2220720000</t>
  </si>
  <si>
    <t>2220800000</t>
  </si>
  <si>
    <t>2220900000</t>
  </si>
  <si>
    <t>2220910000</t>
  </si>
  <si>
    <t>2220911000</t>
  </si>
  <si>
    <t>2220920000</t>
  </si>
  <si>
    <t>2220930000</t>
  </si>
  <si>
    <t>2220913000</t>
  </si>
  <si>
    <t>2220912000</t>
  </si>
  <si>
    <t>2221000000</t>
  </si>
  <si>
    <t>2221100000</t>
  </si>
  <si>
    <t>2221130000</t>
  </si>
  <si>
    <t>2221120000</t>
  </si>
  <si>
    <t>2221110000</t>
  </si>
  <si>
    <t>2221140000</t>
  </si>
  <si>
    <t>2221200000</t>
  </si>
  <si>
    <t>2221300000</t>
  </si>
  <si>
    <t>2221400000</t>
  </si>
  <si>
    <t>2221409000</t>
  </si>
  <si>
    <t>2221411000</t>
  </si>
  <si>
    <t>2221407000</t>
  </si>
  <si>
    <t>2221403000</t>
  </si>
  <si>
    <t>2221401000</t>
  </si>
  <si>
    <t>2221402000</t>
  </si>
  <si>
    <t>2221404000</t>
  </si>
  <si>
    <t>2221405000</t>
  </si>
  <si>
    <t>2221406000</t>
  </si>
  <si>
    <t>2221408000</t>
  </si>
  <si>
    <t>2221410000</t>
  </si>
  <si>
    <t>2221412000</t>
  </si>
  <si>
    <t>2221500000</t>
  </si>
  <si>
    <t>2221501000</t>
  </si>
  <si>
    <t>2221502000</t>
  </si>
  <si>
    <t>2221503000</t>
  </si>
  <si>
    <t>2221504000</t>
  </si>
  <si>
    <t>2221505000</t>
  </si>
  <si>
    <t>2221506000</t>
  </si>
  <si>
    <t>2221507000</t>
  </si>
  <si>
    <t>2221508000</t>
  </si>
  <si>
    <t>2221509000</t>
  </si>
  <si>
    <t>2221510000</t>
  </si>
  <si>
    <t>2221511000</t>
  </si>
  <si>
    <t>2221517150</t>
  </si>
  <si>
    <t>2221517160</t>
  </si>
  <si>
    <t>2221512000</t>
  </si>
  <si>
    <t>2221513000</t>
  </si>
  <si>
    <t>2221514000</t>
  </si>
  <si>
    <t>2221515000</t>
  </si>
  <si>
    <t>2221516000</t>
  </si>
  <si>
    <t>2221517000</t>
  </si>
  <si>
    <t>2221517010</t>
  </si>
  <si>
    <t>2221517020</t>
  </si>
  <si>
    <t>2221517110</t>
  </si>
  <si>
    <t>2221517030</t>
  </si>
  <si>
    <t>2221517040</t>
  </si>
  <si>
    <t>2221517050</t>
  </si>
  <si>
    <t>2221517060</t>
  </si>
  <si>
    <t>2221517070</t>
  </si>
  <si>
    <t>2221517080</t>
  </si>
  <si>
    <t>2221517090</t>
  </si>
  <si>
    <t>2221720000</t>
  </si>
  <si>
    <t>2221517100</t>
  </si>
  <si>
    <t>2221517120</t>
  </si>
  <si>
    <t>2221610000</t>
  </si>
  <si>
    <t>2221611000</t>
  </si>
  <si>
    <t>2221612100</t>
  </si>
  <si>
    <t>2221620000</t>
  </si>
  <si>
    <t>2221612000</t>
  </si>
  <si>
    <t>2221612200</t>
  </si>
  <si>
    <t>2221613000</t>
  </si>
  <si>
    <t>2221613100</t>
  </si>
  <si>
    <t>2221613200</t>
  </si>
  <si>
    <t>2221614000</t>
  </si>
  <si>
    <t>2221615000</t>
  </si>
  <si>
    <t>2221615100</t>
  </si>
  <si>
    <t>2221615200</t>
  </si>
  <si>
    <t>2221615300</t>
  </si>
  <si>
    <t>2221615400</t>
  </si>
  <si>
    <t>2221615500</t>
  </si>
  <si>
    <t>2221615600</t>
  </si>
  <si>
    <t>2221615700</t>
  </si>
  <si>
    <t>2221630000</t>
  </si>
  <si>
    <t>2250000000</t>
  </si>
  <si>
    <t>2251000000</t>
  </si>
  <si>
    <t>2252000000</t>
  </si>
  <si>
    <t>2240000000</t>
  </si>
  <si>
    <t>2260000000</t>
  </si>
  <si>
    <t>2261000000</t>
  </si>
  <si>
    <t>2262000000</t>
  </si>
  <si>
    <t>2221730000</t>
  </si>
  <si>
    <t>2221700000</t>
  </si>
  <si>
    <t>2221710000</t>
  </si>
  <si>
    <t>2235700000</t>
  </si>
  <si>
    <t>2221800000</t>
  </si>
  <si>
    <t>2231000000</t>
  </si>
  <si>
    <t>2232000000</t>
  </si>
  <si>
    <t>2232100000</t>
  </si>
  <si>
    <t>2232200000</t>
  </si>
  <si>
    <t>2233000000</t>
  </si>
  <si>
    <t>2233100000</t>
  </si>
  <si>
    <t>2233200000</t>
  </si>
  <si>
    <t>2234000000</t>
  </si>
  <si>
    <t>2235000000</t>
  </si>
  <si>
    <t>2235100000</t>
  </si>
  <si>
    <t>2235200000</t>
  </si>
  <si>
    <t>2235300000</t>
  </si>
  <si>
    <t>2235400000</t>
  </si>
  <si>
    <t>2235500000</t>
  </si>
  <si>
    <t>2235600000</t>
  </si>
  <si>
    <t>2222100000</t>
  </si>
  <si>
    <t>ItemExtraNumber</t>
  </si>
  <si>
    <t>TMSIndex</t>
  </si>
  <si>
    <t>1TrancheDate</t>
  </si>
  <si>
    <t>AccountShift</t>
  </si>
  <si>
    <t>2TrancheDate</t>
  </si>
  <si>
    <t>2220320900</t>
  </si>
  <si>
    <t>2221517130</t>
  </si>
  <si>
    <t>2221517140</t>
  </si>
  <si>
    <t>2221517170</t>
  </si>
  <si>
    <t>2221517180</t>
  </si>
  <si>
    <t>2221517190</t>
  </si>
  <si>
    <t>2110220000</t>
  </si>
  <si>
    <t>2110410000</t>
  </si>
  <si>
    <t>2110420000</t>
  </si>
  <si>
    <t>2111011000</t>
  </si>
  <si>
    <t>2111012000</t>
  </si>
  <si>
    <t>2111013000</t>
  </si>
  <si>
    <t>2111014000</t>
  </si>
  <si>
    <t>2111220000</t>
  </si>
  <si>
    <t>2111250000</t>
  </si>
  <si>
    <t>2111260000</t>
  </si>
  <si>
    <t>2111270000</t>
  </si>
  <si>
    <t>2111280000</t>
  </si>
  <si>
    <t>2111291000</t>
  </si>
  <si>
    <t>2220200000</t>
  </si>
  <si>
    <t>2220430000</t>
  </si>
  <si>
    <t>2253100000</t>
  </si>
  <si>
    <t>2263000000</t>
  </si>
  <si>
    <t>2270100000</t>
  </si>
  <si>
    <t>2270200000</t>
  </si>
  <si>
    <t>2270300000</t>
  </si>
  <si>
    <t>2270400000</t>
  </si>
  <si>
    <t>2270500000</t>
  </si>
  <si>
    <t>2270600000</t>
  </si>
  <si>
    <t>2270800000</t>
  </si>
  <si>
    <t>2270900000</t>
  </si>
  <si>
    <t>2271000000</t>
  </si>
  <si>
    <t>2271100000</t>
  </si>
  <si>
    <t>2280100000</t>
  </si>
  <si>
    <t>2280200000</t>
  </si>
  <si>
    <t>2280300000</t>
  </si>
  <si>
    <t>2280400000</t>
  </si>
  <si>
    <t>2280500000</t>
  </si>
  <si>
    <t>2280600000</t>
  </si>
  <si>
    <t>2280700000</t>
  </si>
  <si>
    <t>2280800000</t>
  </si>
  <si>
    <t>2280900000</t>
  </si>
  <si>
    <t>2281100000</t>
  </si>
  <si>
    <t>2281200000</t>
  </si>
  <si>
    <t>2281400000</t>
  </si>
  <si>
    <t>2281500000</t>
  </si>
  <si>
    <t>2281600000</t>
  </si>
  <si>
    <t>2281700000</t>
  </si>
  <si>
    <t>2281800000</t>
  </si>
  <si>
    <t>2281900000</t>
  </si>
  <si>
    <t>2282200000</t>
  </si>
  <si>
    <t/>
  </si>
  <si>
    <t>13.7. SubItem 13.7.</t>
  </si>
  <si>
    <t>Plan_Fact</t>
  </si>
  <si>
    <t>02.1. SubItem 02.1.</t>
  </si>
  <si>
    <t>02.2. SubItem 02.2.</t>
  </si>
  <si>
    <t>1</t>
  </si>
  <si>
    <t>2</t>
  </si>
  <si>
    <t>3</t>
  </si>
  <si>
    <t>4</t>
  </si>
  <si>
    <t>FORECAST</t>
  </si>
  <si>
    <t>FC_160000</t>
  </si>
  <si>
    <t>FC_161000</t>
  </si>
  <si>
    <t>FC_161001</t>
  </si>
  <si>
    <t>FC_161002</t>
  </si>
  <si>
    <t>FC_161003</t>
  </si>
  <si>
    <t>FC_161004</t>
  </si>
  <si>
    <t>FC_161005</t>
  </si>
  <si>
    <t>FC_161006</t>
  </si>
  <si>
    <t>FC_161007</t>
  </si>
  <si>
    <t>FC_161008</t>
  </si>
  <si>
    <t>FC_161009</t>
  </si>
  <si>
    <t>FC_161010</t>
  </si>
  <si>
    <t>FC_161011</t>
  </si>
  <si>
    <t>FC_161012</t>
  </si>
  <si>
    <t>FC_161013</t>
  </si>
  <si>
    <t>FC_161014</t>
  </si>
  <si>
    <t>FC_161015</t>
  </si>
  <si>
    <t>FC_161016</t>
  </si>
  <si>
    <t>FC_161017</t>
  </si>
  <si>
    <t>FC_161018</t>
  </si>
  <si>
    <t>FC_161019</t>
  </si>
  <si>
    <t>FC_161020</t>
  </si>
  <si>
    <t>FC_161021</t>
  </si>
  <si>
    <t>FC_161022</t>
  </si>
  <si>
    <t>FC_161023</t>
  </si>
  <si>
    <t>FC_161024</t>
  </si>
  <si>
    <t>FC_161025</t>
  </si>
  <si>
    <t>FC_161026</t>
  </si>
  <si>
    <t>FC_161027</t>
  </si>
  <si>
    <t>FC_161028</t>
  </si>
  <si>
    <t>FC_161100</t>
  </si>
  <si>
    <t>FC_161200</t>
  </si>
  <si>
    <t>FC_161300</t>
  </si>
  <si>
    <t>FC_161400</t>
  </si>
  <si>
    <t>FC_161600</t>
  </si>
  <si>
    <t>FC_161700</t>
  </si>
  <si>
    <t>FC_161800</t>
  </si>
  <si>
    <t>FC_161900</t>
  </si>
  <si>
    <t>FC_162000</t>
  </si>
  <si>
    <t>FC_162100</t>
  </si>
  <si>
    <t>FC_162200</t>
  </si>
  <si>
    <t>FC_162300</t>
  </si>
  <si>
    <t>FC_162400</t>
  </si>
  <si>
    <t>FC_162500</t>
  </si>
  <si>
    <t>FC_162600</t>
  </si>
  <si>
    <t>FC_162700</t>
  </si>
  <si>
    <t>FC_162800</t>
  </si>
  <si>
    <t>FC_162900</t>
  </si>
  <si>
    <t>Названия столбцов</t>
  </si>
  <si>
    <t>Общий итог</t>
  </si>
  <si>
    <t>Сумма по полю SumFact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</si>
</sst>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mmmm"/>
    <numFmt numFmtId="165" formatCode="#,##0;\-#,##0;&quot;&quot;"/>
    <numFmt numFmtId="166" formatCode="#,##0.00_ ;\-#,##0.00\ "/>
  </numFmts>
  <fonts count="11" x14ac:knownFonts="1">
    <font>
      <sz val="10"/>
      <name val="Arial Cyr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9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2"/>
      <name val="Arial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1" fillId="0" borderId="0"/>
    <xf numFmtId="0" fontId="8" fillId="0" borderId="0"/>
    <xf numFmtId="43" fontId="8" fillId="0" borderId="0" applyFont="0" applyFill="0" applyBorder="0" applyAlignment="0" applyProtection="0"/>
    <xf numFmtId="0" fontId="9" fillId="0" borderId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0" fontId="2" fillId="0" borderId="0" xfId="0" quotePrefix="1" applyFont="1" applyFill="1"/>
    <xf numFmtId="4" fontId="0" fillId="0" borderId="0" xfId="0" applyNumberFormat="1"/>
    <xf numFmtId="0" fontId="2" fillId="0" borderId="0" xfId="0" applyNumberFormat="1" applyFont="1" applyFill="1" applyBorder="1" applyAlignment="1">
      <alignment horizontal="center"/>
    </xf>
    <xf numFmtId="0" fontId="2" fillId="0" borderId="0" xfId="0" quotePrefix="1" applyFont="1" applyFill="1" applyBorder="1"/>
    <xf numFmtId="0" fontId="3" fillId="0" borderId="0" xfId="0" applyFont="1" applyFill="1" applyBorder="1" applyAlignment="1">
      <alignment horizontal="left" vertical="top" wrapText="1" indent="1"/>
    </xf>
    <xf numFmtId="14" fontId="3" fillId="0" borderId="0" xfId="1" applyNumberFormat="1" applyFont="1" applyFill="1" applyBorder="1" applyAlignment="1">
      <alignment horizontal="right" vertical="top" wrapText="1"/>
    </xf>
    <xf numFmtId="165" fontId="3" fillId="0" borderId="0" xfId="1" applyNumberFormat="1" applyFont="1" applyFill="1" applyBorder="1" applyAlignment="1">
      <alignment horizontal="right" vertical="top" wrapText="1"/>
    </xf>
    <xf numFmtId="0" fontId="2" fillId="0" borderId="0" xfId="0" applyFont="1" applyFill="1" applyBorder="1" applyAlignment="1"/>
    <xf numFmtId="164" fontId="6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4" fontId="3" fillId="0" borderId="0" xfId="1" applyNumberFormat="1" applyFont="1" applyFill="1" applyBorder="1" applyAlignment="1">
      <alignment horizontal="right" vertical="top" wrapText="1"/>
    </xf>
    <xf numFmtId="4" fontId="2" fillId="0" borderId="0" xfId="0" applyNumberFormat="1" applyFont="1" applyFill="1" applyBorder="1" applyAlignment="1"/>
    <xf numFmtId="0" fontId="2" fillId="2" borderId="0" xfId="0" applyFont="1" applyFill="1"/>
    <xf numFmtId="0" fontId="7" fillId="0" borderId="0" xfId="0" applyFont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2" fillId="3" borderId="0" xfId="0" applyFont="1" applyFill="1"/>
    <xf numFmtId="4" fontId="2" fillId="0" borderId="0" xfId="0" applyNumberFormat="1" applyFont="1" applyFill="1"/>
    <xf numFmtId="0" fontId="3" fillId="0" borderId="0" xfId="0" applyFont="1" applyFill="1" applyBorder="1" applyAlignment="1">
      <alignment horizontal="left" vertical="top" indent="1"/>
    </xf>
    <xf numFmtId="0" fontId="2" fillId="0" borderId="0" xfId="0" applyFont="1" applyFill="1" applyAlignment="1">
      <alignment vertical="top"/>
    </xf>
    <xf numFmtId="165" fontId="5" fillId="0" borderId="0" xfId="1" applyNumberFormat="1" applyFont="1" applyFill="1" applyBorder="1" applyAlignment="1">
      <alignment horizontal="right" vertical="top" wrapText="1"/>
    </xf>
    <xf numFmtId="0" fontId="2" fillId="0" borderId="0" xfId="0" applyFont="1" applyFill="1" applyBorder="1" applyAlignment="1">
      <alignment wrapText="1"/>
    </xf>
    <xf numFmtId="0" fontId="0" fillId="4" borderId="0" xfId="0" applyFill="1"/>
    <xf numFmtId="49" fontId="0" fillId="0" borderId="0" xfId="0" applyNumberFormat="1"/>
    <xf numFmtId="0" fontId="9" fillId="5" borderId="1" xfId="4" applyFont="1" applyFill="1" applyBorder="1"/>
    <xf numFmtId="0" fontId="9" fillId="0" borderId="0" xfId="4" applyFont="1"/>
    <xf numFmtId="0" fontId="0" fillId="0" borderId="0" xfId="0" applyFill="1"/>
    <xf numFmtId="49" fontId="0" fillId="0" borderId="0" xfId="0" applyNumberFormat="1" applyFill="1"/>
    <xf numFmtId="4" fontId="2" fillId="0" borderId="0" xfId="0" applyNumberFormat="1" applyFont="1" applyFill="1" applyBorder="1" applyAlignment="1">
      <alignment vertical="center"/>
    </xf>
    <xf numFmtId="0" fontId="0" fillId="0" borderId="0" xfId="0" applyNumberFormat="1"/>
    <xf numFmtId="0" fontId="4" fillId="0" borderId="0" xfId="0" applyNumberFormat="1" applyFont="1" applyFill="1" applyBorder="1" applyAlignment="1">
      <alignment horizontal="center" vertical="top" wrapText="1"/>
    </xf>
    <xf numFmtId="166" fontId="3" fillId="0" borderId="0" xfId="1" applyNumberFormat="1" applyFont="1" applyFill="1" applyBorder="1" applyAlignment="1">
      <alignment horizontal="right" vertical="top" wrapText="1"/>
    </xf>
    <xf numFmtId="0" fontId="9" fillId="0" borderId="0" xfId="4" applyFont="1" applyFill="1"/>
    <xf numFmtId="0" fontId="0" fillId="0" borderId="0" xfId="0" pivotButton="1"/>
    <xf numFmtId="0" fontId="0" fillId="0" borderId="0" xfId="0" applyAlignment="1">
      <alignment horizontal="left"/>
    </xf>
  </cellXfs>
  <cellStyles count="17">
    <cellStyle name="20% - Акцент1 2" xfId="5"/>
    <cellStyle name="20% - Акцент2 2" xfId="6"/>
    <cellStyle name="20% - Акцент3 2" xfId="7"/>
    <cellStyle name="20% - Акцент4 2" xfId="8"/>
    <cellStyle name="20% - Акцент5 2" xfId="9"/>
    <cellStyle name="20% - Акцент6 2" xfId="10"/>
    <cellStyle name="40% - Акцент1 2" xfId="11"/>
    <cellStyle name="40% - Акцент2 2" xfId="12"/>
    <cellStyle name="40% - Акцент3 2" xfId="13"/>
    <cellStyle name="40% - Акцент4 2" xfId="14"/>
    <cellStyle name="40% - Акцент5 2" xfId="15"/>
    <cellStyle name="40% - Акцент6 2" xfId="16"/>
    <cellStyle name="Обычный" xfId="0" builtinId="0"/>
    <cellStyle name="Обычный 2" xfId="1"/>
    <cellStyle name="Обычный 3" xfId="2"/>
    <cellStyle name="Обычный_соответствие статей" xfId="4"/>
    <cellStyle name="Финансов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[tblMain.xlsm]Лист1!СводнаяТаблица1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Лист1!$B$5:$B$6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Лист1!$B$7</c:f>
              <c:numCache>
                <c:formatCode>General</c:formatCode>
                <c:ptCount val="1"/>
                <c:pt idx="0">
                  <c:v>2571.4299999999998</c:v>
                </c:pt>
              </c:numCache>
            </c:numRef>
          </c:val>
        </c:ser>
        <c:ser>
          <c:idx val="1"/>
          <c:order val="1"/>
          <c:tx>
            <c:strRef>
              <c:f>Лист1!$C$5:$C$6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Лист1!$C$7</c:f>
              <c:numCache>
                <c:formatCode>General</c:formatCode>
                <c:ptCount val="1"/>
                <c:pt idx="0">
                  <c:v>47506.79</c:v>
                </c:pt>
              </c:numCache>
            </c:numRef>
          </c:val>
        </c:ser>
        <c:ser>
          <c:idx val="2"/>
          <c:order val="2"/>
          <c:tx>
            <c:strRef>
              <c:f>Лист1!$D$5:$D$6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Лист1!$D$7</c:f>
              <c:numCache>
                <c:formatCode>General</c:formatCode>
                <c:ptCount val="1"/>
                <c:pt idx="0">
                  <c:v>20790113.349999998</c:v>
                </c:pt>
              </c:numCache>
            </c:numRef>
          </c:val>
        </c:ser>
        <c:ser>
          <c:idx val="3"/>
          <c:order val="3"/>
          <c:tx>
            <c:strRef>
              <c:f>Лист1!$E$5:$E$6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Лист1!$E$7</c:f>
              <c:numCache>
                <c:formatCode>General</c:formatCode>
                <c:ptCount val="1"/>
                <c:pt idx="0">
                  <c:v>8079018.2299999986</c:v>
                </c:pt>
              </c:numCache>
            </c:numRef>
          </c:val>
        </c:ser>
        <c:ser>
          <c:idx val="4"/>
          <c:order val="4"/>
          <c:tx>
            <c:strRef>
              <c:f>Лист1!$F$5:$F$6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Лист1!$F$7</c:f>
              <c:numCache>
                <c:formatCode>General</c:formatCode>
                <c:ptCount val="1"/>
                <c:pt idx="0">
                  <c:v>1356624.5</c:v>
                </c:pt>
              </c:numCache>
            </c:numRef>
          </c:val>
        </c:ser>
        <c:ser>
          <c:idx val="5"/>
          <c:order val="5"/>
          <c:tx>
            <c:strRef>
              <c:f>Лист1!$G$5:$G$6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Лист1!$G$7</c:f>
              <c:numCache>
                <c:formatCode>General</c:formatCode>
                <c:ptCount val="1"/>
                <c:pt idx="0">
                  <c:v>10366689.51</c:v>
                </c:pt>
              </c:numCache>
            </c:numRef>
          </c:val>
        </c:ser>
        <c:ser>
          <c:idx val="6"/>
          <c:order val="6"/>
          <c:tx>
            <c:strRef>
              <c:f>Лист1!$H$5:$H$6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Лист1!$H$7</c:f>
              <c:numCache>
                <c:formatCode>General</c:formatCode>
                <c:ptCount val="1"/>
                <c:pt idx="0">
                  <c:v>9633129.8399999999</c:v>
                </c:pt>
              </c:numCache>
            </c:numRef>
          </c:val>
        </c:ser>
        <c:ser>
          <c:idx val="7"/>
          <c:order val="7"/>
          <c:tx>
            <c:strRef>
              <c:f>Лист1!$I$5:$I$6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Лист1!$I$7</c:f>
              <c:numCache>
                <c:formatCode>General</c:formatCode>
                <c:ptCount val="1"/>
                <c:pt idx="0">
                  <c:v>3756904.2800000003</c:v>
                </c:pt>
              </c:numCache>
            </c:numRef>
          </c:val>
        </c:ser>
        <c:ser>
          <c:idx val="8"/>
          <c:order val="8"/>
          <c:tx>
            <c:strRef>
              <c:f>Лист1!$J$5:$J$6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Лист1!$J$7</c:f>
              <c:numCache>
                <c:formatCode>General</c:formatCode>
                <c:ptCount val="1"/>
                <c:pt idx="0">
                  <c:v>23584415.689999994</c:v>
                </c:pt>
              </c:numCache>
            </c:numRef>
          </c:val>
        </c:ser>
        <c:ser>
          <c:idx val="9"/>
          <c:order val="9"/>
          <c:tx>
            <c:strRef>
              <c:f>Лист1!$K$5:$K$6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Лист1!$K$7</c:f>
              <c:numCache>
                <c:formatCode>General</c:formatCode>
                <c:ptCount val="1"/>
                <c:pt idx="0">
                  <c:v>3400700.6100000003</c:v>
                </c:pt>
              </c:numCache>
            </c:numRef>
          </c:val>
        </c:ser>
        <c:ser>
          <c:idx val="10"/>
          <c:order val="10"/>
          <c:tx>
            <c:strRef>
              <c:f>Лист1!$L$5:$L$6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Лист1!$L$7</c:f>
              <c:numCache>
                <c:formatCode>General</c:formatCode>
                <c:ptCount val="1"/>
                <c:pt idx="0">
                  <c:v>3694001.88</c:v>
                </c:pt>
              </c:numCache>
            </c:numRef>
          </c:val>
        </c:ser>
        <c:ser>
          <c:idx val="11"/>
          <c:order val="11"/>
          <c:tx>
            <c:strRef>
              <c:f>Лист1!$M$5:$M$6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Лист1!$A$7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Лист1!$M$7</c:f>
              <c:numCache>
                <c:formatCode>General</c:formatCode>
                <c:ptCount val="1"/>
                <c:pt idx="0">
                  <c:v>1958059.99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319368"/>
        <c:axId val="776313488"/>
      </c:barChart>
      <c:catAx>
        <c:axId val="77631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6313488"/>
        <c:crosses val="autoZero"/>
        <c:auto val="1"/>
        <c:lblAlgn val="ctr"/>
        <c:lblOffset val="100"/>
        <c:noMultiLvlLbl val="0"/>
      </c:catAx>
      <c:valAx>
        <c:axId val="7763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631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9525</xdr:rowOff>
    </xdr:from>
    <xdr:to>
      <xdr:col>7</xdr:col>
      <xdr:colOff>304800</xdr:colOff>
      <xdr:row>29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Коновалов Алексей Владимирович" refreshedDate="44753.624438194442" createdVersion="5" refreshedVersion="5" minRefreshableVersion="3" recordCount="2170">
  <cacheSource type="worksheet">
    <worksheetSource ref="A1:AD2171" sheet="input"/>
  </cacheSource>
  <cacheFields count="30">
    <cacheField name="SubItem" numFmtId="0">
      <sharedItems containsBlank="1" count="41">
        <s v="01. SubItem 01."/>
        <s v="02. SubItem 02."/>
        <m/>
        <s v="04.2. SubItem 04.2."/>
        <s v="05.1. SubItem 05.1."/>
        <s v="05.2. SubItem 05.2."/>
        <s v="07. SubItem 07."/>
        <s v="08. SubItem 08."/>
        <s v="09.1. SubItem 09.1."/>
        <s v="09.2. SubItem 09.2."/>
        <s v="11. SubItem 11."/>
        <s v="13.2. SubItem 13.2."/>
        <s v="13.4. SubItem 13.4."/>
        <s v="13.8. SubItem 13.8."/>
        <s v="19. SubItem 19."/>
        <s v="06. SubItem 06."/>
        <s v="_1. SubItem _1."/>
        <s v="09.3. SubItem 09.3."/>
        <s v="15. SubItem 15."/>
        <s v="_2.2. SubItem _2.2."/>
        <s v="14. SubItem 14."/>
        <s v="09.4. SubItem 09.4."/>
        <s v="04.1. SubItem 04.1."/>
        <s v="21. SubItem 21."/>
        <s v="03.4. SubItem 03.4."/>
        <s v="03.1. SubItem 03.1."/>
        <s v="16. SubItem 16."/>
        <s v="03.6. SubItem 03.6."/>
        <s v="03.8. SubItem 03.8."/>
        <s v="13.1. SubItem 13.1."/>
        <s v="10.1. SubItem 10.1."/>
        <s v="10.2. SubItem 10.2."/>
        <s v="12.2. SubItem 12.2."/>
        <s v="13.3. SubItem 13.3."/>
        <s v="13.5. SubItem 13.5."/>
        <s v="17. SubItem 17."/>
        <s v="_3. SubItem _3."/>
        <s v="_4. SubItem _4."/>
        <s v="03.5. SubItem 03.5."/>
        <s v="03.7. SubItem 03.7."/>
        <s v="18. SubItem 18."/>
      </sharedItems>
    </cacheField>
    <cacheField name="Item" numFmtId="0">
      <sharedItems containsBlank="1"/>
    </cacheField>
    <cacheField name="DataType" numFmtId="0">
      <sharedItems count="4">
        <s v="IncomeStatement"/>
        <s v="CFStatement"/>
        <s v="AccountsPayRec"/>
        <s v="MainReceivables"/>
      </sharedItems>
    </cacheField>
    <cacheField name="Source" numFmtId="0">
      <sharedItems containsBlank="1"/>
    </cacheField>
    <cacheField name="ReportPart" numFmtId="0">
      <sharedItems/>
    </cacheField>
    <cacheField name="Residual" numFmtId="0">
      <sharedItems containsBlank="1"/>
    </cacheField>
    <cacheField name="Account" numFmtId="0">
      <sharedItems containsNonDate="0" containsString="0" containsBlank="1"/>
    </cacheField>
    <cacheField name="CashFlowType" numFmtId="0">
      <sharedItems containsBlank="1"/>
    </cacheField>
    <cacheField name="Advance" numFmtId="0">
      <sharedItems containsBlank="1"/>
    </cacheField>
    <cacheField name="Tranche" numFmtId="0">
      <sharedItems containsString="0" containsBlank="1" containsNumber="1" containsInteger="1" minValue="1" maxValue="4"/>
    </cacheField>
    <cacheField name="SystemState" numFmtId="0">
      <sharedItems containsBlank="1"/>
    </cacheField>
    <cacheField name="Plan/Fact" numFmtId="0">
      <sharedItems/>
    </cacheField>
    <cacheField name="LoadDate" numFmtId="14">
      <sharedItems containsSemiMixedTypes="0" containsNonDate="0" containsDate="1" containsString="0" minDate="2019-12-01T00:00:00" maxDate="2022-02-01T00:00:00"/>
    </cacheField>
    <cacheField name="PaymentDate" numFmtId="14">
      <sharedItems containsSemiMixedTypes="0" containsNonDate="0" containsDate="1" containsString="0" minDate="2019-12-01T00:00:00" maxDate="2022-02-11T00:00:00"/>
    </cacheField>
    <cacheField name="SumPlan" numFmtId="4">
      <sharedItems containsString="0" containsBlank="1" containsNumber="1" minValue="-7327283.2300000004" maxValue="58548095.240000002"/>
    </cacheField>
    <cacheField name="SumFact" numFmtId="4">
      <sharedItems containsString="0" containsBlank="1" containsNumber="1" minValue="-93809.52" maxValue="112000000"/>
    </cacheField>
    <cacheField name="Comment" numFmtId="166">
      <sharedItems containsNonDate="0" containsString="0" containsBlank="1"/>
    </cacheField>
    <cacheField name="ItemExtra" numFmtId="0">
      <sharedItems containsNonDate="0" containsString="0" containsBlank="1"/>
    </cacheField>
    <cacheField name="FundsCenter" numFmtId="0">
      <sharedItems containsNonDate="0" containsString="0" containsBlank="1"/>
    </cacheField>
    <cacheField name="Partner" numFmtId="0">
      <sharedItems containsNonDate="0" containsString="0" containsBlank="1"/>
    </cacheField>
    <cacheField name="NumDoc" numFmtId="0">
      <sharedItems containsNonDate="0" containsString="0" containsBlank="1"/>
    </cacheField>
    <cacheField name="ItemExtraName" numFmtId="0">
      <sharedItems containsNonDate="0" containsString="0" containsBlank="1"/>
    </cacheField>
    <cacheField name="FundsCenterName" numFmtId="0">
      <sharedItems containsNonDate="0" containsString="0" containsBlank="1"/>
    </cacheField>
    <cacheField name="HigherItem" numFmtId="0">
      <sharedItems/>
    </cacheField>
    <cacheField name="LoadMonth" numFmtId="0">
      <sharedItems containsSemiMixedTypes="0" containsString="0" containsNumber="1" containsInteger="1" minValue="1" maxValue="12"/>
    </cacheField>
    <cacheField name="PaymentMonth" numFmtId="0">
      <sharedItems containsSemiMixedTypes="0" containsString="0" containsNumber="1" containsInteger="1" minValue="1" maxValue="12" count="12">
        <n v="12"/>
        <n v="1"/>
        <n v="11"/>
        <n v="10"/>
        <n v="9"/>
        <n v="8"/>
        <n v="2"/>
        <n v="7"/>
        <n v="3"/>
        <n v="6"/>
        <n v="4"/>
        <n v="5"/>
      </sharedItems>
    </cacheField>
    <cacheField name="PaymentYear" numFmtId="0">
      <sharedItems containsSemiMixedTypes="0" containsString="0" containsNumber="1" containsInteger="1" minValue="2019" maxValue="2022" count="4">
        <n v="2019"/>
        <n v="2020"/>
        <n v="2021"/>
        <n v="2022"/>
      </sharedItems>
    </cacheField>
    <cacheField name="LoadYear" numFmtId="0">
      <sharedItems containsSemiMixedTypes="0" containsString="0" containsNumber="1" containsInteger="1" minValue="2019" maxValue="2022"/>
    </cacheField>
    <cacheField name="LimitYear" numFmtId="0">
      <sharedItems containsSemiMixedTypes="0" containsString="0" containsNumber="1" containsInteger="1" minValue="2018" maxValue="2022"/>
    </cacheField>
    <cacheField name="NoErr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70">
  <r>
    <x v="0"/>
    <m/>
    <x v="0"/>
    <m/>
    <s v="Out"/>
    <m/>
    <m/>
    <m/>
    <m/>
    <m/>
    <m/>
    <s v="p"/>
    <d v="2019-12-01T00:00:00"/>
    <d v="2019-12-01T00:00:00"/>
    <n v="6566642.8600000003"/>
    <m/>
    <m/>
    <m/>
    <m/>
    <m/>
    <m/>
    <m/>
    <m/>
    <s v="01. Item 01"/>
    <n v="12"/>
    <x v="0"/>
    <x v="0"/>
    <n v="2019"/>
    <n v="2019"/>
    <b v="1"/>
  </r>
  <r>
    <x v="0"/>
    <m/>
    <x v="0"/>
    <m/>
    <s v="Out"/>
    <m/>
    <m/>
    <m/>
    <m/>
    <m/>
    <m/>
    <s v="f"/>
    <d v="2019-12-01T00:00:00"/>
    <d v="2019-12-01T00:00:00"/>
    <m/>
    <n v="6703452.3799999999"/>
    <m/>
    <m/>
    <m/>
    <m/>
    <m/>
    <m/>
    <m/>
    <s v="01. Item 01"/>
    <n v="12"/>
    <x v="0"/>
    <x v="0"/>
    <n v="2019"/>
    <n v="2019"/>
    <b v="1"/>
  </r>
  <r>
    <x v="1"/>
    <m/>
    <x v="0"/>
    <m/>
    <s v="Out"/>
    <m/>
    <m/>
    <m/>
    <m/>
    <m/>
    <m/>
    <s v="p"/>
    <d v="2019-12-01T00:00:00"/>
    <d v="2019-12-01T00:00:00"/>
    <n v="1624595.24"/>
    <m/>
    <m/>
    <m/>
    <m/>
    <m/>
    <m/>
    <m/>
    <m/>
    <s v="02. Item 02"/>
    <n v="12"/>
    <x v="0"/>
    <x v="0"/>
    <n v="2019"/>
    <n v="2019"/>
    <b v="1"/>
  </r>
  <r>
    <x v="1"/>
    <m/>
    <x v="0"/>
    <m/>
    <s v="Out"/>
    <m/>
    <m/>
    <m/>
    <m/>
    <m/>
    <m/>
    <s v="f"/>
    <d v="2019-12-01T00:00:00"/>
    <d v="2019-12-01T00:00:00"/>
    <m/>
    <n v="1650666.67"/>
    <m/>
    <m/>
    <m/>
    <m/>
    <m/>
    <m/>
    <m/>
    <s v="02. Item 02"/>
    <n v="12"/>
    <x v="0"/>
    <x v="0"/>
    <n v="2019"/>
    <n v="2019"/>
    <b v="1"/>
  </r>
  <r>
    <x v="2"/>
    <s v="03. Item 03"/>
    <x v="0"/>
    <m/>
    <s v="Out"/>
    <m/>
    <m/>
    <m/>
    <m/>
    <m/>
    <m/>
    <s v="p"/>
    <d v="2019-12-01T00:00:00"/>
    <d v="2019-12-01T00:00:00"/>
    <n v="724738.1"/>
    <m/>
    <m/>
    <m/>
    <m/>
    <m/>
    <m/>
    <m/>
    <m/>
    <s v="03. Item 03"/>
    <n v="12"/>
    <x v="0"/>
    <x v="0"/>
    <n v="2019"/>
    <n v="2019"/>
    <b v="1"/>
  </r>
  <r>
    <x v="2"/>
    <s v="03. Item 03"/>
    <x v="0"/>
    <m/>
    <s v="Out"/>
    <m/>
    <m/>
    <m/>
    <m/>
    <m/>
    <m/>
    <s v="f"/>
    <d v="2019-12-01T00:00:00"/>
    <d v="2019-12-01T00:00:00"/>
    <m/>
    <n v="622690.48"/>
    <m/>
    <m/>
    <m/>
    <m/>
    <m/>
    <m/>
    <m/>
    <s v="03. Item 03"/>
    <n v="12"/>
    <x v="0"/>
    <x v="0"/>
    <n v="2019"/>
    <n v="2019"/>
    <b v="1"/>
  </r>
  <r>
    <x v="3"/>
    <s v="04. Item 04"/>
    <x v="0"/>
    <m/>
    <s v="Out"/>
    <m/>
    <m/>
    <m/>
    <m/>
    <m/>
    <m/>
    <s v="p"/>
    <d v="2019-12-01T00:00:00"/>
    <d v="2019-12-01T00:00:00"/>
    <n v="14525380.949999999"/>
    <m/>
    <m/>
    <m/>
    <m/>
    <m/>
    <m/>
    <m/>
    <m/>
    <s v="04. Item 04"/>
    <n v="12"/>
    <x v="0"/>
    <x v="0"/>
    <n v="2019"/>
    <n v="2019"/>
    <b v="1"/>
  </r>
  <r>
    <x v="3"/>
    <s v="04. Item 04"/>
    <x v="0"/>
    <m/>
    <s v="Out"/>
    <m/>
    <m/>
    <m/>
    <m/>
    <m/>
    <m/>
    <s v="f"/>
    <d v="2019-12-01T00:00:00"/>
    <d v="2019-12-01T00:00:00"/>
    <m/>
    <n v="14280857.140000001"/>
    <m/>
    <m/>
    <m/>
    <m/>
    <m/>
    <m/>
    <m/>
    <s v="04. Item 04"/>
    <n v="12"/>
    <x v="0"/>
    <x v="0"/>
    <n v="2019"/>
    <n v="2019"/>
    <b v="1"/>
  </r>
  <r>
    <x v="4"/>
    <m/>
    <x v="0"/>
    <m/>
    <s v="Out"/>
    <m/>
    <m/>
    <m/>
    <m/>
    <m/>
    <m/>
    <s v="p"/>
    <d v="2019-12-01T00:00:00"/>
    <d v="2019-12-01T00:00:00"/>
    <n v="5943761.9000000004"/>
    <m/>
    <m/>
    <m/>
    <m/>
    <m/>
    <m/>
    <m/>
    <m/>
    <s v="05. Item 05"/>
    <n v="12"/>
    <x v="0"/>
    <x v="0"/>
    <n v="2019"/>
    <n v="2019"/>
    <b v="1"/>
  </r>
  <r>
    <x v="4"/>
    <m/>
    <x v="0"/>
    <m/>
    <s v="Out"/>
    <m/>
    <m/>
    <m/>
    <m/>
    <m/>
    <m/>
    <s v="f"/>
    <d v="2019-12-01T00:00:00"/>
    <d v="2019-12-01T00:00:00"/>
    <m/>
    <n v="6353095.2400000002"/>
    <m/>
    <m/>
    <m/>
    <m/>
    <m/>
    <m/>
    <m/>
    <s v="05. Item 05"/>
    <n v="12"/>
    <x v="0"/>
    <x v="0"/>
    <n v="2019"/>
    <n v="2019"/>
    <b v="1"/>
  </r>
  <r>
    <x v="5"/>
    <m/>
    <x v="0"/>
    <m/>
    <s v="Out"/>
    <m/>
    <m/>
    <m/>
    <m/>
    <m/>
    <m/>
    <s v="p"/>
    <d v="2019-12-01T00:00:00"/>
    <d v="2019-12-01T00:00:00"/>
    <n v="68261.899999999994"/>
    <m/>
    <m/>
    <m/>
    <m/>
    <m/>
    <m/>
    <m/>
    <m/>
    <s v="05. Item 05"/>
    <n v="12"/>
    <x v="0"/>
    <x v="0"/>
    <n v="2019"/>
    <n v="2019"/>
    <b v="1"/>
  </r>
  <r>
    <x v="5"/>
    <m/>
    <x v="0"/>
    <m/>
    <s v="Out"/>
    <m/>
    <m/>
    <m/>
    <m/>
    <m/>
    <m/>
    <s v="f"/>
    <d v="2019-12-01T00:00:00"/>
    <d v="2019-12-01T00:00:00"/>
    <m/>
    <n v="66857.14"/>
    <m/>
    <m/>
    <m/>
    <m/>
    <m/>
    <m/>
    <m/>
    <s v="05. Item 05"/>
    <n v="12"/>
    <x v="0"/>
    <x v="0"/>
    <n v="2019"/>
    <n v="2019"/>
    <b v="1"/>
  </r>
  <r>
    <x v="6"/>
    <m/>
    <x v="0"/>
    <m/>
    <s v="Out"/>
    <m/>
    <m/>
    <m/>
    <m/>
    <m/>
    <m/>
    <s v="p"/>
    <d v="2019-12-01T00:00:00"/>
    <d v="2019-12-01T00:00:00"/>
    <n v="8486571.4299999997"/>
    <m/>
    <m/>
    <m/>
    <m/>
    <m/>
    <m/>
    <m/>
    <m/>
    <s v="07. Item 07"/>
    <n v="12"/>
    <x v="0"/>
    <x v="0"/>
    <n v="2019"/>
    <n v="2019"/>
    <b v="1"/>
  </r>
  <r>
    <x v="6"/>
    <m/>
    <x v="0"/>
    <m/>
    <s v="Out"/>
    <m/>
    <m/>
    <m/>
    <m/>
    <m/>
    <m/>
    <s v="f"/>
    <d v="2019-12-01T00:00:00"/>
    <d v="2019-12-01T00:00:00"/>
    <m/>
    <n v="6530976.1900000004"/>
    <m/>
    <m/>
    <m/>
    <m/>
    <m/>
    <m/>
    <m/>
    <s v="07. Item 07"/>
    <n v="12"/>
    <x v="0"/>
    <x v="0"/>
    <n v="2019"/>
    <n v="2019"/>
    <b v="1"/>
  </r>
  <r>
    <x v="7"/>
    <m/>
    <x v="0"/>
    <m/>
    <s v="Out"/>
    <m/>
    <m/>
    <m/>
    <m/>
    <m/>
    <m/>
    <s v="p"/>
    <d v="2019-12-01T00:00:00"/>
    <d v="2019-12-01T00:00:00"/>
    <n v="642238.1"/>
    <m/>
    <m/>
    <m/>
    <m/>
    <m/>
    <m/>
    <m/>
    <m/>
    <s v="08. Item 08"/>
    <n v="12"/>
    <x v="0"/>
    <x v="0"/>
    <n v="2019"/>
    <n v="2019"/>
    <b v="1"/>
  </r>
  <r>
    <x v="7"/>
    <m/>
    <x v="0"/>
    <m/>
    <s v="Out"/>
    <m/>
    <m/>
    <m/>
    <m/>
    <m/>
    <m/>
    <s v="f"/>
    <d v="2019-12-01T00:00:00"/>
    <d v="2019-12-01T00:00:00"/>
    <m/>
    <n v="689071.43"/>
    <m/>
    <m/>
    <m/>
    <m/>
    <m/>
    <m/>
    <m/>
    <s v="08. Item 08"/>
    <n v="12"/>
    <x v="0"/>
    <x v="0"/>
    <n v="2019"/>
    <n v="2019"/>
    <b v="1"/>
  </r>
  <r>
    <x v="8"/>
    <m/>
    <x v="0"/>
    <m/>
    <s v="Out"/>
    <m/>
    <m/>
    <m/>
    <m/>
    <m/>
    <m/>
    <s v="p"/>
    <d v="2019-12-01T00:00:00"/>
    <d v="2019-12-01T00:00:00"/>
    <n v="7589857.1399999997"/>
    <m/>
    <m/>
    <m/>
    <m/>
    <m/>
    <m/>
    <m/>
    <m/>
    <s v="09. Item 09"/>
    <n v="12"/>
    <x v="0"/>
    <x v="0"/>
    <n v="2019"/>
    <n v="2019"/>
    <b v="1"/>
  </r>
  <r>
    <x v="8"/>
    <m/>
    <x v="0"/>
    <m/>
    <s v="Out"/>
    <m/>
    <m/>
    <m/>
    <m/>
    <m/>
    <m/>
    <s v="f"/>
    <d v="2019-12-01T00:00:00"/>
    <d v="2019-12-01T00:00:00"/>
    <m/>
    <n v="8401976.1899999995"/>
    <m/>
    <m/>
    <m/>
    <m/>
    <m/>
    <m/>
    <m/>
    <s v="09. Item 09"/>
    <n v="12"/>
    <x v="0"/>
    <x v="0"/>
    <n v="2019"/>
    <n v="2019"/>
    <b v="1"/>
  </r>
  <r>
    <x v="9"/>
    <m/>
    <x v="0"/>
    <m/>
    <s v="Out"/>
    <m/>
    <m/>
    <m/>
    <m/>
    <m/>
    <m/>
    <s v="p"/>
    <d v="2019-12-01T00:00:00"/>
    <d v="2019-12-01T00:00:00"/>
    <n v="195785.71"/>
    <m/>
    <m/>
    <m/>
    <m/>
    <m/>
    <m/>
    <m/>
    <m/>
    <s v="09. Item 09"/>
    <n v="12"/>
    <x v="0"/>
    <x v="0"/>
    <n v="2019"/>
    <n v="2019"/>
    <b v="1"/>
  </r>
  <r>
    <x v="9"/>
    <m/>
    <x v="0"/>
    <m/>
    <s v="Out"/>
    <m/>
    <m/>
    <m/>
    <m/>
    <m/>
    <m/>
    <s v="f"/>
    <d v="2019-12-01T00:00:00"/>
    <d v="2019-12-01T00:00:00"/>
    <m/>
    <n v="867452.38"/>
    <m/>
    <m/>
    <m/>
    <m/>
    <m/>
    <m/>
    <m/>
    <s v="09. Item 09"/>
    <n v="12"/>
    <x v="0"/>
    <x v="0"/>
    <n v="2019"/>
    <n v="2019"/>
    <b v="1"/>
  </r>
  <r>
    <x v="10"/>
    <m/>
    <x v="0"/>
    <m/>
    <s v="Out"/>
    <m/>
    <m/>
    <m/>
    <m/>
    <m/>
    <m/>
    <s v="p"/>
    <d v="2019-12-01T00:00:00"/>
    <d v="2019-12-01T00:00:00"/>
    <n v="58738.1"/>
    <m/>
    <m/>
    <m/>
    <m/>
    <m/>
    <m/>
    <m/>
    <m/>
    <s v="11. Item 11"/>
    <n v="12"/>
    <x v="0"/>
    <x v="0"/>
    <n v="2019"/>
    <n v="2019"/>
    <b v="1"/>
  </r>
  <r>
    <x v="10"/>
    <m/>
    <x v="0"/>
    <m/>
    <s v="Out"/>
    <m/>
    <m/>
    <m/>
    <m/>
    <m/>
    <m/>
    <s v="f"/>
    <d v="2019-12-01T00:00:00"/>
    <d v="2019-12-01T00:00:00"/>
    <m/>
    <n v="116785.71"/>
    <m/>
    <m/>
    <m/>
    <m/>
    <m/>
    <m/>
    <m/>
    <s v="11. Item 11"/>
    <n v="12"/>
    <x v="0"/>
    <x v="0"/>
    <n v="2019"/>
    <n v="2019"/>
    <b v="1"/>
  </r>
  <r>
    <x v="11"/>
    <s v="13. Item 13"/>
    <x v="0"/>
    <m/>
    <s v="Out"/>
    <m/>
    <m/>
    <m/>
    <m/>
    <m/>
    <m/>
    <s v="p"/>
    <d v="2019-12-01T00:00:00"/>
    <d v="2019-12-01T00:00:00"/>
    <n v="1492238.1"/>
    <m/>
    <m/>
    <m/>
    <m/>
    <m/>
    <m/>
    <m/>
    <m/>
    <s v="13. Item 13"/>
    <n v="12"/>
    <x v="0"/>
    <x v="0"/>
    <n v="2019"/>
    <n v="2019"/>
    <b v="1"/>
  </r>
  <r>
    <x v="12"/>
    <s v="13. Item 13"/>
    <x v="0"/>
    <m/>
    <s v="Out"/>
    <m/>
    <m/>
    <m/>
    <m/>
    <m/>
    <m/>
    <s v="p"/>
    <d v="2019-12-01T00:00:00"/>
    <d v="2019-12-01T00:00:00"/>
    <n v="69976.19"/>
    <m/>
    <m/>
    <m/>
    <m/>
    <m/>
    <m/>
    <m/>
    <m/>
    <s v="13. Item 13"/>
    <n v="12"/>
    <x v="0"/>
    <x v="0"/>
    <n v="2019"/>
    <n v="2019"/>
    <b v="1"/>
  </r>
  <r>
    <x v="13"/>
    <s v="13. Item 13"/>
    <x v="0"/>
    <m/>
    <s v="Out"/>
    <m/>
    <m/>
    <m/>
    <m/>
    <m/>
    <m/>
    <s v="p"/>
    <d v="2019-12-01T00:00:00"/>
    <d v="2019-12-01T00:00:00"/>
    <n v="1778095.24"/>
    <m/>
    <m/>
    <m/>
    <m/>
    <m/>
    <m/>
    <m/>
    <m/>
    <s v="13. Item 13"/>
    <n v="12"/>
    <x v="0"/>
    <x v="0"/>
    <n v="2019"/>
    <n v="2019"/>
    <b v="1"/>
  </r>
  <r>
    <x v="11"/>
    <s v="13. Item 13"/>
    <x v="0"/>
    <m/>
    <s v="Out"/>
    <m/>
    <m/>
    <m/>
    <m/>
    <m/>
    <m/>
    <s v="f"/>
    <d v="2019-12-01T00:00:00"/>
    <d v="2019-12-01T00:00:00"/>
    <m/>
    <n v="1454666.67"/>
    <m/>
    <m/>
    <m/>
    <m/>
    <m/>
    <m/>
    <m/>
    <s v="13. Item 13"/>
    <n v="12"/>
    <x v="0"/>
    <x v="0"/>
    <n v="2019"/>
    <n v="2019"/>
    <b v="1"/>
  </r>
  <r>
    <x v="12"/>
    <s v="13. Item 13"/>
    <x v="0"/>
    <m/>
    <s v="Out"/>
    <m/>
    <m/>
    <m/>
    <m/>
    <m/>
    <m/>
    <s v="f"/>
    <d v="2019-12-01T00:00:00"/>
    <d v="2019-12-01T00:00:00"/>
    <m/>
    <n v="76404.759999999995"/>
    <m/>
    <m/>
    <m/>
    <m/>
    <m/>
    <m/>
    <m/>
    <s v="13. Item 13"/>
    <n v="12"/>
    <x v="0"/>
    <x v="0"/>
    <n v="2019"/>
    <n v="2019"/>
    <b v="1"/>
  </r>
  <r>
    <x v="13"/>
    <s v="13. Item 13"/>
    <x v="0"/>
    <m/>
    <s v="Out"/>
    <m/>
    <m/>
    <m/>
    <m/>
    <m/>
    <m/>
    <s v="f"/>
    <d v="2019-12-01T00:00:00"/>
    <d v="2019-12-01T00:00:00"/>
    <m/>
    <n v="12515166.67"/>
    <m/>
    <m/>
    <m/>
    <m/>
    <m/>
    <m/>
    <m/>
    <s v="13. Item 13"/>
    <n v="12"/>
    <x v="0"/>
    <x v="0"/>
    <n v="2019"/>
    <n v="2019"/>
    <b v="1"/>
  </r>
  <r>
    <x v="14"/>
    <m/>
    <x v="0"/>
    <m/>
    <s v="Out"/>
    <m/>
    <m/>
    <m/>
    <m/>
    <m/>
    <m/>
    <s v="p"/>
    <d v="2019-12-01T00:00:00"/>
    <d v="2019-12-01T00:00:00"/>
    <n v="1336500"/>
    <m/>
    <m/>
    <m/>
    <m/>
    <m/>
    <m/>
    <m/>
    <m/>
    <s v="19. Item 19"/>
    <n v="12"/>
    <x v="0"/>
    <x v="0"/>
    <n v="2019"/>
    <n v="2019"/>
    <b v="1"/>
  </r>
  <r>
    <x v="14"/>
    <m/>
    <x v="0"/>
    <m/>
    <s v="Out"/>
    <m/>
    <m/>
    <m/>
    <m/>
    <m/>
    <m/>
    <s v="f"/>
    <d v="2019-12-01T00:00:00"/>
    <d v="2019-12-01T00:00:00"/>
    <m/>
    <n v="7301357.1399999997"/>
    <m/>
    <m/>
    <m/>
    <m/>
    <m/>
    <m/>
    <m/>
    <s v="19. Item 19"/>
    <n v="12"/>
    <x v="0"/>
    <x v="0"/>
    <n v="2019"/>
    <n v="2019"/>
    <b v="1"/>
  </r>
  <r>
    <x v="6"/>
    <m/>
    <x v="0"/>
    <m/>
    <s v="Out"/>
    <m/>
    <m/>
    <m/>
    <m/>
    <m/>
    <m/>
    <s v="p"/>
    <d v="2020-12-01T00:00:00"/>
    <d v="2020-12-01T00:00:00"/>
    <n v="7385714.29"/>
    <m/>
    <m/>
    <m/>
    <m/>
    <m/>
    <m/>
    <m/>
    <m/>
    <s v="07. Item 07"/>
    <n v="12"/>
    <x v="0"/>
    <x v="1"/>
    <n v="2020"/>
    <n v="2020"/>
    <b v="1"/>
  </r>
  <r>
    <x v="15"/>
    <m/>
    <x v="1"/>
    <s v="Centralized"/>
    <s v="Out"/>
    <m/>
    <m/>
    <m/>
    <m/>
    <m/>
    <m/>
    <s v="p"/>
    <d v="2020-01-01T00:00:00"/>
    <d v="2020-01-01T00:00:00"/>
    <n v="4309523.8099999996"/>
    <m/>
    <m/>
    <m/>
    <m/>
    <m/>
    <m/>
    <m/>
    <m/>
    <s v="06. Item 06"/>
    <n v="1"/>
    <x v="1"/>
    <x v="1"/>
    <n v="2020"/>
    <n v="2020"/>
    <b v="1"/>
  </r>
  <r>
    <x v="5"/>
    <m/>
    <x v="0"/>
    <m/>
    <s v="Out"/>
    <m/>
    <m/>
    <m/>
    <m/>
    <m/>
    <m/>
    <s v="p"/>
    <d v="2020-12-01T00:00:00"/>
    <d v="2020-12-01T00:00:00"/>
    <n v="67214.289999999994"/>
    <m/>
    <m/>
    <m/>
    <m/>
    <m/>
    <m/>
    <m/>
    <m/>
    <s v="05. Item 05"/>
    <n v="12"/>
    <x v="0"/>
    <x v="1"/>
    <n v="2020"/>
    <n v="2020"/>
    <b v="1"/>
  </r>
  <r>
    <x v="0"/>
    <m/>
    <x v="0"/>
    <m/>
    <s v="Out"/>
    <m/>
    <m/>
    <m/>
    <m/>
    <m/>
    <m/>
    <s v="p"/>
    <d v="2020-12-01T00:00:00"/>
    <d v="2020-12-01T00:00:00"/>
    <n v="1819928.57"/>
    <m/>
    <m/>
    <m/>
    <m/>
    <m/>
    <m/>
    <m/>
    <m/>
    <s v="01. Item 01"/>
    <n v="12"/>
    <x v="0"/>
    <x v="1"/>
    <n v="2020"/>
    <n v="2020"/>
    <b v="1"/>
  </r>
  <r>
    <x v="1"/>
    <s v="03. Item 03"/>
    <x v="0"/>
    <m/>
    <s v="Out"/>
    <m/>
    <m/>
    <m/>
    <m/>
    <m/>
    <m/>
    <s v="p"/>
    <d v="2020-12-01T00:00:00"/>
    <d v="2020-12-01T00:00:00"/>
    <n v="200952.38"/>
    <m/>
    <m/>
    <m/>
    <m/>
    <m/>
    <m/>
    <m/>
    <m/>
    <s v="03. Item 03"/>
    <n v="12"/>
    <x v="0"/>
    <x v="1"/>
    <n v="2020"/>
    <n v="2020"/>
    <b v="1"/>
  </r>
  <r>
    <x v="2"/>
    <s v="04. Item 04"/>
    <x v="0"/>
    <m/>
    <s v="Out"/>
    <m/>
    <m/>
    <m/>
    <m/>
    <m/>
    <m/>
    <s v="p"/>
    <d v="2020-12-01T00:00:00"/>
    <d v="2020-12-01T00:00:00"/>
    <n v="1098690.48"/>
    <m/>
    <m/>
    <m/>
    <m/>
    <m/>
    <m/>
    <m/>
    <m/>
    <s v="04. Item 04"/>
    <n v="12"/>
    <x v="0"/>
    <x v="1"/>
    <n v="2020"/>
    <n v="2020"/>
    <b v="1"/>
  </r>
  <r>
    <x v="3"/>
    <m/>
    <x v="0"/>
    <m/>
    <s v="Out"/>
    <m/>
    <m/>
    <m/>
    <m/>
    <m/>
    <m/>
    <s v="p"/>
    <d v="2020-12-01T00:00:00"/>
    <d v="2020-12-01T00:00:00"/>
    <n v="279595.24"/>
    <m/>
    <m/>
    <m/>
    <m/>
    <m/>
    <m/>
    <m/>
    <m/>
    <s v="04. Item 04"/>
    <n v="12"/>
    <x v="0"/>
    <x v="1"/>
    <n v="2020"/>
    <n v="2020"/>
    <b v="1"/>
  </r>
  <r>
    <x v="4"/>
    <m/>
    <x v="0"/>
    <m/>
    <s v="Out"/>
    <m/>
    <m/>
    <m/>
    <m/>
    <m/>
    <m/>
    <s v="p"/>
    <d v="2020-12-01T00:00:00"/>
    <d v="2020-12-01T00:00:00"/>
    <n v="40023.81"/>
    <m/>
    <m/>
    <m/>
    <m/>
    <m/>
    <m/>
    <m/>
    <m/>
    <s v="05. Item 05"/>
    <n v="12"/>
    <x v="0"/>
    <x v="1"/>
    <n v="2020"/>
    <n v="2020"/>
    <b v="1"/>
  </r>
  <r>
    <x v="7"/>
    <m/>
    <x v="0"/>
    <m/>
    <s v="Out"/>
    <m/>
    <m/>
    <m/>
    <m/>
    <m/>
    <m/>
    <s v="p"/>
    <d v="2020-12-01T00:00:00"/>
    <d v="2020-12-01T00:00:00"/>
    <n v="322809.52"/>
    <m/>
    <m/>
    <m/>
    <m/>
    <m/>
    <m/>
    <m/>
    <m/>
    <s v="08. Item 08"/>
    <n v="12"/>
    <x v="0"/>
    <x v="1"/>
    <n v="2020"/>
    <n v="2020"/>
    <b v="1"/>
  </r>
  <r>
    <x v="10"/>
    <m/>
    <x v="0"/>
    <m/>
    <s v="Out"/>
    <m/>
    <m/>
    <m/>
    <m/>
    <m/>
    <m/>
    <s v="p"/>
    <d v="2020-12-01T00:00:00"/>
    <d v="2020-12-01T00:00:00"/>
    <n v="4316523.8099999996"/>
    <m/>
    <m/>
    <m/>
    <m/>
    <m/>
    <m/>
    <m/>
    <m/>
    <s v="11. Item 11"/>
    <n v="12"/>
    <x v="0"/>
    <x v="1"/>
    <n v="2020"/>
    <n v="2020"/>
    <b v="1"/>
  </r>
  <r>
    <x v="9"/>
    <s v="12. Item 12"/>
    <x v="0"/>
    <m/>
    <s v="Out"/>
    <m/>
    <m/>
    <m/>
    <m/>
    <m/>
    <m/>
    <s v="p"/>
    <d v="2020-12-01T00:00:00"/>
    <d v="2020-12-01T00:00:00"/>
    <n v="325595.24"/>
    <m/>
    <m/>
    <m/>
    <m/>
    <m/>
    <m/>
    <m/>
    <m/>
    <s v="12. Item 12"/>
    <n v="12"/>
    <x v="0"/>
    <x v="1"/>
    <n v="2020"/>
    <n v="2020"/>
    <b v="1"/>
  </r>
  <r>
    <x v="8"/>
    <m/>
    <x v="0"/>
    <m/>
    <s v="Out"/>
    <m/>
    <m/>
    <m/>
    <m/>
    <m/>
    <m/>
    <s v="p"/>
    <d v="2020-11-01T00:00:00"/>
    <d v="2020-11-01T00:00:00"/>
    <n v="7899047.6200000001"/>
    <m/>
    <m/>
    <m/>
    <m/>
    <m/>
    <m/>
    <m/>
    <m/>
    <s v="09. Item 09"/>
    <n v="11"/>
    <x v="2"/>
    <x v="1"/>
    <n v="2020"/>
    <n v="2020"/>
    <b v="1"/>
  </r>
  <r>
    <x v="6"/>
    <m/>
    <x v="0"/>
    <m/>
    <s v="Out"/>
    <m/>
    <m/>
    <m/>
    <m/>
    <m/>
    <m/>
    <s v="p"/>
    <d v="2020-11-01T00:00:00"/>
    <d v="2020-11-01T00:00:00"/>
    <n v="67214.289999999994"/>
    <m/>
    <m/>
    <m/>
    <m/>
    <m/>
    <m/>
    <m/>
    <m/>
    <s v="07. Item 07"/>
    <n v="11"/>
    <x v="2"/>
    <x v="1"/>
    <n v="2020"/>
    <n v="2020"/>
    <b v="1"/>
  </r>
  <r>
    <x v="15"/>
    <m/>
    <x v="0"/>
    <m/>
    <s v="Out"/>
    <m/>
    <m/>
    <m/>
    <m/>
    <m/>
    <m/>
    <s v="p"/>
    <d v="2020-11-01T00:00:00"/>
    <d v="2020-11-01T00:00:00"/>
    <n v="6711285.71"/>
    <m/>
    <m/>
    <m/>
    <m/>
    <m/>
    <m/>
    <m/>
    <m/>
    <s v="06. Item 06"/>
    <n v="11"/>
    <x v="2"/>
    <x v="1"/>
    <n v="2020"/>
    <n v="2020"/>
    <b v="1"/>
  </r>
  <r>
    <x v="5"/>
    <m/>
    <x v="0"/>
    <m/>
    <s v="Out"/>
    <m/>
    <m/>
    <m/>
    <m/>
    <m/>
    <m/>
    <s v="p"/>
    <d v="2020-11-01T00:00:00"/>
    <d v="2020-11-01T00:00:00"/>
    <n v="1811428.57"/>
    <m/>
    <m/>
    <m/>
    <m/>
    <m/>
    <m/>
    <m/>
    <m/>
    <s v="05. Item 05"/>
    <n v="11"/>
    <x v="2"/>
    <x v="1"/>
    <n v="2020"/>
    <n v="2020"/>
    <b v="1"/>
  </r>
  <r>
    <x v="2"/>
    <s v="03. Item 03"/>
    <x v="0"/>
    <m/>
    <s v="Out"/>
    <m/>
    <m/>
    <m/>
    <m/>
    <m/>
    <m/>
    <s v="p"/>
    <d v="2020-11-01T00:00:00"/>
    <d v="2020-11-01T00:00:00"/>
    <n v="200952.38"/>
    <m/>
    <m/>
    <m/>
    <m/>
    <m/>
    <m/>
    <m/>
    <m/>
    <s v="03. Item 03"/>
    <n v="11"/>
    <x v="2"/>
    <x v="1"/>
    <n v="2020"/>
    <n v="2020"/>
    <b v="1"/>
  </r>
  <r>
    <x v="0"/>
    <s v="04. Item 04"/>
    <x v="0"/>
    <m/>
    <s v="Out"/>
    <m/>
    <m/>
    <m/>
    <m/>
    <m/>
    <m/>
    <s v="p"/>
    <d v="2020-11-01T00:00:00"/>
    <d v="2020-11-01T00:00:00"/>
    <n v="2543142.86"/>
    <m/>
    <m/>
    <m/>
    <m/>
    <m/>
    <m/>
    <m/>
    <m/>
    <s v="04. Item 04"/>
    <n v="11"/>
    <x v="2"/>
    <x v="1"/>
    <n v="2020"/>
    <n v="2020"/>
    <b v="1"/>
  </r>
  <r>
    <x v="1"/>
    <m/>
    <x v="0"/>
    <m/>
    <s v="Out"/>
    <m/>
    <m/>
    <m/>
    <m/>
    <m/>
    <m/>
    <s v="p"/>
    <d v="2020-11-01T00:00:00"/>
    <d v="2020-11-01T00:00:00"/>
    <n v="4844428.57"/>
    <m/>
    <m/>
    <m/>
    <m/>
    <m/>
    <m/>
    <m/>
    <m/>
    <s v="02. Item 02"/>
    <n v="11"/>
    <x v="2"/>
    <x v="1"/>
    <n v="2020"/>
    <n v="2020"/>
    <b v="1"/>
  </r>
  <r>
    <x v="3"/>
    <m/>
    <x v="0"/>
    <m/>
    <s v="Out"/>
    <m/>
    <m/>
    <m/>
    <m/>
    <m/>
    <m/>
    <s v="p"/>
    <d v="2020-11-01T00:00:00"/>
    <d v="2020-11-01T00:00:00"/>
    <n v="322809.52"/>
    <m/>
    <m/>
    <m/>
    <m/>
    <m/>
    <m/>
    <m/>
    <m/>
    <s v="04. Item 04"/>
    <n v="11"/>
    <x v="2"/>
    <x v="1"/>
    <n v="2020"/>
    <n v="2020"/>
    <b v="1"/>
  </r>
  <r>
    <x v="4"/>
    <m/>
    <x v="0"/>
    <m/>
    <s v="Out"/>
    <m/>
    <m/>
    <m/>
    <m/>
    <m/>
    <m/>
    <s v="p"/>
    <d v="2020-11-01T00:00:00"/>
    <d v="2020-11-01T00:00:00"/>
    <n v="2091619.05"/>
    <m/>
    <m/>
    <m/>
    <m/>
    <m/>
    <m/>
    <m/>
    <m/>
    <s v="05. Item 05"/>
    <n v="11"/>
    <x v="2"/>
    <x v="1"/>
    <n v="2020"/>
    <n v="2020"/>
    <b v="1"/>
  </r>
  <r>
    <x v="7"/>
    <s v="12. Item 12"/>
    <x v="0"/>
    <m/>
    <s v="Out"/>
    <m/>
    <m/>
    <m/>
    <m/>
    <m/>
    <m/>
    <s v="p"/>
    <d v="2020-11-01T00:00:00"/>
    <d v="2020-11-01T00:00:00"/>
    <n v="325595.24"/>
    <m/>
    <m/>
    <m/>
    <m/>
    <m/>
    <m/>
    <m/>
    <m/>
    <s v="12. Item 12"/>
    <n v="11"/>
    <x v="2"/>
    <x v="1"/>
    <n v="2020"/>
    <n v="2020"/>
    <b v="1"/>
  </r>
  <r>
    <x v="10"/>
    <m/>
    <x v="0"/>
    <m/>
    <s v="Out"/>
    <m/>
    <m/>
    <m/>
    <m/>
    <m/>
    <m/>
    <s v="p"/>
    <d v="2020-10-01T00:00:00"/>
    <d v="2020-10-01T00:00:00"/>
    <n v="8512619.0500000007"/>
    <m/>
    <m/>
    <m/>
    <m/>
    <m/>
    <m/>
    <m/>
    <m/>
    <s v="11. Item 11"/>
    <n v="10"/>
    <x v="3"/>
    <x v="1"/>
    <n v="2020"/>
    <n v="2020"/>
    <b v="1"/>
  </r>
  <r>
    <x v="9"/>
    <m/>
    <x v="0"/>
    <m/>
    <s v="Out"/>
    <m/>
    <m/>
    <m/>
    <m/>
    <m/>
    <m/>
    <s v="f"/>
    <d v="2020-01-01T00:00:00"/>
    <d v="2020-01-01T00:00:00"/>
    <m/>
    <n v="3150238.1"/>
    <m/>
    <m/>
    <m/>
    <m/>
    <m/>
    <m/>
    <m/>
    <s v="09. Item 09"/>
    <n v="1"/>
    <x v="1"/>
    <x v="1"/>
    <n v="2020"/>
    <n v="2020"/>
    <b v="1"/>
  </r>
  <r>
    <x v="8"/>
    <m/>
    <x v="0"/>
    <m/>
    <s v="Out"/>
    <m/>
    <m/>
    <m/>
    <m/>
    <m/>
    <m/>
    <s v="p"/>
    <d v="2020-10-01T00:00:00"/>
    <d v="2020-10-01T00:00:00"/>
    <n v="67214.289999999994"/>
    <m/>
    <m/>
    <m/>
    <m/>
    <m/>
    <m/>
    <m/>
    <m/>
    <s v="09. Item 09"/>
    <n v="10"/>
    <x v="3"/>
    <x v="1"/>
    <n v="2020"/>
    <n v="2020"/>
    <b v="1"/>
  </r>
  <r>
    <x v="6"/>
    <m/>
    <x v="0"/>
    <m/>
    <s v="Out"/>
    <m/>
    <m/>
    <m/>
    <m/>
    <m/>
    <m/>
    <s v="p"/>
    <d v="2020-10-01T00:00:00"/>
    <d v="2020-10-01T00:00:00"/>
    <n v="2073857.14"/>
    <m/>
    <m/>
    <m/>
    <m/>
    <m/>
    <m/>
    <m/>
    <m/>
    <s v="07. Item 07"/>
    <n v="10"/>
    <x v="3"/>
    <x v="1"/>
    <n v="2020"/>
    <n v="2020"/>
    <b v="1"/>
  </r>
  <r>
    <x v="15"/>
    <s v="03. Item 03"/>
    <x v="0"/>
    <m/>
    <s v="Out"/>
    <m/>
    <m/>
    <m/>
    <m/>
    <m/>
    <m/>
    <s v="p"/>
    <d v="2020-10-01T00:00:00"/>
    <d v="2020-10-01T00:00:00"/>
    <n v="200952.38"/>
    <m/>
    <m/>
    <m/>
    <m/>
    <m/>
    <m/>
    <m/>
    <m/>
    <s v="03. Item 03"/>
    <n v="10"/>
    <x v="3"/>
    <x v="1"/>
    <n v="2020"/>
    <n v="2020"/>
    <b v="1"/>
  </r>
  <r>
    <x v="5"/>
    <s v="04. Item 04"/>
    <x v="0"/>
    <m/>
    <s v="Out"/>
    <m/>
    <m/>
    <m/>
    <m/>
    <m/>
    <m/>
    <s v="p"/>
    <d v="2020-10-01T00:00:00"/>
    <d v="2020-10-01T00:00:00"/>
    <n v="3072023.81"/>
    <m/>
    <m/>
    <m/>
    <m/>
    <m/>
    <m/>
    <m/>
    <m/>
    <s v="04. Item 04"/>
    <n v="10"/>
    <x v="3"/>
    <x v="1"/>
    <n v="2020"/>
    <n v="2020"/>
    <b v="1"/>
  </r>
  <r>
    <x v="0"/>
    <m/>
    <x v="0"/>
    <m/>
    <s v="Out"/>
    <m/>
    <m/>
    <m/>
    <m/>
    <m/>
    <m/>
    <s v="p"/>
    <d v="2020-10-01T00:00:00"/>
    <d v="2020-10-01T00:00:00"/>
    <n v="237523.81"/>
    <m/>
    <m/>
    <m/>
    <m/>
    <m/>
    <m/>
    <m/>
    <m/>
    <s v="01. Item 01"/>
    <n v="10"/>
    <x v="3"/>
    <x v="1"/>
    <n v="2020"/>
    <n v="2020"/>
    <b v="1"/>
  </r>
  <r>
    <x v="1"/>
    <m/>
    <x v="0"/>
    <m/>
    <s v="Out"/>
    <m/>
    <m/>
    <m/>
    <m/>
    <m/>
    <m/>
    <s v="p"/>
    <d v="2020-10-01T00:00:00"/>
    <d v="2020-10-01T00:00:00"/>
    <n v="40023.81"/>
    <m/>
    <m/>
    <m/>
    <m/>
    <m/>
    <m/>
    <m/>
    <m/>
    <s v="02. Item 02"/>
    <n v="10"/>
    <x v="3"/>
    <x v="1"/>
    <n v="2020"/>
    <n v="2020"/>
    <b v="1"/>
  </r>
  <r>
    <x v="3"/>
    <s v="12. Item 12"/>
    <x v="0"/>
    <m/>
    <s v="Out"/>
    <m/>
    <m/>
    <m/>
    <m/>
    <m/>
    <m/>
    <s v="p"/>
    <d v="2020-10-01T00:00:00"/>
    <d v="2020-10-01T00:00:00"/>
    <n v="325595.24"/>
    <m/>
    <m/>
    <m/>
    <m/>
    <m/>
    <m/>
    <m/>
    <m/>
    <s v="12. Item 12"/>
    <n v="10"/>
    <x v="3"/>
    <x v="1"/>
    <n v="2020"/>
    <n v="2020"/>
    <b v="1"/>
  </r>
  <r>
    <x v="4"/>
    <m/>
    <x v="1"/>
    <s v="Centralized"/>
    <s v="In"/>
    <m/>
    <m/>
    <m/>
    <m/>
    <m/>
    <m/>
    <s v="p"/>
    <d v="2020-09-30T00:00:00"/>
    <d v="2020-09-30T00:00:00"/>
    <n v="48895000"/>
    <m/>
    <m/>
    <m/>
    <m/>
    <m/>
    <m/>
    <m/>
    <m/>
    <s v="05. Item 05"/>
    <n v="9"/>
    <x v="4"/>
    <x v="1"/>
    <n v="2020"/>
    <n v="2020"/>
    <b v="1"/>
  </r>
  <r>
    <x v="7"/>
    <m/>
    <x v="1"/>
    <s v="Centralized"/>
    <s v="Out"/>
    <m/>
    <m/>
    <m/>
    <m/>
    <m/>
    <m/>
    <s v="p"/>
    <d v="2020-09-01T00:00:00"/>
    <d v="2020-09-01T00:00:00"/>
    <n v="330476.19"/>
    <m/>
    <m/>
    <m/>
    <m/>
    <m/>
    <m/>
    <m/>
    <m/>
    <s v="08. Item 08"/>
    <n v="9"/>
    <x v="4"/>
    <x v="1"/>
    <n v="2020"/>
    <n v="2020"/>
    <b v="1"/>
  </r>
  <r>
    <x v="10"/>
    <m/>
    <x v="1"/>
    <s v="Centralized"/>
    <s v="Out"/>
    <m/>
    <m/>
    <m/>
    <m/>
    <m/>
    <m/>
    <s v="p"/>
    <d v="2020-09-01T00:00:00"/>
    <d v="2020-09-01T00:00:00"/>
    <n v="1008095.24"/>
    <m/>
    <m/>
    <m/>
    <m/>
    <m/>
    <m/>
    <m/>
    <m/>
    <s v="11. Item 11"/>
    <n v="9"/>
    <x v="4"/>
    <x v="1"/>
    <n v="2020"/>
    <n v="2020"/>
    <b v="1"/>
  </r>
  <r>
    <x v="9"/>
    <m/>
    <x v="1"/>
    <s v="Centralized"/>
    <s v="Out"/>
    <m/>
    <m/>
    <m/>
    <m/>
    <m/>
    <m/>
    <s v="p"/>
    <d v="2020-09-01T00:00:00"/>
    <d v="2020-09-01T00:00:00"/>
    <n v="105000"/>
    <m/>
    <m/>
    <m/>
    <m/>
    <m/>
    <m/>
    <m/>
    <m/>
    <s v="09. Item 09"/>
    <n v="9"/>
    <x v="4"/>
    <x v="1"/>
    <n v="2020"/>
    <n v="2020"/>
    <b v="1"/>
  </r>
  <r>
    <x v="8"/>
    <s v="10. Item 10"/>
    <x v="1"/>
    <s v="Centralized"/>
    <s v="Out"/>
    <m/>
    <m/>
    <m/>
    <m/>
    <m/>
    <m/>
    <s v="p"/>
    <d v="2020-09-01T00:00:00"/>
    <d v="2020-09-01T00:00:00"/>
    <n v="55714.29"/>
    <m/>
    <m/>
    <m/>
    <m/>
    <m/>
    <m/>
    <m/>
    <m/>
    <s v="10. Item 10"/>
    <n v="9"/>
    <x v="4"/>
    <x v="1"/>
    <n v="2020"/>
    <n v="2020"/>
    <b v="1"/>
  </r>
  <r>
    <x v="2"/>
    <s v="12. Item 12"/>
    <x v="1"/>
    <s v="Centralized"/>
    <s v="Out"/>
    <m/>
    <m/>
    <m/>
    <m/>
    <m/>
    <m/>
    <s v="p"/>
    <d v="2020-09-01T00:00:00"/>
    <d v="2020-09-01T00:00:00"/>
    <n v="303571.43"/>
    <m/>
    <m/>
    <m/>
    <m/>
    <m/>
    <m/>
    <m/>
    <m/>
    <s v="12. Item 12"/>
    <n v="9"/>
    <x v="4"/>
    <x v="1"/>
    <n v="2020"/>
    <n v="2020"/>
    <b v="1"/>
  </r>
  <r>
    <x v="16"/>
    <s v="13. Item 13"/>
    <x v="1"/>
    <s v="Centralized"/>
    <s v="Out"/>
    <m/>
    <m/>
    <m/>
    <m/>
    <m/>
    <m/>
    <s v="p"/>
    <d v="2020-09-01T00:00:00"/>
    <d v="2020-09-01T00:00:00"/>
    <n v="1119047.6200000001"/>
    <m/>
    <m/>
    <m/>
    <m/>
    <m/>
    <m/>
    <m/>
    <m/>
    <s v="13. Item 13"/>
    <n v="9"/>
    <x v="4"/>
    <x v="1"/>
    <n v="2020"/>
    <n v="2020"/>
    <b v="1"/>
  </r>
  <r>
    <x v="9"/>
    <m/>
    <x v="1"/>
    <s v="Centralized"/>
    <s v="Out"/>
    <m/>
    <m/>
    <m/>
    <m/>
    <m/>
    <m/>
    <s v="p"/>
    <d v="2020-09-01T00:00:00"/>
    <d v="2020-09-01T00:00:00"/>
    <n v="6783809.5199999996"/>
    <m/>
    <m/>
    <m/>
    <m/>
    <m/>
    <m/>
    <m/>
    <m/>
    <s v="09. Item 09"/>
    <n v="9"/>
    <x v="4"/>
    <x v="1"/>
    <n v="2020"/>
    <n v="2020"/>
    <b v="1"/>
  </r>
  <r>
    <x v="8"/>
    <s v="03. Item 03"/>
    <x v="1"/>
    <s v="Centralized"/>
    <s v="Out"/>
    <m/>
    <m/>
    <m/>
    <m/>
    <m/>
    <m/>
    <s v="p"/>
    <d v="2020-09-01T00:00:00"/>
    <d v="2020-09-01T00:00:00"/>
    <n v="1810714.29"/>
    <m/>
    <m/>
    <m/>
    <m/>
    <m/>
    <m/>
    <m/>
    <m/>
    <s v="03. Item 03"/>
    <n v="9"/>
    <x v="4"/>
    <x v="1"/>
    <n v="2020"/>
    <n v="2020"/>
    <b v="1"/>
  </r>
  <r>
    <x v="10"/>
    <m/>
    <x v="1"/>
    <s v="Centralized"/>
    <s v="Out"/>
    <m/>
    <m/>
    <m/>
    <m/>
    <m/>
    <m/>
    <s v="p"/>
    <d v="2020-09-01T00:00:00"/>
    <d v="2020-09-01T00:00:00"/>
    <n v="5670714.29"/>
    <m/>
    <m/>
    <m/>
    <m/>
    <m/>
    <m/>
    <m/>
    <m/>
    <s v="11. Item 11"/>
    <n v="9"/>
    <x v="4"/>
    <x v="1"/>
    <n v="2020"/>
    <n v="2020"/>
    <b v="1"/>
  </r>
  <r>
    <x v="0"/>
    <m/>
    <x v="1"/>
    <s v="Centralized"/>
    <s v="Out"/>
    <m/>
    <m/>
    <m/>
    <m/>
    <m/>
    <m/>
    <s v="p"/>
    <d v="2020-09-01T00:00:00"/>
    <d v="2020-09-01T00:00:00"/>
    <n v="1666666.67"/>
    <m/>
    <m/>
    <m/>
    <m/>
    <m/>
    <m/>
    <m/>
    <m/>
    <s v="01. Item 01"/>
    <n v="9"/>
    <x v="4"/>
    <x v="1"/>
    <n v="2020"/>
    <n v="2020"/>
    <b v="1"/>
  </r>
  <r>
    <x v="4"/>
    <m/>
    <x v="1"/>
    <s v="Decentralized"/>
    <s v="In"/>
    <m/>
    <m/>
    <m/>
    <m/>
    <m/>
    <m/>
    <s v="p"/>
    <d v="2020-09-01T00:00:00"/>
    <d v="2020-09-01T00:00:00"/>
    <n v="42380.95"/>
    <m/>
    <m/>
    <m/>
    <m/>
    <m/>
    <m/>
    <m/>
    <m/>
    <s v="05. Item 05"/>
    <n v="9"/>
    <x v="4"/>
    <x v="1"/>
    <n v="2020"/>
    <n v="2020"/>
    <b v="1"/>
  </r>
  <r>
    <x v="5"/>
    <m/>
    <x v="1"/>
    <s v="Decentralized"/>
    <s v="In"/>
    <m/>
    <m/>
    <m/>
    <m/>
    <m/>
    <m/>
    <s v="p"/>
    <d v="2020-09-01T00:00:00"/>
    <d v="2020-09-01T00:00:00"/>
    <n v="360000"/>
    <m/>
    <m/>
    <m/>
    <m/>
    <m/>
    <m/>
    <m/>
    <m/>
    <s v="05. Item 05"/>
    <n v="9"/>
    <x v="4"/>
    <x v="1"/>
    <n v="2020"/>
    <n v="2020"/>
    <b v="1"/>
  </r>
  <r>
    <x v="1"/>
    <m/>
    <x v="0"/>
    <m/>
    <s v="Out"/>
    <m/>
    <m/>
    <m/>
    <m/>
    <m/>
    <m/>
    <s v="p"/>
    <d v="2020-09-01T00:00:00"/>
    <d v="2020-09-01T00:00:00"/>
    <n v="7354285.71"/>
    <m/>
    <m/>
    <m/>
    <m/>
    <m/>
    <m/>
    <m/>
    <m/>
    <s v="02. Item 02"/>
    <n v="9"/>
    <x v="4"/>
    <x v="1"/>
    <n v="2020"/>
    <n v="2020"/>
    <b v="1"/>
  </r>
  <r>
    <x v="17"/>
    <m/>
    <x v="0"/>
    <m/>
    <s v="Out"/>
    <m/>
    <m/>
    <m/>
    <m/>
    <m/>
    <m/>
    <s v="p"/>
    <d v="2020-09-01T00:00:00"/>
    <d v="2020-09-01T00:00:00"/>
    <n v="48238.1"/>
    <m/>
    <m/>
    <m/>
    <m/>
    <m/>
    <m/>
    <m/>
    <m/>
    <s v="09. Item 09"/>
    <n v="9"/>
    <x v="4"/>
    <x v="1"/>
    <n v="2020"/>
    <n v="2020"/>
    <b v="1"/>
  </r>
  <r>
    <x v="18"/>
    <m/>
    <x v="0"/>
    <m/>
    <s v="Out"/>
    <m/>
    <m/>
    <m/>
    <m/>
    <m/>
    <m/>
    <s v="p"/>
    <d v="2020-09-01T00:00:00"/>
    <d v="2020-09-01T00:00:00"/>
    <n v="6622523.8099999996"/>
    <m/>
    <m/>
    <m/>
    <m/>
    <m/>
    <m/>
    <m/>
    <m/>
    <s v="15. Item 15"/>
    <n v="9"/>
    <x v="4"/>
    <x v="1"/>
    <n v="2020"/>
    <n v="2020"/>
    <b v="1"/>
  </r>
  <r>
    <x v="4"/>
    <m/>
    <x v="0"/>
    <m/>
    <s v="Out"/>
    <m/>
    <m/>
    <m/>
    <m/>
    <m/>
    <m/>
    <s v="p"/>
    <d v="2020-09-01T00:00:00"/>
    <d v="2020-09-01T00:00:00"/>
    <n v="1655238.1"/>
    <m/>
    <m/>
    <m/>
    <m/>
    <m/>
    <m/>
    <m/>
    <m/>
    <s v="05. Item 05"/>
    <n v="9"/>
    <x v="4"/>
    <x v="1"/>
    <n v="2020"/>
    <n v="2020"/>
    <b v="1"/>
  </r>
  <r>
    <x v="16"/>
    <s v="04. Item 04"/>
    <x v="0"/>
    <m/>
    <s v="Out"/>
    <m/>
    <m/>
    <m/>
    <m/>
    <m/>
    <m/>
    <s v="p"/>
    <d v="2020-09-01T00:00:00"/>
    <d v="2020-09-01T00:00:00"/>
    <n v="9599880.9499999993"/>
    <m/>
    <m/>
    <m/>
    <m/>
    <m/>
    <m/>
    <m/>
    <m/>
    <s v="04. Item 04"/>
    <n v="9"/>
    <x v="4"/>
    <x v="1"/>
    <n v="2020"/>
    <n v="2020"/>
    <b v="1"/>
  </r>
  <r>
    <x v="19"/>
    <m/>
    <x v="0"/>
    <m/>
    <s v="Out"/>
    <m/>
    <m/>
    <m/>
    <m/>
    <m/>
    <m/>
    <s v="p"/>
    <d v="2020-09-01T00:00:00"/>
    <d v="2020-09-01T00:00:00"/>
    <n v="5652904.7599999998"/>
    <m/>
    <m/>
    <m/>
    <m/>
    <m/>
    <m/>
    <m/>
    <m/>
    <s v="_2. Item _2"/>
    <n v="9"/>
    <x v="4"/>
    <x v="1"/>
    <n v="2020"/>
    <n v="2020"/>
    <b v="1"/>
  </r>
  <r>
    <x v="6"/>
    <m/>
    <x v="0"/>
    <m/>
    <s v="Out"/>
    <m/>
    <m/>
    <m/>
    <m/>
    <m/>
    <m/>
    <s v="p"/>
    <d v="2020-09-01T00:00:00"/>
    <d v="2020-09-01T00:00:00"/>
    <n v="40023.81"/>
    <m/>
    <m/>
    <m/>
    <m/>
    <m/>
    <m/>
    <m/>
    <m/>
    <s v="07. Item 07"/>
    <n v="9"/>
    <x v="4"/>
    <x v="1"/>
    <n v="2020"/>
    <n v="2020"/>
    <b v="1"/>
  </r>
  <r>
    <x v="5"/>
    <m/>
    <x v="0"/>
    <m/>
    <s v="Out"/>
    <m/>
    <m/>
    <m/>
    <m/>
    <m/>
    <m/>
    <s v="p"/>
    <d v="2020-09-01T00:00:00"/>
    <d v="2020-09-01T00:00:00"/>
    <n v="118928.57"/>
    <m/>
    <m/>
    <m/>
    <m/>
    <m/>
    <m/>
    <m/>
    <m/>
    <s v="05. Item 05"/>
    <n v="9"/>
    <x v="4"/>
    <x v="1"/>
    <n v="2020"/>
    <n v="2020"/>
    <b v="1"/>
  </r>
  <r>
    <x v="0"/>
    <s v="12. Item 12"/>
    <x v="0"/>
    <m/>
    <s v="Out"/>
    <m/>
    <m/>
    <m/>
    <m/>
    <m/>
    <m/>
    <s v="p"/>
    <d v="2020-09-01T00:00:00"/>
    <d v="2020-09-01T00:00:00"/>
    <n v="484261.9"/>
    <m/>
    <m/>
    <m/>
    <m/>
    <m/>
    <m/>
    <m/>
    <m/>
    <s v="12. Item 12"/>
    <n v="9"/>
    <x v="4"/>
    <x v="1"/>
    <n v="2020"/>
    <n v="2020"/>
    <b v="1"/>
  </r>
  <r>
    <x v="1"/>
    <m/>
    <x v="1"/>
    <s v="Centralized"/>
    <s v="Out"/>
    <m/>
    <m/>
    <m/>
    <m/>
    <m/>
    <m/>
    <s v="p"/>
    <d v="2020-09-01T00:00:00"/>
    <d v="2020-09-01T00:00:00"/>
    <n v="456190.48"/>
    <m/>
    <m/>
    <m/>
    <m/>
    <m/>
    <m/>
    <m/>
    <m/>
    <s v="02. Item 02"/>
    <n v="9"/>
    <x v="4"/>
    <x v="1"/>
    <n v="2020"/>
    <n v="2020"/>
    <b v="1"/>
  </r>
  <r>
    <x v="3"/>
    <m/>
    <x v="1"/>
    <s v="Centralized"/>
    <s v="In"/>
    <m/>
    <m/>
    <m/>
    <m/>
    <m/>
    <m/>
    <s v="p"/>
    <d v="2020-08-31T00:00:00"/>
    <d v="2020-08-31T00:00:00"/>
    <n v="48345952.380000003"/>
    <m/>
    <m/>
    <m/>
    <m/>
    <m/>
    <m/>
    <m/>
    <m/>
    <s v="04. Item 04"/>
    <n v="8"/>
    <x v="5"/>
    <x v="1"/>
    <n v="2020"/>
    <n v="2020"/>
    <b v="1"/>
  </r>
  <r>
    <x v="4"/>
    <m/>
    <x v="0"/>
    <m/>
    <s v="Out"/>
    <m/>
    <m/>
    <m/>
    <m/>
    <m/>
    <m/>
    <s v="f"/>
    <d v="2020-08-14T00:00:00"/>
    <d v="2020-08-25T00:00:00"/>
    <m/>
    <n v="70190.48"/>
    <m/>
    <m/>
    <m/>
    <m/>
    <m/>
    <m/>
    <m/>
    <s v="05. Item 05"/>
    <n v="8"/>
    <x v="5"/>
    <x v="1"/>
    <n v="2020"/>
    <n v="2020"/>
    <b v="1"/>
  </r>
  <r>
    <x v="10"/>
    <s v="03. Item 03"/>
    <x v="1"/>
    <s v="Centralized"/>
    <s v="Out"/>
    <m/>
    <m/>
    <m/>
    <m/>
    <m/>
    <m/>
    <s v="p"/>
    <d v="2020-08-01T00:00:00"/>
    <d v="2020-08-01T00:00:00"/>
    <n v="1809523.81"/>
    <m/>
    <m/>
    <m/>
    <m/>
    <m/>
    <m/>
    <m/>
    <m/>
    <s v="03. Item 03"/>
    <n v="8"/>
    <x v="5"/>
    <x v="1"/>
    <n v="2020"/>
    <n v="2020"/>
    <b v="1"/>
  </r>
  <r>
    <x v="9"/>
    <m/>
    <x v="1"/>
    <s v="Centralized"/>
    <s v="Out"/>
    <m/>
    <m/>
    <m/>
    <m/>
    <m/>
    <m/>
    <s v="p"/>
    <d v="2020-08-01T00:00:00"/>
    <d v="2020-08-01T00:00:00"/>
    <n v="64285.71"/>
    <m/>
    <m/>
    <m/>
    <m/>
    <m/>
    <m/>
    <m/>
    <m/>
    <s v="09. Item 09"/>
    <n v="8"/>
    <x v="5"/>
    <x v="1"/>
    <n v="2020"/>
    <n v="2020"/>
    <b v="1"/>
  </r>
  <r>
    <x v="8"/>
    <m/>
    <x v="1"/>
    <s v="Centralized"/>
    <s v="Out"/>
    <m/>
    <m/>
    <m/>
    <m/>
    <m/>
    <m/>
    <s v="p"/>
    <d v="2020-02-01T00:00:00"/>
    <d v="2020-02-01T00:00:00"/>
    <n v="3333333.33"/>
    <m/>
    <m/>
    <m/>
    <m/>
    <m/>
    <m/>
    <m/>
    <m/>
    <s v="09. Item 09"/>
    <n v="2"/>
    <x v="6"/>
    <x v="1"/>
    <n v="2020"/>
    <n v="2020"/>
    <b v="1"/>
  </r>
  <r>
    <x v="20"/>
    <m/>
    <x v="1"/>
    <s v="Centralized"/>
    <s v="Out"/>
    <m/>
    <m/>
    <m/>
    <m/>
    <m/>
    <m/>
    <s v="p"/>
    <d v="2020-08-01T00:00:00"/>
    <d v="2020-08-01T00:00:00"/>
    <n v="130952.38"/>
    <m/>
    <m/>
    <m/>
    <m/>
    <m/>
    <m/>
    <m/>
    <m/>
    <s v="14. Item 14"/>
    <n v="8"/>
    <x v="5"/>
    <x v="1"/>
    <n v="2020"/>
    <n v="2020"/>
    <b v="1"/>
  </r>
  <r>
    <x v="6"/>
    <m/>
    <x v="1"/>
    <s v="Centralized"/>
    <s v="Out"/>
    <m/>
    <m/>
    <m/>
    <m/>
    <m/>
    <m/>
    <s v="p"/>
    <d v="2020-08-01T00:00:00"/>
    <d v="2020-08-01T00:00:00"/>
    <n v="2135952.38"/>
    <m/>
    <m/>
    <m/>
    <m/>
    <m/>
    <m/>
    <m/>
    <m/>
    <s v="07. Item 07"/>
    <n v="8"/>
    <x v="5"/>
    <x v="1"/>
    <n v="2020"/>
    <n v="2020"/>
    <b v="1"/>
  </r>
  <r>
    <x v="16"/>
    <m/>
    <x v="1"/>
    <s v="Centralized"/>
    <s v="Out"/>
    <m/>
    <m/>
    <m/>
    <m/>
    <m/>
    <m/>
    <s v="p"/>
    <d v="2020-08-01T00:00:00"/>
    <d v="2020-08-01T00:00:00"/>
    <n v="29523.81"/>
    <m/>
    <m/>
    <m/>
    <m/>
    <m/>
    <m/>
    <m/>
    <m/>
    <s v="_1. Item _1"/>
    <n v="8"/>
    <x v="5"/>
    <x v="1"/>
    <n v="2020"/>
    <n v="2020"/>
    <b v="1"/>
  </r>
  <r>
    <x v="5"/>
    <s v="10. Item 10"/>
    <x v="1"/>
    <s v="Centralized"/>
    <s v="Out"/>
    <m/>
    <m/>
    <m/>
    <m/>
    <m/>
    <m/>
    <s v="p"/>
    <d v="2020-08-01T00:00:00"/>
    <d v="2020-08-01T00:00:00"/>
    <n v="88095.24"/>
    <m/>
    <m/>
    <m/>
    <m/>
    <m/>
    <m/>
    <m/>
    <m/>
    <s v="10. Item 10"/>
    <n v="8"/>
    <x v="5"/>
    <x v="1"/>
    <n v="2020"/>
    <n v="2020"/>
    <b v="1"/>
  </r>
  <r>
    <x v="2"/>
    <s v="12. Item 12"/>
    <x v="1"/>
    <s v="Centralized"/>
    <s v="Out"/>
    <m/>
    <m/>
    <m/>
    <m/>
    <m/>
    <m/>
    <s v="p"/>
    <d v="2020-08-01T00:00:00"/>
    <d v="2020-08-01T00:00:00"/>
    <n v="569285.71"/>
    <m/>
    <m/>
    <m/>
    <m/>
    <m/>
    <m/>
    <m/>
    <m/>
    <s v="12. Item 12"/>
    <n v="8"/>
    <x v="5"/>
    <x v="1"/>
    <n v="2020"/>
    <n v="2020"/>
    <b v="1"/>
  </r>
  <r>
    <x v="5"/>
    <s v="13. Item 13"/>
    <x v="1"/>
    <s v="Centralized"/>
    <s v="Out"/>
    <m/>
    <m/>
    <m/>
    <m/>
    <m/>
    <m/>
    <s v="p"/>
    <d v="2020-08-01T00:00:00"/>
    <d v="2020-08-01T00:00:00"/>
    <n v="1166666.67"/>
    <m/>
    <m/>
    <m/>
    <m/>
    <m/>
    <m/>
    <m/>
    <m/>
    <s v="13. Item 13"/>
    <n v="8"/>
    <x v="5"/>
    <x v="1"/>
    <n v="2020"/>
    <n v="2020"/>
    <b v="1"/>
  </r>
  <r>
    <x v="15"/>
    <m/>
    <x v="1"/>
    <s v="Centralized"/>
    <s v="Out"/>
    <m/>
    <m/>
    <m/>
    <m/>
    <m/>
    <m/>
    <s v="p"/>
    <d v="2020-08-01T00:00:00"/>
    <d v="2020-08-01T00:00:00"/>
    <n v="11190476.189999999"/>
    <m/>
    <m/>
    <m/>
    <m/>
    <m/>
    <m/>
    <m/>
    <m/>
    <s v="06. Item 06"/>
    <n v="8"/>
    <x v="5"/>
    <x v="1"/>
    <n v="2020"/>
    <n v="2020"/>
    <b v="1"/>
  </r>
  <r>
    <x v="6"/>
    <m/>
    <x v="1"/>
    <s v="Centralized"/>
    <s v="Out"/>
    <m/>
    <m/>
    <m/>
    <m/>
    <m/>
    <m/>
    <s v="p"/>
    <d v="2020-08-01T00:00:00"/>
    <d v="2020-08-01T00:00:00"/>
    <n v="2190476.19"/>
    <m/>
    <m/>
    <m/>
    <m/>
    <m/>
    <m/>
    <m/>
    <m/>
    <s v="07. Item 07"/>
    <n v="8"/>
    <x v="5"/>
    <x v="1"/>
    <n v="2020"/>
    <n v="2020"/>
    <b v="1"/>
  </r>
  <r>
    <x v="9"/>
    <m/>
    <x v="1"/>
    <s v="Centralized"/>
    <s v="Out"/>
    <m/>
    <m/>
    <m/>
    <m/>
    <m/>
    <m/>
    <s v="p"/>
    <d v="2020-08-01T00:00:00"/>
    <d v="2020-08-01T00:00:00"/>
    <n v="171428.57"/>
    <m/>
    <m/>
    <m/>
    <m/>
    <m/>
    <m/>
    <m/>
    <m/>
    <s v="09. Item 09"/>
    <n v="8"/>
    <x v="5"/>
    <x v="1"/>
    <n v="2020"/>
    <n v="2020"/>
    <b v="1"/>
  </r>
  <r>
    <x v="8"/>
    <m/>
    <x v="1"/>
    <s v="Centralized"/>
    <s v="Out"/>
    <m/>
    <m/>
    <m/>
    <m/>
    <m/>
    <m/>
    <s v="p"/>
    <d v="2020-08-01T00:00:00"/>
    <d v="2020-08-01T00:00:00"/>
    <n v="25952.38"/>
    <m/>
    <m/>
    <m/>
    <m/>
    <m/>
    <m/>
    <m/>
    <m/>
    <s v="09. Item 09"/>
    <n v="8"/>
    <x v="5"/>
    <x v="1"/>
    <n v="2020"/>
    <n v="2020"/>
    <b v="1"/>
  </r>
  <r>
    <x v="10"/>
    <m/>
    <x v="1"/>
    <s v="Centralized"/>
    <s v="Out"/>
    <m/>
    <m/>
    <m/>
    <m/>
    <m/>
    <m/>
    <s v="p"/>
    <d v="2020-08-01T00:00:00"/>
    <d v="2020-08-01T00:00:00"/>
    <n v="3095.24"/>
    <m/>
    <m/>
    <m/>
    <m/>
    <m/>
    <m/>
    <m/>
    <m/>
    <s v="11. Item 11"/>
    <n v="8"/>
    <x v="5"/>
    <x v="1"/>
    <n v="2020"/>
    <n v="2020"/>
    <b v="1"/>
  </r>
  <r>
    <x v="0"/>
    <m/>
    <x v="0"/>
    <m/>
    <s v="Out"/>
    <m/>
    <m/>
    <m/>
    <m/>
    <m/>
    <m/>
    <s v="p"/>
    <d v="2020-08-01T00:00:00"/>
    <d v="2020-08-01T00:00:00"/>
    <n v="6820000"/>
    <m/>
    <m/>
    <m/>
    <m/>
    <m/>
    <m/>
    <m/>
    <m/>
    <s v="01. Item 01"/>
    <n v="8"/>
    <x v="5"/>
    <x v="1"/>
    <n v="2020"/>
    <n v="2020"/>
    <b v="1"/>
  </r>
  <r>
    <x v="1"/>
    <m/>
    <x v="0"/>
    <m/>
    <s v="Out"/>
    <m/>
    <m/>
    <m/>
    <m/>
    <m/>
    <m/>
    <s v="p"/>
    <d v="2020-02-01T00:00:00"/>
    <d v="2020-02-01T00:00:00"/>
    <n v="3591261.9"/>
    <m/>
    <m/>
    <m/>
    <m/>
    <m/>
    <m/>
    <m/>
    <m/>
    <s v="02. Item 02"/>
    <n v="2"/>
    <x v="6"/>
    <x v="1"/>
    <n v="2020"/>
    <n v="2020"/>
    <b v="1"/>
  </r>
  <r>
    <x v="20"/>
    <m/>
    <x v="0"/>
    <m/>
    <s v="Out"/>
    <m/>
    <m/>
    <m/>
    <m/>
    <m/>
    <m/>
    <s v="p"/>
    <d v="2020-08-01T00:00:00"/>
    <d v="2020-08-01T00:00:00"/>
    <n v="48238.1"/>
    <m/>
    <m/>
    <m/>
    <m/>
    <m/>
    <m/>
    <m/>
    <m/>
    <s v="14. Item 14"/>
    <n v="8"/>
    <x v="5"/>
    <x v="1"/>
    <n v="2020"/>
    <n v="2020"/>
    <b v="1"/>
  </r>
  <r>
    <x v="7"/>
    <m/>
    <x v="0"/>
    <m/>
    <s v="Out"/>
    <m/>
    <m/>
    <m/>
    <m/>
    <m/>
    <m/>
    <s v="p"/>
    <d v="2020-08-01T00:00:00"/>
    <d v="2020-08-01T00:00:00"/>
    <n v="11230809.52"/>
    <m/>
    <m/>
    <m/>
    <m/>
    <m/>
    <m/>
    <m/>
    <m/>
    <s v="08. Item 08"/>
    <n v="8"/>
    <x v="5"/>
    <x v="1"/>
    <n v="2020"/>
    <n v="2020"/>
    <b v="1"/>
  </r>
  <r>
    <x v="17"/>
    <m/>
    <x v="0"/>
    <m/>
    <s v="Out"/>
    <m/>
    <m/>
    <m/>
    <m/>
    <m/>
    <m/>
    <s v="p"/>
    <d v="2020-08-01T00:00:00"/>
    <d v="2020-08-01T00:00:00"/>
    <n v="3104523.81"/>
    <m/>
    <m/>
    <m/>
    <m/>
    <m/>
    <m/>
    <m/>
    <m/>
    <s v="09. Item 09"/>
    <n v="8"/>
    <x v="5"/>
    <x v="1"/>
    <n v="2020"/>
    <n v="2020"/>
    <b v="1"/>
  </r>
  <r>
    <x v="4"/>
    <s v="04. Item 04"/>
    <x v="0"/>
    <m/>
    <s v="Out"/>
    <m/>
    <m/>
    <m/>
    <m/>
    <m/>
    <m/>
    <s v="p"/>
    <d v="2020-08-01T00:00:00"/>
    <d v="2020-08-01T00:00:00"/>
    <n v="4457214.29"/>
    <m/>
    <m/>
    <m/>
    <m/>
    <m/>
    <m/>
    <m/>
    <m/>
    <s v="04. Item 04"/>
    <n v="8"/>
    <x v="5"/>
    <x v="1"/>
    <n v="2020"/>
    <n v="2020"/>
    <b v="1"/>
  </r>
  <r>
    <x v="16"/>
    <m/>
    <x v="0"/>
    <m/>
    <s v="Out"/>
    <m/>
    <m/>
    <m/>
    <m/>
    <m/>
    <m/>
    <s v="p"/>
    <d v="2020-08-01T00:00:00"/>
    <d v="2020-08-01T00:00:00"/>
    <n v="5652904.7599999998"/>
    <m/>
    <m/>
    <m/>
    <m/>
    <m/>
    <m/>
    <m/>
    <m/>
    <s v="_1. Item _1"/>
    <n v="8"/>
    <x v="5"/>
    <x v="1"/>
    <n v="2020"/>
    <n v="2020"/>
    <b v="1"/>
  </r>
  <r>
    <x v="19"/>
    <m/>
    <x v="0"/>
    <m/>
    <s v="Out"/>
    <m/>
    <m/>
    <m/>
    <m/>
    <m/>
    <m/>
    <s v="p"/>
    <d v="2020-08-01T00:00:00"/>
    <d v="2020-08-01T00:00:00"/>
    <n v="40023.81"/>
    <m/>
    <m/>
    <m/>
    <m/>
    <m/>
    <m/>
    <m/>
    <m/>
    <s v="_2. Item _2"/>
    <n v="8"/>
    <x v="5"/>
    <x v="1"/>
    <n v="2020"/>
    <n v="2020"/>
    <b v="1"/>
  </r>
  <r>
    <x v="6"/>
    <m/>
    <x v="0"/>
    <m/>
    <s v="Out"/>
    <m/>
    <m/>
    <m/>
    <m/>
    <m/>
    <m/>
    <s v="p"/>
    <d v="2020-08-01T00:00:00"/>
    <d v="2020-08-01T00:00:00"/>
    <n v="118928.57"/>
    <m/>
    <m/>
    <m/>
    <m/>
    <m/>
    <m/>
    <m/>
    <m/>
    <s v="07. Item 07"/>
    <n v="8"/>
    <x v="5"/>
    <x v="1"/>
    <n v="2020"/>
    <n v="2020"/>
    <b v="1"/>
  </r>
  <r>
    <x v="15"/>
    <m/>
    <x v="0"/>
    <m/>
    <s v="Out"/>
    <m/>
    <m/>
    <m/>
    <m/>
    <m/>
    <m/>
    <s v="p"/>
    <d v="2020-08-01T00:00:00"/>
    <d v="2020-08-01T00:00:00"/>
    <n v="5544380.9500000002"/>
    <m/>
    <m/>
    <m/>
    <m/>
    <m/>
    <m/>
    <m/>
    <m/>
    <s v="06. Item 06"/>
    <n v="8"/>
    <x v="5"/>
    <x v="1"/>
    <n v="2020"/>
    <n v="2020"/>
    <b v="1"/>
  </r>
  <r>
    <x v="5"/>
    <s v="12. Item 12"/>
    <x v="0"/>
    <m/>
    <s v="Out"/>
    <m/>
    <m/>
    <m/>
    <m/>
    <m/>
    <m/>
    <s v="p"/>
    <d v="2020-08-01T00:00:00"/>
    <d v="2020-08-01T00:00:00"/>
    <n v="484261.9"/>
    <m/>
    <m/>
    <m/>
    <m/>
    <m/>
    <m/>
    <m/>
    <m/>
    <s v="12. Item 12"/>
    <n v="8"/>
    <x v="5"/>
    <x v="1"/>
    <n v="2020"/>
    <n v="2020"/>
    <b v="1"/>
  </r>
  <r>
    <x v="0"/>
    <m/>
    <x v="0"/>
    <m/>
    <s v="Out"/>
    <m/>
    <m/>
    <m/>
    <m/>
    <m/>
    <m/>
    <s v="f"/>
    <d v="2020-02-01T00:00:00"/>
    <d v="2020-02-01T00:00:00"/>
    <m/>
    <n v="3985523.81"/>
    <m/>
    <m/>
    <m/>
    <m/>
    <m/>
    <m/>
    <m/>
    <s v="01. Item 01"/>
    <n v="2"/>
    <x v="6"/>
    <x v="1"/>
    <n v="2020"/>
    <n v="2020"/>
    <b v="1"/>
  </r>
  <r>
    <x v="1"/>
    <m/>
    <x v="1"/>
    <s v="Centralized"/>
    <s v="In"/>
    <m/>
    <m/>
    <m/>
    <m/>
    <m/>
    <m/>
    <s v="p"/>
    <d v="2020-07-30T00:00:00"/>
    <d v="2020-07-30T00:00:00"/>
    <n v="38109761.899999999"/>
    <m/>
    <m/>
    <m/>
    <m/>
    <m/>
    <m/>
    <m/>
    <m/>
    <s v="02. Item 02"/>
    <n v="7"/>
    <x v="7"/>
    <x v="1"/>
    <n v="2020"/>
    <n v="2020"/>
    <b v="1"/>
  </r>
  <r>
    <x v="2"/>
    <s v="03. Item 03"/>
    <x v="1"/>
    <s v="Centralized"/>
    <s v="Out"/>
    <m/>
    <m/>
    <m/>
    <m/>
    <m/>
    <m/>
    <s v="p"/>
    <d v="2020-07-01T00:00:00"/>
    <d v="2020-07-01T00:00:00"/>
    <n v="2406755.5499999998"/>
    <m/>
    <m/>
    <m/>
    <m/>
    <m/>
    <m/>
    <m/>
    <m/>
    <s v="03. Item 03"/>
    <n v="7"/>
    <x v="7"/>
    <x v="1"/>
    <n v="2020"/>
    <n v="2020"/>
    <b v="1"/>
  </r>
  <r>
    <x v="3"/>
    <m/>
    <x v="1"/>
    <s v="Centralized"/>
    <s v="Out"/>
    <m/>
    <m/>
    <m/>
    <m/>
    <m/>
    <m/>
    <s v="p"/>
    <d v="2020-07-01T00:00:00"/>
    <d v="2020-07-01T00:00:00"/>
    <n v="5872380.9500000002"/>
    <m/>
    <m/>
    <m/>
    <m/>
    <m/>
    <m/>
    <m/>
    <m/>
    <s v="04. Item 04"/>
    <n v="7"/>
    <x v="7"/>
    <x v="1"/>
    <n v="2020"/>
    <n v="2020"/>
    <b v="1"/>
  </r>
  <r>
    <x v="4"/>
    <m/>
    <x v="1"/>
    <s v="Centralized"/>
    <s v="Out"/>
    <m/>
    <m/>
    <m/>
    <m/>
    <m/>
    <m/>
    <s v="p"/>
    <d v="2020-07-01T00:00:00"/>
    <d v="2020-07-01T00:00:00"/>
    <n v="60476.19"/>
    <m/>
    <m/>
    <m/>
    <m/>
    <m/>
    <m/>
    <m/>
    <m/>
    <s v="05. Item 05"/>
    <n v="7"/>
    <x v="7"/>
    <x v="1"/>
    <n v="2020"/>
    <n v="2020"/>
    <b v="1"/>
  </r>
  <r>
    <x v="10"/>
    <m/>
    <x v="1"/>
    <s v="Centralized"/>
    <s v="Out"/>
    <m/>
    <m/>
    <m/>
    <m/>
    <m/>
    <m/>
    <s v="p"/>
    <d v="2020-07-01T00:00:00"/>
    <d v="2020-07-01T00:00:00"/>
    <n v="7214285.71"/>
    <m/>
    <m/>
    <m/>
    <m/>
    <m/>
    <m/>
    <m/>
    <m/>
    <s v="11. Item 11"/>
    <n v="7"/>
    <x v="7"/>
    <x v="1"/>
    <n v="2020"/>
    <n v="2020"/>
    <b v="1"/>
  </r>
  <r>
    <x v="9"/>
    <m/>
    <x v="1"/>
    <s v="Centralized"/>
    <s v="Out"/>
    <m/>
    <m/>
    <m/>
    <m/>
    <m/>
    <m/>
    <s v="p"/>
    <d v="2020-07-01T00:00:00"/>
    <d v="2020-07-01T00:00:00"/>
    <n v="343333.33"/>
    <m/>
    <m/>
    <m/>
    <m/>
    <m/>
    <m/>
    <m/>
    <m/>
    <s v="09. Item 09"/>
    <n v="7"/>
    <x v="7"/>
    <x v="1"/>
    <n v="2020"/>
    <n v="2020"/>
    <b v="1"/>
  </r>
  <r>
    <x v="8"/>
    <m/>
    <x v="1"/>
    <s v="Centralized"/>
    <s v="Out"/>
    <m/>
    <m/>
    <m/>
    <m/>
    <m/>
    <m/>
    <s v="p"/>
    <d v="2020-07-01T00:00:00"/>
    <d v="2020-07-01T00:00:00"/>
    <n v="4714285.71"/>
    <m/>
    <m/>
    <m/>
    <m/>
    <m/>
    <m/>
    <m/>
    <m/>
    <s v="09. Item 09"/>
    <n v="7"/>
    <x v="7"/>
    <x v="1"/>
    <n v="2020"/>
    <n v="2020"/>
    <b v="1"/>
  </r>
  <r>
    <x v="21"/>
    <s v="10. Item 10"/>
    <x v="1"/>
    <s v="Centralized"/>
    <s v="Out"/>
    <m/>
    <m/>
    <m/>
    <m/>
    <m/>
    <m/>
    <s v="p"/>
    <d v="2020-07-01T00:00:00"/>
    <d v="2020-07-01T00:00:00"/>
    <n v="211904.76"/>
    <m/>
    <m/>
    <m/>
    <m/>
    <m/>
    <m/>
    <m/>
    <m/>
    <s v="10. Item 10"/>
    <n v="7"/>
    <x v="7"/>
    <x v="1"/>
    <n v="2020"/>
    <n v="2020"/>
    <b v="1"/>
  </r>
  <r>
    <x v="15"/>
    <s v="12. Item 12"/>
    <x v="1"/>
    <s v="Centralized"/>
    <s v="Out"/>
    <m/>
    <m/>
    <m/>
    <m/>
    <m/>
    <m/>
    <s v="p"/>
    <d v="2020-07-01T00:00:00"/>
    <d v="2020-07-01T00:00:00"/>
    <n v="285714.28999999998"/>
    <m/>
    <m/>
    <m/>
    <m/>
    <m/>
    <m/>
    <m/>
    <m/>
    <s v="12. Item 12"/>
    <n v="7"/>
    <x v="7"/>
    <x v="1"/>
    <n v="2020"/>
    <n v="2020"/>
    <b v="1"/>
  </r>
  <r>
    <x v="16"/>
    <s v="13. Item 13"/>
    <x v="1"/>
    <s v="Centralized"/>
    <s v="Out"/>
    <m/>
    <m/>
    <m/>
    <m/>
    <m/>
    <m/>
    <s v="p"/>
    <d v="2020-07-01T00:00:00"/>
    <d v="2020-07-01T00:00:00"/>
    <n v="2392857.14"/>
    <m/>
    <m/>
    <m/>
    <m/>
    <m/>
    <m/>
    <m/>
    <m/>
    <s v="13. Item 13"/>
    <n v="7"/>
    <x v="7"/>
    <x v="1"/>
    <n v="2020"/>
    <n v="2020"/>
    <b v="1"/>
  </r>
  <r>
    <x v="4"/>
    <m/>
    <x v="1"/>
    <s v="Centralized"/>
    <s v="Out"/>
    <m/>
    <m/>
    <m/>
    <m/>
    <m/>
    <m/>
    <s v="p"/>
    <d v="2020-07-01T00:00:00"/>
    <d v="2020-07-01T00:00:00"/>
    <n v="2261904.7599999998"/>
    <m/>
    <m/>
    <m/>
    <m/>
    <m/>
    <m/>
    <m/>
    <m/>
    <s v="05. Item 05"/>
    <n v="7"/>
    <x v="7"/>
    <x v="1"/>
    <n v="2020"/>
    <n v="2020"/>
    <b v="1"/>
  </r>
  <r>
    <x v="5"/>
    <m/>
    <x v="1"/>
    <s v="Centralized"/>
    <s v="Out"/>
    <m/>
    <m/>
    <m/>
    <m/>
    <m/>
    <m/>
    <s v="p"/>
    <d v="2020-07-01T00:00:00"/>
    <d v="2020-07-01T00:00:00"/>
    <n v="300000"/>
    <m/>
    <m/>
    <m/>
    <m/>
    <m/>
    <m/>
    <m/>
    <m/>
    <s v="05. Item 05"/>
    <n v="7"/>
    <x v="7"/>
    <x v="1"/>
    <n v="2020"/>
    <n v="2020"/>
    <b v="1"/>
  </r>
  <r>
    <x v="6"/>
    <m/>
    <x v="1"/>
    <s v="Centralized"/>
    <s v="Out"/>
    <m/>
    <m/>
    <m/>
    <m/>
    <m/>
    <m/>
    <s v="p"/>
    <d v="2020-07-01T00:00:00"/>
    <d v="2020-07-01T00:00:00"/>
    <n v="116904.76"/>
    <m/>
    <m/>
    <m/>
    <m/>
    <m/>
    <m/>
    <m/>
    <m/>
    <s v="07. Item 07"/>
    <n v="7"/>
    <x v="7"/>
    <x v="1"/>
    <n v="2020"/>
    <n v="2020"/>
    <b v="1"/>
  </r>
  <r>
    <x v="9"/>
    <m/>
    <x v="1"/>
    <s v="Decentralized"/>
    <s v="Out"/>
    <m/>
    <m/>
    <m/>
    <m/>
    <m/>
    <m/>
    <s v="p"/>
    <d v="2020-07-01T00:00:00"/>
    <d v="2020-07-01T00:00:00"/>
    <n v="673809.52"/>
    <m/>
    <m/>
    <m/>
    <m/>
    <m/>
    <m/>
    <m/>
    <m/>
    <s v="09. Item 09"/>
    <n v="7"/>
    <x v="7"/>
    <x v="1"/>
    <n v="2020"/>
    <n v="2020"/>
    <b v="1"/>
  </r>
  <r>
    <x v="8"/>
    <m/>
    <x v="1"/>
    <s v="Decentralized"/>
    <s v="In"/>
    <m/>
    <m/>
    <m/>
    <m/>
    <m/>
    <m/>
    <s v="p"/>
    <d v="2020-07-01T00:00:00"/>
    <d v="2020-07-01T00:00:00"/>
    <n v="40714.29"/>
    <m/>
    <m/>
    <m/>
    <m/>
    <m/>
    <m/>
    <m/>
    <m/>
    <s v="09. Item 09"/>
    <n v="7"/>
    <x v="7"/>
    <x v="1"/>
    <n v="2020"/>
    <n v="2020"/>
    <b v="1"/>
  </r>
  <r>
    <x v="10"/>
    <m/>
    <x v="1"/>
    <s v="Decentralized"/>
    <s v="In"/>
    <m/>
    <m/>
    <m/>
    <m/>
    <m/>
    <m/>
    <s v="p"/>
    <d v="2020-07-01T00:00:00"/>
    <d v="2020-07-01T00:00:00"/>
    <n v="633095.24"/>
    <m/>
    <m/>
    <m/>
    <m/>
    <m/>
    <m/>
    <m/>
    <m/>
    <s v="11. Item 11"/>
    <n v="7"/>
    <x v="7"/>
    <x v="1"/>
    <n v="2020"/>
    <n v="2020"/>
    <b v="1"/>
  </r>
  <r>
    <x v="0"/>
    <m/>
    <x v="0"/>
    <m/>
    <s v="Out"/>
    <m/>
    <m/>
    <m/>
    <m/>
    <m/>
    <m/>
    <s v="p"/>
    <d v="2020-07-01T00:00:00"/>
    <d v="2020-07-01T00:00:00"/>
    <n v="8805690.4800000004"/>
    <m/>
    <m/>
    <m/>
    <m/>
    <m/>
    <m/>
    <m/>
    <m/>
    <s v="01. Item 01"/>
    <n v="7"/>
    <x v="7"/>
    <x v="1"/>
    <n v="2020"/>
    <n v="2020"/>
    <b v="1"/>
  </r>
  <r>
    <x v="1"/>
    <m/>
    <x v="0"/>
    <m/>
    <s v="Out"/>
    <m/>
    <m/>
    <m/>
    <m/>
    <m/>
    <m/>
    <s v="p"/>
    <d v="2020-07-01T00:00:00"/>
    <d v="2020-07-01T00:00:00"/>
    <n v="2171428.5699999998"/>
    <m/>
    <m/>
    <m/>
    <m/>
    <m/>
    <m/>
    <m/>
    <m/>
    <s v="02. Item 02"/>
    <n v="7"/>
    <x v="7"/>
    <x v="1"/>
    <n v="2020"/>
    <n v="2020"/>
    <b v="1"/>
  </r>
  <r>
    <x v="20"/>
    <s v="04. Item 04"/>
    <x v="0"/>
    <m/>
    <s v="Out"/>
    <m/>
    <m/>
    <m/>
    <m/>
    <m/>
    <m/>
    <s v="p"/>
    <d v="2020-07-01T00:00:00"/>
    <d v="2020-07-01T00:00:00"/>
    <n v="5612904.7599999998"/>
    <m/>
    <m/>
    <m/>
    <m/>
    <m/>
    <m/>
    <m/>
    <m/>
    <s v="04. Item 04"/>
    <n v="7"/>
    <x v="7"/>
    <x v="1"/>
    <n v="2020"/>
    <n v="2020"/>
    <b v="1"/>
  </r>
  <r>
    <x v="7"/>
    <m/>
    <x v="0"/>
    <m/>
    <s v="Out"/>
    <m/>
    <m/>
    <m/>
    <m/>
    <m/>
    <m/>
    <s v="p"/>
    <d v="2020-07-01T00:00:00"/>
    <d v="2020-07-01T00:00:00"/>
    <n v="5652904.7599999998"/>
    <m/>
    <m/>
    <m/>
    <m/>
    <m/>
    <m/>
    <m/>
    <m/>
    <s v="08. Item 08"/>
    <n v="7"/>
    <x v="7"/>
    <x v="1"/>
    <n v="2020"/>
    <n v="2020"/>
    <b v="1"/>
  </r>
  <r>
    <x v="4"/>
    <m/>
    <x v="0"/>
    <m/>
    <s v="Out"/>
    <m/>
    <m/>
    <m/>
    <m/>
    <m/>
    <m/>
    <s v="p"/>
    <d v="2020-07-01T00:00:00"/>
    <d v="2020-07-01T00:00:00"/>
    <n v="21476.19"/>
    <m/>
    <m/>
    <m/>
    <m/>
    <m/>
    <m/>
    <m/>
    <m/>
    <s v="05. Item 05"/>
    <n v="7"/>
    <x v="7"/>
    <x v="1"/>
    <n v="2020"/>
    <n v="2020"/>
    <b v="1"/>
  </r>
  <r>
    <x v="16"/>
    <m/>
    <x v="0"/>
    <m/>
    <s v="Out"/>
    <m/>
    <m/>
    <m/>
    <m/>
    <m/>
    <m/>
    <s v="p"/>
    <d v="2020-07-01T00:00:00"/>
    <d v="2020-07-01T00:00:00"/>
    <n v="40023.81"/>
    <m/>
    <m/>
    <m/>
    <m/>
    <m/>
    <m/>
    <m/>
    <m/>
    <s v="_1. Item _1"/>
    <n v="7"/>
    <x v="7"/>
    <x v="1"/>
    <n v="2020"/>
    <n v="2020"/>
    <b v="1"/>
  </r>
  <r>
    <x v="19"/>
    <m/>
    <x v="0"/>
    <m/>
    <s v="Out"/>
    <m/>
    <m/>
    <m/>
    <m/>
    <m/>
    <m/>
    <s v="p"/>
    <d v="2020-07-01T00:00:00"/>
    <d v="2020-07-01T00:00:00"/>
    <n v="118928.57"/>
    <m/>
    <m/>
    <m/>
    <m/>
    <m/>
    <m/>
    <m/>
    <m/>
    <s v="_2. Item _2"/>
    <n v="7"/>
    <x v="7"/>
    <x v="1"/>
    <n v="2020"/>
    <n v="2020"/>
    <b v="1"/>
  </r>
  <r>
    <x v="6"/>
    <m/>
    <x v="0"/>
    <m/>
    <s v="Out"/>
    <m/>
    <m/>
    <m/>
    <m/>
    <m/>
    <m/>
    <s v="p"/>
    <d v="2020-07-01T00:00:00"/>
    <d v="2020-07-01T00:00:00"/>
    <n v="954547.62"/>
    <m/>
    <m/>
    <m/>
    <m/>
    <m/>
    <m/>
    <m/>
    <m/>
    <s v="07. Item 07"/>
    <n v="7"/>
    <x v="7"/>
    <x v="1"/>
    <n v="2020"/>
    <n v="2020"/>
    <b v="1"/>
  </r>
  <r>
    <x v="15"/>
    <s v="12. Item 12"/>
    <x v="0"/>
    <m/>
    <s v="Out"/>
    <m/>
    <m/>
    <m/>
    <m/>
    <m/>
    <m/>
    <s v="p"/>
    <d v="2020-07-01T00:00:00"/>
    <d v="2020-07-01T00:00:00"/>
    <n v="484261.9"/>
    <m/>
    <m/>
    <m/>
    <m/>
    <m/>
    <m/>
    <m/>
    <m/>
    <s v="12. Item 12"/>
    <n v="7"/>
    <x v="7"/>
    <x v="1"/>
    <n v="2020"/>
    <n v="2020"/>
    <b v="1"/>
  </r>
  <r>
    <x v="5"/>
    <m/>
    <x v="0"/>
    <m/>
    <s v="Out"/>
    <m/>
    <m/>
    <m/>
    <m/>
    <m/>
    <m/>
    <s v="p"/>
    <d v="2020-03-01T00:00:00"/>
    <d v="2020-03-01T00:00:00"/>
    <n v="3591261.9"/>
    <m/>
    <m/>
    <m/>
    <m/>
    <m/>
    <m/>
    <m/>
    <m/>
    <s v="05. Item 05"/>
    <n v="3"/>
    <x v="8"/>
    <x v="1"/>
    <n v="2020"/>
    <n v="2020"/>
    <b v="1"/>
  </r>
  <r>
    <x v="0"/>
    <m/>
    <x v="1"/>
    <s v="Centralized"/>
    <s v="In"/>
    <m/>
    <m/>
    <m/>
    <m/>
    <m/>
    <m/>
    <s v="p"/>
    <d v="2020-06-30T00:00:00"/>
    <d v="2020-06-30T00:00:00"/>
    <n v="40383333.329999998"/>
    <m/>
    <m/>
    <m/>
    <m/>
    <m/>
    <m/>
    <m/>
    <m/>
    <s v="01. Item 01"/>
    <n v="6"/>
    <x v="9"/>
    <x v="1"/>
    <n v="2020"/>
    <n v="2020"/>
    <b v="1"/>
  </r>
  <r>
    <x v="1"/>
    <m/>
    <x v="1"/>
    <s v="Decentralized"/>
    <s v="In"/>
    <m/>
    <m/>
    <m/>
    <m/>
    <m/>
    <m/>
    <s v="p"/>
    <d v="2020-06-30T00:00:00"/>
    <d v="2020-06-30T00:00:00"/>
    <n v="40238.1"/>
    <m/>
    <m/>
    <m/>
    <m/>
    <m/>
    <m/>
    <m/>
    <m/>
    <s v="02. Item 02"/>
    <n v="6"/>
    <x v="9"/>
    <x v="1"/>
    <n v="2020"/>
    <n v="2020"/>
    <b v="1"/>
  </r>
  <r>
    <x v="3"/>
    <s v="03. Item 03"/>
    <x v="1"/>
    <s v="Centralized"/>
    <s v="Out"/>
    <m/>
    <m/>
    <m/>
    <m/>
    <m/>
    <m/>
    <s v="p"/>
    <d v="2020-06-01T00:00:00"/>
    <d v="2020-06-01T00:00:00"/>
    <n v="3607154.04"/>
    <m/>
    <m/>
    <m/>
    <m/>
    <m/>
    <m/>
    <m/>
    <m/>
    <s v="03. Item 03"/>
    <n v="6"/>
    <x v="9"/>
    <x v="1"/>
    <n v="2020"/>
    <n v="2020"/>
    <b v="1"/>
  </r>
  <r>
    <x v="4"/>
    <s v="04. Item 04"/>
    <x v="1"/>
    <s v="Centralized"/>
    <s v="Out"/>
    <m/>
    <m/>
    <m/>
    <m/>
    <m/>
    <m/>
    <s v="p"/>
    <d v="2020-06-01T00:00:00"/>
    <d v="2020-06-01T00:00:00"/>
    <n v="5000000"/>
    <m/>
    <m/>
    <m/>
    <m/>
    <m/>
    <m/>
    <m/>
    <m/>
    <s v="04. Item 04"/>
    <n v="6"/>
    <x v="9"/>
    <x v="1"/>
    <n v="2020"/>
    <n v="2020"/>
    <b v="1"/>
  </r>
  <r>
    <x v="7"/>
    <m/>
    <x v="1"/>
    <s v="Centralized"/>
    <s v="Out"/>
    <m/>
    <m/>
    <m/>
    <m/>
    <m/>
    <m/>
    <s v="p"/>
    <d v="2020-06-01T00:00:00"/>
    <d v="2020-06-01T00:00:00"/>
    <n v="5689523.8099999996"/>
    <m/>
    <m/>
    <m/>
    <m/>
    <m/>
    <m/>
    <m/>
    <m/>
    <s v="08. Item 08"/>
    <n v="6"/>
    <x v="9"/>
    <x v="1"/>
    <n v="2020"/>
    <n v="2020"/>
    <b v="1"/>
  </r>
  <r>
    <x v="10"/>
    <m/>
    <x v="1"/>
    <s v="Centralized"/>
    <s v="Out"/>
    <m/>
    <m/>
    <m/>
    <m/>
    <m/>
    <m/>
    <s v="p"/>
    <d v="2020-06-01T00:00:00"/>
    <d v="2020-06-01T00:00:00"/>
    <n v="83333.33"/>
    <m/>
    <m/>
    <m/>
    <m/>
    <m/>
    <m/>
    <m/>
    <m/>
    <s v="11. Item 11"/>
    <n v="6"/>
    <x v="9"/>
    <x v="1"/>
    <n v="2020"/>
    <n v="2020"/>
    <b v="1"/>
  </r>
  <r>
    <x v="9"/>
    <m/>
    <x v="1"/>
    <s v="Centralized"/>
    <s v="Out"/>
    <m/>
    <m/>
    <m/>
    <m/>
    <m/>
    <m/>
    <s v="p"/>
    <d v="2020-06-01T00:00:00"/>
    <d v="2020-06-01T00:00:00"/>
    <n v="6107619.0499999998"/>
    <m/>
    <m/>
    <m/>
    <m/>
    <m/>
    <m/>
    <m/>
    <m/>
    <s v="09. Item 09"/>
    <n v="6"/>
    <x v="9"/>
    <x v="1"/>
    <n v="2020"/>
    <n v="2020"/>
    <b v="1"/>
  </r>
  <r>
    <x v="8"/>
    <m/>
    <x v="1"/>
    <s v="Centralized"/>
    <s v="Out"/>
    <m/>
    <m/>
    <m/>
    <m/>
    <m/>
    <m/>
    <s v="p"/>
    <d v="2020-06-01T00:00:00"/>
    <d v="2020-06-01T00:00:00"/>
    <n v="9523.81"/>
    <m/>
    <m/>
    <m/>
    <m/>
    <m/>
    <m/>
    <m/>
    <m/>
    <s v="09. Item 09"/>
    <n v="6"/>
    <x v="9"/>
    <x v="1"/>
    <n v="2020"/>
    <n v="2020"/>
    <b v="1"/>
  </r>
  <r>
    <x v="15"/>
    <m/>
    <x v="1"/>
    <s v="Centralized"/>
    <s v="Out"/>
    <m/>
    <m/>
    <m/>
    <m/>
    <m/>
    <m/>
    <s v="p"/>
    <d v="2020-06-01T00:00:00"/>
    <d v="2020-06-01T00:00:00"/>
    <n v="5952380.9500000002"/>
    <m/>
    <m/>
    <m/>
    <m/>
    <m/>
    <m/>
    <m/>
    <m/>
    <s v="06. Item 06"/>
    <n v="6"/>
    <x v="9"/>
    <x v="1"/>
    <n v="2020"/>
    <n v="2020"/>
    <b v="1"/>
  </r>
  <r>
    <x v="15"/>
    <m/>
    <x v="1"/>
    <s v="Centralized"/>
    <s v="Out"/>
    <m/>
    <m/>
    <m/>
    <m/>
    <m/>
    <m/>
    <s v="p"/>
    <d v="2020-06-01T00:00:00"/>
    <d v="2020-06-01T00:00:00"/>
    <n v="31904.76"/>
    <m/>
    <m/>
    <m/>
    <m/>
    <m/>
    <m/>
    <m/>
    <m/>
    <s v="06. Item 06"/>
    <n v="6"/>
    <x v="9"/>
    <x v="1"/>
    <n v="2020"/>
    <n v="2020"/>
    <b v="1"/>
  </r>
  <r>
    <x v="16"/>
    <s v="10. Item 10"/>
    <x v="1"/>
    <s v="Centralized"/>
    <s v="Out"/>
    <m/>
    <m/>
    <m/>
    <m/>
    <m/>
    <m/>
    <s v="p"/>
    <d v="2020-06-01T00:00:00"/>
    <d v="2020-06-01T00:00:00"/>
    <n v="171428.57"/>
    <m/>
    <m/>
    <m/>
    <m/>
    <m/>
    <m/>
    <m/>
    <m/>
    <s v="10. Item 10"/>
    <n v="6"/>
    <x v="9"/>
    <x v="1"/>
    <n v="2020"/>
    <n v="2020"/>
    <b v="1"/>
  </r>
  <r>
    <x v="16"/>
    <s v="12. Item 12"/>
    <x v="1"/>
    <s v="Centralized"/>
    <s v="Out"/>
    <m/>
    <m/>
    <m/>
    <m/>
    <m/>
    <m/>
    <s v="p"/>
    <d v="2020-06-01T00:00:00"/>
    <d v="2020-06-01T00:00:00"/>
    <n v="373904.76"/>
    <m/>
    <m/>
    <m/>
    <m/>
    <m/>
    <m/>
    <m/>
    <m/>
    <s v="12. Item 12"/>
    <n v="6"/>
    <x v="9"/>
    <x v="1"/>
    <n v="2020"/>
    <n v="2020"/>
    <b v="1"/>
  </r>
  <r>
    <x v="19"/>
    <s v="13. Item 13"/>
    <x v="1"/>
    <s v="Centralized"/>
    <s v="Out"/>
    <m/>
    <m/>
    <m/>
    <m/>
    <m/>
    <m/>
    <s v="p"/>
    <d v="2020-06-01T00:00:00"/>
    <d v="2020-06-01T00:00:00"/>
    <n v="2642857.14"/>
    <m/>
    <m/>
    <m/>
    <m/>
    <m/>
    <m/>
    <m/>
    <m/>
    <s v="13. Item 13"/>
    <n v="6"/>
    <x v="9"/>
    <x v="1"/>
    <n v="2020"/>
    <n v="2020"/>
    <b v="1"/>
  </r>
  <r>
    <x v="4"/>
    <m/>
    <x v="1"/>
    <s v="Centralized"/>
    <s v="Out"/>
    <m/>
    <m/>
    <m/>
    <m/>
    <m/>
    <m/>
    <s v="p"/>
    <d v="2020-06-01T00:00:00"/>
    <d v="2020-06-01T00:00:00"/>
    <n v="3690476.19"/>
    <m/>
    <m/>
    <m/>
    <m/>
    <m/>
    <m/>
    <m/>
    <m/>
    <s v="05. Item 05"/>
    <n v="6"/>
    <x v="9"/>
    <x v="1"/>
    <n v="2020"/>
    <n v="2020"/>
    <b v="1"/>
  </r>
  <r>
    <x v="5"/>
    <m/>
    <x v="1"/>
    <s v="Centralized"/>
    <s v="Out"/>
    <m/>
    <m/>
    <m/>
    <m/>
    <m/>
    <m/>
    <s v="p"/>
    <d v="2020-06-01T00:00:00"/>
    <d v="2020-06-01T00:00:00"/>
    <n v="619047.62"/>
    <m/>
    <m/>
    <m/>
    <m/>
    <m/>
    <m/>
    <m/>
    <m/>
    <s v="05. Item 05"/>
    <n v="6"/>
    <x v="9"/>
    <x v="1"/>
    <n v="2020"/>
    <n v="2020"/>
    <b v="1"/>
  </r>
  <r>
    <x v="6"/>
    <m/>
    <x v="1"/>
    <s v="Decentralized"/>
    <s v="Out"/>
    <m/>
    <m/>
    <m/>
    <m/>
    <m/>
    <m/>
    <s v="p"/>
    <d v="2020-06-01T00:00:00"/>
    <d v="2020-06-01T00:00:00"/>
    <n v="579761.9"/>
    <m/>
    <m/>
    <m/>
    <m/>
    <m/>
    <m/>
    <m/>
    <m/>
    <s v="07. Item 07"/>
    <n v="6"/>
    <x v="9"/>
    <x v="1"/>
    <n v="2020"/>
    <n v="2020"/>
    <b v="1"/>
  </r>
  <r>
    <x v="17"/>
    <m/>
    <x v="0"/>
    <m/>
    <s v="Out"/>
    <m/>
    <m/>
    <m/>
    <m/>
    <m/>
    <m/>
    <s v="p"/>
    <d v="2020-06-01T00:00:00"/>
    <d v="2020-06-01T00:00:00"/>
    <n v="6964047.6200000001"/>
    <m/>
    <m/>
    <m/>
    <m/>
    <m/>
    <m/>
    <m/>
    <m/>
    <s v="09. Item 09"/>
    <n v="6"/>
    <x v="9"/>
    <x v="1"/>
    <n v="2020"/>
    <n v="2020"/>
    <b v="1"/>
  </r>
  <r>
    <x v="9"/>
    <m/>
    <x v="1"/>
    <s v="Centralized"/>
    <s v="Out"/>
    <m/>
    <m/>
    <m/>
    <m/>
    <m/>
    <m/>
    <s v="p"/>
    <d v="2020-04-01T00:00:00"/>
    <d v="2020-04-01T00:00:00"/>
    <n v="1666666.67"/>
    <m/>
    <m/>
    <m/>
    <m/>
    <m/>
    <m/>
    <m/>
    <m/>
    <s v="09. Item 09"/>
    <n v="4"/>
    <x v="10"/>
    <x v="1"/>
    <n v="2020"/>
    <n v="2020"/>
    <b v="1"/>
  </r>
  <r>
    <x v="8"/>
    <m/>
    <x v="0"/>
    <m/>
    <s v="Out"/>
    <m/>
    <m/>
    <m/>
    <m/>
    <m/>
    <m/>
    <s v="p"/>
    <d v="2020-06-01T00:00:00"/>
    <d v="2020-06-01T00:00:00"/>
    <n v="75380.95"/>
    <m/>
    <m/>
    <m/>
    <m/>
    <m/>
    <m/>
    <m/>
    <m/>
    <s v="09. Item 09"/>
    <n v="6"/>
    <x v="9"/>
    <x v="1"/>
    <n v="2020"/>
    <n v="2020"/>
    <b v="1"/>
  </r>
  <r>
    <x v="10"/>
    <m/>
    <x v="0"/>
    <m/>
    <s v="Out"/>
    <m/>
    <m/>
    <m/>
    <m/>
    <m/>
    <m/>
    <s v="p"/>
    <d v="2020-06-01T00:00:00"/>
    <d v="2020-06-01T00:00:00"/>
    <n v="7804571.4299999997"/>
    <m/>
    <m/>
    <m/>
    <m/>
    <m/>
    <m/>
    <m/>
    <m/>
    <s v="11. Item 11"/>
    <n v="6"/>
    <x v="9"/>
    <x v="1"/>
    <n v="2020"/>
    <n v="2020"/>
    <b v="1"/>
  </r>
  <r>
    <x v="2"/>
    <s v="04. Item 04"/>
    <x v="0"/>
    <m/>
    <s v="Out"/>
    <m/>
    <m/>
    <m/>
    <m/>
    <m/>
    <m/>
    <s v="p"/>
    <d v="2020-06-01T00:00:00"/>
    <d v="2020-06-01T00:00:00"/>
    <n v="3530023.81"/>
    <m/>
    <m/>
    <m/>
    <m/>
    <m/>
    <m/>
    <m/>
    <m/>
    <s v="04. Item 04"/>
    <n v="6"/>
    <x v="9"/>
    <x v="1"/>
    <n v="2020"/>
    <n v="2020"/>
    <b v="1"/>
  </r>
  <r>
    <x v="14"/>
    <m/>
    <x v="0"/>
    <m/>
    <s v="Out"/>
    <m/>
    <m/>
    <m/>
    <m/>
    <m/>
    <m/>
    <s v="p"/>
    <d v="2020-06-01T00:00:00"/>
    <d v="2020-06-01T00:00:00"/>
    <n v="987595.24"/>
    <m/>
    <m/>
    <m/>
    <m/>
    <m/>
    <m/>
    <m/>
    <m/>
    <s v="19. Item 19"/>
    <n v="6"/>
    <x v="9"/>
    <x v="1"/>
    <n v="2020"/>
    <n v="2020"/>
    <b v="1"/>
  </r>
  <r>
    <x v="0"/>
    <m/>
    <x v="0"/>
    <m/>
    <s v="Out"/>
    <m/>
    <m/>
    <m/>
    <m/>
    <m/>
    <m/>
    <s v="p"/>
    <d v="2020-06-01T00:00:00"/>
    <d v="2020-06-01T00:00:00"/>
    <n v="40023.81"/>
    <m/>
    <m/>
    <m/>
    <m/>
    <m/>
    <m/>
    <m/>
    <m/>
    <s v="01. Item 01"/>
    <n v="6"/>
    <x v="9"/>
    <x v="1"/>
    <n v="2020"/>
    <n v="2020"/>
    <b v="1"/>
  </r>
  <r>
    <x v="1"/>
    <m/>
    <x v="0"/>
    <m/>
    <s v="Out"/>
    <m/>
    <m/>
    <m/>
    <m/>
    <m/>
    <m/>
    <s v="p"/>
    <d v="2020-06-01T00:00:00"/>
    <d v="2020-06-01T00:00:00"/>
    <n v="461809.52"/>
    <m/>
    <m/>
    <m/>
    <m/>
    <m/>
    <m/>
    <m/>
    <m/>
    <s v="02. Item 02"/>
    <n v="6"/>
    <x v="9"/>
    <x v="1"/>
    <n v="2020"/>
    <n v="2020"/>
    <b v="1"/>
  </r>
  <r>
    <x v="20"/>
    <m/>
    <x v="0"/>
    <m/>
    <s v="Out"/>
    <m/>
    <m/>
    <m/>
    <m/>
    <m/>
    <m/>
    <s v="p"/>
    <d v="2020-06-01T00:00:00"/>
    <d v="2020-06-01T00:00:00"/>
    <n v="1353595.24"/>
    <m/>
    <m/>
    <m/>
    <m/>
    <m/>
    <m/>
    <m/>
    <m/>
    <s v="14. Item 14"/>
    <n v="6"/>
    <x v="9"/>
    <x v="1"/>
    <n v="2020"/>
    <n v="2020"/>
    <b v="1"/>
  </r>
  <r>
    <x v="4"/>
    <s v="12. Item 12"/>
    <x v="0"/>
    <m/>
    <s v="Out"/>
    <m/>
    <m/>
    <m/>
    <m/>
    <m/>
    <m/>
    <s v="p"/>
    <d v="2020-06-01T00:00:00"/>
    <d v="2020-06-01T00:00:00"/>
    <n v="449357.14"/>
    <m/>
    <m/>
    <m/>
    <m/>
    <m/>
    <m/>
    <m/>
    <m/>
    <s v="12. Item 12"/>
    <n v="6"/>
    <x v="9"/>
    <x v="1"/>
    <n v="2020"/>
    <n v="2020"/>
    <b v="1"/>
  </r>
  <r>
    <x v="6"/>
    <m/>
    <x v="0"/>
    <m/>
    <s v="Out"/>
    <m/>
    <m/>
    <m/>
    <m/>
    <m/>
    <m/>
    <s v="p"/>
    <d v="2020-06-01T00:00:00"/>
    <d v="2020-06-01T00:00:00"/>
    <n v="1560547.62"/>
    <m/>
    <m/>
    <m/>
    <m/>
    <m/>
    <m/>
    <m/>
    <m/>
    <s v="07. Item 07"/>
    <n v="6"/>
    <x v="9"/>
    <x v="1"/>
    <n v="2020"/>
    <n v="2020"/>
    <b v="1"/>
  </r>
  <r>
    <x v="15"/>
    <m/>
    <x v="0"/>
    <m/>
    <s v="Out"/>
    <m/>
    <m/>
    <m/>
    <m/>
    <m/>
    <m/>
    <s v="f"/>
    <d v="2020-06-01T00:00:00"/>
    <d v="2020-06-01T00:00:00"/>
    <m/>
    <n v="1132690.48"/>
    <m/>
    <m/>
    <m/>
    <m/>
    <m/>
    <m/>
    <m/>
    <s v="06. Item 06"/>
    <n v="6"/>
    <x v="9"/>
    <x v="1"/>
    <n v="2020"/>
    <n v="2020"/>
    <b v="1"/>
  </r>
  <r>
    <x v="5"/>
    <m/>
    <x v="0"/>
    <m/>
    <s v="Out"/>
    <m/>
    <m/>
    <m/>
    <m/>
    <m/>
    <m/>
    <s v="f"/>
    <d v="2020-06-01T00:00:00"/>
    <d v="2020-06-01T00:00:00"/>
    <m/>
    <n v="5826261.9000000004"/>
    <m/>
    <m/>
    <m/>
    <m/>
    <m/>
    <m/>
    <m/>
    <s v="05. Item 05"/>
    <n v="6"/>
    <x v="9"/>
    <x v="1"/>
    <n v="2020"/>
    <n v="2020"/>
    <b v="1"/>
  </r>
  <r>
    <x v="0"/>
    <m/>
    <x v="0"/>
    <m/>
    <s v="Out"/>
    <m/>
    <m/>
    <m/>
    <m/>
    <m/>
    <m/>
    <s v="f"/>
    <d v="2020-06-01T00:00:00"/>
    <d v="2020-06-01T00:00:00"/>
    <m/>
    <n v="64476.19"/>
    <m/>
    <m/>
    <m/>
    <m/>
    <m/>
    <m/>
    <m/>
    <s v="01. Item 01"/>
    <n v="6"/>
    <x v="9"/>
    <x v="1"/>
    <n v="2020"/>
    <n v="2020"/>
    <b v="1"/>
  </r>
  <r>
    <x v="1"/>
    <m/>
    <x v="0"/>
    <m/>
    <s v="Out"/>
    <m/>
    <m/>
    <m/>
    <m/>
    <m/>
    <m/>
    <s v="f"/>
    <d v="2020-06-01T00:00:00"/>
    <d v="2020-06-01T00:00:00"/>
    <m/>
    <n v="8141428.5700000003"/>
    <m/>
    <m/>
    <m/>
    <m/>
    <m/>
    <m/>
    <m/>
    <s v="02. Item 02"/>
    <n v="6"/>
    <x v="9"/>
    <x v="1"/>
    <n v="2020"/>
    <n v="2020"/>
    <b v="1"/>
  </r>
  <r>
    <x v="3"/>
    <s v="04. Item 04"/>
    <x v="0"/>
    <m/>
    <s v="Out"/>
    <m/>
    <m/>
    <m/>
    <m/>
    <m/>
    <m/>
    <s v="f"/>
    <d v="2020-06-01T00:00:00"/>
    <d v="2020-06-01T00:00:00"/>
    <m/>
    <n v="3404976.19"/>
    <m/>
    <m/>
    <m/>
    <m/>
    <m/>
    <m/>
    <m/>
    <s v="04. Item 04"/>
    <n v="6"/>
    <x v="9"/>
    <x v="1"/>
    <n v="2020"/>
    <n v="2020"/>
    <b v="1"/>
  </r>
  <r>
    <x v="4"/>
    <m/>
    <x v="0"/>
    <m/>
    <s v="Out"/>
    <m/>
    <m/>
    <m/>
    <m/>
    <m/>
    <m/>
    <s v="f"/>
    <d v="2020-06-01T00:00:00"/>
    <d v="2020-06-01T00:00:00"/>
    <m/>
    <n v="5421952.3799999999"/>
    <m/>
    <m/>
    <m/>
    <m/>
    <m/>
    <m/>
    <m/>
    <s v="05. Item 05"/>
    <n v="6"/>
    <x v="9"/>
    <x v="1"/>
    <n v="2020"/>
    <n v="2020"/>
    <b v="1"/>
  </r>
  <r>
    <x v="7"/>
    <m/>
    <x v="0"/>
    <m/>
    <s v="Out"/>
    <m/>
    <m/>
    <m/>
    <m/>
    <m/>
    <m/>
    <s v="f"/>
    <d v="2020-06-01T00:00:00"/>
    <d v="2020-06-01T00:00:00"/>
    <m/>
    <n v="97500"/>
    <m/>
    <m/>
    <m/>
    <m/>
    <m/>
    <m/>
    <m/>
    <s v="08. Item 08"/>
    <n v="6"/>
    <x v="9"/>
    <x v="1"/>
    <n v="2020"/>
    <n v="2020"/>
    <b v="1"/>
  </r>
  <r>
    <x v="10"/>
    <m/>
    <x v="0"/>
    <m/>
    <s v="Out"/>
    <m/>
    <m/>
    <m/>
    <m/>
    <m/>
    <m/>
    <s v="f"/>
    <d v="2020-06-01T00:00:00"/>
    <d v="2020-06-01T00:00:00"/>
    <m/>
    <n v="26380.95"/>
    <m/>
    <m/>
    <m/>
    <m/>
    <m/>
    <m/>
    <m/>
    <s v="11. Item 11"/>
    <n v="6"/>
    <x v="9"/>
    <x v="1"/>
    <n v="2020"/>
    <n v="2020"/>
    <b v="1"/>
  </r>
  <r>
    <x v="9"/>
    <m/>
    <x v="0"/>
    <m/>
    <s v="Out"/>
    <m/>
    <m/>
    <m/>
    <m/>
    <m/>
    <m/>
    <s v="f"/>
    <d v="2020-06-01T00:00:00"/>
    <d v="2020-06-01T00:00:00"/>
    <m/>
    <n v="383166.67"/>
    <m/>
    <m/>
    <m/>
    <m/>
    <m/>
    <m/>
    <m/>
    <s v="09. Item 09"/>
    <n v="6"/>
    <x v="9"/>
    <x v="1"/>
    <n v="2020"/>
    <n v="2020"/>
    <b v="1"/>
  </r>
  <r>
    <x v="8"/>
    <m/>
    <x v="0"/>
    <m/>
    <s v="Out"/>
    <m/>
    <m/>
    <m/>
    <m/>
    <m/>
    <m/>
    <s v="f"/>
    <d v="2020-06-01T00:00:00"/>
    <d v="2020-06-01T00:00:00"/>
    <m/>
    <n v="3795833.33"/>
    <m/>
    <m/>
    <m/>
    <m/>
    <m/>
    <m/>
    <m/>
    <s v="09. Item 09"/>
    <n v="6"/>
    <x v="9"/>
    <x v="1"/>
    <n v="2020"/>
    <n v="2020"/>
    <b v="1"/>
  </r>
  <r>
    <x v="2"/>
    <s v="12. Item 12"/>
    <x v="0"/>
    <m/>
    <s v="Out"/>
    <m/>
    <m/>
    <m/>
    <m/>
    <m/>
    <m/>
    <s v="f"/>
    <d v="2020-06-01T00:00:00"/>
    <d v="2020-06-01T00:00:00"/>
    <m/>
    <n v="354023.81"/>
    <m/>
    <m/>
    <m/>
    <m/>
    <m/>
    <m/>
    <m/>
    <s v="12. Item 12"/>
    <n v="6"/>
    <x v="9"/>
    <x v="1"/>
    <n v="2020"/>
    <n v="2020"/>
    <b v="1"/>
  </r>
  <r>
    <x v="11"/>
    <m/>
    <x v="0"/>
    <m/>
    <s v="Out"/>
    <m/>
    <m/>
    <m/>
    <m/>
    <m/>
    <m/>
    <s v="p"/>
    <d v="2020-06-01T00:00:00"/>
    <d v="2020-06-01T00:00:00"/>
    <n v="95619.05"/>
    <m/>
    <m/>
    <m/>
    <m/>
    <m/>
    <m/>
    <m/>
    <m/>
    <s v="13. Item 13"/>
    <n v="6"/>
    <x v="9"/>
    <x v="1"/>
    <n v="2020"/>
    <n v="2020"/>
    <b v="1"/>
  </r>
  <r>
    <x v="11"/>
    <m/>
    <x v="0"/>
    <m/>
    <s v="Out"/>
    <m/>
    <m/>
    <m/>
    <m/>
    <m/>
    <m/>
    <s v="f"/>
    <d v="2020-06-01T00:00:00"/>
    <d v="2020-06-01T00:00:00"/>
    <m/>
    <n v="18857.14"/>
    <m/>
    <m/>
    <m/>
    <m/>
    <m/>
    <m/>
    <m/>
    <s v="13. Item 13"/>
    <n v="6"/>
    <x v="9"/>
    <x v="1"/>
    <n v="2020"/>
    <n v="2020"/>
    <b v="1"/>
  </r>
  <r>
    <x v="6"/>
    <m/>
    <x v="0"/>
    <m/>
    <s v="Out"/>
    <m/>
    <m/>
    <m/>
    <m/>
    <m/>
    <m/>
    <s v="p"/>
    <d v="2020-06-01T00:00:00"/>
    <d v="2020-06-01T00:00:00"/>
    <n v="1020952.38"/>
    <m/>
    <m/>
    <m/>
    <m/>
    <m/>
    <m/>
    <m/>
    <m/>
    <s v="07. Item 07"/>
    <n v="6"/>
    <x v="9"/>
    <x v="1"/>
    <n v="2020"/>
    <n v="2020"/>
    <b v="1"/>
  </r>
  <r>
    <x v="15"/>
    <m/>
    <x v="0"/>
    <m/>
    <s v="Out"/>
    <m/>
    <m/>
    <m/>
    <m/>
    <m/>
    <m/>
    <s v="f"/>
    <d v="2020-06-01T00:00:00"/>
    <d v="2020-06-01T00:00:00"/>
    <m/>
    <n v="1150619.05"/>
    <m/>
    <m/>
    <m/>
    <m/>
    <m/>
    <m/>
    <m/>
    <s v="06. Item 06"/>
    <n v="6"/>
    <x v="9"/>
    <x v="1"/>
    <n v="2020"/>
    <n v="2020"/>
    <b v="1"/>
  </r>
  <r>
    <x v="5"/>
    <m/>
    <x v="1"/>
    <s v="Centralized"/>
    <s v="In"/>
    <m/>
    <m/>
    <m/>
    <m/>
    <m/>
    <m/>
    <s v="p"/>
    <d v="2020-05-31T00:00:00"/>
    <d v="2020-05-31T00:00:00"/>
    <n v="49908571.43"/>
    <m/>
    <m/>
    <m/>
    <m/>
    <m/>
    <m/>
    <m/>
    <m/>
    <s v="05. Item 05"/>
    <n v="5"/>
    <x v="11"/>
    <x v="1"/>
    <n v="2020"/>
    <n v="2020"/>
    <b v="1"/>
  </r>
  <r>
    <x v="0"/>
    <m/>
    <x v="1"/>
    <s v="Decentralized"/>
    <s v="In"/>
    <m/>
    <m/>
    <m/>
    <m/>
    <m/>
    <m/>
    <s v="p"/>
    <d v="2020-05-31T00:00:00"/>
    <d v="2020-05-31T00:00:00"/>
    <n v="540238.1"/>
    <m/>
    <m/>
    <m/>
    <m/>
    <m/>
    <m/>
    <m/>
    <m/>
    <s v="01. Item 01"/>
    <n v="5"/>
    <x v="11"/>
    <x v="1"/>
    <n v="2020"/>
    <n v="2020"/>
    <b v="1"/>
  </r>
  <r>
    <x v="1"/>
    <m/>
    <x v="0"/>
    <m/>
    <s v="Out"/>
    <m/>
    <m/>
    <m/>
    <m/>
    <m/>
    <m/>
    <s v="f"/>
    <d v="2020-04-01T00:00:00"/>
    <d v="2020-04-01T00:00:00"/>
    <m/>
    <n v="2794428.57"/>
    <m/>
    <m/>
    <m/>
    <m/>
    <m/>
    <m/>
    <m/>
    <s v="02. Item 02"/>
    <n v="4"/>
    <x v="10"/>
    <x v="1"/>
    <n v="2020"/>
    <n v="2020"/>
    <b v="1"/>
  </r>
  <r>
    <x v="2"/>
    <s v="03. Item 03"/>
    <x v="1"/>
    <s v="Centralized"/>
    <s v="Out"/>
    <m/>
    <m/>
    <m/>
    <m/>
    <m/>
    <m/>
    <s v="p"/>
    <d v="2020-05-01T00:00:00"/>
    <d v="2020-05-01T00:00:00"/>
    <n v="3607142.86"/>
    <m/>
    <m/>
    <m/>
    <m/>
    <m/>
    <m/>
    <m/>
    <m/>
    <s v="03. Item 03"/>
    <n v="5"/>
    <x v="11"/>
    <x v="1"/>
    <n v="2020"/>
    <n v="2020"/>
    <b v="1"/>
  </r>
  <r>
    <x v="3"/>
    <s v="04. Item 04"/>
    <x v="1"/>
    <s v="Centralized"/>
    <s v="Out"/>
    <m/>
    <m/>
    <m/>
    <m/>
    <m/>
    <m/>
    <s v="p"/>
    <d v="2020-05-01T00:00:00"/>
    <d v="2020-05-01T00:00:00"/>
    <n v="4259761.9000000004"/>
    <m/>
    <m/>
    <m/>
    <m/>
    <m/>
    <m/>
    <m/>
    <m/>
    <s v="04. Item 04"/>
    <n v="5"/>
    <x v="11"/>
    <x v="1"/>
    <n v="2020"/>
    <n v="2020"/>
    <b v="1"/>
  </r>
  <r>
    <x v="4"/>
    <m/>
    <x v="1"/>
    <s v="Centralized"/>
    <s v="Out"/>
    <m/>
    <m/>
    <m/>
    <m/>
    <m/>
    <m/>
    <s v="p"/>
    <d v="2020-05-01T00:00:00"/>
    <d v="2020-05-01T00:00:00"/>
    <n v="5686666.6699999999"/>
    <m/>
    <m/>
    <m/>
    <m/>
    <m/>
    <m/>
    <m/>
    <m/>
    <s v="05. Item 05"/>
    <n v="5"/>
    <x v="11"/>
    <x v="1"/>
    <n v="2020"/>
    <n v="2020"/>
    <b v="1"/>
  </r>
  <r>
    <x v="7"/>
    <m/>
    <x v="1"/>
    <s v="Centralized"/>
    <s v="Out"/>
    <m/>
    <m/>
    <m/>
    <m/>
    <m/>
    <m/>
    <s v="p"/>
    <d v="2020-05-01T00:00:00"/>
    <d v="2020-05-01T00:00:00"/>
    <n v="57142.86"/>
    <m/>
    <m/>
    <m/>
    <m/>
    <m/>
    <m/>
    <m/>
    <m/>
    <s v="08. Item 08"/>
    <n v="5"/>
    <x v="11"/>
    <x v="1"/>
    <n v="2020"/>
    <n v="2020"/>
    <b v="1"/>
  </r>
  <r>
    <x v="10"/>
    <m/>
    <x v="1"/>
    <s v="Centralized"/>
    <s v="Out"/>
    <m/>
    <m/>
    <m/>
    <m/>
    <m/>
    <m/>
    <s v="p"/>
    <d v="2020-05-01T00:00:00"/>
    <d v="2020-05-01T00:00:00"/>
    <n v="5173809.5199999996"/>
    <m/>
    <m/>
    <m/>
    <m/>
    <m/>
    <m/>
    <m/>
    <m/>
    <s v="11. Item 11"/>
    <n v="5"/>
    <x v="11"/>
    <x v="1"/>
    <n v="2020"/>
    <n v="2020"/>
    <b v="1"/>
  </r>
  <r>
    <x v="9"/>
    <m/>
    <x v="1"/>
    <s v="Centralized"/>
    <s v="Out"/>
    <m/>
    <m/>
    <m/>
    <m/>
    <m/>
    <m/>
    <s v="p"/>
    <d v="2020-05-01T00:00:00"/>
    <d v="2020-05-01T00:00:00"/>
    <n v="9523.81"/>
    <m/>
    <m/>
    <m/>
    <m/>
    <m/>
    <m/>
    <m/>
    <m/>
    <s v="09. Item 09"/>
    <n v="5"/>
    <x v="11"/>
    <x v="1"/>
    <n v="2020"/>
    <n v="2020"/>
    <b v="1"/>
  </r>
  <r>
    <x v="8"/>
    <m/>
    <x v="1"/>
    <s v="Centralized"/>
    <s v="Out"/>
    <m/>
    <m/>
    <m/>
    <m/>
    <m/>
    <m/>
    <s v="p"/>
    <d v="2020-05-01T00:00:00"/>
    <d v="2020-05-01T00:00:00"/>
    <n v="344285.71"/>
    <m/>
    <m/>
    <m/>
    <m/>
    <m/>
    <m/>
    <m/>
    <m/>
    <s v="09. Item 09"/>
    <n v="5"/>
    <x v="11"/>
    <x v="1"/>
    <n v="2020"/>
    <n v="2020"/>
    <b v="1"/>
  </r>
  <r>
    <x v="12"/>
    <m/>
    <x v="1"/>
    <s v="Centralized"/>
    <s v="Out"/>
    <m/>
    <m/>
    <m/>
    <m/>
    <m/>
    <m/>
    <s v="p"/>
    <d v="2020-05-01T00:00:00"/>
    <d v="2020-05-01T00:00:00"/>
    <n v="11666.67"/>
    <m/>
    <m/>
    <m/>
    <m/>
    <m/>
    <m/>
    <m/>
    <m/>
    <s v="13. Item 13"/>
    <n v="5"/>
    <x v="11"/>
    <x v="1"/>
    <n v="2020"/>
    <n v="2020"/>
    <b v="1"/>
  </r>
  <r>
    <x v="12"/>
    <s v="10. Item 10"/>
    <x v="1"/>
    <s v="Centralized"/>
    <s v="Out"/>
    <m/>
    <m/>
    <m/>
    <m/>
    <m/>
    <m/>
    <s v="p"/>
    <d v="2020-05-01T00:00:00"/>
    <d v="2020-05-01T00:00:00"/>
    <n v="158333.32999999999"/>
    <m/>
    <m/>
    <m/>
    <m/>
    <m/>
    <m/>
    <m/>
    <m/>
    <s v="10. Item 10"/>
    <n v="5"/>
    <x v="11"/>
    <x v="1"/>
    <n v="2020"/>
    <n v="2020"/>
    <b v="1"/>
  </r>
  <r>
    <x v="13"/>
    <s v="12. Item 12"/>
    <x v="1"/>
    <s v="Centralized"/>
    <s v="Out"/>
    <m/>
    <m/>
    <m/>
    <m/>
    <m/>
    <m/>
    <s v="p"/>
    <d v="2020-05-01T00:00:00"/>
    <d v="2020-05-01T00:00:00"/>
    <n v="442857.14"/>
    <m/>
    <m/>
    <m/>
    <m/>
    <m/>
    <m/>
    <m/>
    <m/>
    <s v="12. Item 12"/>
    <n v="5"/>
    <x v="11"/>
    <x v="1"/>
    <n v="2020"/>
    <n v="2020"/>
    <b v="1"/>
  </r>
  <r>
    <x v="13"/>
    <s v="13. Item 13"/>
    <x v="1"/>
    <s v="Centralized"/>
    <s v="Out"/>
    <m/>
    <m/>
    <m/>
    <m/>
    <m/>
    <m/>
    <s v="p"/>
    <d v="2020-05-01T00:00:00"/>
    <d v="2020-05-01T00:00:00"/>
    <n v="452380.95"/>
    <m/>
    <m/>
    <m/>
    <m/>
    <m/>
    <m/>
    <m/>
    <m/>
    <s v="13. Item 13"/>
    <n v="5"/>
    <x v="11"/>
    <x v="1"/>
    <n v="2020"/>
    <n v="2020"/>
    <b v="1"/>
  </r>
  <r>
    <x v="16"/>
    <m/>
    <x v="1"/>
    <s v="Centralized"/>
    <s v="Out"/>
    <m/>
    <m/>
    <m/>
    <m/>
    <m/>
    <m/>
    <s v="p"/>
    <d v="2020-05-01T00:00:00"/>
    <d v="2020-05-01T00:00:00"/>
    <n v="1998355.31"/>
    <m/>
    <m/>
    <m/>
    <m/>
    <m/>
    <m/>
    <m/>
    <m/>
    <s v="_1. Item _1"/>
    <n v="5"/>
    <x v="11"/>
    <x v="1"/>
    <n v="2020"/>
    <n v="2020"/>
    <b v="1"/>
  </r>
  <r>
    <x v="16"/>
    <m/>
    <x v="1"/>
    <s v="Centralized"/>
    <s v="Out"/>
    <m/>
    <m/>
    <m/>
    <m/>
    <m/>
    <m/>
    <s v="p"/>
    <d v="2020-05-01T00:00:00"/>
    <d v="2020-05-01T00:00:00"/>
    <n v="12023809.52"/>
    <m/>
    <m/>
    <m/>
    <m/>
    <m/>
    <m/>
    <m/>
    <m/>
    <s v="_1. Item _1"/>
    <n v="5"/>
    <x v="11"/>
    <x v="1"/>
    <n v="2020"/>
    <n v="2020"/>
    <b v="1"/>
  </r>
  <r>
    <x v="19"/>
    <m/>
    <x v="1"/>
    <s v="Centralized"/>
    <s v="Out"/>
    <m/>
    <m/>
    <m/>
    <m/>
    <m/>
    <m/>
    <s v="p"/>
    <d v="2020-05-01T00:00:00"/>
    <d v="2020-05-01T00:00:00"/>
    <n v="1785714.29"/>
    <m/>
    <m/>
    <m/>
    <m/>
    <m/>
    <m/>
    <m/>
    <m/>
    <s v="_2. Item _2"/>
    <n v="5"/>
    <x v="11"/>
    <x v="1"/>
    <n v="2020"/>
    <n v="2020"/>
    <b v="1"/>
  </r>
  <r>
    <x v="15"/>
    <m/>
    <x v="1"/>
    <s v="Centralized"/>
    <s v="Out"/>
    <m/>
    <m/>
    <m/>
    <m/>
    <m/>
    <m/>
    <s v="p"/>
    <d v="2020-05-01T00:00:00"/>
    <d v="2020-05-01T00:00:00"/>
    <n v="71428.570000000007"/>
    <m/>
    <m/>
    <m/>
    <m/>
    <m/>
    <m/>
    <m/>
    <m/>
    <s v="06. Item 06"/>
    <n v="5"/>
    <x v="11"/>
    <x v="1"/>
    <n v="2020"/>
    <n v="2020"/>
    <b v="1"/>
  </r>
  <r>
    <x v="4"/>
    <m/>
    <x v="0"/>
    <m/>
    <s v="Out"/>
    <m/>
    <m/>
    <m/>
    <m/>
    <m/>
    <m/>
    <s v="p"/>
    <d v="2020-05-01T00:00:00"/>
    <d v="2020-05-01T00:00:00"/>
    <n v="6964047.6200000001"/>
    <m/>
    <m/>
    <m/>
    <m/>
    <m/>
    <m/>
    <m/>
    <m/>
    <s v="05. Item 05"/>
    <n v="5"/>
    <x v="11"/>
    <x v="1"/>
    <n v="2020"/>
    <n v="2020"/>
    <b v="1"/>
  </r>
  <r>
    <x v="5"/>
    <m/>
    <x v="0"/>
    <m/>
    <s v="Out"/>
    <m/>
    <m/>
    <m/>
    <m/>
    <m/>
    <m/>
    <s v="p"/>
    <d v="2020-05-01T00:00:00"/>
    <d v="2020-05-01T00:00:00"/>
    <n v="75380.95"/>
    <m/>
    <m/>
    <m/>
    <m/>
    <m/>
    <m/>
    <m/>
    <m/>
    <s v="05. Item 05"/>
    <n v="5"/>
    <x v="11"/>
    <x v="1"/>
    <n v="2020"/>
    <n v="2020"/>
    <b v="1"/>
  </r>
  <r>
    <x v="6"/>
    <m/>
    <x v="0"/>
    <m/>
    <s v="Out"/>
    <m/>
    <m/>
    <m/>
    <m/>
    <m/>
    <m/>
    <s v="p"/>
    <d v="2020-05-01T00:00:00"/>
    <d v="2020-05-01T00:00:00"/>
    <n v="13418976.189999999"/>
    <m/>
    <m/>
    <m/>
    <m/>
    <m/>
    <m/>
    <m/>
    <m/>
    <s v="07. Item 07"/>
    <n v="5"/>
    <x v="11"/>
    <x v="1"/>
    <n v="2020"/>
    <n v="2020"/>
    <b v="1"/>
  </r>
  <r>
    <x v="17"/>
    <m/>
    <x v="0"/>
    <m/>
    <s v="Out"/>
    <m/>
    <m/>
    <m/>
    <m/>
    <m/>
    <m/>
    <s v="p"/>
    <d v="2020-05-01T00:00:00"/>
    <d v="2020-05-01T00:00:00"/>
    <n v="3634809.52"/>
    <m/>
    <m/>
    <m/>
    <m/>
    <m/>
    <m/>
    <m/>
    <m/>
    <s v="09. Item 09"/>
    <n v="5"/>
    <x v="11"/>
    <x v="1"/>
    <n v="2020"/>
    <n v="2020"/>
    <b v="1"/>
  </r>
  <r>
    <x v="9"/>
    <s v="04. Item 04"/>
    <x v="0"/>
    <m/>
    <s v="Out"/>
    <m/>
    <m/>
    <m/>
    <m/>
    <m/>
    <m/>
    <s v="p"/>
    <d v="2020-05-01T00:00:00"/>
    <d v="2020-05-01T00:00:00"/>
    <n v="1863547.62"/>
    <m/>
    <m/>
    <m/>
    <m/>
    <m/>
    <m/>
    <m/>
    <m/>
    <s v="04. Item 04"/>
    <n v="5"/>
    <x v="11"/>
    <x v="1"/>
    <n v="2020"/>
    <n v="2020"/>
    <b v="1"/>
  </r>
  <r>
    <x v="8"/>
    <m/>
    <x v="0"/>
    <m/>
    <s v="Out"/>
    <m/>
    <m/>
    <m/>
    <m/>
    <m/>
    <m/>
    <s v="p"/>
    <d v="2020-05-01T00:00:00"/>
    <d v="2020-05-01T00:00:00"/>
    <n v="4803119.05"/>
    <m/>
    <m/>
    <m/>
    <m/>
    <m/>
    <m/>
    <m/>
    <m/>
    <s v="09. Item 09"/>
    <n v="5"/>
    <x v="11"/>
    <x v="1"/>
    <n v="2020"/>
    <n v="2020"/>
    <b v="1"/>
  </r>
  <r>
    <x v="10"/>
    <m/>
    <x v="0"/>
    <m/>
    <s v="Out"/>
    <m/>
    <m/>
    <m/>
    <m/>
    <m/>
    <m/>
    <s v="p"/>
    <d v="2020-05-01T00:00:00"/>
    <d v="2020-05-01T00:00:00"/>
    <n v="40023.81"/>
    <m/>
    <m/>
    <m/>
    <m/>
    <m/>
    <m/>
    <m/>
    <m/>
    <s v="11. Item 11"/>
    <n v="5"/>
    <x v="11"/>
    <x v="1"/>
    <n v="2020"/>
    <n v="2020"/>
    <b v="1"/>
  </r>
  <r>
    <x v="2"/>
    <s v="12. Item 12"/>
    <x v="0"/>
    <m/>
    <s v="Out"/>
    <m/>
    <m/>
    <m/>
    <m/>
    <m/>
    <m/>
    <s v="p"/>
    <d v="2020-05-01T00:00:00"/>
    <d v="2020-05-01T00:00:00"/>
    <n v="449357.14"/>
    <m/>
    <m/>
    <m/>
    <m/>
    <m/>
    <m/>
    <m/>
    <m/>
    <s v="12. Item 12"/>
    <n v="5"/>
    <x v="11"/>
    <x v="1"/>
    <n v="2020"/>
    <n v="2020"/>
    <b v="1"/>
  </r>
  <r>
    <x v="14"/>
    <m/>
    <x v="0"/>
    <m/>
    <s v="Out"/>
    <m/>
    <m/>
    <m/>
    <m/>
    <m/>
    <m/>
    <s v="p"/>
    <d v="2020-05-01T00:00:00"/>
    <d v="2020-05-01T00:00:00"/>
    <n v="398000"/>
    <m/>
    <m/>
    <m/>
    <m/>
    <m/>
    <m/>
    <m/>
    <m/>
    <s v="19. Item 19"/>
    <n v="5"/>
    <x v="11"/>
    <x v="1"/>
    <n v="2020"/>
    <n v="2020"/>
    <b v="1"/>
  </r>
  <r>
    <x v="0"/>
    <m/>
    <x v="0"/>
    <m/>
    <s v="Out"/>
    <m/>
    <m/>
    <m/>
    <m/>
    <m/>
    <m/>
    <s v="f"/>
    <d v="2020-05-01T00:00:00"/>
    <d v="2020-05-01T00:00:00"/>
    <m/>
    <n v="153738.1"/>
    <m/>
    <m/>
    <m/>
    <m/>
    <m/>
    <m/>
    <m/>
    <s v="01. Item 01"/>
    <n v="5"/>
    <x v="11"/>
    <x v="1"/>
    <n v="2020"/>
    <n v="2020"/>
    <b v="1"/>
  </r>
  <r>
    <x v="1"/>
    <m/>
    <x v="0"/>
    <m/>
    <s v="Out"/>
    <m/>
    <m/>
    <m/>
    <m/>
    <m/>
    <m/>
    <s v="p"/>
    <d v="2020-05-01T00:00:00"/>
    <d v="2020-05-01T00:00:00"/>
    <n v="95619.05"/>
    <m/>
    <m/>
    <m/>
    <m/>
    <m/>
    <m/>
    <m/>
    <m/>
    <s v="02. Item 02"/>
    <n v="5"/>
    <x v="11"/>
    <x v="1"/>
    <n v="2020"/>
    <n v="2020"/>
    <b v="1"/>
  </r>
  <r>
    <x v="20"/>
    <m/>
    <x v="0"/>
    <m/>
    <s v="Out"/>
    <m/>
    <m/>
    <m/>
    <m/>
    <m/>
    <m/>
    <s v="f"/>
    <d v="2020-05-01T00:00:00"/>
    <d v="2020-05-01T00:00:00"/>
    <m/>
    <n v="7857.14"/>
    <m/>
    <m/>
    <m/>
    <m/>
    <m/>
    <m/>
    <m/>
    <s v="14. Item 14"/>
    <n v="5"/>
    <x v="11"/>
    <x v="1"/>
    <n v="2020"/>
    <n v="2020"/>
    <b v="1"/>
  </r>
  <r>
    <x v="4"/>
    <m/>
    <x v="0"/>
    <m/>
    <s v="Out"/>
    <m/>
    <m/>
    <m/>
    <m/>
    <m/>
    <m/>
    <s v="p"/>
    <d v="2020-05-01T00:00:00"/>
    <d v="2020-05-01T00:00:00"/>
    <n v="1020952.38"/>
    <m/>
    <m/>
    <m/>
    <m/>
    <m/>
    <m/>
    <m/>
    <m/>
    <s v="05. Item 05"/>
    <n v="5"/>
    <x v="11"/>
    <x v="1"/>
    <n v="2020"/>
    <n v="2020"/>
    <b v="1"/>
  </r>
  <r>
    <x v="15"/>
    <m/>
    <x v="0"/>
    <m/>
    <s v="Out"/>
    <m/>
    <m/>
    <m/>
    <m/>
    <m/>
    <m/>
    <s v="f"/>
    <d v="2020-05-01T00:00:00"/>
    <d v="2020-05-01T00:00:00"/>
    <m/>
    <n v="1924690.48"/>
    <m/>
    <m/>
    <m/>
    <m/>
    <m/>
    <m/>
    <m/>
    <s v="06. Item 06"/>
    <n v="5"/>
    <x v="11"/>
    <x v="1"/>
    <n v="2020"/>
    <n v="2020"/>
    <b v="1"/>
  </r>
  <r>
    <x v="6"/>
    <m/>
    <x v="0"/>
    <m/>
    <s v="Out"/>
    <m/>
    <m/>
    <m/>
    <m/>
    <m/>
    <m/>
    <s v="f"/>
    <d v="2020-05-01T00:00:00"/>
    <d v="2020-05-01T00:00:00"/>
    <m/>
    <n v="4838023.8099999996"/>
    <m/>
    <m/>
    <m/>
    <m/>
    <m/>
    <m/>
    <m/>
    <s v="07. Item 07"/>
    <n v="5"/>
    <x v="11"/>
    <x v="1"/>
    <n v="2020"/>
    <n v="2020"/>
    <b v="1"/>
  </r>
  <r>
    <x v="5"/>
    <m/>
    <x v="0"/>
    <m/>
    <s v="Out"/>
    <m/>
    <m/>
    <m/>
    <m/>
    <m/>
    <m/>
    <s v="p"/>
    <d v="2020-05-01T00:00:00"/>
    <d v="2020-05-01T00:00:00"/>
    <n v="3720547.62"/>
    <m/>
    <m/>
    <m/>
    <m/>
    <m/>
    <m/>
    <m/>
    <m/>
    <s v="05. Item 05"/>
    <n v="5"/>
    <x v="11"/>
    <x v="1"/>
    <n v="2020"/>
    <n v="2020"/>
    <b v="1"/>
  </r>
  <r>
    <x v="0"/>
    <m/>
    <x v="0"/>
    <m/>
    <s v="Out"/>
    <m/>
    <m/>
    <m/>
    <m/>
    <m/>
    <m/>
    <s v="f"/>
    <d v="2020-05-01T00:00:00"/>
    <d v="2020-05-01T00:00:00"/>
    <m/>
    <n v="12623690.48"/>
    <m/>
    <m/>
    <m/>
    <m/>
    <m/>
    <m/>
    <m/>
    <s v="01. Item 01"/>
    <n v="5"/>
    <x v="11"/>
    <x v="1"/>
    <n v="2020"/>
    <n v="2020"/>
    <b v="1"/>
  </r>
  <r>
    <x v="1"/>
    <m/>
    <x v="0"/>
    <m/>
    <s v="Out"/>
    <m/>
    <m/>
    <m/>
    <m/>
    <m/>
    <m/>
    <s v="f"/>
    <d v="2020-05-01T00:00:00"/>
    <d v="2020-05-01T00:00:00"/>
    <m/>
    <n v="3696523.81"/>
    <m/>
    <m/>
    <m/>
    <m/>
    <m/>
    <m/>
    <m/>
    <s v="02. Item 02"/>
    <n v="5"/>
    <x v="11"/>
    <x v="1"/>
    <n v="2020"/>
    <n v="2020"/>
    <b v="1"/>
  </r>
  <r>
    <x v="2"/>
    <s v="04. Item 04"/>
    <x v="0"/>
    <m/>
    <s v="Out"/>
    <m/>
    <m/>
    <m/>
    <m/>
    <m/>
    <m/>
    <s v="f"/>
    <d v="2020-05-01T00:00:00"/>
    <d v="2020-05-01T00:00:00"/>
    <m/>
    <n v="1832666.67"/>
    <m/>
    <m/>
    <m/>
    <m/>
    <m/>
    <m/>
    <m/>
    <s v="04. Item 04"/>
    <n v="5"/>
    <x v="11"/>
    <x v="1"/>
    <n v="2020"/>
    <n v="2020"/>
    <b v="1"/>
  </r>
  <r>
    <x v="3"/>
    <m/>
    <x v="0"/>
    <m/>
    <s v="Out"/>
    <m/>
    <m/>
    <m/>
    <m/>
    <m/>
    <m/>
    <s v="f"/>
    <d v="2020-05-01T00:00:00"/>
    <d v="2020-05-01T00:00:00"/>
    <m/>
    <n v="5223642.8600000003"/>
    <m/>
    <m/>
    <m/>
    <m/>
    <m/>
    <m/>
    <m/>
    <s v="04. Item 04"/>
    <n v="5"/>
    <x v="11"/>
    <x v="1"/>
    <n v="2020"/>
    <n v="2020"/>
    <b v="1"/>
  </r>
  <r>
    <x v="4"/>
    <m/>
    <x v="0"/>
    <m/>
    <s v="Out"/>
    <m/>
    <m/>
    <m/>
    <m/>
    <m/>
    <m/>
    <s v="f"/>
    <d v="2020-05-01T00:00:00"/>
    <d v="2020-05-01T00:00:00"/>
    <m/>
    <n v="25333.33"/>
    <m/>
    <m/>
    <m/>
    <m/>
    <m/>
    <m/>
    <m/>
    <s v="05. Item 05"/>
    <n v="5"/>
    <x v="11"/>
    <x v="1"/>
    <n v="2020"/>
    <n v="2020"/>
    <b v="1"/>
  </r>
  <r>
    <x v="10"/>
    <m/>
    <x v="0"/>
    <m/>
    <s v="Out"/>
    <m/>
    <m/>
    <m/>
    <m/>
    <m/>
    <m/>
    <s v="f"/>
    <d v="2020-05-01T00:00:00"/>
    <d v="2020-05-01T00:00:00"/>
    <m/>
    <n v="235738.1"/>
    <m/>
    <m/>
    <m/>
    <m/>
    <m/>
    <m/>
    <m/>
    <s v="11. Item 11"/>
    <n v="5"/>
    <x v="11"/>
    <x v="1"/>
    <n v="2020"/>
    <n v="2020"/>
    <b v="1"/>
  </r>
  <r>
    <x v="9"/>
    <m/>
    <x v="0"/>
    <m/>
    <s v="Out"/>
    <m/>
    <m/>
    <m/>
    <m/>
    <m/>
    <m/>
    <s v="f"/>
    <d v="2020-05-01T00:00:00"/>
    <d v="2020-05-01T00:00:00"/>
    <m/>
    <n v="1649000"/>
    <m/>
    <m/>
    <m/>
    <m/>
    <m/>
    <m/>
    <m/>
    <s v="09. Item 09"/>
    <n v="5"/>
    <x v="11"/>
    <x v="1"/>
    <n v="2020"/>
    <n v="2020"/>
    <b v="1"/>
  </r>
  <r>
    <x v="8"/>
    <s v="12. Item 12"/>
    <x v="0"/>
    <m/>
    <s v="Out"/>
    <m/>
    <m/>
    <m/>
    <m/>
    <m/>
    <m/>
    <s v="f"/>
    <d v="2020-05-01T00:00:00"/>
    <d v="2020-05-01T00:00:00"/>
    <m/>
    <n v="374404.76"/>
    <m/>
    <m/>
    <m/>
    <m/>
    <m/>
    <m/>
    <m/>
    <s v="12. Item 12"/>
    <n v="5"/>
    <x v="11"/>
    <x v="1"/>
    <n v="2020"/>
    <n v="2020"/>
    <b v="1"/>
  </r>
  <r>
    <x v="11"/>
    <m/>
    <x v="1"/>
    <s v="Decentralized"/>
    <s v="In"/>
    <m/>
    <m/>
    <m/>
    <m/>
    <m/>
    <m/>
    <s v="p"/>
    <d v="2020-04-30T00:00:00"/>
    <d v="2020-04-30T00:00:00"/>
    <n v="45238.1"/>
    <m/>
    <m/>
    <m/>
    <m/>
    <m/>
    <m/>
    <m/>
    <m/>
    <s v="13. Item 13"/>
    <n v="4"/>
    <x v="10"/>
    <x v="1"/>
    <n v="2020"/>
    <n v="2020"/>
    <b v="1"/>
  </r>
  <r>
    <x v="11"/>
    <m/>
    <x v="1"/>
    <s v="Decentralized"/>
    <s v="In"/>
    <m/>
    <m/>
    <m/>
    <m/>
    <m/>
    <m/>
    <s v="p"/>
    <d v="2020-04-30T00:00:00"/>
    <d v="2020-04-30T00:00:00"/>
    <n v="498809.52"/>
    <m/>
    <m/>
    <m/>
    <m/>
    <m/>
    <m/>
    <m/>
    <m/>
    <s v="13. Item 13"/>
    <n v="4"/>
    <x v="10"/>
    <x v="1"/>
    <n v="2020"/>
    <n v="2020"/>
    <b v="1"/>
  </r>
  <r>
    <x v="12"/>
    <m/>
    <x v="0"/>
    <m/>
    <s v="Out"/>
    <m/>
    <m/>
    <m/>
    <m/>
    <m/>
    <m/>
    <s v="f"/>
    <d v="2020-05-01T00:00:00"/>
    <d v="2020-05-01T00:00:00"/>
    <m/>
    <n v="2931857.14"/>
    <m/>
    <m/>
    <m/>
    <m/>
    <m/>
    <m/>
    <m/>
    <s v="13. Item 13"/>
    <n v="5"/>
    <x v="11"/>
    <x v="1"/>
    <n v="2020"/>
    <n v="2020"/>
    <b v="1"/>
  </r>
  <r>
    <x v="12"/>
    <m/>
    <x v="1"/>
    <s v="Centralized"/>
    <s v="Out"/>
    <m/>
    <m/>
    <m/>
    <m/>
    <m/>
    <m/>
    <s v="p"/>
    <d v="2020-03-01T00:00:00"/>
    <d v="2020-04-01T00:00:00"/>
    <n v="5770238.0999999996"/>
    <m/>
    <m/>
    <m/>
    <m/>
    <m/>
    <m/>
    <m/>
    <m/>
    <s v="13. Item 13"/>
    <n v="3"/>
    <x v="10"/>
    <x v="1"/>
    <n v="2020"/>
    <n v="2020"/>
    <b v="1"/>
  </r>
  <r>
    <x v="13"/>
    <m/>
    <x v="1"/>
    <s v="Centralized"/>
    <s v="Out"/>
    <m/>
    <m/>
    <m/>
    <m/>
    <m/>
    <m/>
    <s v="p"/>
    <d v="2020-03-01T00:00:00"/>
    <d v="2020-04-01T00:00:00"/>
    <n v="7509056.8200000003"/>
    <m/>
    <m/>
    <m/>
    <m/>
    <m/>
    <m/>
    <m/>
    <m/>
    <s v="13. Item 13"/>
    <n v="3"/>
    <x v="10"/>
    <x v="1"/>
    <n v="2020"/>
    <n v="2020"/>
    <b v="1"/>
  </r>
  <r>
    <x v="13"/>
    <s v="03. Item 03"/>
    <x v="1"/>
    <s v="Centralized"/>
    <s v="Out"/>
    <m/>
    <m/>
    <m/>
    <m/>
    <m/>
    <m/>
    <s v="p"/>
    <d v="2020-04-01T00:00:00"/>
    <d v="2020-04-01T00:00:00"/>
    <n v="4185250.73"/>
    <m/>
    <m/>
    <m/>
    <m/>
    <m/>
    <m/>
    <m/>
    <m/>
    <s v="03. Item 03"/>
    <n v="4"/>
    <x v="10"/>
    <x v="1"/>
    <n v="2020"/>
    <n v="2020"/>
    <b v="1"/>
  </r>
  <r>
    <x v="6"/>
    <s v="04. Item 04"/>
    <x v="1"/>
    <s v="Centralized"/>
    <s v="Out"/>
    <m/>
    <m/>
    <m/>
    <m/>
    <m/>
    <m/>
    <s v="p"/>
    <d v="2020-04-01T00:00:00"/>
    <d v="2020-04-01T00:00:00"/>
    <n v="5161904.76"/>
    <m/>
    <m/>
    <m/>
    <m/>
    <m/>
    <m/>
    <m/>
    <m/>
    <s v="04. Item 04"/>
    <n v="4"/>
    <x v="10"/>
    <x v="1"/>
    <n v="2020"/>
    <n v="2020"/>
    <b v="1"/>
  </r>
  <r>
    <x v="15"/>
    <m/>
    <x v="1"/>
    <s v="Centralized"/>
    <s v="Out"/>
    <m/>
    <m/>
    <m/>
    <m/>
    <m/>
    <m/>
    <s v="p"/>
    <d v="2020-04-01T00:00:00"/>
    <d v="2020-04-01T00:00:00"/>
    <n v="5724523.8099999996"/>
    <m/>
    <m/>
    <m/>
    <m/>
    <m/>
    <m/>
    <m/>
    <m/>
    <s v="06. Item 06"/>
    <n v="4"/>
    <x v="10"/>
    <x v="1"/>
    <n v="2020"/>
    <n v="2020"/>
    <b v="1"/>
  </r>
  <r>
    <x v="5"/>
    <m/>
    <x v="1"/>
    <s v="Centralized"/>
    <s v="Out"/>
    <m/>
    <m/>
    <m/>
    <m/>
    <m/>
    <m/>
    <s v="p"/>
    <d v="2020-04-01T00:00:00"/>
    <d v="2020-04-01T00:00:00"/>
    <n v="69047.62"/>
    <m/>
    <m/>
    <m/>
    <m/>
    <m/>
    <m/>
    <m/>
    <m/>
    <s v="05. Item 05"/>
    <n v="4"/>
    <x v="10"/>
    <x v="1"/>
    <n v="2020"/>
    <n v="2020"/>
    <b v="1"/>
  </r>
  <r>
    <x v="0"/>
    <m/>
    <x v="1"/>
    <s v="Centralized"/>
    <s v="Out"/>
    <m/>
    <m/>
    <m/>
    <m/>
    <m/>
    <m/>
    <s v="p"/>
    <d v="2020-04-01T00:00:00"/>
    <d v="2020-04-01T00:00:00"/>
    <n v="9523.81"/>
    <m/>
    <m/>
    <m/>
    <m/>
    <m/>
    <m/>
    <m/>
    <m/>
    <s v="01. Item 01"/>
    <n v="4"/>
    <x v="10"/>
    <x v="1"/>
    <n v="2020"/>
    <n v="2020"/>
    <b v="1"/>
  </r>
  <r>
    <x v="1"/>
    <m/>
    <x v="1"/>
    <s v="Centralized"/>
    <s v="Out"/>
    <m/>
    <m/>
    <m/>
    <m/>
    <m/>
    <m/>
    <s v="p"/>
    <d v="2020-04-01T00:00:00"/>
    <d v="2020-04-01T00:00:00"/>
    <n v="66666.67"/>
    <m/>
    <m/>
    <m/>
    <m/>
    <m/>
    <m/>
    <m/>
    <m/>
    <s v="02. Item 02"/>
    <n v="4"/>
    <x v="10"/>
    <x v="1"/>
    <n v="2020"/>
    <n v="2020"/>
    <b v="1"/>
  </r>
  <r>
    <x v="3"/>
    <m/>
    <x v="1"/>
    <s v="Centralized"/>
    <s v="Out"/>
    <m/>
    <m/>
    <m/>
    <m/>
    <m/>
    <m/>
    <s v="p"/>
    <d v="2020-04-01T00:00:00"/>
    <d v="2020-04-01T00:00:00"/>
    <n v="69285.710000000006"/>
    <m/>
    <m/>
    <m/>
    <m/>
    <m/>
    <m/>
    <m/>
    <m/>
    <s v="04. Item 04"/>
    <n v="4"/>
    <x v="10"/>
    <x v="1"/>
    <n v="2020"/>
    <n v="2020"/>
    <b v="1"/>
  </r>
  <r>
    <x v="4"/>
    <s v="10. Item 10"/>
    <x v="1"/>
    <s v="Centralized"/>
    <s v="Out"/>
    <m/>
    <m/>
    <m/>
    <m/>
    <m/>
    <m/>
    <s v="p"/>
    <d v="2020-04-01T00:00:00"/>
    <d v="2020-04-01T00:00:00"/>
    <n v="45000"/>
    <m/>
    <m/>
    <m/>
    <m/>
    <m/>
    <m/>
    <m/>
    <m/>
    <s v="10. Item 10"/>
    <n v="4"/>
    <x v="10"/>
    <x v="1"/>
    <n v="2020"/>
    <n v="2020"/>
    <b v="1"/>
  </r>
  <r>
    <x v="10"/>
    <s v="12. Item 12"/>
    <x v="1"/>
    <s v="Centralized"/>
    <s v="Out"/>
    <m/>
    <m/>
    <m/>
    <m/>
    <m/>
    <m/>
    <s v="p"/>
    <d v="2020-04-01T00:00:00"/>
    <d v="2020-04-01T00:00:00"/>
    <n v="378095.24"/>
    <m/>
    <m/>
    <m/>
    <m/>
    <m/>
    <m/>
    <m/>
    <m/>
    <s v="12. Item 12"/>
    <n v="4"/>
    <x v="10"/>
    <x v="1"/>
    <n v="2020"/>
    <n v="2020"/>
    <b v="1"/>
  </r>
  <r>
    <x v="9"/>
    <s v="13. Item 13"/>
    <x v="1"/>
    <s v="Centralized"/>
    <s v="Out"/>
    <m/>
    <m/>
    <m/>
    <m/>
    <m/>
    <m/>
    <s v="p"/>
    <d v="2020-04-01T00:00:00"/>
    <d v="2020-04-01T00:00:00"/>
    <n v="1190476.19"/>
    <m/>
    <m/>
    <m/>
    <m/>
    <m/>
    <m/>
    <m/>
    <m/>
    <s v="13. Item 13"/>
    <n v="4"/>
    <x v="10"/>
    <x v="1"/>
    <n v="2020"/>
    <n v="2020"/>
    <b v="1"/>
  </r>
  <r>
    <x v="8"/>
    <m/>
    <x v="1"/>
    <s v="Centralized"/>
    <s v="Out"/>
    <m/>
    <m/>
    <m/>
    <m/>
    <m/>
    <m/>
    <s v="p"/>
    <d v="2020-04-01T00:00:00"/>
    <d v="2020-04-01T00:00:00"/>
    <n v="6440952.3799999999"/>
    <m/>
    <m/>
    <m/>
    <m/>
    <m/>
    <m/>
    <m/>
    <m/>
    <s v="09. Item 09"/>
    <n v="4"/>
    <x v="10"/>
    <x v="1"/>
    <n v="2020"/>
    <n v="2020"/>
    <b v="1"/>
  </r>
  <r>
    <x v="16"/>
    <m/>
    <x v="1"/>
    <s v="Centralized"/>
    <s v="Out"/>
    <m/>
    <m/>
    <m/>
    <m/>
    <m/>
    <m/>
    <s v="p"/>
    <d v="2020-04-01T00:00:00"/>
    <d v="2020-04-01T00:00:00"/>
    <n v="1857142.86"/>
    <m/>
    <m/>
    <m/>
    <m/>
    <m/>
    <m/>
    <m/>
    <m/>
    <s v="_1. Item _1"/>
    <n v="4"/>
    <x v="10"/>
    <x v="1"/>
    <n v="2020"/>
    <n v="2020"/>
    <b v="1"/>
  </r>
  <r>
    <x v="16"/>
    <m/>
    <x v="1"/>
    <s v="Centralized"/>
    <s v="Out"/>
    <m/>
    <m/>
    <m/>
    <m/>
    <m/>
    <m/>
    <s v="p"/>
    <d v="2020-04-01T00:00:00"/>
    <d v="2020-04-01T00:00:00"/>
    <n v="73809.52"/>
    <m/>
    <m/>
    <m/>
    <m/>
    <m/>
    <m/>
    <m/>
    <m/>
    <s v="_1. Item _1"/>
    <n v="4"/>
    <x v="10"/>
    <x v="1"/>
    <n v="2020"/>
    <n v="2020"/>
    <b v="1"/>
  </r>
  <r>
    <x v="19"/>
    <m/>
    <x v="1"/>
    <s v="Decentralized"/>
    <s v="Out"/>
    <m/>
    <m/>
    <m/>
    <m/>
    <m/>
    <m/>
    <s v="p"/>
    <d v="2020-04-01T00:00:00"/>
    <d v="2020-04-01T00:00:00"/>
    <n v="544047.62"/>
    <m/>
    <m/>
    <m/>
    <m/>
    <m/>
    <m/>
    <m/>
    <m/>
    <s v="_2. Item _2"/>
    <n v="4"/>
    <x v="10"/>
    <x v="1"/>
    <n v="2020"/>
    <n v="2020"/>
    <b v="1"/>
  </r>
  <r>
    <x v="15"/>
    <m/>
    <x v="1"/>
    <s v="Centralized"/>
    <s v="Out"/>
    <m/>
    <m/>
    <m/>
    <m/>
    <m/>
    <m/>
    <s v="p"/>
    <d v="2020-06-01T00:00:00"/>
    <d v="2020-06-01T00:00:00"/>
    <n v="4346428.57"/>
    <m/>
    <m/>
    <m/>
    <m/>
    <m/>
    <m/>
    <m/>
    <m/>
    <s v="06. Item 06"/>
    <n v="6"/>
    <x v="9"/>
    <x v="1"/>
    <n v="2020"/>
    <n v="2020"/>
    <b v="1"/>
  </r>
  <r>
    <x v="4"/>
    <m/>
    <x v="0"/>
    <m/>
    <s v="Out"/>
    <m/>
    <m/>
    <m/>
    <m/>
    <m/>
    <m/>
    <s v="p"/>
    <d v="2020-04-01T00:00:00"/>
    <d v="2020-04-01T00:00:00"/>
    <n v="3845238.1"/>
    <m/>
    <m/>
    <m/>
    <m/>
    <m/>
    <m/>
    <m/>
    <m/>
    <s v="05. Item 05"/>
    <n v="4"/>
    <x v="10"/>
    <x v="1"/>
    <n v="2020"/>
    <n v="2020"/>
    <b v="1"/>
  </r>
  <r>
    <x v="6"/>
    <m/>
    <x v="0"/>
    <m/>
    <s v="Out"/>
    <m/>
    <m/>
    <m/>
    <m/>
    <m/>
    <m/>
    <s v="p"/>
    <d v="2020-06-01T00:00:00"/>
    <d v="2020-06-01T00:00:00"/>
    <n v="3720547.62"/>
    <m/>
    <m/>
    <m/>
    <m/>
    <m/>
    <m/>
    <m/>
    <m/>
    <s v="07. Item 07"/>
    <n v="6"/>
    <x v="9"/>
    <x v="1"/>
    <n v="2020"/>
    <n v="2020"/>
    <b v="1"/>
  </r>
  <r>
    <x v="4"/>
    <m/>
    <x v="0"/>
    <m/>
    <s v="Out"/>
    <m/>
    <m/>
    <m/>
    <m/>
    <m/>
    <m/>
    <s v="p"/>
    <d v="2020-04-01T00:00:00"/>
    <d v="2020-04-01T00:00:00"/>
    <n v="1804285.71"/>
    <m/>
    <m/>
    <m/>
    <m/>
    <m/>
    <m/>
    <m/>
    <m/>
    <s v="05. Item 05"/>
    <n v="4"/>
    <x v="10"/>
    <x v="1"/>
    <n v="2020"/>
    <n v="2020"/>
    <b v="1"/>
  </r>
  <r>
    <x v="5"/>
    <s v="04. Item 04"/>
    <x v="0"/>
    <m/>
    <s v="Out"/>
    <m/>
    <m/>
    <m/>
    <m/>
    <m/>
    <m/>
    <s v="p"/>
    <d v="2020-04-01T00:00:00"/>
    <d v="2020-04-01T00:00:00"/>
    <n v="4891452.38"/>
    <m/>
    <m/>
    <m/>
    <m/>
    <m/>
    <m/>
    <m/>
    <m/>
    <s v="04. Item 04"/>
    <n v="4"/>
    <x v="10"/>
    <x v="1"/>
    <n v="2020"/>
    <n v="2020"/>
    <b v="1"/>
  </r>
  <r>
    <x v="6"/>
    <m/>
    <x v="0"/>
    <m/>
    <s v="Out"/>
    <m/>
    <m/>
    <m/>
    <m/>
    <m/>
    <m/>
    <s v="p"/>
    <d v="2020-04-01T00:00:00"/>
    <d v="2020-04-01T00:00:00"/>
    <n v="4803119.05"/>
    <m/>
    <m/>
    <m/>
    <m/>
    <m/>
    <m/>
    <m/>
    <m/>
    <s v="07. Item 07"/>
    <n v="4"/>
    <x v="10"/>
    <x v="1"/>
    <n v="2020"/>
    <n v="2020"/>
    <b v="1"/>
  </r>
  <r>
    <x v="17"/>
    <m/>
    <x v="0"/>
    <m/>
    <s v="Out"/>
    <m/>
    <m/>
    <m/>
    <m/>
    <m/>
    <m/>
    <s v="p"/>
    <d v="2020-04-01T00:00:00"/>
    <d v="2020-04-01T00:00:00"/>
    <n v="40023.81"/>
    <m/>
    <m/>
    <m/>
    <m/>
    <m/>
    <m/>
    <m/>
    <m/>
    <s v="09. Item 09"/>
    <n v="4"/>
    <x v="10"/>
    <x v="1"/>
    <n v="2020"/>
    <n v="2020"/>
    <b v="1"/>
  </r>
  <r>
    <x v="9"/>
    <m/>
    <x v="0"/>
    <m/>
    <s v="Out"/>
    <m/>
    <m/>
    <m/>
    <m/>
    <m/>
    <m/>
    <s v="p"/>
    <d v="2020-04-01T00:00:00"/>
    <d v="2020-04-01T00:00:00"/>
    <n v="461809.52"/>
    <m/>
    <m/>
    <m/>
    <m/>
    <m/>
    <m/>
    <m/>
    <m/>
    <s v="09. Item 09"/>
    <n v="4"/>
    <x v="10"/>
    <x v="1"/>
    <n v="2020"/>
    <n v="2020"/>
    <b v="1"/>
  </r>
  <r>
    <x v="8"/>
    <m/>
    <x v="0"/>
    <m/>
    <s v="Out"/>
    <m/>
    <m/>
    <m/>
    <m/>
    <m/>
    <m/>
    <s v="p"/>
    <d v="2020-04-01T00:00:00"/>
    <d v="2020-04-01T00:00:00"/>
    <n v="863190.48"/>
    <m/>
    <m/>
    <m/>
    <m/>
    <m/>
    <m/>
    <m/>
    <m/>
    <s v="09. Item 09"/>
    <n v="4"/>
    <x v="10"/>
    <x v="1"/>
    <n v="2020"/>
    <n v="2020"/>
    <b v="1"/>
  </r>
  <r>
    <x v="10"/>
    <s v="12. Item 12"/>
    <x v="0"/>
    <m/>
    <s v="Out"/>
    <m/>
    <m/>
    <m/>
    <m/>
    <m/>
    <m/>
    <s v="p"/>
    <d v="2020-04-01T00:00:00"/>
    <d v="2020-04-01T00:00:00"/>
    <n v="449357.14"/>
    <m/>
    <m/>
    <m/>
    <m/>
    <m/>
    <m/>
    <m/>
    <m/>
    <s v="12. Item 12"/>
    <n v="4"/>
    <x v="10"/>
    <x v="1"/>
    <n v="2020"/>
    <n v="2020"/>
    <b v="1"/>
  </r>
  <r>
    <x v="14"/>
    <m/>
    <x v="0"/>
    <m/>
    <s v="Out"/>
    <m/>
    <m/>
    <m/>
    <m/>
    <m/>
    <m/>
    <s v="f"/>
    <d v="2020-04-01T00:00:00"/>
    <d v="2020-04-01T00:00:00"/>
    <m/>
    <n v="428.57"/>
    <m/>
    <m/>
    <m/>
    <m/>
    <m/>
    <m/>
    <m/>
    <s v="19. Item 19"/>
    <n v="4"/>
    <x v="10"/>
    <x v="1"/>
    <n v="2020"/>
    <n v="2020"/>
    <b v="1"/>
  </r>
  <r>
    <x v="0"/>
    <m/>
    <x v="0"/>
    <m/>
    <s v="Out"/>
    <m/>
    <m/>
    <m/>
    <m/>
    <m/>
    <m/>
    <s v="p"/>
    <d v="2020-04-01T00:00:00"/>
    <d v="2020-04-01T00:00:00"/>
    <n v="1020952.38"/>
    <m/>
    <m/>
    <m/>
    <m/>
    <m/>
    <m/>
    <m/>
    <m/>
    <s v="01. Item 01"/>
    <n v="4"/>
    <x v="10"/>
    <x v="1"/>
    <n v="2020"/>
    <n v="2020"/>
    <b v="1"/>
  </r>
  <r>
    <x v="1"/>
    <m/>
    <x v="0"/>
    <m/>
    <s v="Out"/>
    <m/>
    <m/>
    <m/>
    <m/>
    <m/>
    <m/>
    <s v="f"/>
    <d v="2020-04-01T00:00:00"/>
    <d v="2020-04-01T00:00:00"/>
    <m/>
    <n v="491523.81"/>
    <m/>
    <m/>
    <m/>
    <m/>
    <m/>
    <m/>
    <m/>
    <s v="02. Item 02"/>
    <n v="4"/>
    <x v="10"/>
    <x v="1"/>
    <n v="2020"/>
    <n v="2020"/>
    <b v="1"/>
  </r>
  <r>
    <x v="20"/>
    <m/>
    <x v="0"/>
    <m/>
    <s v="Out"/>
    <m/>
    <m/>
    <m/>
    <m/>
    <m/>
    <m/>
    <s v="f"/>
    <d v="2020-04-01T00:00:00"/>
    <d v="2020-04-01T00:00:00"/>
    <m/>
    <n v="4353357.1399999997"/>
    <m/>
    <m/>
    <m/>
    <m/>
    <m/>
    <m/>
    <m/>
    <s v="14. Item 14"/>
    <n v="4"/>
    <x v="10"/>
    <x v="1"/>
    <n v="2020"/>
    <n v="2020"/>
    <b v="1"/>
  </r>
  <r>
    <x v="4"/>
    <m/>
    <x v="0"/>
    <m/>
    <s v="Out"/>
    <m/>
    <m/>
    <m/>
    <m/>
    <m/>
    <m/>
    <s v="f"/>
    <d v="2020-06-01T00:00:00"/>
    <d v="2020-06-01T00:00:00"/>
    <m/>
    <n v="2102904.7599999998"/>
    <m/>
    <m/>
    <m/>
    <m/>
    <m/>
    <m/>
    <m/>
    <s v="05. Item 05"/>
    <n v="6"/>
    <x v="9"/>
    <x v="1"/>
    <n v="2020"/>
    <n v="2020"/>
    <b v="1"/>
  </r>
  <r>
    <x v="15"/>
    <m/>
    <x v="0"/>
    <m/>
    <s v="Out"/>
    <m/>
    <m/>
    <m/>
    <m/>
    <m/>
    <m/>
    <s v="f"/>
    <d v="2020-04-01T00:00:00"/>
    <d v="2020-04-01T00:00:00"/>
    <m/>
    <n v="39119.050000000003"/>
    <m/>
    <m/>
    <m/>
    <m/>
    <m/>
    <m/>
    <m/>
    <s v="06. Item 06"/>
    <n v="4"/>
    <x v="10"/>
    <x v="1"/>
    <n v="2020"/>
    <n v="2020"/>
    <b v="1"/>
  </r>
  <r>
    <x v="6"/>
    <m/>
    <x v="0"/>
    <m/>
    <s v="Out"/>
    <m/>
    <m/>
    <m/>
    <m/>
    <m/>
    <m/>
    <s v="f"/>
    <d v="2020-04-01T00:00:00"/>
    <d v="2020-04-01T00:00:00"/>
    <m/>
    <n v="7062571.4299999997"/>
    <m/>
    <m/>
    <m/>
    <m/>
    <m/>
    <m/>
    <m/>
    <s v="07. Item 07"/>
    <n v="4"/>
    <x v="10"/>
    <x v="1"/>
    <n v="2020"/>
    <n v="2020"/>
    <b v="1"/>
  </r>
  <r>
    <x v="15"/>
    <m/>
    <x v="0"/>
    <m/>
    <s v="Out"/>
    <m/>
    <m/>
    <m/>
    <m/>
    <m/>
    <m/>
    <s v="f"/>
    <d v="2020-04-01T00:00:00"/>
    <d v="2020-04-01T00:00:00"/>
    <m/>
    <n v="1776761.9"/>
    <m/>
    <m/>
    <m/>
    <m/>
    <m/>
    <m/>
    <m/>
    <s v="06. Item 06"/>
    <n v="4"/>
    <x v="10"/>
    <x v="1"/>
    <n v="2020"/>
    <n v="2020"/>
    <b v="1"/>
  </r>
  <r>
    <x v="5"/>
    <s v="04. Item 04"/>
    <x v="0"/>
    <m/>
    <s v="Out"/>
    <m/>
    <m/>
    <m/>
    <m/>
    <m/>
    <m/>
    <s v="f"/>
    <d v="2020-04-01T00:00:00"/>
    <d v="2020-04-01T00:00:00"/>
    <m/>
    <n v="3739023.81"/>
    <m/>
    <m/>
    <m/>
    <m/>
    <m/>
    <m/>
    <m/>
    <s v="04. Item 04"/>
    <n v="4"/>
    <x v="10"/>
    <x v="1"/>
    <n v="2020"/>
    <n v="2020"/>
    <b v="1"/>
  </r>
  <r>
    <x v="0"/>
    <m/>
    <x v="0"/>
    <m/>
    <s v="Out"/>
    <m/>
    <m/>
    <m/>
    <m/>
    <m/>
    <m/>
    <s v="f"/>
    <d v="2020-04-01T00:00:00"/>
    <d v="2020-04-01T00:00:00"/>
    <m/>
    <n v="33000"/>
    <m/>
    <m/>
    <m/>
    <m/>
    <m/>
    <m/>
    <m/>
    <s v="01. Item 01"/>
    <n v="4"/>
    <x v="10"/>
    <x v="1"/>
    <n v="2020"/>
    <n v="2020"/>
    <b v="1"/>
  </r>
  <r>
    <x v="1"/>
    <m/>
    <x v="0"/>
    <m/>
    <s v="Out"/>
    <m/>
    <m/>
    <m/>
    <m/>
    <m/>
    <m/>
    <s v="f"/>
    <d v="2020-04-01T00:00:00"/>
    <d v="2020-04-01T00:00:00"/>
    <m/>
    <n v="-93809.52"/>
    <m/>
    <m/>
    <m/>
    <m/>
    <m/>
    <m/>
    <m/>
    <s v="02. Item 02"/>
    <n v="4"/>
    <x v="10"/>
    <x v="1"/>
    <n v="2020"/>
    <n v="2020"/>
    <b v="1"/>
  </r>
  <r>
    <x v="3"/>
    <s v="12. Item 12"/>
    <x v="0"/>
    <m/>
    <s v="Out"/>
    <m/>
    <m/>
    <m/>
    <m/>
    <m/>
    <m/>
    <s v="f"/>
    <d v="2020-04-01T00:00:00"/>
    <d v="2020-04-01T00:00:00"/>
    <m/>
    <n v="447214.29"/>
    <m/>
    <m/>
    <m/>
    <m/>
    <m/>
    <m/>
    <m/>
    <s v="12. Item 12"/>
    <n v="4"/>
    <x v="10"/>
    <x v="1"/>
    <n v="2020"/>
    <n v="2020"/>
    <b v="1"/>
  </r>
  <r>
    <x v="4"/>
    <m/>
    <x v="1"/>
    <s v="Decentralized"/>
    <s v="In"/>
    <m/>
    <m/>
    <m/>
    <m/>
    <m/>
    <m/>
    <s v="p"/>
    <d v="2020-03-31T00:00:00"/>
    <d v="2020-03-31T00:00:00"/>
    <n v="42142.86"/>
    <m/>
    <m/>
    <m/>
    <m/>
    <m/>
    <m/>
    <m/>
    <m/>
    <s v="05. Item 05"/>
    <n v="3"/>
    <x v="8"/>
    <x v="1"/>
    <n v="2020"/>
    <n v="2020"/>
    <b v="1"/>
  </r>
  <r>
    <x v="10"/>
    <m/>
    <x v="1"/>
    <s v="Decentralized"/>
    <s v="In"/>
    <m/>
    <m/>
    <m/>
    <m/>
    <m/>
    <m/>
    <s v="p"/>
    <d v="2020-03-31T00:00:00"/>
    <d v="2020-03-31T00:00:00"/>
    <n v="461904.76"/>
    <m/>
    <m/>
    <m/>
    <m/>
    <m/>
    <m/>
    <m/>
    <m/>
    <s v="11. Item 11"/>
    <n v="3"/>
    <x v="8"/>
    <x v="1"/>
    <n v="2020"/>
    <n v="2020"/>
    <b v="1"/>
  </r>
  <r>
    <x v="9"/>
    <m/>
    <x v="1"/>
    <s v="Centralized"/>
    <s v="In"/>
    <m/>
    <m/>
    <m/>
    <m/>
    <m/>
    <m/>
    <s v="p"/>
    <d v="2020-03-31T00:00:00"/>
    <d v="2020-03-31T00:00:00"/>
    <n v="32994761.899999999"/>
    <m/>
    <m/>
    <m/>
    <m/>
    <m/>
    <m/>
    <m/>
    <m/>
    <s v="09. Item 09"/>
    <n v="3"/>
    <x v="8"/>
    <x v="1"/>
    <n v="2020"/>
    <n v="2020"/>
    <b v="1"/>
  </r>
  <r>
    <x v="8"/>
    <m/>
    <x v="1"/>
    <s v="Centralized"/>
    <s v="Out"/>
    <m/>
    <m/>
    <m/>
    <m/>
    <m/>
    <m/>
    <s v="p"/>
    <d v="2020-03-01T00:00:00"/>
    <d v="2020-03-01T00:00:00"/>
    <n v="6790476.1900000004"/>
    <m/>
    <m/>
    <m/>
    <m/>
    <m/>
    <m/>
    <m/>
    <m/>
    <s v="09. Item 09"/>
    <n v="3"/>
    <x v="8"/>
    <x v="1"/>
    <n v="2020"/>
    <n v="2020"/>
    <b v="1"/>
  </r>
  <r>
    <x v="11"/>
    <m/>
    <x v="1"/>
    <s v="Decentralized"/>
    <s v="Out"/>
    <m/>
    <m/>
    <m/>
    <m/>
    <m/>
    <m/>
    <s v="p"/>
    <d v="2020-03-01T00:00:00"/>
    <d v="2020-03-01T00:00:00"/>
    <n v="504047.62"/>
    <m/>
    <m/>
    <m/>
    <m/>
    <m/>
    <m/>
    <m/>
    <m/>
    <s v="13. Item 13"/>
    <n v="3"/>
    <x v="8"/>
    <x v="1"/>
    <n v="2020"/>
    <n v="2020"/>
    <b v="1"/>
  </r>
  <r>
    <x v="11"/>
    <m/>
    <x v="1"/>
    <s v="Centralized"/>
    <s v="Out"/>
    <m/>
    <m/>
    <m/>
    <m/>
    <m/>
    <m/>
    <s v="p"/>
    <d v="2020-03-01T00:00:00"/>
    <d v="2020-03-01T00:00:00"/>
    <n v="104761.9"/>
    <m/>
    <m/>
    <m/>
    <m/>
    <m/>
    <m/>
    <m/>
    <m/>
    <s v="13. Item 13"/>
    <n v="3"/>
    <x v="8"/>
    <x v="1"/>
    <n v="2020"/>
    <n v="2020"/>
    <b v="1"/>
  </r>
  <r>
    <x v="12"/>
    <m/>
    <x v="1"/>
    <s v="Centralized"/>
    <s v="Out"/>
    <m/>
    <m/>
    <m/>
    <m/>
    <m/>
    <m/>
    <s v="p"/>
    <d v="2020-07-01T00:00:00"/>
    <d v="2020-07-01T00:00:00"/>
    <n v="2380952.38"/>
    <m/>
    <m/>
    <m/>
    <m/>
    <m/>
    <m/>
    <m/>
    <m/>
    <s v="13. Item 13"/>
    <n v="7"/>
    <x v="7"/>
    <x v="1"/>
    <n v="2020"/>
    <n v="2020"/>
    <b v="1"/>
  </r>
  <r>
    <x v="12"/>
    <m/>
    <x v="1"/>
    <s v="Centralized"/>
    <s v="Out"/>
    <m/>
    <m/>
    <m/>
    <m/>
    <m/>
    <m/>
    <s v="p"/>
    <d v="2020-03-01T00:00:00"/>
    <d v="2020-03-01T00:00:00"/>
    <n v="5023809.5199999996"/>
    <m/>
    <m/>
    <m/>
    <m/>
    <m/>
    <m/>
    <m/>
    <m/>
    <s v="13. Item 13"/>
    <n v="3"/>
    <x v="8"/>
    <x v="1"/>
    <n v="2020"/>
    <n v="2020"/>
    <b v="1"/>
  </r>
  <r>
    <x v="13"/>
    <m/>
    <x v="1"/>
    <s v="Centralized"/>
    <s v="Out"/>
    <m/>
    <m/>
    <m/>
    <m/>
    <m/>
    <m/>
    <s v="p"/>
    <d v="2020-03-01T00:00:00"/>
    <d v="2020-03-01T00:00:00"/>
    <n v="166666.67000000001"/>
    <m/>
    <m/>
    <m/>
    <m/>
    <m/>
    <m/>
    <m/>
    <m/>
    <s v="13. Item 13"/>
    <n v="3"/>
    <x v="8"/>
    <x v="1"/>
    <n v="2020"/>
    <n v="2020"/>
    <b v="1"/>
  </r>
  <r>
    <x v="13"/>
    <m/>
    <x v="1"/>
    <s v="Centralized"/>
    <s v="Out"/>
    <m/>
    <m/>
    <m/>
    <m/>
    <m/>
    <m/>
    <s v="p"/>
    <d v="2020-03-01T00:00:00"/>
    <d v="2020-03-01T00:00:00"/>
    <n v="5000"/>
    <m/>
    <m/>
    <m/>
    <m/>
    <m/>
    <m/>
    <m/>
    <m/>
    <s v="13. Item 13"/>
    <n v="3"/>
    <x v="8"/>
    <x v="1"/>
    <n v="2020"/>
    <n v="2020"/>
    <b v="1"/>
  </r>
  <r>
    <x v="6"/>
    <m/>
    <x v="1"/>
    <s v="Centralized"/>
    <s v="Out"/>
    <m/>
    <m/>
    <m/>
    <m/>
    <m/>
    <m/>
    <s v="p"/>
    <d v="2020-03-01T00:00:00"/>
    <d v="2020-03-01T00:00:00"/>
    <n v="39523.81"/>
    <m/>
    <m/>
    <m/>
    <m/>
    <m/>
    <m/>
    <m/>
    <m/>
    <s v="07. Item 07"/>
    <n v="3"/>
    <x v="8"/>
    <x v="1"/>
    <n v="2020"/>
    <n v="2020"/>
    <b v="1"/>
  </r>
  <r>
    <x v="15"/>
    <m/>
    <x v="1"/>
    <s v="Centralized"/>
    <s v="Out"/>
    <m/>
    <m/>
    <m/>
    <m/>
    <m/>
    <m/>
    <s v="p"/>
    <d v="2020-03-01T00:00:00"/>
    <d v="2020-03-01T00:00:00"/>
    <n v="59523.81"/>
    <m/>
    <m/>
    <m/>
    <m/>
    <m/>
    <m/>
    <m/>
    <m/>
    <s v="06. Item 06"/>
    <n v="3"/>
    <x v="8"/>
    <x v="1"/>
    <n v="2020"/>
    <n v="2020"/>
    <b v="1"/>
  </r>
  <r>
    <x v="5"/>
    <m/>
    <x v="1"/>
    <s v="Centralized"/>
    <s v="Out"/>
    <m/>
    <m/>
    <m/>
    <m/>
    <m/>
    <m/>
    <s v="p"/>
    <d v="2020-03-01T00:00:00"/>
    <d v="2020-03-01T00:00:00"/>
    <n v="1039341.76"/>
    <m/>
    <m/>
    <m/>
    <m/>
    <m/>
    <m/>
    <m/>
    <m/>
    <s v="05. Item 05"/>
    <n v="3"/>
    <x v="8"/>
    <x v="1"/>
    <n v="2020"/>
    <n v="2020"/>
    <b v="1"/>
  </r>
  <r>
    <x v="2"/>
    <s v="03. Item 03"/>
    <x v="1"/>
    <s v="Centralized"/>
    <s v="Out"/>
    <m/>
    <m/>
    <m/>
    <m/>
    <m/>
    <m/>
    <s v="p"/>
    <d v="2020-03-01T00:00:00"/>
    <d v="2020-03-01T00:00:00"/>
    <n v="3183095.24"/>
    <m/>
    <m/>
    <m/>
    <m/>
    <m/>
    <m/>
    <m/>
    <m/>
    <s v="03. Item 03"/>
    <n v="3"/>
    <x v="8"/>
    <x v="1"/>
    <n v="2020"/>
    <n v="2020"/>
    <b v="1"/>
  </r>
  <r>
    <x v="0"/>
    <s v="04. Item 04"/>
    <x v="1"/>
    <s v="Centralized"/>
    <s v="Out"/>
    <m/>
    <m/>
    <m/>
    <m/>
    <m/>
    <m/>
    <s v="p"/>
    <d v="2020-03-01T00:00:00"/>
    <d v="2020-03-01T00:00:00"/>
    <n v="1198095.24"/>
    <m/>
    <m/>
    <m/>
    <m/>
    <m/>
    <m/>
    <m/>
    <m/>
    <s v="04. Item 04"/>
    <n v="3"/>
    <x v="8"/>
    <x v="1"/>
    <n v="2020"/>
    <n v="2020"/>
    <b v="1"/>
  </r>
  <r>
    <x v="1"/>
    <s v="10. Item 10"/>
    <x v="1"/>
    <s v="Centralized"/>
    <s v="Out"/>
    <m/>
    <m/>
    <m/>
    <m/>
    <m/>
    <m/>
    <s v="p"/>
    <d v="2020-03-01T00:00:00"/>
    <d v="2020-03-01T00:00:00"/>
    <n v="35952.379999999997"/>
    <m/>
    <m/>
    <m/>
    <m/>
    <m/>
    <m/>
    <m/>
    <m/>
    <s v="10. Item 10"/>
    <n v="3"/>
    <x v="8"/>
    <x v="1"/>
    <n v="2020"/>
    <n v="2020"/>
    <b v="1"/>
  </r>
  <r>
    <x v="3"/>
    <s v="12. Item 12"/>
    <x v="1"/>
    <s v="Centralized"/>
    <s v="Out"/>
    <m/>
    <m/>
    <m/>
    <m/>
    <m/>
    <m/>
    <s v="p"/>
    <d v="2020-03-01T00:00:00"/>
    <d v="2020-03-01T00:00:00"/>
    <n v="500000"/>
    <m/>
    <m/>
    <m/>
    <m/>
    <m/>
    <m/>
    <m/>
    <m/>
    <s v="12. Item 12"/>
    <n v="3"/>
    <x v="8"/>
    <x v="1"/>
    <n v="2020"/>
    <n v="2020"/>
    <b v="1"/>
  </r>
  <r>
    <x v="4"/>
    <s v="13. Item 13"/>
    <x v="1"/>
    <s v="Centralized"/>
    <s v="Out"/>
    <m/>
    <m/>
    <m/>
    <m/>
    <m/>
    <m/>
    <s v="p"/>
    <d v="2020-03-01T00:00:00"/>
    <d v="2020-03-01T00:00:00"/>
    <n v="625731.4"/>
    <m/>
    <m/>
    <m/>
    <m/>
    <m/>
    <m/>
    <m/>
    <m/>
    <s v="13. Item 13"/>
    <n v="3"/>
    <x v="8"/>
    <x v="1"/>
    <n v="2020"/>
    <n v="2020"/>
    <b v="1"/>
  </r>
  <r>
    <x v="10"/>
    <m/>
    <x v="0"/>
    <m/>
    <s v="Out"/>
    <m/>
    <m/>
    <m/>
    <m/>
    <m/>
    <m/>
    <s v="p"/>
    <d v="2020-07-01T00:00:00"/>
    <d v="2020-07-01T00:00:00"/>
    <n v="2231976.19"/>
    <m/>
    <m/>
    <m/>
    <m/>
    <m/>
    <m/>
    <m/>
    <m/>
    <s v="11. Item 11"/>
    <n v="7"/>
    <x v="7"/>
    <x v="1"/>
    <n v="2020"/>
    <n v="2020"/>
    <b v="1"/>
  </r>
  <r>
    <x v="9"/>
    <m/>
    <x v="0"/>
    <m/>
    <s v="Out"/>
    <m/>
    <m/>
    <m/>
    <m/>
    <m/>
    <m/>
    <s v="p"/>
    <d v="2020-03-01T00:00:00"/>
    <d v="2020-03-01T00:00:00"/>
    <n v="7672642.8600000003"/>
    <m/>
    <m/>
    <m/>
    <m/>
    <m/>
    <m/>
    <m/>
    <m/>
    <s v="09. Item 09"/>
    <n v="3"/>
    <x v="8"/>
    <x v="1"/>
    <n v="2020"/>
    <n v="2020"/>
    <b v="1"/>
  </r>
  <r>
    <x v="8"/>
    <m/>
    <x v="0"/>
    <m/>
    <s v="Out"/>
    <m/>
    <m/>
    <m/>
    <m/>
    <m/>
    <m/>
    <s v="p"/>
    <d v="2020-03-01T00:00:00"/>
    <d v="2020-03-01T00:00:00"/>
    <n v="76500"/>
    <m/>
    <m/>
    <m/>
    <m/>
    <m/>
    <m/>
    <m/>
    <m/>
    <s v="09. Item 09"/>
    <n v="3"/>
    <x v="8"/>
    <x v="1"/>
    <n v="2020"/>
    <n v="2020"/>
    <b v="1"/>
  </r>
  <r>
    <x v="16"/>
    <m/>
    <x v="0"/>
    <m/>
    <s v="Out"/>
    <m/>
    <m/>
    <m/>
    <m/>
    <m/>
    <m/>
    <s v="p"/>
    <d v="2020-03-01T00:00:00"/>
    <d v="2020-03-01T00:00:00"/>
    <n v="1792238.1"/>
    <m/>
    <m/>
    <m/>
    <m/>
    <m/>
    <m/>
    <m/>
    <m/>
    <s v="_1. Item _1"/>
    <n v="3"/>
    <x v="8"/>
    <x v="1"/>
    <n v="2020"/>
    <n v="2020"/>
    <b v="1"/>
  </r>
  <r>
    <x v="19"/>
    <s v="04. Item 04"/>
    <x v="0"/>
    <m/>
    <s v="Out"/>
    <m/>
    <m/>
    <m/>
    <m/>
    <m/>
    <m/>
    <s v="p"/>
    <d v="2020-03-01T00:00:00"/>
    <d v="2020-03-01T00:00:00"/>
    <n v="967333.33"/>
    <m/>
    <m/>
    <m/>
    <m/>
    <m/>
    <m/>
    <m/>
    <m/>
    <s v="04. Item 04"/>
    <n v="3"/>
    <x v="8"/>
    <x v="1"/>
    <n v="2020"/>
    <n v="2020"/>
    <b v="1"/>
  </r>
  <r>
    <x v="16"/>
    <m/>
    <x v="0"/>
    <m/>
    <s v="Out"/>
    <m/>
    <m/>
    <m/>
    <m/>
    <m/>
    <m/>
    <s v="p"/>
    <d v="2020-03-01T00:00:00"/>
    <d v="2020-03-01T00:00:00"/>
    <n v="5726309.5199999996"/>
    <m/>
    <m/>
    <m/>
    <m/>
    <m/>
    <m/>
    <m/>
    <m/>
    <s v="_1. Item _1"/>
    <n v="3"/>
    <x v="8"/>
    <x v="1"/>
    <n v="2020"/>
    <n v="2020"/>
    <b v="1"/>
  </r>
  <r>
    <x v="0"/>
    <m/>
    <x v="0"/>
    <m/>
    <s v="Out"/>
    <m/>
    <m/>
    <m/>
    <m/>
    <m/>
    <m/>
    <s v="p"/>
    <d v="2020-03-01T00:00:00"/>
    <d v="2020-03-01T00:00:00"/>
    <n v="40023.81"/>
    <m/>
    <m/>
    <m/>
    <m/>
    <m/>
    <m/>
    <m/>
    <m/>
    <s v="01. Item 01"/>
    <n v="3"/>
    <x v="8"/>
    <x v="1"/>
    <n v="2020"/>
    <n v="2020"/>
    <b v="1"/>
  </r>
  <r>
    <x v="1"/>
    <m/>
    <x v="0"/>
    <m/>
    <s v="Out"/>
    <m/>
    <m/>
    <m/>
    <m/>
    <m/>
    <m/>
    <s v="p"/>
    <d v="2020-03-01T00:00:00"/>
    <d v="2020-03-01T00:00:00"/>
    <n v="196595.24"/>
    <m/>
    <m/>
    <m/>
    <m/>
    <m/>
    <m/>
    <m/>
    <m/>
    <s v="02. Item 02"/>
    <n v="3"/>
    <x v="8"/>
    <x v="1"/>
    <n v="2020"/>
    <n v="2020"/>
    <b v="1"/>
  </r>
  <r>
    <x v="4"/>
    <m/>
    <x v="0"/>
    <m/>
    <s v="Out"/>
    <m/>
    <m/>
    <m/>
    <m/>
    <m/>
    <m/>
    <s v="p"/>
    <d v="2020-03-01T00:00:00"/>
    <d v="2020-03-01T00:00:00"/>
    <n v="458928.57"/>
    <m/>
    <m/>
    <m/>
    <m/>
    <m/>
    <m/>
    <m/>
    <m/>
    <s v="05. Item 05"/>
    <n v="3"/>
    <x v="8"/>
    <x v="1"/>
    <n v="2020"/>
    <n v="2020"/>
    <b v="1"/>
  </r>
  <r>
    <x v="5"/>
    <s v="12. Item 12"/>
    <x v="0"/>
    <m/>
    <s v="Out"/>
    <m/>
    <m/>
    <m/>
    <m/>
    <m/>
    <m/>
    <s v="p"/>
    <d v="2020-03-01T00:00:00"/>
    <d v="2020-03-01T00:00:00"/>
    <n v="435047.62"/>
    <m/>
    <m/>
    <m/>
    <m/>
    <m/>
    <m/>
    <m/>
    <m/>
    <s v="12. Item 12"/>
    <n v="3"/>
    <x v="8"/>
    <x v="1"/>
    <n v="2020"/>
    <n v="2020"/>
    <b v="1"/>
  </r>
  <r>
    <x v="15"/>
    <m/>
    <x v="0"/>
    <m/>
    <s v="Out"/>
    <m/>
    <m/>
    <m/>
    <m/>
    <m/>
    <m/>
    <s v="p"/>
    <d v="2020-03-01T00:00:00"/>
    <d v="2020-03-01T00:00:00"/>
    <n v="486166.67"/>
    <m/>
    <m/>
    <m/>
    <m/>
    <m/>
    <m/>
    <m/>
    <m/>
    <s v="06. Item 06"/>
    <n v="3"/>
    <x v="8"/>
    <x v="1"/>
    <n v="2020"/>
    <n v="2020"/>
    <b v="1"/>
  </r>
  <r>
    <x v="8"/>
    <m/>
    <x v="0"/>
    <m/>
    <s v="Out"/>
    <m/>
    <m/>
    <m/>
    <m/>
    <m/>
    <m/>
    <s v="f"/>
    <d v="2020-03-01T00:00:00"/>
    <d v="2020-03-01T00:00:00"/>
    <m/>
    <n v="428904.76"/>
    <m/>
    <m/>
    <m/>
    <m/>
    <m/>
    <m/>
    <m/>
    <s v="09. Item 09"/>
    <n v="3"/>
    <x v="8"/>
    <x v="1"/>
    <n v="2020"/>
    <n v="2020"/>
    <b v="1"/>
  </r>
  <r>
    <x v="9"/>
    <m/>
    <x v="0"/>
    <m/>
    <s v="Out"/>
    <m/>
    <m/>
    <m/>
    <m/>
    <m/>
    <m/>
    <s v="p"/>
    <d v="2020-03-01T00:00:00"/>
    <d v="2020-03-01T00:00:00"/>
    <n v="68119.05"/>
    <m/>
    <m/>
    <m/>
    <m/>
    <m/>
    <m/>
    <m/>
    <m/>
    <s v="09. Item 09"/>
    <n v="3"/>
    <x v="8"/>
    <x v="1"/>
    <n v="2020"/>
    <n v="2020"/>
    <b v="1"/>
  </r>
  <r>
    <x v="17"/>
    <m/>
    <x v="0"/>
    <m/>
    <s v="Out"/>
    <m/>
    <m/>
    <m/>
    <m/>
    <m/>
    <m/>
    <s v="f"/>
    <d v="2020-03-01T00:00:00"/>
    <d v="2020-03-01T00:00:00"/>
    <m/>
    <n v="53428.57"/>
    <m/>
    <m/>
    <m/>
    <m/>
    <m/>
    <m/>
    <m/>
    <s v="09. Item 09"/>
    <n v="3"/>
    <x v="8"/>
    <x v="1"/>
    <n v="2020"/>
    <n v="2020"/>
    <b v="1"/>
  </r>
  <r>
    <x v="10"/>
    <m/>
    <x v="0"/>
    <m/>
    <s v="Out"/>
    <m/>
    <m/>
    <m/>
    <m/>
    <m/>
    <m/>
    <s v="p"/>
    <d v="2020-03-01T00:00:00"/>
    <d v="2020-03-01T00:00:00"/>
    <n v="42285.71"/>
    <m/>
    <m/>
    <m/>
    <m/>
    <m/>
    <m/>
    <m/>
    <m/>
    <s v="11. Item 11"/>
    <n v="3"/>
    <x v="8"/>
    <x v="1"/>
    <n v="2020"/>
    <n v="2020"/>
    <b v="1"/>
  </r>
  <r>
    <x v="20"/>
    <m/>
    <x v="0"/>
    <m/>
    <s v="Out"/>
    <m/>
    <m/>
    <m/>
    <m/>
    <m/>
    <m/>
    <s v="f"/>
    <d v="2020-03-01T00:00:00"/>
    <d v="2020-03-01T00:00:00"/>
    <m/>
    <n v="68333.33"/>
    <m/>
    <m/>
    <m/>
    <m/>
    <m/>
    <m/>
    <m/>
    <s v="14. Item 14"/>
    <n v="3"/>
    <x v="8"/>
    <x v="1"/>
    <n v="2020"/>
    <n v="2020"/>
    <b v="1"/>
  </r>
  <r>
    <x v="14"/>
    <m/>
    <x v="0"/>
    <m/>
    <s v="Out"/>
    <m/>
    <m/>
    <m/>
    <m/>
    <m/>
    <m/>
    <s v="f"/>
    <d v="2020-03-01T00:00:00"/>
    <d v="2020-03-01T00:00:00"/>
    <m/>
    <n v="5527261.9000000004"/>
    <m/>
    <m/>
    <m/>
    <m/>
    <m/>
    <m/>
    <m/>
    <s v="19. Item 19"/>
    <n v="3"/>
    <x v="8"/>
    <x v="1"/>
    <n v="2020"/>
    <n v="2020"/>
    <b v="1"/>
  </r>
  <r>
    <x v="2"/>
    <s v="04. Item 04"/>
    <x v="0"/>
    <m/>
    <s v="Out"/>
    <m/>
    <m/>
    <m/>
    <m/>
    <m/>
    <m/>
    <s v="f"/>
    <d v="2020-03-01T00:00:00"/>
    <d v="2020-03-01T00:00:00"/>
    <m/>
    <n v="627666.67000000004"/>
    <m/>
    <m/>
    <m/>
    <m/>
    <m/>
    <m/>
    <m/>
    <s v="04. Item 04"/>
    <n v="3"/>
    <x v="8"/>
    <x v="1"/>
    <n v="2020"/>
    <n v="2020"/>
    <b v="1"/>
  </r>
  <r>
    <x v="15"/>
    <m/>
    <x v="0"/>
    <m/>
    <s v="Out"/>
    <m/>
    <m/>
    <m/>
    <m/>
    <m/>
    <m/>
    <s v="f"/>
    <d v="2020-03-01T00:00:00"/>
    <d v="2020-03-01T00:00:00"/>
    <m/>
    <n v="32095.24"/>
    <m/>
    <m/>
    <m/>
    <m/>
    <m/>
    <m/>
    <m/>
    <s v="06. Item 06"/>
    <n v="3"/>
    <x v="8"/>
    <x v="1"/>
    <n v="2020"/>
    <n v="2020"/>
    <b v="1"/>
  </r>
  <r>
    <x v="6"/>
    <m/>
    <x v="0"/>
    <m/>
    <s v="Out"/>
    <m/>
    <m/>
    <m/>
    <m/>
    <m/>
    <m/>
    <s v="f"/>
    <d v="2020-03-01T00:00:00"/>
    <d v="2020-03-01T00:00:00"/>
    <m/>
    <n v="329119.05"/>
    <m/>
    <m/>
    <m/>
    <m/>
    <m/>
    <m/>
    <m/>
    <s v="07. Item 07"/>
    <n v="3"/>
    <x v="8"/>
    <x v="1"/>
    <n v="2020"/>
    <n v="2020"/>
    <b v="1"/>
  </r>
  <r>
    <x v="5"/>
    <m/>
    <x v="0"/>
    <m/>
    <s v="Out"/>
    <m/>
    <m/>
    <m/>
    <m/>
    <m/>
    <m/>
    <s v="f"/>
    <d v="2020-03-01T00:00:00"/>
    <d v="2020-03-01T00:00:00"/>
    <m/>
    <n v="284595.24"/>
    <m/>
    <m/>
    <m/>
    <m/>
    <m/>
    <m/>
    <m/>
    <s v="05. Item 05"/>
    <n v="3"/>
    <x v="8"/>
    <x v="1"/>
    <n v="2020"/>
    <n v="2020"/>
    <b v="1"/>
  </r>
  <r>
    <x v="2"/>
    <s v="12. Item 12"/>
    <x v="0"/>
    <m/>
    <s v="Out"/>
    <m/>
    <m/>
    <m/>
    <m/>
    <m/>
    <m/>
    <s v="f"/>
    <d v="2020-03-01T00:00:00"/>
    <d v="2020-03-01T00:00:00"/>
    <m/>
    <n v="362761.9"/>
    <m/>
    <m/>
    <m/>
    <m/>
    <m/>
    <m/>
    <m/>
    <s v="12. Item 12"/>
    <n v="3"/>
    <x v="8"/>
    <x v="1"/>
    <n v="2020"/>
    <n v="2020"/>
    <b v="1"/>
  </r>
  <r>
    <x v="0"/>
    <m/>
    <x v="1"/>
    <s v="Decentralized"/>
    <s v="In"/>
    <m/>
    <m/>
    <m/>
    <m/>
    <m/>
    <m/>
    <s v="p"/>
    <d v="2020-02-29T00:00:00"/>
    <d v="2020-02-29T00:00:00"/>
    <n v="45714.29"/>
    <m/>
    <m/>
    <m/>
    <m/>
    <m/>
    <m/>
    <m/>
    <m/>
    <s v="01. Item 01"/>
    <n v="2"/>
    <x v="6"/>
    <x v="1"/>
    <n v="2020"/>
    <n v="2020"/>
    <b v="1"/>
  </r>
  <r>
    <x v="1"/>
    <m/>
    <x v="1"/>
    <s v="Decentralized"/>
    <s v="In"/>
    <m/>
    <m/>
    <m/>
    <m/>
    <m/>
    <m/>
    <s v="p"/>
    <d v="2020-02-29T00:00:00"/>
    <d v="2020-02-29T00:00:00"/>
    <n v="461904.76"/>
    <m/>
    <m/>
    <m/>
    <m/>
    <m/>
    <m/>
    <m/>
    <m/>
    <s v="02. Item 02"/>
    <n v="2"/>
    <x v="6"/>
    <x v="1"/>
    <n v="2020"/>
    <n v="2020"/>
    <b v="1"/>
  </r>
  <r>
    <x v="3"/>
    <m/>
    <x v="1"/>
    <s v="Centralized"/>
    <s v="Out"/>
    <m/>
    <m/>
    <m/>
    <m/>
    <m/>
    <m/>
    <s v="p"/>
    <d v="2020-08-01T00:00:00"/>
    <d v="2020-08-01T00:00:00"/>
    <n v="2380952.38"/>
    <m/>
    <m/>
    <m/>
    <m/>
    <m/>
    <m/>
    <m/>
    <m/>
    <s v="04. Item 04"/>
    <n v="8"/>
    <x v="5"/>
    <x v="1"/>
    <n v="2020"/>
    <n v="2020"/>
    <b v="1"/>
  </r>
  <r>
    <x v="4"/>
    <m/>
    <x v="0"/>
    <m/>
    <s v="Out"/>
    <m/>
    <m/>
    <m/>
    <m/>
    <m/>
    <m/>
    <s v="p"/>
    <d v="2020-08-01T00:00:00"/>
    <d v="2020-08-01T00:00:00"/>
    <n v="2231976.19"/>
    <m/>
    <m/>
    <m/>
    <m/>
    <m/>
    <m/>
    <m/>
    <m/>
    <s v="05. Item 05"/>
    <n v="8"/>
    <x v="5"/>
    <x v="1"/>
    <n v="2020"/>
    <n v="2020"/>
    <b v="1"/>
  </r>
  <r>
    <x v="10"/>
    <m/>
    <x v="1"/>
    <s v="Centralized"/>
    <s v="Out"/>
    <m/>
    <m/>
    <m/>
    <m/>
    <m/>
    <m/>
    <s v="p"/>
    <d v="2020-02-01T00:00:00"/>
    <d v="2020-02-01T00:00:00"/>
    <n v="7571428.5700000003"/>
    <m/>
    <m/>
    <m/>
    <m/>
    <m/>
    <m/>
    <m/>
    <m/>
    <s v="11. Item 11"/>
    <n v="2"/>
    <x v="6"/>
    <x v="1"/>
    <n v="2020"/>
    <n v="2020"/>
    <b v="1"/>
  </r>
  <r>
    <x v="9"/>
    <m/>
    <x v="1"/>
    <s v="Centralized"/>
    <s v="Out"/>
    <m/>
    <m/>
    <m/>
    <m/>
    <m/>
    <m/>
    <s v="p"/>
    <d v="2020-02-01T00:00:00"/>
    <d v="2020-02-01T00:00:00"/>
    <n v="1785714.29"/>
    <m/>
    <m/>
    <m/>
    <m/>
    <m/>
    <m/>
    <m/>
    <m/>
    <s v="09. Item 09"/>
    <n v="2"/>
    <x v="6"/>
    <x v="1"/>
    <n v="2020"/>
    <n v="2020"/>
    <b v="1"/>
  </r>
  <r>
    <x v="8"/>
    <m/>
    <x v="1"/>
    <s v="Centralized"/>
    <s v="Out"/>
    <m/>
    <m/>
    <m/>
    <m/>
    <m/>
    <m/>
    <s v="p"/>
    <d v="2020-02-01T00:00:00"/>
    <d v="2020-02-01T00:00:00"/>
    <n v="5761428.5700000003"/>
    <m/>
    <m/>
    <m/>
    <m/>
    <m/>
    <m/>
    <m/>
    <m/>
    <s v="09. Item 09"/>
    <n v="2"/>
    <x v="6"/>
    <x v="1"/>
    <n v="2020"/>
    <n v="2020"/>
    <b v="1"/>
  </r>
  <r>
    <x v="11"/>
    <m/>
    <x v="1"/>
    <s v="Centralized"/>
    <s v="Out"/>
    <m/>
    <m/>
    <m/>
    <m/>
    <m/>
    <m/>
    <s v="p"/>
    <d v="2020-02-01T00:00:00"/>
    <d v="2020-02-01T00:00:00"/>
    <n v="62857.14"/>
    <m/>
    <m/>
    <m/>
    <m/>
    <m/>
    <m/>
    <m/>
    <m/>
    <s v="13. Item 13"/>
    <n v="2"/>
    <x v="6"/>
    <x v="1"/>
    <n v="2020"/>
    <n v="2020"/>
    <b v="1"/>
  </r>
  <r>
    <x v="11"/>
    <m/>
    <x v="1"/>
    <s v="Centralized"/>
    <s v="Out"/>
    <m/>
    <m/>
    <m/>
    <m/>
    <m/>
    <m/>
    <s v="p"/>
    <d v="2020-02-01T00:00:00"/>
    <d v="2020-02-01T00:00:00"/>
    <n v="6907142.8600000003"/>
    <m/>
    <m/>
    <m/>
    <m/>
    <m/>
    <m/>
    <m/>
    <m/>
    <s v="13. Item 13"/>
    <n v="2"/>
    <x v="6"/>
    <x v="1"/>
    <n v="2020"/>
    <n v="2020"/>
    <b v="1"/>
  </r>
  <r>
    <x v="12"/>
    <m/>
    <x v="1"/>
    <s v="Centralized"/>
    <s v="Out"/>
    <m/>
    <m/>
    <m/>
    <m/>
    <m/>
    <m/>
    <s v="p"/>
    <d v="2020-02-01T00:00:00"/>
    <d v="2020-02-01T00:00:00"/>
    <n v="1202380.95"/>
    <m/>
    <m/>
    <m/>
    <m/>
    <m/>
    <m/>
    <m/>
    <m/>
    <s v="13. Item 13"/>
    <n v="2"/>
    <x v="6"/>
    <x v="1"/>
    <n v="2020"/>
    <n v="2020"/>
    <b v="1"/>
  </r>
  <r>
    <x v="12"/>
    <m/>
    <x v="1"/>
    <s v="Centralized"/>
    <s v="Out"/>
    <m/>
    <m/>
    <m/>
    <m/>
    <m/>
    <m/>
    <s v="p"/>
    <d v="2020-02-01T00:00:00"/>
    <d v="2020-02-01T00:00:00"/>
    <n v="508333.33"/>
    <m/>
    <m/>
    <m/>
    <m/>
    <m/>
    <m/>
    <m/>
    <m/>
    <s v="13. Item 13"/>
    <n v="2"/>
    <x v="6"/>
    <x v="1"/>
    <n v="2020"/>
    <n v="2020"/>
    <b v="1"/>
  </r>
  <r>
    <x v="13"/>
    <m/>
    <x v="1"/>
    <s v="Centralized"/>
    <s v="Out"/>
    <m/>
    <m/>
    <m/>
    <m/>
    <m/>
    <m/>
    <s v="p"/>
    <d v="2020-02-01T00:00:00"/>
    <d v="2020-02-01T00:00:00"/>
    <n v="12857.14"/>
    <m/>
    <m/>
    <m/>
    <m/>
    <m/>
    <m/>
    <m/>
    <m/>
    <s v="13. Item 13"/>
    <n v="2"/>
    <x v="6"/>
    <x v="1"/>
    <n v="2020"/>
    <n v="2020"/>
    <b v="1"/>
  </r>
  <r>
    <x v="13"/>
    <m/>
    <x v="1"/>
    <s v="Centralized"/>
    <s v="Out"/>
    <m/>
    <m/>
    <m/>
    <m/>
    <m/>
    <m/>
    <s v="p"/>
    <d v="2020-02-01T00:00:00"/>
    <d v="2020-02-01T00:00:00"/>
    <n v="32619.05"/>
    <m/>
    <m/>
    <m/>
    <m/>
    <m/>
    <m/>
    <m/>
    <m/>
    <s v="13. Item 13"/>
    <n v="2"/>
    <x v="6"/>
    <x v="1"/>
    <n v="2020"/>
    <n v="2020"/>
    <b v="1"/>
  </r>
  <r>
    <x v="6"/>
    <m/>
    <x v="1"/>
    <s v="Centralized"/>
    <s v="Out"/>
    <m/>
    <m/>
    <m/>
    <m/>
    <m/>
    <m/>
    <s v="p"/>
    <d v="2020-02-01T00:00:00"/>
    <d v="2020-02-01T00:00:00"/>
    <n v="7142.86"/>
    <m/>
    <m/>
    <m/>
    <m/>
    <m/>
    <m/>
    <m/>
    <m/>
    <s v="07. Item 07"/>
    <n v="2"/>
    <x v="6"/>
    <x v="1"/>
    <n v="2020"/>
    <n v="2020"/>
    <b v="1"/>
  </r>
  <r>
    <x v="5"/>
    <m/>
    <x v="1"/>
    <s v="Centralized"/>
    <s v="Out"/>
    <m/>
    <m/>
    <m/>
    <m/>
    <m/>
    <m/>
    <s v="p"/>
    <d v="2020-02-01T00:00:00"/>
    <d v="2020-02-01T00:00:00"/>
    <n v="517452.38"/>
    <m/>
    <m/>
    <m/>
    <m/>
    <m/>
    <m/>
    <m/>
    <m/>
    <s v="05. Item 05"/>
    <n v="2"/>
    <x v="6"/>
    <x v="1"/>
    <n v="2020"/>
    <n v="2020"/>
    <b v="1"/>
  </r>
  <r>
    <x v="2"/>
    <s v="03. Item 03"/>
    <x v="1"/>
    <s v="Centralized"/>
    <s v="Out"/>
    <m/>
    <m/>
    <m/>
    <m/>
    <m/>
    <m/>
    <s v="p"/>
    <d v="2020-02-01T00:00:00"/>
    <d v="2020-02-01T00:00:00"/>
    <n v="2701190.48"/>
    <m/>
    <m/>
    <m/>
    <m/>
    <m/>
    <m/>
    <m/>
    <m/>
    <s v="03. Item 03"/>
    <n v="2"/>
    <x v="6"/>
    <x v="1"/>
    <n v="2020"/>
    <n v="2020"/>
    <b v="1"/>
  </r>
  <r>
    <x v="0"/>
    <s v="10. Item 10"/>
    <x v="1"/>
    <s v="Centralized"/>
    <s v="Out"/>
    <m/>
    <m/>
    <m/>
    <m/>
    <m/>
    <m/>
    <s v="p"/>
    <d v="2020-02-01T00:00:00"/>
    <d v="2020-02-01T00:00:00"/>
    <n v="4761.8999999999996"/>
    <m/>
    <m/>
    <m/>
    <m/>
    <m/>
    <m/>
    <m/>
    <m/>
    <s v="10. Item 10"/>
    <n v="2"/>
    <x v="6"/>
    <x v="1"/>
    <n v="2020"/>
    <n v="2020"/>
    <b v="1"/>
  </r>
  <r>
    <x v="1"/>
    <s v="12. Item 12"/>
    <x v="1"/>
    <s v="Centralized"/>
    <s v="Out"/>
    <m/>
    <m/>
    <m/>
    <m/>
    <m/>
    <m/>
    <s v="p"/>
    <d v="2020-02-01T00:00:00"/>
    <d v="2020-02-01T00:00:00"/>
    <n v="1771428.57"/>
    <m/>
    <m/>
    <m/>
    <m/>
    <m/>
    <m/>
    <m/>
    <m/>
    <s v="12. Item 12"/>
    <n v="2"/>
    <x v="6"/>
    <x v="1"/>
    <n v="2020"/>
    <n v="2020"/>
    <b v="1"/>
  </r>
  <r>
    <x v="2"/>
    <s v="13. Item 13"/>
    <x v="1"/>
    <s v="Centralized"/>
    <s v="Out"/>
    <m/>
    <m/>
    <m/>
    <m/>
    <m/>
    <m/>
    <s v="p"/>
    <d v="2020-02-01T00:00:00"/>
    <d v="2020-02-01T00:00:00"/>
    <n v="484403.37"/>
    <m/>
    <m/>
    <m/>
    <m/>
    <m/>
    <m/>
    <m/>
    <m/>
    <s v="13. Item 13"/>
    <n v="2"/>
    <x v="6"/>
    <x v="1"/>
    <n v="2020"/>
    <n v="2020"/>
    <b v="1"/>
  </r>
  <r>
    <x v="3"/>
    <m/>
    <x v="0"/>
    <m/>
    <s v="Out"/>
    <m/>
    <m/>
    <m/>
    <m/>
    <m/>
    <m/>
    <s v="p"/>
    <d v="2020-02-01T00:00:00"/>
    <d v="2020-02-01T00:00:00"/>
    <n v="7062357.1399999997"/>
    <m/>
    <m/>
    <m/>
    <m/>
    <m/>
    <m/>
    <m/>
    <m/>
    <s v="04. Item 04"/>
    <n v="2"/>
    <x v="6"/>
    <x v="1"/>
    <n v="2020"/>
    <n v="2020"/>
    <b v="1"/>
  </r>
  <r>
    <x v="4"/>
    <m/>
    <x v="0"/>
    <m/>
    <s v="Out"/>
    <m/>
    <m/>
    <m/>
    <m/>
    <m/>
    <m/>
    <s v="p"/>
    <d v="2020-02-01T00:00:00"/>
    <d v="2020-02-01T00:00:00"/>
    <n v="76500"/>
    <m/>
    <m/>
    <m/>
    <m/>
    <m/>
    <m/>
    <m/>
    <m/>
    <s v="05. Item 05"/>
    <n v="2"/>
    <x v="6"/>
    <x v="1"/>
    <n v="2020"/>
    <n v="2020"/>
    <b v="1"/>
  </r>
  <r>
    <x v="10"/>
    <m/>
    <x v="0"/>
    <m/>
    <s v="Out"/>
    <m/>
    <m/>
    <m/>
    <m/>
    <m/>
    <m/>
    <s v="p"/>
    <d v="2020-02-01T00:00:00"/>
    <d v="2020-02-01T00:00:00"/>
    <n v="7863595.2400000002"/>
    <m/>
    <m/>
    <m/>
    <m/>
    <m/>
    <m/>
    <m/>
    <m/>
    <s v="11. Item 11"/>
    <n v="2"/>
    <x v="6"/>
    <x v="1"/>
    <n v="2020"/>
    <n v="2020"/>
    <b v="1"/>
  </r>
  <r>
    <x v="9"/>
    <m/>
    <x v="0"/>
    <m/>
    <s v="Out"/>
    <m/>
    <m/>
    <m/>
    <m/>
    <m/>
    <m/>
    <s v="p"/>
    <d v="2020-02-01T00:00:00"/>
    <d v="2020-02-01T00:00:00"/>
    <n v="2074738.1"/>
    <m/>
    <m/>
    <m/>
    <m/>
    <m/>
    <m/>
    <m/>
    <m/>
    <s v="09. Item 09"/>
    <n v="2"/>
    <x v="6"/>
    <x v="1"/>
    <n v="2020"/>
    <n v="2020"/>
    <b v="1"/>
  </r>
  <r>
    <x v="8"/>
    <m/>
    <x v="0"/>
    <m/>
    <s v="Out"/>
    <m/>
    <m/>
    <m/>
    <m/>
    <m/>
    <m/>
    <s v="p"/>
    <d v="2020-02-01T00:00:00"/>
    <d v="2020-02-01T00:00:00"/>
    <n v="5726309.5199999996"/>
    <m/>
    <m/>
    <m/>
    <m/>
    <m/>
    <m/>
    <m/>
    <m/>
    <s v="09. Item 09"/>
    <n v="2"/>
    <x v="6"/>
    <x v="1"/>
    <n v="2020"/>
    <n v="2020"/>
    <b v="1"/>
  </r>
  <r>
    <x v="16"/>
    <m/>
    <x v="0"/>
    <m/>
    <s v="Out"/>
    <m/>
    <m/>
    <m/>
    <m/>
    <m/>
    <m/>
    <s v="p"/>
    <d v="2020-02-01T00:00:00"/>
    <d v="2020-02-01T00:00:00"/>
    <n v="196595.24"/>
    <m/>
    <m/>
    <m/>
    <m/>
    <m/>
    <m/>
    <m/>
    <m/>
    <s v="_1. Item _1"/>
    <n v="2"/>
    <x v="6"/>
    <x v="1"/>
    <n v="2020"/>
    <n v="2020"/>
    <b v="1"/>
  </r>
  <r>
    <x v="19"/>
    <m/>
    <x v="0"/>
    <m/>
    <s v="Out"/>
    <m/>
    <m/>
    <m/>
    <m/>
    <m/>
    <m/>
    <s v="p"/>
    <d v="2020-02-01T00:00:00"/>
    <d v="2020-02-01T00:00:00"/>
    <n v="458928.57"/>
    <m/>
    <m/>
    <m/>
    <m/>
    <m/>
    <m/>
    <m/>
    <m/>
    <s v="_2. Item _2"/>
    <n v="2"/>
    <x v="6"/>
    <x v="1"/>
    <n v="2020"/>
    <n v="2020"/>
    <b v="1"/>
  </r>
  <r>
    <x v="16"/>
    <s v="12. Item 12"/>
    <x v="0"/>
    <m/>
    <s v="Out"/>
    <m/>
    <m/>
    <m/>
    <m/>
    <m/>
    <m/>
    <s v="p"/>
    <d v="2020-02-01T00:00:00"/>
    <d v="2020-02-01T00:00:00"/>
    <n v="435047.62"/>
    <m/>
    <m/>
    <m/>
    <m/>
    <m/>
    <m/>
    <m/>
    <m/>
    <s v="12. Item 12"/>
    <n v="2"/>
    <x v="6"/>
    <x v="1"/>
    <n v="2020"/>
    <n v="2020"/>
    <b v="1"/>
  </r>
  <r>
    <x v="15"/>
    <m/>
    <x v="0"/>
    <m/>
    <s v="Out"/>
    <m/>
    <m/>
    <m/>
    <m/>
    <m/>
    <m/>
    <s v="f"/>
    <d v="2020-02-01T00:00:00"/>
    <d v="2020-02-01T00:00:00"/>
    <m/>
    <n v="6195452.3799999999"/>
    <m/>
    <m/>
    <m/>
    <m/>
    <m/>
    <m/>
    <m/>
    <s v="06. Item 06"/>
    <n v="2"/>
    <x v="6"/>
    <x v="1"/>
    <n v="2020"/>
    <n v="2020"/>
    <b v="1"/>
  </r>
  <r>
    <x v="15"/>
    <m/>
    <x v="0"/>
    <m/>
    <s v="Out"/>
    <m/>
    <m/>
    <m/>
    <m/>
    <m/>
    <m/>
    <s v="f"/>
    <d v="2020-02-01T00:00:00"/>
    <d v="2020-02-01T00:00:00"/>
    <m/>
    <n v="54023.81"/>
    <m/>
    <m/>
    <m/>
    <m/>
    <m/>
    <m/>
    <m/>
    <s v="06. Item 06"/>
    <n v="2"/>
    <x v="6"/>
    <x v="1"/>
    <n v="2020"/>
    <n v="2020"/>
    <b v="1"/>
  </r>
  <r>
    <x v="0"/>
    <m/>
    <x v="0"/>
    <m/>
    <s v="Out"/>
    <m/>
    <m/>
    <m/>
    <m/>
    <m/>
    <m/>
    <s v="f"/>
    <d v="2020-02-01T00:00:00"/>
    <d v="2020-02-01T00:00:00"/>
    <m/>
    <n v="7582071.4299999997"/>
    <m/>
    <m/>
    <m/>
    <m/>
    <m/>
    <m/>
    <m/>
    <s v="01. Item 01"/>
    <n v="2"/>
    <x v="6"/>
    <x v="1"/>
    <n v="2020"/>
    <n v="2020"/>
    <b v="1"/>
  </r>
  <r>
    <x v="1"/>
    <m/>
    <x v="0"/>
    <m/>
    <s v="Out"/>
    <m/>
    <m/>
    <m/>
    <m/>
    <m/>
    <m/>
    <s v="f"/>
    <d v="2020-02-01T00:00:00"/>
    <d v="2020-02-01T00:00:00"/>
    <m/>
    <n v="2125214.29"/>
    <m/>
    <m/>
    <m/>
    <m/>
    <m/>
    <m/>
    <m/>
    <s v="02. Item 02"/>
    <n v="2"/>
    <x v="6"/>
    <x v="1"/>
    <n v="2020"/>
    <n v="2020"/>
    <b v="1"/>
  </r>
  <r>
    <x v="4"/>
    <s v="04. Item 04"/>
    <x v="0"/>
    <m/>
    <s v="Out"/>
    <m/>
    <m/>
    <m/>
    <m/>
    <m/>
    <m/>
    <s v="f"/>
    <d v="2020-02-01T00:00:00"/>
    <d v="2020-02-01T00:00:00"/>
    <m/>
    <n v="1428.57"/>
    <m/>
    <m/>
    <m/>
    <m/>
    <m/>
    <m/>
    <m/>
    <s v="04. Item 04"/>
    <n v="2"/>
    <x v="6"/>
    <x v="1"/>
    <n v="2020"/>
    <n v="2020"/>
    <b v="1"/>
  </r>
  <r>
    <x v="4"/>
    <m/>
    <x v="0"/>
    <m/>
    <s v="Out"/>
    <m/>
    <m/>
    <m/>
    <m/>
    <m/>
    <m/>
    <s v="f"/>
    <d v="2020-02-01T00:00:00"/>
    <d v="2020-02-01T00:00:00"/>
    <m/>
    <n v="5223642.8600000003"/>
    <m/>
    <m/>
    <m/>
    <m/>
    <m/>
    <m/>
    <m/>
    <s v="05. Item 05"/>
    <n v="2"/>
    <x v="6"/>
    <x v="1"/>
    <n v="2020"/>
    <n v="2020"/>
    <b v="1"/>
  </r>
  <r>
    <x v="5"/>
    <m/>
    <x v="0"/>
    <m/>
    <s v="Out"/>
    <m/>
    <m/>
    <m/>
    <m/>
    <m/>
    <m/>
    <s v="f"/>
    <d v="2020-02-01T00:00:00"/>
    <d v="2020-02-01T00:00:00"/>
    <m/>
    <n v="25190.48"/>
    <m/>
    <m/>
    <m/>
    <m/>
    <m/>
    <m/>
    <m/>
    <s v="05. Item 05"/>
    <n v="2"/>
    <x v="6"/>
    <x v="1"/>
    <n v="2020"/>
    <n v="2020"/>
    <b v="1"/>
  </r>
  <r>
    <x v="6"/>
    <m/>
    <x v="0"/>
    <m/>
    <s v="Out"/>
    <m/>
    <m/>
    <m/>
    <m/>
    <m/>
    <m/>
    <s v="f"/>
    <d v="2020-02-01T00:00:00"/>
    <d v="2020-02-01T00:00:00"/>
    <m/>
    <n v="299833.33"/>
    <m/>
    <m/>
    <m/>
    <m/>
    <m/>
    <m/>
    <m/>
    <s v="07. Item 07"/>
    <n v="2"/>
    <x v="6"/>
    <x v="1"/>
    <n v="2020"/>
    <n v="2020"/>
    <b v="1"/>
  </r>
  <r>
    <x v="8"/>
    <m/>
    <x v="0"/>
    <m/>
    <s v="Out"/>
    <m/>
    <m/>
    <m/>
    <m/>
    <m/>
    <m/>
    <s v="f"/>
    <d v="2020-02-01T00:00:00"/>
    <d v="2020-02-01T00:00:00"/>
    <m/>
    <n v="555214.29"/>
    <m/>
    <m/>
    <m/>
    <m/>
    <m/>
    <m/>
    <m/>
    <s v="09. Item 09"/>
    <n v="2"/>
    <x v="6"/>
    <x v="1"/>
    <n v="2020"/>
    <n v="2020"/>
    <b v="1"/>
  </r>
  <r>
    <x v="9"/>
    <s v="12. Item 12"/>
    <x v="0"/>
    <m/>
    <s v="Out"/>
    <m/>
    <m/>
    <m/>
    <m/>
    <m/>
    <m/>
    <s v="f"/>
    <d v="2020-02-01T00:00:00"/>
    <d v="2020-02-01T00:00:00"/>
    <m/>
    <n v="372523.81"/>
    <m/>
    <m/>
    <m/>
    <m/>
    <m/>
    <m/>
    <m/>
    <s v="12. Item 12"/>
    <n v="2"/>
    <x v="6"/>
    <x v="1"/>
    <n v="2020"/>
    <n v="2020"/>
    <b v="1"/>
  </r>
  <r>
    <x v="17"/>
    <m/>
    <x v="0"/>
    <m/>
    <s v="Out"/>
    <m/>
    <m/>
    <m/>
    <m/>
    <m/>
    <m/>
    <s v="p"/>
    <d v="2020-02-01T00:00:00"/>
    <d v="2020-02-01T00:00:00"/>
    <n v="2809.52"/>
    <m/>
    <m/>
    <m/>
    <m/>
    <m/>
    <m/>
    <m/>
    <m/>
    <s v="09. Item 09"/>
    <n v="2"/>
    <x v="6"/>
    <x v="1"/>
    <n v="2020"/>
    <n v="2020"/>
    <b v="1"/>
  </r>
  <r>
    <x v="10"/>
    <m/>
    <x v="0"/>
    <m/>
    <s v="Out"/>
    <m/>
    <m/>
    <m/>
    <m/>
    <m/>
    <m/>
    <s v="f"/>
    <d v="2020-02-01T00:00:00"/>
    <d v="2020-02-01T00:00:00"/>
    <m/>
    <n v="63476.19"/>
    <m/>
    <m/>
    <m/>
    <m/>
    <m/>
    <m/>
    <m/>
    <s v="11. Item 11"/>
    <n v="2"/>
    <x v="6"/>
    <x v="1"/>
    <n v="2020"/>
    <n v="2020"/>
    <b v="1"/>
  </r>
  <r>
    <x v="20"/>
    <m/>
    <x v="0"/>
    <m/>
    <s v="Out"/>
    <m/>
    <m/>
    <m/>
    <m/>
    <m/>
    <m/>
    <s v="p"/>
    <d v="2020-02-01T00:00:00"/>
    <d v="2020-02-01T00:00:00"/>
    <n v="62690.48"/>
    <m/>
    <m/>
    <m/>
    <m/>
    <m/>
    <m/>
    <m/>
    <m/>
    <s v="14. Item 14"/>
    <n v="2"/>
    <x v="6"/>
    <x v="1"/>
    <n v="2020"/>
    <n v="2020"/>
    <b v="1"/>
  </r>
  <r>
    <x v="14"/>
    <m/>
    <x v="0"/>
    <m/>
    <s v="Out"/>
    <m/>
    <m/>
    <m/>
    <m/>
    <m/>
    <m/>
    <s v="f"/>
    <d v="2020-02-01T00:00:00"/>
    <d v="2020-02-01T00:00:00"/>
    <m/>
    <n v="46119.05"/>
    <m/>
    <m/>
    <m/>
    <m/>
    <m/>
    <m/>
    <m/>
    <s v="19. Item 19"/>
    <n v="2"/>
    <x v="6"/>
    <x v="1"/>
    <n v="2020"/>
    <n v="2020"/>
    <b v="1"/>
  </r>
  <r>
    <x v="6"/>
    <m/>
    <x v="1"/>
    <s v="Centralized"/>
    <s v="In"/>
    <m/>
    <m/>
    <m/>
    <m/>
    <m/>
    <m/>
    <s v="p"/>
    <d v="2020-01-31T00:00:00"/>
    <d v="2020-01-31T00:00:00"/>
    <n v="54524761.899999999"/>
    <m/>
    <m/>
    <m/>
    <m/>
    <m/>
    <m/>
    <m/>
    <m/>
    <s v="07. Item 07"/>
    <n v="1"/>
    <x v="1"/>
    <x v="1"/>
    <n v="2020"/>
    <n v="2020"/>
    <b v="1"/>
  </r>
  <r>
    <x v="5"/>
    <m/>
    <x v="1"/>
    <s v="Centralized"/>
    <s v="Out"/>
    <m/>
    <m/>
    <m/>
    <m/>
    <m/>
    <m/>
    <s v="p"/>
    <d v="2020-09-01T00:00:00"/>
    <d v="2020-09-01T00:00:00"/>
    <n v="3273333.33"/>
    <m/>
    <m/>
    <m/>
    <m/>
    <m/>
    <m/>
    <m/>
    <m/>
    <s v="05. Item 05"/>
    <n v="9"/>
    <x v="4"/>
    <x v="1"/>
    <n v="2020"/>
    <n v="2020"/>
    <b v="1"/>
  </r>
  <r>
    <x v="0"/>
    <m/>
    <x v="1"/>
    <s v="Centralized"/>
    <s v="Out"/>
    <m/>
    <m/>
    <s v="CANCEL"/>
    <m/>
    <m/>
    <m/>
    <s v="p"/>
    <d v="2019-12-31T00:00:00"/>
    <d v="2019-12-31T00:00:00"/>
    <n v="-1043.55"/>
    <m/>
    <m/>
    <m/>
    <m/>
    <m/>
    <m/>
    <m/>
    <m/>
    <s v="01. Item 01"/>
    <n v="12"/>
    <x v="0"/>
    <x v="0"/>
    <n v="2019"/>
    <n v="2019"/>
    <b v="1"/>
  </r>
  <r>
    <x v="1"/>
    <m/>
    <x v="1"/>
    <s v="Centralized"/>
    <s v="Out"/>
    <s v="X"/>
    <m/>
    <m/>
    <m/>
    <m/>
    <m/>
    <s v="p"/>
    <d v="2020-01-01T00:00:00"/>
    <d v="2020-01-01T00:00:00"/>
    <n v="2934761.9"/>
    <m/>
    <m/>
    <m/>
    <m/>
    <m/>
    <m/>
    <m/>
    <m/>
    <s v="02. Item 02"/>
    <n v="1"/>
    <x v="1"/>
    <x v="1"/>
    <n v="2020"/>
    <n v="2019"/>
    <b v="1"/>
  </r>
  <r>
    <x v="2"/>
    <s v="13. Item 13"/>
    <x v="1"/>
    <s v="Centralized"/>
    <s v="Out"/>
    <s v="X"/>
    <m/>
    <m/>
    <m/>
    <m/>
    <m/>
    <s v="p"/>
    <d v="2020-01-01T00:00:00"/>
    <d v="2020-01-01T00:00:00"/>
    <n v="1949761.9"/>
    <m/>
    <m/>
    <m/>
    <m/>
    <m/>
    <m/>
    <m/>
    <m/>
    <s v="13. Item 13"/>
    <n v="1"/>
    <x v="1"/>
    <x v="1"/>
    <n v="2020"/>
    <n v="2019"/>
    <b v="1"/>
  </r>
  <r>
    <x v="4"/>
    <s v="04. Item 04"/>
    <x v="1"/>
    <s v="Centralized"/>
    <s v="Out"/>
    <s v="X"/>
    <m/>
    <m/>
    <m/>
    <m/>
    <m/>
    <s v="p"/>
    <d v="2020-01-01T00:00:00"/>
    <d v="2020-01-01T00:00:00"/>
    <n v="4244285.71"/>
    <m/>
    <m/>
    <m/>
    <m/>
    <m/>
    <m/>
    <m/>
    <m/>
    <s v="04. Item 04"/>
    <n v="1"/>
    <x v="1"/>
    <x v="1"/>
    <n v="2020"/>
    <n v="2019"/>
    <b v="1"/>
  </r>
  <r>
    <x v="10"/>
    <m/>
    <x v="1"/>
    <s v="Centralized"/>
    <s v="Out"/>
    <s v="X"/>
    <m/>
    <m/>
    <m/>
    <m/>
    <m/>
    <s v="p"/>
    <d v="2020-01-01T00:00:00"/>
    <d v="2020-01-01T00:00:00"/>
    <n v="748809.52"/>
    <m/>
    <m/>
    <m/>
    <m/>
    <m/>
    <m/>
    <m/>
    <m/>
    <s v="11. Item 11"/>
    <n v="1"/>
    <x v="1"/>
    <x v="1"/>
    <n v="2020"/>
    <n v="2019"/>
    <b v="1"/>
  </r>
  <r>
    <x v="9"/>
    <m/>
    <x v="1"/>
    <s v="Centralized"/>
    <s v="Out"/>
    <s v="X"/>
    <m/>
    <m/>
    <m/>
    <m/>
    <m/>
    <s v="p"/>
    <d v="2020-01-01T00:00:00"/>
    <d v="2020-01-01T00:00:00"/>
    <n v="236190.48"/>
    <m/>
    <m/>
    <m/>
    <m/>
    <m/>
    <m/>
    <m/>
    <m/>
    <s v="09. Item 09"/>
    <n v="1"/>
    <x v="1"/>
    <x v="1"/>
    <n v="2020"/>
    <n v="2019"/>
    <b v="1"/>
  </r>
  <r>
    <x v="8"/>
    <s v="04. Item 04"/>
    <x v="1"/>
    <s v="Centralized"/>
    <s v="Out"/>
    <s v="X"/>
    <m/>
    <s v="CANCEL"/>
    <m/>
    <m/>
    <m/>
    <s v="p"/>
    <d v="2019-12-31T00:00:00"/>
    <d v="2019-12-31T00:00:00"/>
    <n v="-101575.21"/>
    <m/>
    <m/>
    <m/>
    <m/>
    <m/>
    <m/>
    <m/>
    <m/>
    <s v="04. Item 04"/>
    <n v="12"/>
    <x v="0"/>
    <x v="0"/>
    <n v="2019"/>
    <n v="2018"/>
    <b v="1"/>
  </r>
  <r>
    <x v="2"/>
    <s v="13. Item 13"/>
    <x v="1"/>
    <s v="Centralized"/>
    <s v="Out"/>
    <s v="X"/>
    <m/>
    <s v="CANCEL"/>
    <m/>
    <m/>
    <m/>
    <s v="p"/>
    <d v="2019-12-31T00:00:00"/>
    <d v="2019-12-31T00:00:00"/>
    <n v="-62271.44"/>
    <m/>
    <m/>
    <m/>
    <m/>
    <m/>
    <m/>
    <m/>
    <m/>
    <s v="13. Item 13"/>
    <n v="12"/>
    <x v="0"/>
    <x v="0"/>
    <n v="2019"/>
    <n v="2018"/>
    <b v="1"/>
  </r>
  <r>
    <x v="6"/>
    <m/>
    <x v="1"/>
    <s v="Centralized"/>
    <s v="Out"/>
    <s v="X"/>
    <m/>
    <s v="CANCEL"/>
    <m/>
    <m/>
    <m/>
    <s v="p"/>
    <d v="2019-12-31T00:00:00"/>
    <d v="2019-12-31T00:00:00"/>
    <n v="-36379.980000000003"/>
    <m/>
    <m/>
    <m/>
    <m/>
    <m/>
    <m/>
    <m/>
    <m/>
    <s v="07. Item 07"/>
    <n v="12"/>
    <x v="0"/>
    <x v="0"/>
    <n v="2019"/>
    <n v="2018"/>
    <b v="1"/>
  </r>
  <r>
    <x v="5"/>
    <m/>
    <x v="1"/>
    <s v="Centralized"/>
    <s v="Out"/>
    <s v="X"/>
    <m/>
    <s v="CANCEL"/>
    <m/>
    <m/>
    <m/>
    <s v="p"/>
    <d v="2019-12-31T00:00:00"/>
    <d v="2019-12-31T00:00:00"/>
    <n v="-50.16"/>
    <m/>
    <m/>
    <m/>
    <m/>
    <m/>
    <m/>
    <m/>
    <m/>
    <s v="05. Item 05"/>
    <n v="12"/>
    <x v="0"/>
    <x v="0"/>
    <n v="2019"/>
    <n v="2018"/>
    <b v="1"/>
  </r>
  <r>
    <x v="0"/>
    <m/>
    <x v="1"/>
    <s v="Centralized"/>
    <s v="Out"/>
    <m/>
    <m/>
    <m/>
    <m/>
    <m/>
    <m/>
    <s v="p"/>
    <d v="2020-01-01T00:00:00"/>
    <d v="2020-01-01T00:00:00"/>
    <n v="6277857.1399999997"/>
    <m/>
    <m/>
    <m/>
    <m/>
    <m/>
    <m/>
    <m/>
    <m/>
    <s v="01. Item 01"/>
    <n v="1"/>
    <x v="1"/>
    <x v="1"/>
    <n v="2020"/>
    <n v="2020"/>
    <b v="1"/>
  </r>
  <r>
    <x v="1"/>
    <m/>
    <x v="1"/>
    <s v="Centralized"/>
    <s v="Out"/>
    <m/>
    <m/>
    <m/>
    <m/>
    <m/>
    <m/>
    <s v="p"/>
    <d v="2020-01-01T00:00:00"/>
    <d v="2020-01-01T00:00:00"/>
    <n v="1555714.29"/>
    <m/>
    <m/>
    <m/>
    <m/>
    <m/>
    <m/>
    <m/>
    <m/>
    <s v="02. Item 02"/>
    <n v="1"/>
    <x v="1"/>
    <x v="1"/>
    <n v="2020"/>
    <n v="2020"/>
    <b v="1"/>
  </r>
  <r>
    <x v="3"/>
    <m/>
    <x v="1"/>
    <s v="Decentralized"/>
    <s v="Out"/>
    <m/>
    <m/>
    <m/>
    <m/>
    <m/>
    <m/>
    <s v="p"/>
    <d v="2020-01-01T00:00:00"/>
    <d v="2020-01-01T00:00:00"/>
    <n v="640476.18999999994"/>
    <m/>
    <m/>
    <m/>
    <m/>
    <m/>
    <m/>
    <m/>
    <m/>
    <s v="04. Item 04"/>
    <n v="1"/>
    <x v="1"/>
    <x v="1"/>
    <n v="2020"/>
    <n v="2020"/>
    <b v="1"/>
  </r>
  <r>
    <x v="4"/>
    <m/>
    <x v="1"/>
    <s v="Centralized"/>
    <s v="Out"/>
    <m/>
    <m/>
    <m/>
    <m/>
    <m/>
    <m/>
    <s v="p"/>
    <d v="2020-01-01T00:00:00"/>
    <d v="2020-01-01T00:00:00"/>
    <n v="71428.570000000007"/>
    <m/>
    <m/>
    <m/>
    <m/>
    <m/>
    <m/>
    <m/>
    <m/>
    <s v="05. Item 05"/>
    <n v="1"/>
    <x v="1"/>
    <x v="1"/>
    <n v="2020"/>
    <n v="2020"/>
    <b v="1"/>
  </r>
  <r>
    <x v="10"/>
    <m/>
    <x v="0"/>
    <m/>
    <s v="Out"/>
    <m/>
    <m/>
    <m/>
    <m/>
    <m/>
    <m/>
    <s v="p"/>
    <d v="2020-09-01T00:00:00"/>
    <d v="2020-09-01T00:00:00"/>
    <n v="2231976.19"/>
    <m/>
    <m/>
    <m/>
    <m/>
    <m/>
    <m/>
    <m/>
    <m/>
    <s v="11. Item 11"/>
    <n v="9"/>
    <x v="4"/>
    <x v="1"/>
    <n v="2020"/>
    <n v="2020"/>
    <b v="1"/>
  </r>
  <r>
    <x v="9"/>
    <m/>
    <x v="1"/>
    <s v="Centralized"/>
    <s v="Out"/>
    <m/>
    <m/>
    <m/>
    <m/>
    <m/>
    <m/>
    <s v="p"/>
    <d v="2020-01-01T00:00:00"/>
    <d v="2020-01-01T00:00:00"/>
    <n v="7873809.5199999996"/>
    <m/>
    <m/>
    <m/>
    <m/>
    <m/>
    <m/>
    <m/>
    <m/>
    <s v="09. Item 09"/>
    <n v="1"/>
    <x v="1"/>
    <x v="1"/>
    <n v="2020"/>
    <n v="2020"/>
    <b v="1"/>
  </r>
  <r>
    <x v="8"/>
    <m/>
    <x v="1"/>
    <s v="Centralized"/>
    <s v="Out"/>
    <m/>
    <m/>
    <m/>
    <m/>
    <m/>
    <m/>
    <s v="p"/>
    <d v="2020-01-01T00:00:00"/>
    <d v="2020-01-01T00:00:00"/>
    <n v="5473095.2400000002"/>
    <m/>
    <m/>
    <m/>
    <m/>
    <m/>
    <m/>
    <m/>
    <m/>
    <s v="09. Item 09"/>
    <n v="1"/>
    <x v="1"/>
    <x v="1"/>
    <n v="2020"/>
    <n v="2020"/>
    <b v="1"/>
  </r>
  <r>
    <x v="11"/>
    <m/>
    <x v="1"/>
    <s v="Centralized"/>
    <s v="Out"/>
    <m/>
    <m/>
    <m/>
    <m/>
    <m/>
    <m/>
    <s v="p"/>
    <d v="2020-01-01T00:00:00"/>
    <d v="2020-01-01T00:00:00"/>
    <n v="29047.62"/>
    <m/>
    <m/>
    <m/>
    <m/>
    <m/>
    <m/>
    <m/>
    <m/>
    <s v="13. Item 13"/>
    <n v="1"/>
    <x v="1"/>
    <x v="1"/>
    <n v="2020"/>
    <n v="2020"/>
    <b v="1"/>
  </r>
  <r>
    <x v="11"/>
    <s v="03. Item 03"/>
    <x v="1"/>
    <s v="Centralized"/>
    <s v="Out"/>
    <m/>
    <m/>
    <m/>
    <m/>
    <m/>
    <m/>
    <s v="p"/>
    <d v="2020-01-01T00:00:00"/>
    <d v="2020-01-01T00:00:00"/>
    <n v="3566666.67"/>
    <m/>
    <m/>
    <m/>
    <m/>
    <m/>
    <m/>
    <m/>
    <m/>
    <s v="03. Item 03"/>
    <n v="1"/>
    <x v="1"/>
    <x v="1"/>
    <n v="2020"/>
    <n v="2020"/>
    <b v="1"/>
  </r>
  <r>
    <x v="12"/>
    <m/>
    <x v="1"/>
    <s v="Centralized"/>
    <s v="Out"/>
    <m/>
    <m/>
    <m/>
    <m/>
    <m/>
    <m/>
    <s v="p"/>
    <d v="2020-01-01T00:00:00"/>
    <d v="2020-01-01T00:00:00"/>
    <n v="53333.33"/>
    <m/>
    <m/>
    <m/>
    <m/>
    <m/>
    <m/>
    <m/>
    <m/>
    <s v="13. Item 13"/>
    <n v="1"/>
    <x v="1"/>
    <x v="1"/>
    <n v="2020"/>
    <n v="2020"/>
    <b v="1"/>
  </r>
  <r>
    <x v="12"/>
    <s v="04. Item 04"/>
    <x v="1"/>
    <s v="Centralized"/>
    <s v="Out"/>
    <m/>
    <m/>
    <m/>
    <m/>
    <m/>
    <m/>
    <s v="p"/>
    <d v="2020-01-01T00:00:00"/>
    <d v="2020-01-01T00:00:00"/>
    <n v="10154761.9"/>
    <m/>
    <m/>
    <m/>
    <m/>
    <m/>
    <m/>
    <m/>
    <m/>
    <s v="04. Item 04"/>
    <n v="1"/>
    <x v="1"/>
    <x v="1"/>
    <n v="2020"/>
    <n v="2020"/>
    <b v="1"/>
  </r>
  <r>
    <x v="13"/>
    <s v="10. Item 10"/>
    <x v="1"/>
    <s v="Centralized"/>
    <s v="Out"/>
    <m/>
    <m/>
    <m/>
    <m/>
    <m/>
    <m/>
    <s v="p"/>
    <d v="2020-01-01T00:00:00"/>
    <d v="2020-01-01T00:00:00"/>
    <n v="88809.52"/>
    <m/>
    <m/>
    <m/>
    <m/>
    <m/>
    <m/>
    <m/>
    <m/>
    <s v="10. Item 10"/>
    <n v="1"/>
    <x v="1"/>
    <x v="1"/>
    <n v="2020"/>
    <n v="2020"/>
    <b v="1"/>
  </r>
  <r>
    <x v="13"/>
    <m/>
    <x v="1"/>
    <s v="Centralized"/>
    <s v="Out"/>
    <m/>
    <m/>
    <m/>
    <m/>
    <m/>
    <m/>
    <s v="p"/>
    <d v="2020-01-01T00:00:00"/>
    <d v="2020-01-01T00:00:00"/>
    <n v="97619.05"/>
    <m/>
    <m/>
    <m/>
    <m/>
    <m/>
    <m/>
    <m/>
    <m/>
    <s v="13. Item 13"/>
    <n v="1"/>
    <x v="1"/>
    <x v="1"/>
    <n v="2020"/>
    <n v="2020"/>
    <b v="1"/>
  </r>
  <r>
    <x v="16"/>
    <m/>
    <x v="1"/>
    <s v="Centralized"/>
    <s v="Out"/>
    <m/>
    <m/>
    <m/>
    <m/>
    <m/>
    <m/>
    <s v="p"/>
    <d v="2020-01-01T00:00:00"/>
    <d v="2020-01-01T00:00:00"/>
    <n v="517380.95"/>
    <m/>
    <m/>
    <m/>
    <m/>
    <m/>
    <m/>
    <m/>
    <m/>
    <s v="_1. Item _1"/>
    <n v="1"/>
    <x v="1"/>
    <x v="1"/>
    <n v="2020"/>
    <n v="2020"/>
    <b v="1"/>
  </r>
  <r>
    <x v="19"/>
    <m/>
    <x v="1"/>
    <s v="Decentralized"/>
    <s v="Out"/>
    <m/>
    <m/>
    <m/>
    <m/>
    <m/>
    <m/>
    <s v="p"/>
    <d v="2020-01-01T00:00:00"/>
    <d v="2020-01-01T00:00:00"/>
    <n v="283238.09999999998"/>
    <m/>
    <m/>
    <m/>
    <m/>
    <m/>
    <m/>
    <m/>
    <m/>
    <s v="_2. Item _2"/>
    <n v="1"/>
    <x v="1"/>
    <x v="1"/>
    <n v="2020"/>
    <n v="2020"/>
    <b v="1"/>
  </r>
  <r>
    <x v="16"/>
    <m/>
    <x v="1"/>
    <s v="Centralized"/>
    <s v="Out"/>
    <m/>
    <m/>
    <s v="CANCEL"/>
    <m/>
    <m/>
    <m/>
    <s v="p"/>
    <d v="2019-12-31T00:00:00"/>
    <d v="2019-12-31T00:00:00"/>
    <n v="-36646.629999999997"/>
    <m/>
    <m/>
    <m/>
    <m/>
    <m/>
    <m/>
    <m/>
    <m/>
    <s v="_1. Item _1"/>
    <n v="12"/>
    <x v="0"/>
    <x v="0"/>
    <n v="2019"/>
    <n v="2019"/>
    <b v="1"/>
  </r>
  <r>
    <x v="15"/>
    <m/>
    <x v="1"/>
    <s v="Centralized"/>
    <s v="Out"/>
    <m/>
    <m/>
    <s v="CANCEL"/>
    <m/>
    <m/>
    <m/>
    <s v="p"/>
    <d v="2019-12-31T00:00:00"/>
    <d v="2019-12-31T00:00:00"/>
    <n v="-209.22"/>
    <m/>
    <m/>
    <m/>
    <m/>
    <m/>
    <m/>
    <m/>
    <m/>
    <s v="06. Item 06"/>
    <n v="12"/>
    <x v="0"/>
    <x v="0"/>
    <n v="2019"/>
    <n v="2019"/>
    <b v="1"/>
  </r>
  <r>
    <x v="7"/>
    <m/>
    <x v="1"/>
    <s v="Centralized"/>
    <s v="Out"/>
    <m/>
    <m/>
    <s v="CANCEL"/>
    <m/>
    <m/>
    <m/>
    <s v="p"/>
    <d v="2019-12-31T00:00:00"/>
    <d v="2019-12-31T00:00:00"/>
    <n v="-1227.92"/>
    <m/>
    <m/>
    <m/>
    <m/>
    <m/>
    <m/>
    <m/>
    <m/>
    <s v="08. Item 08"/>
    <n v="12"/>
    <x v="0"/>
    <x v="0"/>
    <n v="2019"/>
    <n v="2019"/>
    <b v="1"/>
  </r>
  <r>
    <x v="7"/>
    <s v="12. Item 12"/>
    <x v="1"/>
    <s v="Centralized"/>
    <s v="Out"/>
    <m/>
    <m/>
    <m/>
    <m/>
    <m/>
    <m/>
    <s v="p"/>
    <d v="2020-01-01T00:00:00"/>
    <d v="2020-01-01T00:00:00"/>
    <n v="11904.76"/>
    <m/>
    <m/>
    <m/>
    <m/>
    <m/>
    <m/>
    <m/>
    <m/>
    <s v="12. Item 12"/>
    <n v="1"/>
    <x v="1"/>
    <x v="1"/>
    <n v="2020"/>
    <n v="2020"/>
    <b v="1"/>
  </r>
  <r>
    <x v="20"/>
    <m/>
    <x v="1"/>
    <s v="Centralized"/>
    <s v="Out"/>
    <m/>
    <m/>
    <s v="CANCEL"/>
    <m/>
    <m/>
    <m/>
    <s v="p"/>
    <d v="2019-12-31T00:00:00"/>
    <d v="2019-12-31T00:00:00"/>
    <n v="-631.78"/>
    <m/>
    <m/>
    <m/>
    <m/>
    <m/>
    <m/>
    <m/>
    <m/>
    <s v="14. Item 14"/>
    <n v="12"/>
    <x v="0"/>
    <x v="0"/>
    <n v="2019"/>
    <n v="2019"/>
    <b v="1"/>
  </r>
  <r>
    <x v="2"/>
    <s v="13. Item 13"/>
    <x v="1"/>
    <s v="Centralized"/>
    <s v="Out"/>
    <m/>
    <m/>
    <m/>
    <m/>
    <m/>
    <m/>
    <s v="p"/>
    <d v="2020-01-01T00:00:00"/>
    <d v="2020-01-01T00:00:00"/>
    <n v="2460952.38"/>
    <m/>
    <m/>
    <m/>
    <m/>
    <m/>
    <m/>
    <m/>
    <m/>
    <s v="13. Item 13"/>
    <n v="1"/>
    <x v="1"/>
    <x v="1"/>
    <n v="2020"/>
    <n v="2020"/>
    <b v="1"/>
  </r>
  <r>
    <x v="8"/>
    <s v="10. Item 10"/>
    <x v="1"/>
    <s v="Centralized"/>
    <s v="Out"/>
    <m/>
    <m/>
    <m/>
    <m/>
    <m/>
    <m/>
    <s v="p"/>
    <d v="2020-01-01T00:00:00"/>
    <d v="2020-01-01T00:00:00"/>
    <n v="-165.91"/>
    <m/>
    <m/>
    <m/>
    <m/>
    <m/>
    <m/>
    <m/>
    <m/>
    <s v="10. Item 10"/>
    <n v="1"/>
    <x v="1"/>
    <x v="1"/>
    <n v="2020"/>
    <n v="2020"/>
    <b v="1"/>
  </r>
  <r>
    <x v="9"/>
    <s v="13. Item 13"/>
    <x v="1"/>
    <s v="Centralized"/>
    <s v="Out"/>
    <m/>
    <m/>
    <s v="CANCEL"/>
    <m/>
    <m/>
    <m/>
    <s v="p"/>
    <d v="2019-12-31T00:00:00"/>
    <d v="2019-12-31T00:00:00"/>
    <n v="-5.89"/>
    <m/>
    <m/>
    <m/>
    <m/>
    <m/>
    <m/>
    <m/>
    <m/>
    <s v="13. Item 13"/>
    <n v="12"/>
    <x v="0"/>
    <x v="0"/>
    <n v="2019"/>
    <n v="2019"/>
    <b v="1"/>
  </r>
  <r>
    <x v="2"/>
    <s v="03. Item 03"/>
    <x v="1"/>
    <s v="Centralized"/>
    <s v="Out"/>
    <m/>
    <m/>
    <s v="CANCEL"/>
    <m/>
    <m/>
    <m/>
    <s v="p"/>
    <d v="2019-12-31T00:00:00"/>
    <d v="2019-12-31T00:00:00"/>
    <n v="-738699.52"/>
    <m/>
    <m/>
    <m/>
    <m/>
    <m/>
    <m/>
    <m/>
    <m/>
    <s v="03. Item 03"/>
    <n v="12"/>
    <x v="0"/>
    <x v="0"/>
    <n v="2019"/>
    <n v="2019"/>
    <b v="1"/>
  </r>
  <r>
    <x v="8"/>
    <m/>
    <x v="0"/>
    <m/>
    <s v="Out"/>
    <m/>
    <m/>
    <m/>
    <m/>
    <m/>
    <m/>
    <s v="p"/>
    <d v="2020-01-01T00:00:00"/>
    <d v="2020-01-01T00:00:00"/>
    <n v="7977785.71"/>
    <m/>
    <m/>
    <m/>
    <m/>
    <m/>
    <m/>
    <m/>
    <m/>
    <s v="09. Item 09"/>
    <n v="1"/>
    <x v="1"/>
    <x v="1"/>
    <n v="2020"/>
    <n v="2020"/>
    <b v="1"/>
  </r>
  <r>
    <x v="9"/>
    <m/>
    <x v="0"/>
    <m/>
    <s v="Out"/>
    <m/>
    <m/>
    <m/>
    <m/>
    <m/>
    <m/>
    <s v="p"/>
    <d v="2020-01-01T00:00:00"/>
    <d v="2020-01-01T00:00:00"/>
    <n v="76500"/>
    <m/>
    <m/>
    <m/>
    <m/>
    <m/>
    <m/>
    <m/>
    <m/>
    <s v="09. Item 09"/>
    <n v="1"/>
    <x v="1"/>
    <x v="1"/>
    <n v="2020"/>
    <n v="2020"/>
    <b v="1"/>
  </r>
  <r>
    <x v="20"/>
    <m/>
    <x v="0"/>
    <m/>
    <s v="Out"/>
    <m/>
    <m/>
    <m/>
    <m/>
    <m/>
    <m/>
    <s v="p"/>
    <d v="2020-01-01T00:00:00"/>
    <d v="2020-01-01T00:00:00"/>
    <n v="6419619.0499999998"/>
    <m/>
    <m/>
    <m/>
    <m/>
    <m/>
    <m/>
    <m/>
    <m/>
    <s v="14. Item 14"/>
    <n v="1"/>
    <x v="1"/>
    <x v="1"/>
    <n v="2020"/>
    <n v="2020"/>
    <b v="1"/>
  </r>
  <r>
    <x v="0"/>
    <m/>
    <x v="0"/>
    <m/>
    <s v="Out"/>
    <m/>
    <m/>
    <m/>
    <m/>
    <m/>
    <m/>
    <s v="p"/>
    <d v="2020-01-01T00:00:00"/>
    <d v="2020-01-01T00:00:00"/>
    <n v="1693738.1"/>
    <m/>
    <m/>
    <m/>
    <m/>
    <m/>
    <m/>
    <m/>
    <m/>
    <s v="01. Item 01"/>
    <n v="1"/>
    <x v="1"/>
    <x v="1"/>
    <n v="2020"/>
    <n v="2020"/>
    <b v="1"/>
  </r>
  <r>
    <x v="1"/>
    <m/>
    <x v="0"/>
    <m/>
    <s v="Out"/>
    <m/>
    <m/>
    <m/>
    <m/>
    <m/>
    <m/>
    <s v="p"/>
    <d v="2020-01-01T00:00:00"/>
    <d v="2020-01-01T00:00:00"/>
    <n v="5726309.5199999996"/>
    <m/>
    <m/>
    <m/>
    <m/>
    <m/>
    <m/>
    <m/>
    <m/>
    <s v="02. Item 02"/>
    <n v="1"/>
    <x v="1"/>
    <x v="1"/>
    <n v="2020"/>
    <n v="2020"/>
    <b v="1"/>
  </r>
  <r>
    <x v="4"/>
    <m/>
    <x v="0"/>
    <m/>
    <s v="Out"/>
    <m/>
    <m/>
    <m/>
    <m/>
    <m/>
    <m/>
    <s v="p"/>
    <d v="2020-01-01T00:00:00"/>
    <d v="2020-01-01T00:00:00"/>
    <n v="40023.81"/>
    <m/>
    <m/>
    <m/>
    <m/>
    <m/>
    <m/>
    <m/>
    <m/>
    <s v="05. Item 05"/>
    <n v="1"/>
    <x v="1"/>
    <x v="1"/>
    <n v="2020"/>
    <n v="2020"/>
    <b v="1"/>
  </r>
  <r>
    <x v="4"/>
    <m/>
    <x v="0"/>
    <m/>
    <s v="Out"/>
    <m/>
    <m/>
    <m/>
    <m/>
    <m/>
    <m/>
    <s v="p"/>
    <d v="2020-01-01T00:00:00"/>
    <d v="2020-01-01T00:00:00"/>
    <n v="196595.24"/>
    <m/>
    <m/>
    <m/>
    <m/>
    <m/>
    <m/>
    <m/>
    <m/>
    <s v="05. Item 05"/>
    <n v="1"/>
    <x v="1"/>
    <x v="1"/>
    <n v="2020"/>
    <n v="2020"/>
    <b v="1"/>
  </r>
  <r>
    <x v="5"/>
    <m/>
    <x v="0"/>
    <m/>
    <s v="Out"/>
    <m/>
    <m/>
    <m/>
    <m/>
    <m/>
    <m/>
    <s v="p"/>
    <d v="2020-01-01T00:00:00"/>
    <d v="2020-01-01T00:00:00"/>
    <n v="458928.57"/>
    <m/>
    <m/>
    <m/>
    <m/>
    <m/>
    <m/>
    <m/>
    <m/>
    <s v="05. Item 05"/>
    <n v="1"/>
    <x v="1"/>
    <x v="1"/>
    <n v="2020"/>
    <n v="2020"/>
    <b v="1"/>
  </r>
  <r>
    <x v="15"/>
    <s v="12. Item 12"/>
    <x v="0"/>
    <m/>
    <s v="Out"/>
    <m/>
    <m/>
    <m/>
    <m/>
    <m/>
    <m/>
    <s v="p"/>
    <d v="2020-01-01T00:00:00"/>
    <d v="2020-01-01T00:00:00"/>
    <n v="1758261.9"/>
    <m/>
    <m/>
    <m/>
    <m/>
    <m/>
    <m/>
    <m/>
    <m/>
    <s v="12. Item 12"/>
    <n v="1"/>
    <x v="1"/>
    <x v="1"/>
    <n v="2020"/>
    <n v="2020"/>
    <b v="1"/>
  </r>
  <r>
    <x v="6"/>
    <m/>
    <x v="0"/>
    <m/>
    <s v="Out"/>
    <m/>
    <m/>
    <m/>
    <m/>
    <m/>
    <m/>
    <s v="f"/>
    <d v="2020-01-01T00:00:00"/>
    <d v="2020-01-01T00:00:00"/>
    <m/>
    <n v="5718642.8600000003"/>
    <m/>
    <m/>
    <m/>
    <m/>
    <m/>
    <m/>
    <m/>
    <s v="07. Item 07"/>
    <n v="1"/>
    <x v="1"/>
    <x v="1"/>
    <n v="2020"/>
    <n v="2020"/>
    <b v="1"/>
  </r>
  <r>
    <x v="8"/>
    <m/>
    <x v="0"/>
    <m/>
    <s v="Out"/>
    <m/>
    <m/>
    <m/>
    <m/>
    <m/>
    <m/>
    <s v="f"/>
    <d v="2020-01-01T00:00:00"/>
    <d v="2020-01-01T00:00:00"/>
    <m/>
    <n v="54023.81"/>
    <m/>
    <m/>
    <m/>
    <m/>
    <m/>
    <m/>
    <m/>
    <s v="09. Item 09"/>
    <n v="1"/>
    <x v="1"/>
    <x v="1"/>
    <n v="2020"/>
    <n v="2020"/>
    <b v="1"/>
  </r>
  <r>
    <x v="9"/>
    <m/>
    <x v="0"/>
    <m/>
    <s v="Out"/>
    <m/>
    <m/>
    <m/>
    <m/>
    <m/>
    <m/>
    <s v="f"/>
    <d v="2020-01-01T00:00:00"/>
    <d v="2020-01-01T00:00:00"/>
    <m/>
    <n v="6331571.4299999997"/>
    <m/>
    <m/>
    <m/>
    <m/>
    <m/>
    <m/>
    <m/>
    <s v="09. Item 09"/>
    <n v="1"/>
    <x v="1"/>
    <x v="1"/>
    <n v="2020"/>
    <n v="2020"/>
    <b v="1"/>
  </r>
  <r>
    <x v="17"/>
    <m/>
    <x v="0"/>
    <m/>
    <s v="Out"/>
    <m/>
    <m/>
    <m/>
    <m/>
    <m/>
    <m/>
    <s v="f"/>
    <d v="2020-01-01T00:00:00"/>
    <d v="2020-01-01T00:00:00"/>
    <m/>
    <n v="1787523.81"/>
    <m/>
    <m/>
    <m/>
    <m/>
    <m/>
    <m/>
    <m/>
    <s v="09. Item 09"/>
    <n v="1"/>
    <x v="1"/>
    <x v="1"/>
    <n v="2020"/>
    <n v="2020"/>
    <b v="1"/>
  </r>
  <r>
    <x v="10"/>
    <m/>
    <x v="0"/>
    <m/>
    <s v="Out"/>
    <m/>
    <m/>
    <m/>
    <m/>
    <m/>
    <m/>
    <s v="f"/>
    <d v="2020-01-01T00:00:00"/>
    <d v="2020-01-01T00:00:00"/>
    <m/>
    <n v="34166.67"/>
    <m/>
    <m/>
    <m/>
    <m/>
    <m/>
    <m/>
    <m/>
    <s v="11. Item 11"/>
    <n v="1"/>
    <x v="1"/>
    <x v="1"/>
    <n v="2020"/>
    <n v="2020"/>
    <b v="1"/>
  </r>
  <r>
    <x v="20"/>
    <s v="12. Item 12"/>
    <x v="0"/>
    <m/>
    <s v="Out"/>
    <m/>
    <m/>
    <m/>
    <m/>
    <m/>
    <m/>
    <s v="f"/>
    <d v="2020-01-01T00:00:00"/>
    <d v="2020-01-01T00:00:00"/>
    <m/>
    <n v="1495452.38"/>
    <m/>
    <m/>
    <m/>
    <m/>
    <m/>
    <m/>
    <m/>
    <s v="12. Item 12"/>
    <n v="1"/>
    <x v="1"/>
    <x v="1"/>
    <n v="2020"/>
    <n v="2020"/>
    <b v="1"/>
  </r>
  <r>
    <x v="14"/>
    <m/>
    <x v="0"/>
    <m/>
    <s v="Out"/>
    <m/>
    <m/>
    <m/>
    <m/>
    <m/>
    <m/>
    <s v="p"/>
    <d v="2020-01-01T00:00:00"/>
    <d v="2020-01-01T00:00:00"/>
    <n v="2809.52"/>
    <m/>
    <m/>
    <m/>
    <m/>
    <m/>
    <m/>
    <m/>
    <m/>
    <s v="19. Item 19"/>
    <n v="1"/>
    <x v="1"/>
    <x v="1"/>
    <n v="2020"/>
    <n v="2020"/>
    <b v="1"/>
  </r>
  <r>
    <x v="0"/>
    <m/>
    <x v="0"/>
    <m/>
    <s v="Out"/>
    <m/>
    <m/>
    <m/>
    <m/>
    <m/>
    <m/>
    <s v="f"/>
    <d v="2020-01-01T00:00:00"/>
    <d v="2020-01-01T00:00:00"/>
    <m/>
    <n v="2809.52"/>
    <m/>
    <m/>
    <m/>
    <m/>
    <m/>
    <m/>
    <m/>
    <s v="01. Item 01"/>
    <n v="1"/>
    <x v="1"/>
    <x v="1"/>
    <n v="2020"/>
    <n v="2020"/>
    <b v="1"/>
  </r>
  <r>
    <x v="6"/>
    <m/>
    <x v="0"/>
    <m/>
    <s v="Out"/>
    <m/>
    <m/>
    <m/>
    <m/>
    <m/>
    <m/>
    <s v="p"/>
    <d v="2020-01-01T00:00:00"/>
    <d v="2020-01-01T00:00:00"/>
    <n v="62238.1"/>
    <m/>
    <m/>
    <m/>
    <m/>
    <m/>
    <m/>
    <m/>
    <m/>
    <s v="07. Item 07"/>
    <n v="1"/>
    <x v="1"/>
    <x v="1"/>
    <n v="2020"/>
    <n v="2020"/>
    <b v="1"/>
  </r>
  <r>
    <x v="5"/>
    <m/>
    <x v="0"/>
    <m/>
    <s v="Out"/>
    <m/>
    <m/>
    <m/>
    <m/>
    <m/>
    <m/>
    <s v="f"/>
    <d v="2020-01-01T00:00:00"/>
    <d v="2020-01-01T00:00:00"/>
    <m/>
    <n v="19214.29"/>
    <m/>
    <m/>
    <m/>
    <m/>
    <m/>
    <m/>
    <m/>
    <s v="05. Item 05"/>
    <n v="1"/>
    <x v="1"/>
    <x v="1"/>
    <n v="2020"/>
    <n v="2020"/>
    <b v="1"/>
  </r>
  <r>
    <x v="4"/>
    <m/>
    <x v="0"/>
    <m/>
    <s v="Out"/>
    <m/>
    <m/>
    <m/>
    <m/>
    <m/>
    <m/>
    <s v="p"/>
    <d v="2020-01-01T00:00:00"/>
    <d v="2020-01-01T00:00:00"/>
    <n v="1318119.05"/>
    <m/>
    <m/>
    <m/>
    <m/>
    <m/>
    <m/>
    <m/>
    <m/>
    <s v="05. Item 05"/>
    <n v="1"/>
    <x v="1"/>
    <x v="1"/>
    <n v="2020"/>
    <n v="2020"/>
    <b v="1"/>
  </r>
  <r>
    <x v="10"/>
    <m/>
    <x v="1"/>
    <s v="Centralized"/>
    <s v="Out"/>
    <m/>
    <m/>
    <m/>
    <m/>
    <m/>
    <m/>
    <s v="p"/>
    <d v="2020-07-01T00:00:00"/>
    <d v="2020-07-01T00:00:00"/>
    <n v="6467551.1900000004"/>
    <m/>
    <m/>
    <m/>
    <m/>
    <m/>
    <m/>
    <m/>
    <m/>
    <s v="11. Item 11"/>
    <n v="7"/>
    <x v="7"/>
    <x v="1"/>
    <n v="2020"/>
    <n v="2020"/>
    <b v="1"/>
  </r>
  <r>
    <x v="20"/>
    <m/>
    <x v="1"/>
    <s v="Centralized"/>
    <s v="Out"/>
    <m/>
    <m/>
    <m/>
    <m/>
    <m/>
    <m/>
    <s v="p"/>
    <d v="2020-08-01T00:00:00"/>
    <d v="2020-08-01T00:00:00"/>
    <n v="1902828.63"/>
    <m/>
    <m/>
    <m/>
    <m/>
    <m/>
    <m/>
    <m/>
    <m/>
    <s v="14. Item 14"/>
    <n v="8"/>
    <x v="5"/>
    <x v="1"/>
    <n v="2020"/>
    <n v="2020"/>
    <b v="1"/>
  </r>
  <r>
    <x v="14"/>
    <m/>
    <x v="1"/>
    <s v="Centralized"/>
    <s v="Out"/>
    <m/>
    <m/>
    <m/>
    <m/>
    <m/>
    <m/>
    <s v="p"/>
    <d v="2020-09-01T00:00:00"/>
    <d v="2020-09-01T00:00:00"/>
    <n v="604905.71"/>
    <m/>
    <m/>
    <m/>
    <m/>
    <m/>
    <m/>
    <m/>
    <m/>
    <s v="19. Item 19"/>
    <n v="9"/>
    <x v="4"/>
    <x v="1"/>
    <n v="2020"/>
    <n v="2020"/>
    <b v="1"/>
  </r>
  <r>
    <x v="6"/>
    <m/>
    <x v="0"/>
    <m/>
    <s v="Out"/>
    <m/>
    <m/>
    <m/>
    <m/>
    <m/>
    <m/>
    <s v="p"/>
    <d v="2020-10-01T00:00:00"/>
    <d v="2020-10-01T00:00:00"/>
    <n v="1866261.9"/>
    <m/>
    <m/>
    <m/>
    <m/>
    <m/>
    <m/>
    <m/>
    <m/>
    <s v="07. Item 07"/>
    <n v="10"/>
    <x v="3"/>
    <x v="1"/>
    <n v="2020"/>
    <n v="2020"/>
    <b v="1"/>
  </r>
  <r>
    <x v="5"/>
    <m/>
    <x v="0"/>
    <m/>
    <s v="Out"/>
    <m/>
    <m/>
    <m/>
    <m/>
    <m/>
    <m/>
    <s v="p"/>
    <d v="2020-11-01T00:00:00"/>
    <d v="2020-11-01T00:00:00"/>
    <n v="1866261.9"/>
    <m/>
    <m/>
    <m/>
    <m/>
    <m/>
    <m/>
    <m/>
    <m/>
    <s v="05. Item 05"/>
    <n v="11"/>
    <x v="2"/>
    <x v="1"/>
    <n v="2020"/>
    <n v="2020"/>
    <b v="1"/>
  </r>
  <r>
    <x v="0"/>
    <m/>
    <x v="1"/>
    <s v="Centralized"/>
    <s v="In"/>
    <m/>
    <m/>
    <m/>
    <m/>
    <m/>
    <m/>
    <s v="p"/>
    <d v="2020-10-01T00:00:00"/>
    <d v="2020-10-01T00:00:00"/>
    <n v="47275476.189999998"/>
    <m/>
    <m/>
    <m/>
    <m/>
    <m/>
    <m/>
    <m/>
    <m/>
    <s v="01. Item 01"/>
    <n v="10"/>
    <x v="3"/>
    <x v="1"/>
    <n v="2020"/>
    <n v="2020"/>
    <b v="1"/>
  </r>
  <r>
    <x v="1"/>
    <m/>
    <x v="1"/>
    <s v="Decentralized"/>
    <s v="In"/>
    <m/>
    <m/>
    <m/>
    <m/>
    <m/>
    <m/>
    <s v="p"/>
    <d v="2020-10-01T00:00:00"/>
    <d v="2020-10-01T00:00:00"/>
    <n v="30952.38"/>
    <m/>
    <m/>
    <m/>
    <m/>
    <m/>
    <m/>
    <m/>
    <m/>
    <s v="02. Item 02"/>
    <n v="10"/>
    <x v="3"/>
    <x v="1"/>
    <n v="2020"/>
    <n v="2020"/>
    <b v="1"/>
  </r>
  <r>
    <x v="4"/>
    <m/>
    <x v="1"/>
    <s v="Centralized"/>
    <s v="In"/>
    <m/>
    <m/>
    <m/>
    <m/>
    <m/>
    <m/>
    <s v="p"/>
    <d v="2020-11-01T00:00:00"/>
    <d v="2020-11-01T00:00:00"/>
    <n v="38209047.619999997"/>
    <m/>
    <m/>
    <m/>
    <m/>
    <m/>
    <m/>
    <m/>
    <m/>
    <s v="05. Item 05"/>
    <n v="11"/>
    <x v="2"/>
    <x v="1"/>
    <n v="2020"/>
    <n v="2020"/>
    <b v="1"/>
  </r>
  <r>
    <x v="10"/>
    <m/>
    <x v="1"/>
    <s v="Decentralized"/>
    <s v="In"/>
    <m/>
    <m/>
    <m/>
    <m/>
    <m/>
    <m/>
    <s v="p"/>
    <d v="2020-11-01T00:00:00"/>
    <d v="2020-11-01T00:00:00"/>
    <n v="30952.38"/>
    <m/>
    <m/>
    <m/>
    <m/>
    <m/>
    <m/>
    <m/>
    <m/>
    <s v="11. Item 11"/>
    <n v="11"/>
    <x v="2"/>
    <x v="1"/>
    <n v="2020"/>
    <n v="2020"/>
    <b v="1"/>
  </r>
  <r>
    <x v="9"/>
    <m/>
    <x v="1"/>
    <s v="Decentralized"/>
    <s v="In"/>
    <m/>
    <m/>
    <m/>
    <m/>
    <m/>
    <m/>
    <s v="p"/>
    <d v="2020-11-01T00:00:00"/>
    <d v="2020-11-01T00:00:00"/>
    <n v="130952.38"/>
    <m/>
    <m/>
    <m/>
    <m/>
    <m/>
    <m/>
    <m/>
    <m/>
    <s v="09. Item 09"/>
    <n v="11"/>
    <x v="2"/>
    <x v="1"/>
    <n v="2020"/>
    <n v="2020"/>
    <b v="1"/>
  </r>
  <r>
    <x v="8"/>
    <m/>
    <x v="1"/>
    <s v="Centralized"/>
    <s v="In"/>
    <m/>
    <m/>
    <m/>
    <m/>
    <m/>
    <m/>
    <s v="p"/>
    <d v="2020-12-01T00:00:00"/>
    <d v="2020-12-01T00:00:00"/>
    <n v="37420238.100000001"/>
    <m/>
    <m/>
    <m/>
    <m/>
    <m/>
    <m/>
    <m/>
    <m/>
    <s v="09. Item 09"/>
    <n v="12"/>
    <x v="0"/>
    <x v="1"/>
    <n v="2020"/>
    <n v="2020"/>
    <b v="1"/>
  </r>
  <r>
    <x v="6"/>
    <m/>
    <x v="1"/>
    <s v="Decentralized"/>
    <s v="In"/>
    <m/>
    <m/>
    <m/>
    <m/>
    <m/>
    <m/>
    <s v="p"/>
    <d v="2020-12-01T00:00:00"/>
    <d v="2020-12-01T00:00:00"/>
    <n v="606666.67000000004"/>
    <m/>
    <m/>
    <m/>
    <m/>
    <m/>
    <m/>
    <m/>
    <m/>
    <s v="07. Item 07"/>
    <n v="12"/>
    <x v="0"/>
    <x v="1"/>
    <n v="2020"/>
    <n v="2020"/>
    <b v="1"/>
  </r>
  <r>
    <x v="5"/>
    <m/>
    <x v="1"/>
    <s v="Centralized"/>
    <s v="Out"/>
    <m/>
    <m/>
    <m/>
    <m/>
    <m/>
    <m/>
    <s v="p"/>
    <d v="2020-10-01T00:00:00"/>
    <d v="2020-10-01T00:00:00"/>
    <n v="7048428.5700000003"/>
    <m/>
    <m/>
    <m/>
    <m/>
    <m/>
    <m/>
    <m/>
    <m/>
    <s v="05. Item 05"/>
    <n v="10"/>
    <x v="3"/>
    <x v="1"/>
    <n v="2020"/>
    <n v="2020"/>
    <b v="1"/>
  </r>
  <r>
    <x v="0"/>
    <m/>
    <x v="1"/>
    <s v="Centralized"/>
    <s v="Out"/>
    <m/>
    <m/>
    <m/>
    <m/>
    <m/>
    <m/>
    <s v="p"/>
    <d v="2020-11-01T00:00:00"/>
    <d v="2020-11-01T00:00:00"/>
    <n v="5833333.3300000001"/>
    <m/>
    <m/>
    <m/>
    <m/>
    <m/>
    <m/>
    <m/>
    <m/>
    <s v="01. Item 01"/>
    <n v="11"/>
    <x v="2"/>
    <x v="1"/>
    <n v="2020"/>
    <n v="2020"/>
    <b v="1"/>
  </r>
  <r>
    <x v="1"/>
    <m/>
    <x v="1"/>
    <s v="Centralized"/>
    <s v="Out"/>
    <m/>
    <m/>
    <m/>
    <m/>
    <m/>
    <m/>
    <s v="p"/>
    <d v="2020-12-01T00:00:00"/>
    <d v="2020-12-01T00:00:00"/>
    <n v="6719285.71"/>
    <m/>
    <m/>
    <m/>
    <m/>
    <m/>
    <m/>
    <m/>
    <m/>
    <s v="02. Item 02"/>
    <n v="12"/>
    <x v="0"/>
    <x v="1"/>
    <n v="2020"/>
    <n v="2020"/>
    <b v="1"/>
  </r>
  <r>
    <x v="4"/>
    <m/>
    <x v="1"/>
    <s v="Centralized"/>
    <s v="Out"/>
    <m/>
    <m/>
    <m/>
    <m/>
    <m/>
    <m/>
    <s v="p"/>
    <d v="2020-11-01T00:00:00"/>
    <d v="2020-11-01T00:00:00"/>
    <n v="1595238.1"/>
    <m/>
    <m/>
    <m/>
    <m/>
    <m/>
    <m/>
    <m/>
    <m/>
    <s v="05. Item 05"/>
    <n v="11"/>
    <x v="2"/>
    <x v="1"/>
    <n v="2020"/>
    <n v="2020"/>
    <b v="1"/>
  </r>
  <r>
    <x v="10"/>
    <m/>
    <x v="1"/>
    <s v="Centralized"/>
    <s v="Out"/>
    <m/>
    <m/>
    <m/>
    <m/>
    <m/>
    <m/>
    <s v="p"/>
    <d v="2020-12-01T00:00:00"/>
    <d v="2020-12-01T00:00:00"/>
    <n v="1464047.62"/>
    <m/>
    <m/>
    <m/>
    <m/>
    <m/>
    <m/>
    <m/>
    <m/>
    <s v="11. Item 11"/>
    <n v="12"/>
    <x v="0"/>
    <x v="1"/>
    <n v="2020"/>
    <n v="2020"/>
    <b v="1"/>
  </r>
  <r>
    <x v="9"/>
    <s v="03. Item 03"/>
    <x v="1"/>
    <s v="Centralized"/>
    <s v="Out"/>
    <m/>
    <m/>
    <m/>
    <m/>
    <m/>
    <m/>
    <s v="p"/>
    <d v="2020-10-01T00:00:00"/>
    <d v="2020-10-01T00:00:00"/>
    <n v="3903181.74"/>
    <m/>
    <m/>
    <m/>
    <m/>
    <m/>
    <m/>
    <m/>
    <m/>
    <s v="03. Item 03"/>
    <n v="10"/>
    <x v="3"/>
    <x v="1"/>
    <n v="2020"/>
    <n v="2020"/>
    <b v="1"/>
  </r>
  <r>
    <x v="8"/>
    <s v="03. Item 03"/>
    <x v="1"/>
    <s v="Centralized"/>
    <s v="Out"/>
    <m/>
    <m/>
    <m/>
    <m/>
    <m/>
    <m/>
    <s v="p"/>
    <d v="2020-11-01T00:00:00"/>
    <d v="2020-11-01T00:00:00"/>
    <n v="3314285.71"/>
    <m/>
    <m/>
    <m/>
    <m/>
    <m/>
    <m/>
    <m/>
    <m/>
    <s v="03. Item 03"/>
    <n v="11"/>
    <x v="2"/>
    <x v="1"/>
    <n v="2020"/>
    <n v="2020"/>
    <b v="1"/>
  </r>
  <r>
    <x v="2"/>
    <s v="03. Item 03"/>
    <x v="1"/>
    <s v="Centralized"/>
    <s v="Out"/>
    <m/>
    <m/>
    <m/>
    <m/>
    <m/>
    <m/>
    <s v="p"/>
    <d v="2020-12-01T00:00:00"/>
    <d v="2020-12-01T00:00:00"/>
    <n v="3314285.71"/>
    <m/>
    <m/>
    <m/>
    <m/>
    <m/>
    <m/>
    <m/>
    <m/>
    <s v="03. Item 03"/>
    <n v="12"/>
    <x v="0"/>
    <x v="1"/>
    <n v="2020"/>
    <n v="2020"/>
    <b v="1"/>
  </r>
  <r>
    <x v="11"/>
    <m/>
    <x v="1"/>
    <s v="Centralized"/>
    <s v="Out"/>
    <m/>
    <m/>
    <m/>
    <m/>
    <m/>
    <m/>
    <s v="p"/>
    <d v="2020-10-01T00:00:00"/>
    <d v="2020-10-01T00:00:00"/>
    <n v="6071452.3799999999"/>
    <m/>
    <m/>
    <m/>
    <m/>
    <m/>
    <m/>
    <m/>
    <m/>
    <s v="13. Item 13"/>
    <n v="10"/>
    <x v="3"/>
    <x v="1"/>
    <n v="2020"/>
    <n v="2020"/>
    <b v="1"/>
  </r>
  <r>
    <x v="11"/>
    <m/>
    <x v="1"/>
    <s v="Centralized"/>
    <s v="Out"/>
    <m/>
    <m/>
    <m/>
    <m/>
    <m/>
    <m/>
    <s v="p"/>
    <d v="2020-10-01T00:00:00"/>
    <d v="2020-10-01T00:00:00"/>
    <n v="475928.57"/>
    <m/>
    <m/>
    <m/>
    <m/>
    <m/>
    <m/>
    <m/>
    <m/>
    <s v="13. Item 13"/>
    <n v="10"/>
    <x v="3"/>
    <x v="1"/>
    <n v="2020"/>
    <n v="2020"/>
    <b v="1"/>
  </r>
  <r>
    <x v="12"/>
    <m/>
    <x v="1"/>
    <s v="Centralized"/>
    <s v="Out"/>
    <m/>
    <m/>
    <m/>
    <m/>
    <m/>
    <m/>
    <s v="p"/>
    <d v="2020-11-01T00:00:00"/>
    <d v="2020-11-01T00:00:00"/>
    <n v="2445000"/>
    <m/>
    <m/>
    <m/>
    <m/>
    <m/>
    <m/>
    <m/>
    <m/>
    <s v="13. Item 13"/>
    <n v="11"/>
    <x v="2"/>
    <x v="1"/>
    <n v="2020"/>
    <n v="2020"/>
    <b v="1"/>
  </r>
  <r>
    <x v="12"/>
    <m/>
    <x v="1"/>
    <s v="Centralized"/>
    <s v="Out"/>
    <m/>
    <m/>
    <m/>
    <m/>
    <m/>
    <m/>
    <s v="p"/>
    <d v="2020-11-01T00:00:00"/>
    <d v="2020-11-01T00:00:00"/>
    <n v="64761.9"/>
    <m/>
    <m/>
    <m/>
    <m/>
    <m/>
    <m/>
    <m/>
    <m/>
    <s v="13. Item 13"/>
    <n v="11"/>
    <x v="2"/>
    <x v="1"/>
    <n v="2020"/>
    <n v="2020"/>
    <b v="1"/>
  </r>
  <r>
    <x v="13"/>
    <m/>
    <x v="1"/>
    <s v="Centralized"/>
    <s v="Out"/>
    <m/>
    <m/>
    <m/>
    <m/>
    <m/>
    <m/>
    <s v="p"/>
    <d v="2020-12-01T00:00:00"/>
    <d v="2020-12-01T00:00:00"/>
    <n v="5438787.6900000004"/>
    <m/>
    <m/>
    <m/>
    <m/>
    <m/>
    <m/>
    <m/>
    <m/>
    <s v="13. Item 13"/>
    <n v="12"/>
    <x v="0"/>
    <x v="1"/>
    <n v="2020"/>
    <n v="2020"/>
    <b v="1"/>
  </r>
  <r>
    <x v="13"/>
    <m/>
    <x v="1"/>
    <s v="Centralized"/>
    <s v="Out"/>
    <m/>
    <m/>
    <m/>
    <m/>
    <m/>
    <m/>
    <s v="p"/>
    <d v="2020-12-01T00:00:00"/>
    <d v="2020-12-01T00:00:00"/>
    <n v="299589.68"/>
    <m/>
    <m/>
    <m/>
    <m/>
    <m/>
    <m/>
    <m/>
    <m/>
    <s v="13. Item 13"/>
    <n v="12"/>
    <x v="0"/>
    <x v="1"/>
    <n v="2020"/>
    <n v="2020"/>
    <b v="1"/>
  </r>
  <r>
    <x v="22"/>
    <m/>
    <x v="1"/>
    <s v="Centralized"/>
    <s v="Out"/>
    <m/>
    <m/>
    <m/>
    <m/>
    <m/>
    <m/>
    <s v="p"/>
    <d v="2020-10-01T00:00:00"/>
    <d v="2020-10-01T00:00:00"/>
    <n v="5672857.1399999997"/>
    <m/>
    <m/>
    <m/>
    <m/>
    <m/>
    <m/>
    <m/>
    <m/>
    <s v="04. Item 04"/>
    <n v="10"/>
    <x v="3"/>
    <x v="1"/>
    <n v="2020"/>
    <n v="2020"/>
    <b v="1"/>
  </r>
  <r>
    <x v="3"/>
    <m/>
    <x v="1"/>
    <s v="Decentralized"/>
    <s v="Out"/>
    <m/>
    <m/>
    <m/>
    <m/>
    <m/>
    <m/>
    <s v="p"/>
    <d v="2020-10-01T00:00:00"/>
    <d v="2020-10-01T00:00:00"/>
    <n v="635238.1"/>
    <m/>
    <m/>
    <m/>
    <m/>
    <m/>
    <m/>
    <m/>
    <m/>
    <s v="04. Item 04"/>
    <n v="10"/>
    <x v="3"/>
    <x v="1"/>
    <n v="2020"/>
    <n v="2020"/>
    <b v="1"/>
  </r>
  <r>
    <x v="22"/>
    <m/>
    <x v="1"/>
    <s v="Centralized"/>
    <s v="Out"/>
    <m/>
    <m/>
    <m/>
    <m/>
    <m/>
    <m/>
    <s v="p"/>
    <d v="2020-11-01T00:00:00"/>
    <d v="2020-11-01T00:00:00"/>
    <n v="3635238.1"/>
    <m/>
    <m/>
    <m/>
    <m/>
    <m/>
    <m/>
    <m/>
    <m/>
    <s v="04. Item 04"/>
    <n v="11"/>
    <x v="2"/>
    <x v="1"/>
    <n v="2020"/>
    <n v="2020"/>
    <b v="1"/>
  </r>
  <r>
    <x v="3"/>
    <m/>
    <x v="1"/>
    <s v="Decentralized"/>
    <s v="Out"/>
    <m/>
    <m/>
    <m/>
    <m/>
    <m/>
    <m/>
    <s v="p"/>
    <d v="2020-11-01T00:00:00"/>
    <d v="2020-11-01T00:00:00"/>
    <n v="638095.24"/>
    <m/>
    <m/>
    <m/>
    <m/>
    <m/>
    <m/>
    <m/>
    <m/>
    <s v="04. Item 04"/>
    <n v="11"/>
    <x v="2"/>
    <x v="1"/>
    <n v="2020"/>
    <n v="2020"/>
    <b v="1"/>
  </r>
  <r>
    <x v="21"/>
    <m/>
    <x v="1"/>
    <s v="Centralized"/>
    <s v="Out"/>
    <m/>
    <m/>
    <m/>
    <m/>
    <m/>
    <m/>
    <s v="p"/>
    <d v="2020-12-01T00:00:00"/>
    <d v="2020-12-01T00:00:00"/>
    <n v="7385788.1200000001"/>
    <m/>
    <m/>
    <m/>
    <m/>
    <m/>
    <m/>
    <m/>
    <m/>
    <s v="09. Item 09"/>
    <n v="12"/>
    <x v="0"/>
    <x v="1"/>
    <n v="2020"/>
    <n v="2020"/>
    <b v="1"/>
  </r>
  <r>
    <x v="22"/>
    <m/>
    <x v="1"/>
    <s v="Decentralized"/>
    <s v="Out"/>
    <m/>
    <m/>
    <m/>
    <m/>
    <m/>
    <m/>
    <s v="p"/>
    <d v="2020-12-01T00:00:00"/>
    <d v="2020-12-01T00:00:00"/>
    <n v="957349.45"/>
    <m/>
    <m/>
    <m/>
    <m/>
    <m/>
    <m/>
    <m/>
    <m/>
    <s v="04. Item 04"/>
    <n v="12"/>
    <x v="0"/>
    <x v="1"/>
    <n v="2020"/>
    <n v="2020"/>
    <b v="1"/>
  </r>
  <r>
    <x v="3"/>
    <m/>
    <x v="1"/>
    <s v="Centralized"/>
    <s v="Out"/>
    <m/>
    <m/>
    <m/>
    <m/>
    <m/>
    <m/>
    <s v="p"/>
    <d v="2020-10-01T00:00:00"/>
    <d v="2020-10-01T00:00:00"/>
    <n v="54761.9"/>
    <m/>
    <m/>
    <m/>
    <m/>
    <m/>
    <m/>
    <m/>
    <m/>
    <s v="04. Item 04"/>
    <n v="10"/>
    <x v="3"/>
    <x v="1"/>
    <n v="2020"/>
    <n v="2020"/>
    <b v="1"/>
  </r>
  <r>
    <x v="15"/>
    <m/>
    <x v="1"/>
    <s v="Centralized"/>
    <s v="Out"/>
    <m/>
    <m/>
    <m/>
    <m/>
    <m/>
    <m/>
    <s v="p"/>
    <d v="2020-11-01T00:00:00"/>
    <d v="2020-11-01T00:00:00"/>
    <n v="57142.86"/>
    <m/>
    <m/>
    <m/>
    <m/>
    <m/>
    <m/>
    <m/>
    <m/>
    <s v="06. Item 06"/>
    <n v="11"/>
    <x v="2"/>
    <x v="1"/>
    <n v="2020"/>
    <n v="2020"/>
    <b v="1"/>
  </r>
  <r>
    <x v="15"/>
    <m/>
    <x v="1"/>
    <s v="Centralized"/>
    <s v="Out"/>
    <m/>
    <m/>
    <m/>
    <m/>
    <m/>
    <m/>
    <s v="p"/>
    <d v="2020-12-01T00:00:00"/>
    <d v="2020-12-01T00:00:00"/>
    <n v="187742.87"/>
    <m/>
    <m/>
    <m/>
    <m/>
    <m/>
    <m/>
    <m/>
    <m/>
    <s v="06. Item 06"/>
    <n v="12"/>
    <x v="0"/>
    <x v="1"/>
    <n v="2020"/>
    <n v="2020"/>
    <b v="1"/>
  </r>
  <r>
    <x v="15"/>
    <m/>
    <x v="1"/>
    <s v="Centralized"/>
    <s v="Out"/>
    <m/>
    <m/>
    <m/>
    <m/>
    <m/>
    <m/>
    <s v="p"/>
    <d v="2020-10-01T00:00:00"/>
    <d v="2020-10-01T00:00:00"/>
    <n v="4047619.05"/>
    <m/>
    <m/>
    <m/>
    <m/>
    <m/>
    <m/>
    <m/>
    <m/>
    <s v="06. Item 06"/>
    <n v="10"/>
    <x v="3"/>
    <x v="1"/>
    <n v="2020"/>
    <n v="2020"/>
    <b v="1"/>
  </r>
  <r>
    <x v="16"/>
    <m/>
    <x v="1"/>
    <s v="Centralized"/>
    <s v="Out"/>
    <m/>
    <m/>
    <m/>
    <m/>
    <m/>
    <m/>
    <s v="p"/>
    <d v="2020-11-01T00:00:00"/>
    <d v="2020-11-01T00:00:00"/>
    <n v="3571428.57"/>
    <m/>
    <m/>
    <m/>
    <m/>
    <m/>
    <m/>
    <m/>
    <m/>
    <s v="_1. Item _1"/>
    <n v="11"/>
    <x v="2"/>
    <x v="1"/>
    <n v="2020"/>
    <n v="2020"/>
    <b v="1"/>
  </r>
  <r>
    <x v="16"/>
    <m/>
    <x v="1"/>
    <s v="Centralized"/>
    <s v="Out"/>
    <m/>
    <m/>
    <m/>
    <m/>
    <m/>
    <m/>
    <s v="p"/>
    <d v="2020-12-01T00:00:00"/>
    <d v="2020-12-01T00:00:00"/>
    <n v="2670952.38"/>
    <m/>
    <m/>
    <m/>
    <m/>
    <m/>
    <m/>
    <m/>
    <m/>
    <s v="_1. Item _1"/>
    <n v="12"/>
    <x v="0"/>
    <x v="1"/>
    <n v="2020"/>
    <n v="2020"/>
    <b v="1"/>
  </r>
  <r>
    <x v="19"/>
    <m/>
    <x v="1"/>
    <s v="Centralized"/>
    <s v="Out"/>
    <m/>
    <m/>
    <m/>
    <m/>
    <m/>
    <m/>
    <s v="p"/>
    <d v="2020-10-01T00:00:00"/>
    <d v="2020-10-01T00:00:00"/>
    <n v="8814285.7100000009"/>
    <m/>
    <m/>
    <m/>
    <m/>
    <m/>
    <m/>
    <m/>
    <m/>
    <s v="_2. Item _2"/>
    <n v="10"/>
    <x v="3"/>
    <x v="1"/>
    <n v="2020"/>
    <n v="2020"/>
    <b v="1"/>
  </r>
  <r>
    <x v="16"/>
    <m/>
    <x v="1"/>
    <s v="Centralized"/>
    <s v="Out"/>
    <m/>
    <m/>
    <m/>
    <m/>
    <m/>
    <m/>
    <s v="p"/>
    <d v="2020-11-01T00:00:00"/>
    <d v="2020-11-01T00:00:00"/>
    <n v="8785714.2899999991"/>
    <m/>
    <m/>
    <m/>
    <m/>
    <m/>
    <m/>
    <m/>
    <m/>
    <s v="_1. Item _1"/>
    <n v="11"/>
    <x v="2"/>
    <x v="1"/>
    <n v="2020"/>
    <n v="2020"/>
    <b v="1"/>
  </r>
  <r>
    <x v="16"/>
    <m/>
    <x v="1"/>
    <s v="Centralized"/>
    <s v="Out"/>
    <m/>
    <m/>
    <m/>
    <m/>
    <m/>
    <m/>
    <s v="p"/>
    <d v="2020-12-01T00:00:00"/>
    <d v="2020-12-01T00:00:00"/>
    <n v="9597814.9100000001"/>
    <m/>
    <m/>
    <m/>
    <m/>
    <m/>
    <m/>
    <m/>
    <m/>
    <s v="_1. Item _1"/>
    <n v="12"/>
    <x v="0"/>
    <x v="1"/>
    <n v="2020"/>
    <n v="2020"/>
    <b v="1"/>
  </r>
  <r>
    <x v="19"/>
    <m/>
    <x v="1"/>
    <s v="Centralized"/>
    <s v="Out"/>
    <m/>
    <m/>
    <m/>
    <m/>
    <m/>
    <m/>
    <s v="p"/>
    <d v="2020-10-01T00:00:00"/>
    <d v="2020-10-01T00:00:00"/>
    <n v="1882547.62"/>
    <m/>
    <m/>
    <m/>
    <m/>
    <m/>
    <m/>
    <m/>
    <m/>
    <s v="_2. Item _2"/>
    <n v="10"/>
    <x v="3"/>
    <x v="1"/>
    <n v="2020"/>
    <n v="2020"/>
    <b v="1"/>
  </r>
  <r>
    <x v="16"/>
    <m/>
    <x v="1"/>
    <s v="Centralized"/>
    <s v="Out"/>
    <m/>
    <m/>
    <m/>
    <m/>
    <m/>
    <m/>
    <s v="p"/>
    <d v="2020-11-01T00:00:00"/>
    <d v="2020-11-01T00:00:00"/>
    <n v="278261.90000000002"/>
    <m/>
    <m/>
    <m/>
    <m/>
    <m/>
    <m/>
    <m/>
    <m/>
    <s v="_1. Item _1"/>
    <n v="11"/>
    <x v="2"/>
    <x v="1"/>
    <n v="2020"/>
    <n v="2020"/>
    <b v="1"/>
  </r>
  <r>
    <x v="16"/>
    <m/>
    <x v="1"/>
    <s v="Centralized"/>
    <s v="Out"/>
    <m/>
    <m/>
    <m/>
    <m/>
    <m/>
    <m/>
    <s v="p"/>
    <d v="2020-12-01T00:00:00"/>
    <d v="2020-12-01T00:00:00"/>
    <n v="1365420.79"/>
    <m/>
    <m/>
    <m/>
    <m/>
    <m/>
    <m/>
    <m/>
    <m/>
    <s v="_1. Item _1"/>
    <n v="12"/>
    <x v="0"/>
    <x v="1"/>
    <n v="2020"/>
    <n v="2020"/>
    <b v="1"/>
  </r>
  <r>
    <x v="19"/>
    <m/>
    <x v="1"/>
    <s v="Centralized"/>
    <s v="Out"/>
    <m/>
    <m/>
    <m/>
    <m/>
    <m/>
    <m/>
    <s v="p"/>
    <d v="2020-10-01T00:00:00"/>
    <d v="2020-10-01T00:00:00"/>
    <n v="1400476.19"/>
    <m/>
    <m/>
    <m/>
    <m/>
    <m/>
    <m/>
    <m/>
    <m/>
    <s v="_2. Item _2"/>
    <n v="10"/>
    <x v="3"/>
    <x v="1"/>
    <n v="2020"/>
    <n v="2020"/>
    <b v="1"/>
  </r>
  <r>
    <x v="0"/>
    <m/>
    <x v="1"/>
    <s v="Centralized"/>
    <s v="Out"/>
    <m/>
    <m/>
    <m/>
    <m/>
    <m/>
    <m/>
    <s v="p"/>
    <d v="2020-10-01T00:00:00"/>
    <d v="2020-10-01T00:00:00"/>
    <n v="1792904.76"/>
    <m/>
    <m/>
    <m/>
    <m/>
    <m/>
    <m/>
    <m/>
    <m/>
    <s v="01. Item 01"/>
    <n v="10"/>
    <x v="3"/>
    <x v="1"/>
    <n v="2020"/>
    <n v="2020"/>
    <b v="1"/>
  </r>
  <r>
    <x v="0"/>
    <m/>
    <x v="1"/>
    <s v="Centralized"/>
    <s v="Out"/>
    <m/>
    <m/>
    <m/>
    <m/>
    <m/>
    <m/>
    <s v="p"/>
    <d v="2020-11-01T00:00:00"/>
    <d v="2020-11-01T00:00:00"/>
    <n v="420952.38"/>
    <m/>
    <m/>
    <m/>
    <m/>
    <m/>
    <m/>
    <m/>
    <m/>
    <s v="01. Item 01"/>
    <n v="11"/>
    <x v="2"/>
    <x v="1"/>
    <n v="2020"/>
    <n v="2020"/>
    <b v="1"/>
  </r>
  <r>
    <x v="0"/>
    <m/>
    <x v="1"/>
    <s v="Centralized"/>
    <s v="Out"/>
    <m/>
    <m/>
    <m/>
    <m/>
    <m/>
    <m/>
    <s v="p"/>
    <d v="2020-12-01T00:00:00"/>
    <d v="2020-12-01T00:00:00"/>
    <n v="736042.04"/>
    <m/>
    <m/>
    <m/>
    <m/>
    <m/>
    <m/>
    <m/>
    <m/>
    <s v="01. Item 01"/>
    <n v="12"/>
    <x v="0"/>
    <x v="1"/>
    <n v="2020"/>
    <n v="2020"/>
    <b v="1"/>
  </r>
  <r>
    <x v="1"/>
    <m/>
    <x v="1"/>
    <s v="Centralized"/>
    <s v="Out"/>
    <m/>
    <m/>
    <m/>
    <m/>
    <m/>
    <m/>
    <s v="p"/>
    <d v="2020-10-01T00:00:00"/>
    <d v="2020-10-01T00:00:00"/>
    <n v="333333.33"/>
    <m/>
    <m/>
    <m/>
    <m/>
    <m/>
    <m/>
    <m/>
    <m/>
    <s v="02. Item 02"/>
    <n v="10"/>
    <x v="3"/>
    <x v="1"/>
    <n v="2020"/>
    <n v="2020"/>
    <b v="1"/>
  </r>
  <r>
    <x v="1"/>
    <m/>
    <x v="1"/>
    <s v="Centralized"/>
    <s v="Out"/>
    <m/>
    <m/>
    <m/>
    <m/>
    <m/>
    <m/>
    <s v="p"/>
    <d v="2020-11-01T00:00:00"/>
    <d v="2020-11-01T00:00:00"/>
    <n v="365000"/>
    <m/>
    <m/>
    <m/>
    <m/>
    <m/>
    <m/>
    <m/>
    <m/>
    <s v="02. Item 02"/>
    <n v="11"/>
    <x v="2"/>
    <x v="1"/>
    <n v="2020"/>
    <n v="2020"/>
    <b v="1"/>
  </r>
  <r>
    <x v="1"/>
    <m/>
    <x v="1"/>
    <s v="Centralized"/>
    <s v="Out"/>
    <m/>
    <m/>
    <m/>
    <m/>
    <m/>
    <m/>
    <s v="p"/>
    <d v="2020-12-01T00:00:00"/>
    <d v="2020-12-01T00:00:00"/>
    <n v="363543.35"/>
    <m/>
    <m/>
    <m/>
    <m/>
    <m/>
    <m/>
    <m/>
    <m/>
    <s v="02. Item 02"/>
    <n v="12"/>
    <x v="0"/>
    <x v="1"/>
    <n v="2020"/>
    <n v="2020"/>
    <b v="1"/>
  </r>
  <r>
    <x v="22"/>
    <s v="10. Item 10"/>
    <x v="1"/>
    <s v="Centralized"/>
    <s v="Out"/>
    <m/>
    <m/>
    <m/>
    <m/>
    <m/>
    <m/>
    <s v="p"/>
    <d v="2020-10-01T00:00:00"/>
    <d v="2020-10-01T00:00:00"/>
    <n v="50000"/>
    <m/>
    <m/>
    <m/>
    <m/>
    <m/>
    <m/>
    <m/>
    <m/>
    <s v="10. Item 10"/>
    <n v="10"/>
    <x v="3"/>
    <x v="1"/>
    <n v="2020"/>
    <n v="2020"/>
    <b v="1"/>
  </r>
  <r>
    <x v="3"/>
    <s v="10. Item 10"/>
    <x v="1"/>
    <s v="Centralized"/>
    <s v="Out"/>
    <m/>
    <m/>
    <m/>
    <m/>
    <m/>
    <m/>
    <s v="p"/>
    <d v="2020-11-01T00:00:00"/>
    <d v="2020-11-01T00:00:00"/>
    <n v="128571.43"/>
    <m/>
    <m/>
    <m/>
    <m/>
    <m/>
    <m/>
    <m/>
    <m/>
    <s v="10. Item 10"/>
    <n v="11"/>
    <x v="2"/>
    <x v="1"/>
    <n v="2020"/>
    <n v="2020"/>
    <b v="1"/>
  </r>
  <r>
    <x v="22"/>
    <s v="10. Item 10"/>
    <x v="1"/>
    <s v="Centralized"/>
    <s v="Out"/>
    <m/>
    <m/>
    <m/>
    <m/>
    <m/>
    <m/>
    <s v="p"/>
    <d v="2020-12-01T00:00:00"/>
    <d v="2020-12-01T00:00:00"/>
    <n v="70815.42"/>
    <m/>
    <m/>
    <m/>
    <m/>
    <m/>
    <m/>
    <m/>
    <m/>
    <s v="10. Item 10"/>
    <n v="12"/>
    <x v="0"/>
    <x v="1"/>
    <n v="2020"/>
    <n v="2020"/>
    <b v="1"/>
  </r>
  <r>
    <x v="3"/>
    <m/>
    <x v="1"/>
    <s v="Centralized"/>
    <s v="Out"/>
    <m/>
    <m/>
    <m/>
    <m/>
    <m/>
    <m/>
    <s v="p"/>
    <d v="2020-10-01T00:00:00"/>
    <d v="2020-10-01T00:00:00"/>
    <n v="53571.43"/>
    <m/>
    <m/>
    <m/>
    <m/>
    <m/>
    <m/>
    <m/>
    <m/>
    <s v="04. Item 04"/>
    <n v="10"/>
    <x v="3"/>
    <x v="1"/>
    <n v="2020"/>
    <n v="2020"/>
    <b v="1"/>
  </r>
  <r>
    <x v="22"/>
    <m/>
    <x v="1"/>
    <s v="Centralized"/>
    <s v="Out"/>
    <m/>
    <m/>
    <m/>
    <m/>
    <m/>
    <m/>
    <s v="p"/>
    <d v="2020-11-01T00:00:00"/>
    <d v="2020-11-01T00:00:00"/>
    <n v="28571.43"/>
    <m/>
    <m/>
    <m/>
    <m/>
    <m/>
    <m/>
    <m/>
    <m/>
    <s v="04. Item 04"/>
    <n v="11"/>
    <x v="2"/>
    <x v="1"/>
    <n v="2020"/>
    <n v="2020"/>
    <b v="1"/>
  </r>
  <r>
    <x v="3"/>
    <m/>
    <x v="1"/>
    <s v="Centralized"/>
    <s v="Out"/>
    <m/>
    <m/>
    <m/>
    <m/>
    <m/>
    <m/>
    <s v="p"/>
    <d v="2020-12-01T00:00:00"/>
    <d v="2020-12-01T00:00:00"/>
    <n v="97844.55"/>
    <m/>
    <m/>
    <m/>
    <m/>
    <m/>
    <m/>
    <m/>
    <m/>
    <s v="04. Item 04"/>
    <n v="12"/>
    <x v="0"/>
    <x v="1"/>
    <n v="2020"/>
    <n v="2020"/>
    <b v="1"/>
  </r>
  <r>
    <x v="4"/>
    <s v="12. Item 12"/>
    <x v="1"/>
    <s v="Centralized"/>
    <s v="Out"/>
    <m/>
    <m/>
    <m/>
    <m/>
    <m/>
    <m/>
    <s v="p"/>
    <d v="2020-10-01T00:00:00"/>
    <d v="2020-10-01T00:00:00"/>
    <n v="259523.81"/>
    <m/>
    <m/>
    <m/>
    <m/>
    <m/>
    <m/>
    <m/>
    <m/>
    <s v="12. Item 12"/>
    <n v="10"/>
    <x v="3"/>
    <x v="1"/>
    <n v="2020"/>
    <n v="2020"/>
    <b v="1"/>
  </r>
  <r>
    <x v="4"/>
    <s v="12. Item 12"/>
    <x v="1"/>
    <s v="Centralized"/>
    <s v="Out"/>
    <m/>
    <m/>
    <m/>
    <m/>
    <m/>
    <m/>
    <s v="p"/>
    <d v="2020-11-01T00:00:00"/>
    <d v="2020-11-01T00:00:00"/>
    <n v="956190.48"/>
    <m/>
    <m/>
    <m/>
    <m/>
    <m/>
    <m/>
    <m/>
    <m/>
    <s v="12. Item 12"/>
    <n v="11"/>
    <x v="2"/>
    <x v="1"/>
    <n v="2020"/>
    <n v="2020"/>
    <b v="1"/>
  </r>
  <r>
    <x v="4"/>
    <s v="12. Item 12"/>
    <x v="1"/>
    <s v="Centralized"/>
    <s v="Out"/>
    <m/>
    <m/>
    <m/>
    <m/>
    <m/>
    <m/>
    <s v="p"/>
    <d v="2020-12-01T00:00:00"/>
    <d v="2020-12-01T00:00:00"/>
    <n v="548086.52"/>
    <m/>
    <m/>
    <m/>
    <m/>
    <m/>
    <m/>
    <m/>
    <m/>
    <s v="12. Item 12"/>
    <n v="12"/>
    <x v="0"/>
    <x v="1"/>
    <n v="2020"/>
    <n v="2020"/>
    <b v="1"/>
  </r>
  <r>
    <x v="4"/>
    <s v="13. Item 13"/>
    <x v="1"/>
    <s v="Centralized"/>
    <s v="Out"/>
    <m/>
    <m/>
    <m/>
    <m/>
    <m/>
    <m/>
    <s v="p"/>
    <d v="2020-10-01T00:00:00"/>
    <d v="2020-10-01T00:00:00"/>
    <n v="3380952.38"/>
    <m/>
    <m/>
    <m/>
    <m/>
    <m/>
    <m/>
    <m/>
    <m/>
    <s v="13. Item 13"/>
    <n v="10"/>
    <x v="3"/>
    <x v="1"/>
    <n v="2020"/>
    <n v="2020"/>
    <b v="1"/>
  </r>
  <r>
    <x v="4"/>
    <s v="13. Item 13"/>
    <x v="1"/>
    <s v="Centralized"/>
    <s v="Out"/>
    <m/>
    <m/>
    <m/>
    <m/>
    <m/>
    <m/>
    <s v="p"/>
    <d v="2020-11-01T00:00:00"/>
    <d v="2020-11-01T00:00:00"/>
    <n v="1309523.81"/>
    <m/>
    <m/>
    <m/>
    <m/>
    <m/>
    <m/>
    <m/>
    <m/>
    <s v="13. Item 13"/>
    <n v="11"/>
    <x v="2"/>
    <x v="1"/>
    <n v="2020"/>
    <n v="2020"/>
    <b v="1"/>
  </r>
  <r>
    <x v="4"/>
    <s v="13. Item 13"/>
    <x v="1"/>
    <s v="Centralized"/>
    <s v="Out"/>
    <m/>
    <m/>
    <m/>
    <m/>
    <m/>
    <m/>
    <s v="p"/>
    <d v="2020-12-01T00:00:00"/>
    <d v="2020-12-01T00:00:00"/>
    <n v="3377990.81"/>
    <m/>
    <m/>
    <m/>
    <m/>
    <m/>
    <m/>
    <m/>
    <m/>
    <s v="13. Item 13"/>
    <n v="12"/>
    <x v="0"/>
    <x v="1"/>
    <n v="2020"/>
    <n v="2020"/>
    <b v="1"/>
  </r>
  <r>
    <x v="5"/>
    <m/>
    <x v="1"/>
    <s v="Centralized"/>
    <s v="Out"/>
    <m/>
    <m/>
    <m/>
    <m/>
    <m/>
    <m/>
    <s v="p"/>
    <d v="2020-10-01T00:00:00"/>
    <d v="2020-10-01T00:00:00"/>
    <n v="1426428.57"/>
    <m/>
    <m/>
    <m/>
    <m/>
    <m/>
    <m/>
    <m/>
    <m/>
    <s v="05. Item 05"/>
    <n v="10"/>
    <x v="3"/>
    <x v="1"/>
    <n v="2020"/>
    <n v="2020"/>
    <b v="1"/>
  </r>
  <r>
    <x v="5"/>
    <m/>
    <x v="1"/>
    <s v="Centralized"/>
    <s v="Out"/>
    <m/>
    <m/>
    <m/>
    <m/>
    <m/>
    <m/>
    <s v="p"/>
    <d v="2020-11-01T00:00:00"/>
    <d v="2020-11-01T00:00:00"/>
    <n v="581428.56999999995"/>
    <m/>
    <m/>
    <m/>
    <m/>
    <m/>
    <m/>
    <m/>
    <m/>
    <s v="05. Item 05"/>
    <n v="11"/>
    <x v="2"/>
    <x v="1"/>
    <n v="2020"/>
    <n v="2020"/>
    <b v="1"/>
  </r>
  <r>
    <x v="5"/>
    <m/>
    <x v="1"/>
    <s v="Centralized"/>
    <s v="Out"/>
    <m/>
    <m/>
    <m/>
    <m/>
    <m/>
    <m/>
    <s v="p"/>
    <d v="2020-12-01T00:00:00"/>
    <d v="2020-12-01T00:00:00"/>
    <n v="308827.19"/>
    <m/>
    <m/>
    <m/>
    <m/>
    <m/>
    <m/>
    <m/>
    <m/>
    <s v="05. Item 05"/>
    <n v="12"/>
    <x v="0"/>
    <x v="1"/>
    <n v="2020"/>
    <n v="2020"/>
    <b v="1"/>
  </r>
  <r>
    <x v="15"/>
    <m/>
    <x v="1"/>
    <s v="Centralized"/>
    <s v="Out"/>
    <m/>
    <m/>
    <m/>
    <m/>
    <m/>
    <m/>
    <s v="p"/>
    <d v="2020-12-01T00:00:00"/>
    <d v="2020-12-01T00:00:00"/>
    <n v="18571.43"/>
    <m/>
    <m/>
    <m/>
    <m/>
    <m/>
    <m/>
    <m/>
    <m/>
    <s v="06. Item 06"/>
    <n v="12"/>
    <x v="0"/>
    <x v="1"/>
    <n v="2020"/>
    <n v="2020"/>
    <b v="1"/>
  </r>
  <r>
    <x v="15"/>
    <m/>
    <x v="1"/>
    <s v="Centralized"/>
    <s v="Out"/>
    <m/>
    <m/>
    <m/>
    <m/>
    <m/>
    <m/>
    <s v="p"/>
    <d v="2020-11-01T00:00:00"/>
    <d v="2020-11-01T00:00:00"/>
    <n v="14285.71"/>
    <m/>
    <m/>
    <m/>
    <m/>
    <m/>
    <m/>
    <m/>
    <m/>
    <s v="06. Item 06"/>
    <n v="11"/>
    <x v="2"/>
    <x v="1"/>
    <n v="2020"/>
    <n v="2020"/>
    <b v="1"/>
  </r>
  <r>
    <x v="15"/>
    <m/>
    <x v="1"/>
    <s v="Centralized"/>
    <s v="Out"/>
    <m/>
    <m/>
    <m/>
    <m/>
    <m/>
    <m/>
    <s v="p"/>
    <d v="2020-11-01T00:00:00"/>
    <d v="2020-11-01T00:00:00"/>
    <n v="23.81"/>
    <m/>
    <m/>
    <m/>
    <m/>
    <m/>
    <m/>
    <m/>
    <m/>
    <s v="06. Item 06"/>
    <n v="11"/>
    <x v="2"/>
    <x v="1"/>
    <n v="2020"/>
    <n v="2020"/>
    <b v="1"/>
  </r>
  <r>
    <x v="6"/>
    <m/>
    <x v="1"/>
    <s v="Decentralized"/>
    <s v="Out"/>
    <m/>
    <m/>
    <m/>
    <m/>
    <m/>
    <m/>
    <s v="p"/>
    <d v="2020-12-01T00:00:00"/>
    <d v="2020-12-01T00:00:00"/>
    <n v="83571.429999999993"/>
    <m/>
    <m/>
    <m/>
    <m/>
    <m/>
    <m/>
    <m/>
    <m/>
    <s v="07. Item 07"/>
    <n v="12"/>
    <x v="0"/>
    <x v="1"/>
    <n v="2020"/>
    <n v="2020"/>
    <b v="1"/>
  </r>
  <r>
    <x v="6"/>
    <m/>
    <x v="1"/>
    <s v="Centralized"/>
    <s v="Out"/>
    <m/>
    <m/>
    <m/>
    <m/>
    <m/>
    <m/>
    <s v="p"/>
    <d v="2020-12-01T00:00:00"/>
    <d v="2020-12-01T00:00:00"/>
    <n v="7142.86"/>
    <m/>
    <m/>
    <m/>
    <m/>
    <m/>
    <m/>
    <m/>
    <m/>
    <s v="07. Item 07"/>
    <n v="12"/>
    <x v="0"/>
    <x v="1"/>
    <n v="2020"/>
    <n v="2020"/>
    <b v="1"/>
  </r>
  <r>
    <x v="6"/>
    <s v="13. Item 13"/>
    <x v="1"/>
    <s v="Decentralized"/>
    <s v="Out"/>
    <m/>
    <m/>
    <m/>
    <m/>
    <m/>
    <m/>
    <s v="p"/>
    <d v="2020-12-01T00:00:00"/>
    <d v="2020-12-01T00:00:00"/>
    <n v="30238.1"/>
    <m/>
    <m/>
    <m/>
    <m/>
    <m/>
    <m/>
    <m/>
    <m/>
    <s v="13. Item 13"/>
    <n v="12"/>
    <x v="0"/>
    <x v="1"/>
    <n v="2020"/>
    <n v="2020"/>
    <b v="1"/>
  </r>
  <r>
    <x v="7"/>
    <m/>
    <x v="0"/>
    <m/>
    <s v="Out"/>
    <m/>
    <m/>
    <m/>
    <m/>
    <m/>
    <m/>
    <s v="f"/>
    <d v="2020-07-01T00:00:00"/>
    <d v="2020-07-01T00:00:00"/>
    <m/>
    <n v="6484761.9000000004"/>
    <m/>
    <m/>
    <m/>
    <m/>
    <m/>
    <m/>
    <m/>
    <s v="08. Item 08"/>
    <n v="7"/>
    <x v="7"/>
    <x v="1"/>
    <n v="2020"/>
    <n v="2020"/>
    <b v="1"/>
  </r>
  <r>
    <x v="7"/>
    <m/>
    <x v="0"/>
    <m/>
    <s v="Out"/>
    <m/>
    <m/>
    <m/>
    <m/>
    <m/>
    <m/>
    <s v="f"/>
    <d v="2020-07-01T00:00:00"/>
    <d v="2020-07-01T00:00:00"/>
    <m/>
    <n v="58095.24"/>
    <m/>
    <m/>
    <m/>
    <m/>
    <m/>
    <m/>
    <m/>
    <s v="08. Item 08"/>
    <n v="7"/>
    <x v="7"/>
    <x v="1"/>
    <n v="2020"/>
    <n v="2020"/>
    <b v="1"/>
  </r>
  <r>
    <x v="7"/>
    <m/>
    <x v="0"/>
    <m/>
    <s v="Out"/>
    <m/>
    <m/>
    <m/>
    <m/>
    <m/>
    <m/>
    <s v="f"/>
    <d v="2020-07-01T00:00:00"/>
    <d v="2020-07-01T00:00:00"/>
    <m/>
    <n v="8846833.3300000001"/>
    <m/>
    <m/>
    <m/>
    <m/>
    <m/>
    <m/>
    <m/>
    <s v="08. Item 08"/>
    <n v="7"/>
    <x v="7"/>
    <x v="1"/>
    <n v="2020"/>
    <n v="2020"/>
    <b v="1"/>
  </r>
  <r>
    <x v="21"/>
    <m/>
    <x v="0"/>
    <m/>
    <s v="Out"/>
    <m/>
    <m/>
    <m/>
    <m/>
    <m/>
    <m/>
    <s v="f"/>
    <d v="2020-07-01T00:00:00"/>
    <d v="2020-07-01T00:00:00"/>
    <m/>
    <n v="2192619.0499999998"/>
    <m/>
    <m/>
    <m/>
    <m/>
    <m/>
    <m/>
    <m/>
    <s v="09. Item 09"/>
    <n v="7"/>
    <x v="7"/>
    <x v="1"/>
    <n v="2020"/>
    <n v="2020"/>
    <b v="1"/>
  </r>
  <r>
    <x v="8"/>
    <s v="04. Item 04"/>
    <x v="0"/>
    <m/>
    <s v="Out"/>
    <m/>
    <m/>
    <m/>
    <m/>
    <m/>
    <m/>
    <s v="f"/>
    <d v="2020-07-01T00:00:00"/>
    <d v="2020-07-01T00:00:00"/>
    <m/>
    <n v="2474404.7599999998"/>
    <m/>
    <m/>
    <m/>
    <m/>
    <m/>
    <m/>
    <m/>
    <s v="04. Item 04"/>
    <n v="7"/>
    <x v="7"/>
    <x v="1"/>
    <n v="2020"/>
    <n v="2020"/>
    <b v="1"/>
  </r>
  <r>
    <x v="8"/>
    <m/>
    <x v="0"/>
    <m/>
    <s v="Out"/>
    <m/>
    <m/>
    <m/>
    <m/>
    <m/>
    <m/>
    <s v="f"/>
    <d v="2020-07-01T00:00:00"/>
    <d v="2020-07-01T00:00:00"/>
    <m/>
    <n v="5256714.29"/>
    <m/>
    <m/>
    <m/>
    <m/>
    <m/>
    <m/>
    <m/>
    <s v="09. Item 09"/>
    <n v="7"/>
    <x v="7"/>
    <x v="1"/>
    <n v="2020"/>
    <n v="2020"/>
    <b v="1"/>
  </r>
  <r>
    <x v="8"/>
    <m/>
    <x v="0"/>
    <m/>
    <s v="Out"/>
    <m/>
    <m/>
    <m/>
    <m/>
    <m/>
    <m/>
    <s v="f"/>
    <d v="2020-07-01T00:00:00"/>
    <d v="2020-07-01T00:00:00"/>
    <m/>
    <n v="20380.95"/>
    <m/>
    <m/>
    <m/>
    <m/>
    <m/>
    <m/>
    <m/>
    <s v="09. Item 09"/>
    <n v="7"/>
    <x v="7"/>
    <x v="1"/>
    <n v="2020"/>
    <n v="2020"/>
    <b v="1"/>
  </r>
  <r>
    <x v="9"/>
    <m/>
    <x v="0"/>
    <m/>
    <s v="Out"/>
    <m/>
    <m/>
    <m/>
    <m/>
    <m/>
    <m/>
    <s v="f"/>
    <d v="2020-07-01T00:00:00"/>
    <d v="2020-07-01T00:00:00"/>
    <m/>
    <n v="33261.9"/>
    <m/>
    <m/>
    <m/>
    <m/>
    <m/>
    <m/>
    <m/>
    <s v="09. Item 09"/>
    <n v="7"/>
    <x v="7"/>
    <x v="1"/>
    <n v="2020"/>
    <n v="2020"/>
    <b v="1"/>
  </r>
  <r>
    <x v="9"/>
    <m/>
    <x v="0"/>
    <m/>
    <s v="Out"/>
    <m/>
    <m/>
    <m/>
    <m/>
    <m/>
    <m/>
    <s v="f"/>
    <d v="2020-07-01T00:00:00"/>
    <d v="2020-07-01T00:00:00"/>
    <m/>
    <n v="282309.52"/>
    <m/>
    <m/>
    <m/>
    <m/>
    <m/>
    <m/>
    <m/>
    <s v="09. Item 09"/>
    <n v="7"/>
    <x v="7"/>
    <x v="1"/>
    <n v="2020"/>
    <n v="2020"/>
    <b v="1"/>
  </r>
  <r>
    <x v="9"/>
    <m/>
    <x v="0"/>
    <m/>
    <s v="Out"/>
    <m/>
    <m/>
    <m/>
    <m/>
    <m/>
    <m/>
    <s v="f"/>
    <d v="2020-07-01T00:00:00"/>
    <d v="2020-07-01T00:00:00"/>
    <m/>
    <n v="736452.38"/>
    <m/>
    <m/>
    <m/>
    <m/>
    <m/>
    <m/>
    <m/>
    <s v="09. Item 09"/>
    <n v="7"/>
    <x v="7"/>
    <x v="1"/>
    <n v="2020"/>
    <n v="2020"/>
    <b v="1"/>
  </r>
  <r>
    <x v="17"/>
    <m/>
    <x v="0"/>
    <m/>
    <s v="Out"/>
    <m/>
    <m/>
    <m/>
    <m/>
    <m/>
    <m/>
    <s v="f"/>
    <d v="2020-07-01T00:00:00"/>
    <d v="2020-07-01T00:00:00"/>
    <m/>
    <n v="3341500"/>
    <m/>
    <m/>
    <m/>
    <m/>
    <m/>
    <m/>
    <m/>
    <s v="09. Item 09"/>
    <n v="7"/>
    <x v="7"/>
    <x v="1"/>
    <n v="2020"/>
    <n v="2020"/>
    <b v="1"/>
  </r>
  <r>
    <x v="17"/>
    <m/>
    <x v="0"/>
    <m/>
    <s v="Out"/>
    <m/>
    <m/>
    <m/>
    <m/>
    <m/>
    <m/>
    <s v="p"/>
    <d v="2020-07-01T00:00:00"/>
    <d v="2020-07-01T00:00:00"/>
    <n v="4714.29"/>
    <m/>
    <m/>
    <m/>
    <m/>
    <m/>
    <m/>
    <m/>
    <m/>
    <s v="09. Item 09"/>
    <n v="7"/>
    <x v="7"/>
    <x v="1"/>
    <n v="2020"/>
    <n v="2020"/>
    <b v="1"/>
  </r>
  <r>
    <x v="17"/>
    <m/>
    <x v="0"/>
    <m/>
    <s v="Out"/>
    <m/>
    <m/>
    <m/>
    <m/>
    <m/>
    <m/>
    <s v="f"/>
    <d v="2020-07-01T00:00:00"/>
    <d v="2020-07-01T00:00:00"/>
    <m/>
    <n v="31357.14"/>
    <m/>
    <m/>
    <m/>
    <m/>
    <m/>
    <m/>
    <m/>
    <s v="09. Item 09"/>
    <n v="7"/>
    <x v="7"/>
    <x v="1"/>
    <n v="2020"/>
    <n v="2020"/>
    <b v="1"/>
  </r>
  <r>
    <x v="10"/>
    <m/>
    <x v="0"/>
    <m/>
    <s v="Out"/>
    <m/>
    <m/>
    <m/>
    <m/>
    <m/>
    <m/>
    <s v="f"/>
    <d v="2020-07-01T00:00:00"/>
    <d v="2020-07-01T00:00:00"/>
    <m/>
    <n v="193785.71"/>
    <m/>
    <m/>
    <m/>
    <m/>
    <m/>
    <m/>
    <m/>
    <s v="11. Item 11"/>
    <n v="7"/>
    <x v="7"/>
    <x v="1"/>
    <n v="2020"/>
    <n v="2020"/>
    <b v="1"/>
  </r>
  <r>
    <x v="10"/>
    <s v="12. Item 12"/>
    <x v="0"/>
    <m/>
    <s v="Out"/>
    <m/>
    <m/>
    <m/>
    <m/>
    <m/>
    <m/>
    <s v="f"/>
    <d v="2020-07-01T00:00:00"/>
    <d v="2020-07-01T00:00:00"/>
    <m/>
    <n v="647904.76"/>
    <m/>
    <m/>
    <m/>
    <m/>
    <m/>
    <m/>
    <m/>
    <s v="12. Item 12"/>
    <n v="7"/>
    <x v="7"/>
    <x v="1"/>
    <n v="2020"/>
    <n v="2020"/>
    <b v="1"/>
  </r>
  <r>
    <x v="10"/>
    <m/>
    <x v="0"/>
    <m/>
    <s v="Out"/>
    <m/>
    <m/>
    <m/>
    <m/>
    <m/>
    <m/>
    <s v="f"/>
    <d v="2020-08-01T00:00:00"/>
    <d v="2020-08-01T00:00:00"/>
    <m/>
    <n v="7004071.4299999997"/>
    <m/>
    <m/>
    <m/>
    <m/>
    <m/>
    <m/>
    <m/>
    <s v="11. Item 11"/>
    <n v="8"/>
    <x v="5"/>
    <x v="1"/>
    <n v="2020"/>
    <n v="2020"/>
    <b v="1"/>
  </r>
  <r>
    <x v="2"/>
    <s v="04. Item 04"/>
    <x v="0"/>
    <m/>
    <s v="Out"/>
    <m/>
    <m/>
    <m/>
    <m/>
    <m/>
    <m/>
    <s v="f"/>
    <d v="2020-08-01T00:00:00"/>
    <d v="2020-08-01T00:00:00"/>
    <m/>
    <n v="2836404.76"/>
    <m/>
    <m/>
    <m/>
    <m/>
    <m/>
    <m/>
    <m/>
    <s v="04. Item 04"/>
    <n v="8"/>
    <x v="5"/>
    <x v="1"/>
    <n v="2020"/>
    <n v="2020"/>
    <b v="1"/>
  </r>
  <r>
    <x v="20"/>
    <m/>
    <x v="0"/>
    <m/>
    <s v="Out"/>
    <m/>
    <m/>
    <m/>
    <m/>
    <m/>
    <m/>
    <s v="f"/>
    <d v="2020-08-01T00:00:00"/>
    <d v="2020-08-01T00:00:00"/>
    <m/>
    <n v="4368452.38"/>
    <m/>
    <m/>
    <m/>
    <m/>
    <m/>
    <m/>
    <m/>
    <s v="14. Item 14"/>
    <n v="8"/>
    <x v="5"/>
    <x v="1"/>
    <n v="2020"/>
    <n v="2020"/>
    <b v="1"/>
  </r>
  <r>
    <x v="20"/>
    <s v="12. Item 12"/>
    <x v="0"/>
    <m/>
    <s v="Out"/>
    <m/>
    <m/>
    <m/>
    <m/>
    <m/>
    <m/>
    <s v="f"/>
    <d v="2020-08-01T00:00:00"/>
    <d v="2020-08-01T00:00:00"/>
    <m/>
    <n v="363452.38"/>
    <m/>
    <m/>
    <m/>
    <m/>
    <m/>
    <m/>
    <m/>
    <s v="12. Item 12"/>
    <n v="8"/>
    <x v="5"/>
    <x v="1"/>
    <n v="2020"/>
    <n v="2020"/>
    <b v="1"/>
  </r>
  <r>
    <x v="20"/>
    <m/>
    <x v="0"/>
    <m/>
    <s v="Out"/>
    <m/>
    <m/>
    <m/>
    <m/>
    <m/>
    <m/>
    <s v="f"/>
    <d v="2020-08-01T00:00:00"/>
    <d v="2020-08-01T00:00:00"/>
    <m/>
    <n v="2617738.1"/>
    <m/>
    <m/>
    <m/>
    <m/>
    <m/>
    <m/>
    <m/>
    <s v="14. Item 14"/>
    <n v="8"/>
    <x v="5"/>
    <x v="1"/>
    <n v="2020"/>
    <n v="2020"/>
    <b v="1"/>
  </r>
  <r>
    <x v="23"/>
    <m/>
    <x v="0"/>
    <m/>
    <s v="Out"/>
    <m/>
    <m/>
    <m/>
    <m/>
    <m/>
    <m/>
    <s v="p"/>
    <d v="2020-08-01T00:00:00"/>
    <d v="2020-08-01T00:00:00"/>
    <n v="4714.29"/>
    <m/>
    <m/>
    <m/>
    <m/>
    <m/>
    <m/>
    <m/>
    <m/>
    <s v="21. Item 21"/>
    <n v="8"/>
    <x v="5"/>
    <x v="1"/>
    <n v="2020"/>
    <n v="2020"/>
    <b v="1"/>
  </r>
  <r>
    <x v="21"/>
    <m/>
    <x v="0"/>
    <m/>
    <s v="Out"/>
    <m/>
    <m/>
    <m/>
    <m/>
    <m/>
    <m/>
    <s v="f"/>
    <d v="2020-08-01T00:00:00"/>
    <d v="2020-08-01T00:00:00"/>
    <m/>
    <n v="34761.9"/>
    <m/>
    <m/>
    <m/>
    <m/>
    <m/>
    <m/>
    <m/>
    <s v="09. Item 09"/>
    <n v="8"/>
    <x v="5"/>
    <x v="1"/>
    <n v="2020"/>
    <n v="2020"/>
    <b v="1"/>
  </r>
  <r>
    <x v="14"/>
    <m/>
    <x v="0"/>
    <m/>
    <s v="Out"/>
    <m/>
    <m/>
    <m/>
    <m/>
    <m/>
    <m/>
    <s v="p"/>
    <d v="2020-08-01T00:00:00"/>
    <d v="2020-08-01T00:00:00"/>
    <n v="1049071.43"/>
    <m/>
    <m/>
    <m/>
    <m/>
    <m/>
    <m/>
    <m/>
    <m/>
    <s v="19. Item 19"/>
    <n v="8"/>
    <x v="5"/>
    <x v="1"/>
    <n v="2020"/>
    <n v="2020"/>
    <b v="1"/>
  </r>
  <r>
    <x v="1"/>
    <m/>
    <x v="0"/>
    <m/>
    <s v="Out"/>
    <m/>
    <m/>
    <m/>
    <m/>
    <m/>
    <m/>
    <s v="f"/>
    <d v="2020-08-01T00:00:00"/>
    <d v="2020-08-01T00:00:00"/>
    <m/>
    <n v="707095.24"/>
    <m/>
    <m/>
    <m/>
    <m/>
    <m/>
    <m/>
    <m/>
    <s v="02. Item 02"/>
    <n v="8"/>
    <x v="5"/>
    <x v="1"/>
    <n v="2020"/>
    <n v="2020"/>
    <b v="1"/>
  </r>
  <r>
    <x v="21"/>
    <m/>
    <x v="0"/>
    <m/>
    <s v="Out"/>
    <m/>
    <m/>
    <m/>
    <m/>
    <m/>
    <m/>
    <s v="p"/>
    <d v="2020-08-01T00:00:00"/>
    <d v="2020-08-01T00:00:00"/>
    <n v="160500"/>
    <m/>
    <m/>
    <m/>
    <m/>
    <m/>
    <m/>
    <m/>
    <m/>
    <s v="09. Item 09"/>
    <n v="8"/>
    <x v="5"/>
    <x v="1"/>
    <n v="2020"/>
    <n v="2020"/>
    <b v="1"/>
  </r>
  <r>
    <x v="6"/>
    <m/>
    <x v="0"/>
    <m/>
    <s v="Out"/>
    <m/>
    <m/>
    <m/>
    <m/>
    <m/>
    <m/>
    <s v="f"/>
    <d v="2020-09-01T00:00:00"/>
    <d v="2020-09-01T00:00:00"/>
    <m/>
    <n v="250214.29"/>
    <m/>
    <m/>
    <m/>
    <m/>
    <m/>
    <m/>
    <m/>
    <s v="07. Item 07"/>
    <n v="9"/>
    <x v="4"/>
    <x v="1"/>
    <n v="2020"/>
    <n v="2020"/>
    <b v="1"/>
  </r>
  <r>
    <x v="5"/>
    <m/>
    <x v="0"/>
    <m/>
    <s v="Out"/>
    <m/>
    <m/>
    <m/>
    <m/>
    <m/>
    <m/>
    <s v="f"/>
    <d v="2020-09-01T00:00:00"/>
    <d v="2020-09-01T00:00:00"/>
    <m/>
    <n v="8964666.6699999999"/>
    <m/>
    <m/>
    <m/>
    <m/>
    <m/>
    <m/>
    <m/>
    <s v="05. Item 05"/>
    <n v="9"/>
    <x v="4"/>
    <x v="1"/>
    <n v="2020"/>
    <n v="2020"/>
    <b v="1"/>
  </r>
  <r>
    <x v="0"/>
    <m/>
    <x v="0"/>
    <m/>
    <s v="Out"/>
    <m/>
    <m/>
    <m/>
    <m/>
    <m/>
    <m/>
    <s v="f"/>
    <d v="2020-09-01T00:00:00"/>
    <d v="2020-09-01T00:00:00"/>
    <m/>
    <n v="65666.67"/>
    <m/>
    <m/>
    <m/>
    <m/>
    <m/>
    <m/>
    <m/>
    <s v="01. Item 01"/>
    <n v="9"/>
    <x v="4"/>
    <x v="1"/>
    <n v="2020"/>
    <n v="2020"/>
    <b v="1"/>
  </r>
  <r>
    <x v="1"/>
    <m/>
    <x v="0"/>
    <m/>
    <s v="Out"/>
    <m/>
    <m/>
    <m/>
    <m/>
    <m/>
    <m/>
    <s v="f"/>
    <d v="2020-09-01T00:00:00"/>
    <d v="2020-09-01T00:00:00"/>
    <m/>
    <n v="10541904.76"/>
    <m/>
    <m/>
    <m/>
    <m/>
    <m/>
    <m/>
    <m/>
    <s v="02. Item 02"/>
    <n v="9"/>
    <x v="4"/>
    <x v="1"/>
    <n v="2020"/>
    <n v="2020"/>
    <b v="1"/>
  </r>
  <r>
    <x v="3"/>
    <s v="04. Item 04"/>
    <x v="0"/>
    <m/>
    <s v="Out"/>
    <m/>
    <m/>
    <m/>
    <m/>
    <m/>
    <m/>
    <s v="f"/>
    <d v="2020-09-01T00:00:00"/>
    <d v="2020-09-01T00:00:00"/>
    <m/>
    <n v="6588166.6699999999"/>
    <m/>
    <m/>
    <m/>
    <m/>
    <m/>
    <m/>
    <m/>
    <s v="04. Item 04"/>
    <n v="9"/>
    <x v="4"/>
    <x v="1"/>
    <n v="2020"/>
    <n v="2020"/>
    <b v="1"/>
  </r>
  <r>
    <x v="4"/>
    <m/>
    <x v="0"/>
    <m/>
    <s v="Out"/>
    <m/>
    <m/>
    <m/>
    <m/>
    <m/>
    <m/>
    <s v="f"/>
    <d v="2020-09-01T00:00:00"/>
    <d v="2020-09-01T00:00:00"/>
    <m/>
    <n v="5256714.29"/>
    <m/>
    <m/>
    <m/>
    <m/>
    <m/>
    <m/>
    <m/>
    <s v="05. Item 05"/>
    <n v="9"/>
    <x v="4"/>
    <x v="1"/>
    <n v="2020"/>
    <n v="2020"/>
    <b v="1"/>
  </r>
  <r>
    <x v="7"/>
    <m/>
    <x v="0"/>
    <m/>
    <s v="Out"/>
    <m/>
    <m/>
    <m/>
    <m/>
    <m/>
    <m/>
    <s v="f"/>
    <d v="2020-09-01T00:00:00"/>
    <d v="2020-09-01T00:00:00"/>
    <m/>
    <n v="1497428.57"/>
    <m/>
    <m/>
    <m/>
    <m/>
    <m/>
    <m/>
    <m/>
    <s v="08. Item 08"/>
    <n v="9"/>
    <x v="4"/>
    <x v="1"/>
    <n v="2020"/>
    <n v="2020"/>
    <b v="1"/>
  </r>
  <r>
    <x v="10"/>
    <m/>
    <x v="0"/>
    <m/>
    <s v="Out"/>
    <m/>
    <m/>
    <m/>
    <m/>
    <m/>
    <m/>
    <s v="f"/>
    <d v="2020-09-01T00:00:00"/>
    <d v="2020-09-01T00:00:00"/>
    <m/>
    <n v="99928.57"/>
    <m/>
    <m/>
    <m/>
    <m/>
    <m/>
    <m/>
    <m/>
    <s v="11. Item 11"/>
    <n v="9"/>
    <x v="4"/>
    <x v="1"/>
    <n v="2020"/>
    <n v="2020"/>
    <b v="1"/>
  </r>
  <r>
    <x v="9"/>
    <s v="12. Item 12"/>
    <x v="0"/>
    <m/>
    <s v="Out"/>
    <m/>
    <m/>
    <m/>
    <m/>
    <m/>
    <m/>
    <s v="f"/>
    <d v="2020-09-01T00:00:00"/>
    <d v="2020-09-01T00:00:00"/>
    <m/>
    <n v="358571.43"/>
    <m/>
    <m/>
    <m/>
    <m/>
    <m/>
    <m/>
    <m/>
    <s v="12. Item 12"/>
    <n v="9"/>
    <x v="4"/>
    <x v="1"/>
    <n v="2020"/>
    <n v="2020"/>
    <b v="1"/>
  </r>
  <r>
    <x v="8"/>
    <m/>
    <x v="0"/>
    <m/>
    <s v="Out"/>
    <m/>
    <m/>
    <m/>
    <m/>
    <m/>
    <m/>
    <s v="p"/>
    <d v="2020-09-01T00:00:00"/>
    <d v="2020-09-01T00:00:00"/>
    <n v="4714.29"/>
    <m/>
    <m/>
    <m/>
    <m/>
    <m/>
    <m/>
    <m/>
    <m/>
    <s v="09. Item 09"/>
    <n v="9"/>
    <x v="4"/>
    <x v="1"/>
    <n v="2020"/>
    <n v="2020"/>
    <b v="1"/>
  </r>
  <r>
    <x v="15"/>
    <m/>
    <x v="0"/>
    <m/>
    <s v="Out"/>
    <m/>
    <m/>
    <m/>
    <m/>
    <m/>
    <m/>
    <s v="f"/>
    <d v="2020-09-01T00:00:00"/>
    <d v="2020-09-01T00:00:00"/>
    <m/>
    <n v="32142.86"/>
    <m/>
    <m/>
    <m/>
    <m/>
    <m/>
    <m/>
    <m/>
    <s v="06. Item 06"/>
    <n v="9"/>
    <x v="4"/>
    <x v="1"/>
    <n v="2020"/>
    <n v="2020"/>
    <b v="1"/>
  </r>
  <r>
    <x v="12"/>
    <m/>
    <x v="0"/>
    <m/>
    <s v="Out"/>
    <m/>
    <m/>
    <m/>
    <m/>
    <m/>
    <m/>
    <s v="p"/>
    <d v="2020-09-01T00:00:00"/>
    <d v="2020-09-01T00:00:00"/>
    <n v="1049071.43"/>
    <m/>
    <m/>
    <m/>
    <m/>
    <m/>
    <m/>
    <m/>
    <m/>
    <s v="13. Item 13"/>
    <n v="9"/>
    <x v="4"/>
    <x v="1"/>
    <n v="2020"/>
    <n v="2020"/>
    <b v="1"/>
  </r>
  <r>
    <x v="12"/>
    <m/>
    <x v="0"/>
    <m/>
    <s v="Out"/>
    <m/>
    <m/>
    <m/>
    <m/>
    <m/>
    <m/>
    <s v="f"/>
    <d v="2020-09-01T00:00:00"/>
    <d v="2020-09-01T00:00:00"/>
    <m/>
    <n v="1429666.67"/>
    <m/>
    <m/>
    <m/>
    <m/>
    <m/>
    <m/>
    <m/>
    <s v="13. Item 13"/>
    <n v="9"/>
    <x v="4"/>
    <x v="1"/>
    <n v="2020"/>
    <n v="2020"/>
    <b v="1"/>
  </r>
  <r>
    <x v="13"/>
    <m/>
    <x v="0"/>
    <m/>
    <s v="Out"/>
    <m/>
    <m/>
    <m/>
    <m/>
    <m/>
    <m/>
    <s v="p"/>
    <d v="2020-09-01T00:00:00"/>
    <d v="2020-09-01T00:00:00"/>
    <n v="2009714.29"/>
    <m/>
    <m/>
    <m/>
    <m/>
    <m/>
    <m/>
    <m/>
    <m/>
    <s v="13. Item 13"/>
    <n v="9"/>
    <x v="4"/>
    <x v="1"/>
    <n v="2020"/>
    <n v="2020"/>
    <b v="1"/>
  </r>
  <r>
    <x v="13"/>
    <m/>
    <x v="0"/>
    <m/>
    <s v="Out"/>
    <m/>
    <m/>
    <m/>
    <m/>
    <m/>
    <m/>
    <s v="f"/>
    <d v="2020-09-01T00:00:00"/>
    <d v="2020-09-01T00:00:00"/>
    <m/>
    <n v="1458642.86"/>
    <m/>
    <m/>
    <m/>
    <m/>
    <m/>
    <m/>
    <m/>
    <s v="13. Item 13"/>
    <n v="9"/>
    <x v="4"/>
    <x v="1"/>
    <n v="2020"/>
    <n v="2020"/>
    <b v="1"/>
  </r>
  <r>
    <x v="11"/>
    <m/>
    <x v="0"/>
    <m/>
    <s v="Out"/>
    <m/>
    <m/>
    <m/>
    <m/>
    <m/>
    <m/>
    <s v="f"/>
    <d v="2020-09-01T00:00:00"/>
    <d v="2020-09-01T00:00:00"/>
    <m/>
    <n v="3300142.86"/>
    <m/>
    <m/>
    <m/>
    <m/>
    <m/>
    <m/>
    <m/>
    <s v="13. Item 13"/>
    <n v="9"/>
    <x v="4"/>
    <x v="1"/>
    <n v="2020"/>
    <n v="2020"/>
    <b v="1"/>
  </r>
  <r>
    <x v="11"/>
    <s v="12. Item 12"/>
    <x v="0"/>
    <m/>
    <s v="Out"/>
    <m/>
    <m/>
    <m/>
    <m/>
    <m/>
    <m/>
    <s v="p"/>
    <d v="2019-12-01T00:00:00"/>
    <d v="2019-12-01T00:00:00"/>
    <n v="357285.71"/>
    <m/>
    <m/>
    <m/>
    <m/>
    <m/>
    <m/>
    <m/>
    <m/>
    <s v="12. Item 12"/>
    <n v="12"/>
    <x v="0"/>
    <x v="0"/>
    <n v="2019"/>
    <n v="2019"/>
    <b v="1"/>
  </r>
  <r>
    <x v="2"/>
    <s v="12. Item 12"/>
    <x v="0"/>
    <m/>
    <s v="Out"/>
    <m/>
    <m/>
    <m/>
    <m/>
    <m/>
    <m/>
    <s v="f"/>
    <d v="2019-12-01T00:00:00"/>
    <d v="2019-12-01T00:00:00"/>
    <m/>
    <n v="398547.62"/>
    <m/>
    <m/>
    <m/>
    <m/>
    <m/>
    <m/>
    <m/>
    <s v="12. Item 12"/>
    <n v="12"/>
    <x v="0"/>
    <x v="0"/>
    <n v="2019"/>
    <n v="2019"/>
    <b v="1"/>
  </r>
  <r>
    <x v="6"/>
    <m/>
    <x v="1"/>
    <s v="Centralized"/>
    <s v="Out"/>
    <m/>
    <m/>
    <m/>
    <m/>
    <m/>
    <m/>
    <s v="p"/>
    <d v="2020-12-01T00:00:00"/>
    <d v="2020-12-01T00:00:00"/>
    <n v="23.81"/>
    <m/>
    <m/>
    <m/>
    <m/>
    <m/>
    <m/>
    <m/>
    <m/>
    <s v="07. Item 07"/>
    <n v="12"/>
    <x v="0"/>
    <x v="1"/>
    <n v="2020"/>
    <n v="2020"/>
    <b v="1"/>
  </r>
  <r>
    <x v="0"/>
    <m/>
    <x v="1"/>
    <s v="Decentralized"/>
    <s v="Out"/>
    <m/>
    <m/>
    <m/>
    <m/>
    <m/>
    <m/>
    <s v="p"/>
    <d v="2021-01-01T00:00:00"/>
    <d v="2021-01-01T00:00:00"/>
    <n v="33052.39"/>
    <m/>
    <m/>
    <m/>
    <m/>
    <m/>
    <m/>
    <m/>
    <m/>
    <s v="01. Item 01"/>
    <n v="1"/>
    <x v="1"/>
    <x v="2"/>
    <n v="2021"/>
    <n v="2021"/>
    <b v="1"/>
  </r>
  <r>
    <x v="1"/>
    <m/>
    <x v="1"/>
    <s v="Centralized"/>
    <s v="Out"/>
    <m/>
    <m/>
    <m/>
    <m/>
    <m/>
    <m/>
    <s v="p"/>
    <d v="2021-01-01T00:00:00"/>
    <d v="2021-01-01T00:00:00"/>
    <n v="1785714.29"/>
    <m/>
    <m/>
    <m/>
    <m/>
    <m/>
    <m/>
    <m/>
    <m/>
    <s v="02. Item 02"/>
    <n v="1"/>
    <x v="1"/>
    <x v="2"/>
    <n v="2021"/>
    <n v="2021"/>
    <b v="1"/>
  </r>
  <r>
    <x v="2"/>
    <s v="03. Item 03"/>
    <x v="1"/>
    <s v="Centralized"/>
    <s v="Out"/>
    <m/>
    <m/>
    <m/>
    <m/>
    <m/>
    <m/>
    <s v="p"/>
    <d v="2021-01-01T00:00:00"/>
    <d v="2021-01-01T00:00:00"/>
    <n v="1408474.79"/>
    <m/>
    <m/>
    <m/>
    <m/>
    <m/>
    <m/>
    <m/>
    <m/>
    <s v="03. Item 03"/>
    <n v="1"/>
    <x v="1"/>
    <x v="2"/>
    <n v="2021"/>
    <n v="2021"/>
    <b v="1"/>
  </r>
  <r>
    <x v="3"/>
    <m/>
    <x v="1"/>
    <s v="Centralized"/>
    <s v="Out"/>
    <m/>
    <m/>
    <m/>
    <m/>
    <m/>
    <m/>
    <s v="p"/>
    <d v="2021-01-01T00:00:00"/>
    <d v="2021-01-01T00:00:00"/>
    <n v="5498290.4900000002"/>
    <m/>
    <m/>
    <m/>
    <m/>
    <m/>
    <m/>
    <m/>
    <m/>
    <s v="04. Item 04"/>
    <n v="1"/>
    <x v="1"/>
    <x v="2"/>
    <n v="2021"/>
    <n v="2021"/>
    <b v="1"/>
  </r>
  <r>
    <x v="4"/>
    <m/>
    <x v="1"/>
    <s v="Decentralized"/>
    <s v="Out"/>
    <m/>
    <m/>
    <m/>
    <m/>
    <m/>
    <m/>
    <s v="p"/>
    <d v="2021-01-01T00:00:00"/>
    <d v="2021-01-01T00:00:00"/>
    <n v="1192185.7"/>
    <m/>
    <m/>
    <m/>
    <m/>
    <m/>
    <m/>
    <m/>
    <m/>
    <s v="05. Item 05"/>
    <n v="1"/>
    <x v="1"/>
    <x v="2"/>
    <n v="2021"/>
    <n v="2021"/>
    <b v="1"/>
  </r>
  <r>
    <x v="10"/>
    <m/>
    <x v="1"/>
    <s v="Centralized"/>
    <s v="Out"/>
    <m/>
    <m/>
    <m/>
    <m/>
    <m/>
    <m/>
    <s v="p"/>
    <d v="2021-01-01T00:00:00"/>
    <d v="2021-01-01T00:00:00"/>
    <n v="29047.62"/>
    <m/>
    <m/>
    <m/>
    <m/>
    <m/>
    <m/>
    <m/>
    <m/>
    <s v="11. Item 11"/>
    <n v="1"/>
    <x v="1"/>
    <x v="2"/>
    <n v="2021"/>
    <n v="2021"/>
    <b v="1"/>
  </r>
  <r>
    <x v="9"/>
    <m/>
    <x v="1"/>
    <s v="Centralized"/>
    <s v="Out"/>
    <m/>
    <m/>
    <m/>
    <m/>
    <m/>
    <m/>
    <s v="p"/>
    <d v="2021-01-01T00:00:00"/>
    <d v="2021-01-01T00:00:00"/>
    <n v="3571428.57"/>
    <m/>
    <m/>
    <m/>
    <m/>
    <m/>
    <m/>
    <m/>
    <m/>
    <s v="09. Item 09"/>
    <n v="1"/>
    <x v="1"/>
    <x v="2"/>
    <n v="2021"/>
    <n v="2021"/>
    <b v="1"/>
  </r>
  <r>
    <x v="8"/>
    <m/>
    <x v="1"/>
    <s v="Centralized"/>
    <s v="Out"/>
    <m/>
    <m/>
    <m/>
    <m/>
    <m/>
    <m/>
    <s v="p"/>
    <d v="2021-01-01T00:00:00"/>
    <d v="2021-01-01T00:00:00"/>
    <n v="8862857.1400000006"/>
    <m/>
    <m/>
    <m/>
    <m/>
    <m/>
    <m/>
    <m/>
    <m/>
    <s v="09. Item 09"/>
    <n v="1"/>
    <x v="1"/>
    <x v="2"/>
    <n v="2021"/>
    <n v="2021"/>
    <b v="1"/>
  </r>
  <r>
    <x v="15"/>
    <m/>
    <x v="1"/>
    <s v="Centralized"/>
    <s v="Out"/>
    <m/>
    <m/>
    <m/>
    <m/>
    <m/>
    <m/>
    <s v="p"/>
    <d v="2021-01-01T00:00:00"/>
    <d v="2021-01-01T00:00:00"/>
    <n v="280714.28999999998"/>
    <m/>
    <m/>
    <m/>
    <m/>
    <m/>
    <m/>
    <m/>
    <m/>
    <s v="06. Item 06"/>
    <n v="1"/>
    <x v="1"/>
    <x v="2"/>
    <n v="2021"/>
    <n v="2021"/>
    <b v="1"/>
  </r>
  <r>
    <x v="12"/>
    <m/>
    <x v="1"/>
    <s v="Centralized"/>
    <s v="Out"/>
    <m/>
    <m/>
    <m/>
    <m/>
    <m/>
    <m/>
    <s v="p"/>
    <d v="2021-01-01T00:00:00"/>
    <d v="2021-01-01T00:00:00"/>
    <n v="1983809.52"/>
    <m/>
    <m/>
    <m/>
    <m/>
    <m/>
    <m/>
    <m/>
    <m/>
    <s v="13. Item 13"/>
    <n v="1"/>
    <x v="1"/>
    <x v="2"/>
    <n v="2021"/>
    <n v="2021"/>
    <b v="1"/>
  </r>
  <r>
    <x v="12"/>
    <m/>
    <x v="1"/>
    <s v="Centralized"/>
    <s v="Out"/>
    <s v="X"/>
    <m/>
    <m/>
    <m/>
    <m/>
    <m/>
    <s v="p"/>
    <d v="2021-01-01T00:00:00"/>
    <d v="2021-01-01T00:00:00"/>
    <n v="137568.88"/>
    <m/>
    <m/>
    <m/>
    <m/>
    <m/>
    <m/>
    <m/>
    <m/>
    <s v="13. Item 13"/>
    <n v="1"/>
    <x v="1"/>
    <x v="2"/>
    <n v="2021"/>
    <n v="2020"/>
    <b v="1"/>
  </r>
  <r>
    <x v="13"/>
    <m/>
    <x v="1"/>
    <s v="Centralized"/>
    <s v="Out"/>
    <m/>
    <m/>
    <m/>
    <m/>
    <m/>
    <m/>
    <s v="p"/>
    <d v="2021-01-01T00:00:00"/>
    <d v="2021-01-01T00:00:00"/>
    <n v="488502.54"/>
    <m/>
    <m/>
    <m/>
    <m/>
    <m/>
    <m/>
    <m/>
    <m/>
    <s v="13. Item 13"/>
    <n v="1"/>
    <x v="1"/>
    <x v="2"/>
    <n v="2021"/>
    <n v="2021"/>
    <b v="1"/>
  </r>
  <r>
    <x v="13"/>
    <m/>
    <x v="1"/>
    <s v="Centralized"/>
    <s v="Out"/>
    <m/>
    <m/>
    <m/>
    <m/>
    <m/>
    <m/>
    <s v="p"/>
    <d v="2021-01-01T00:00:00"/>
    <d v="2021-01-01T00:00:00"/>
    <n v="1113521.26"/>
    <m/>
    <m/>
    <m/>
    <m/>
    <m/>
    <m/>
    <m/>
    <m/>
    <s v="13. Item 13"/>
    <n v="1"/>
    <x v="1"/>
    <x v="2"/>
    <n v="2021"/>
    <n v="2021"/>
    <b v="1"/>
  </r>
  <r>
    <x v="11"/>
    <m/>
    <x v="1"/>
    <s v="Centralized"/>
    <s v="Out"/>
    <m/>
    <m/>
    <m/>
    <m/>
    <m/>
    <m/>
    <s v="p"/>
    <d v="2021-01-01T00:00:00"/>
    <d v="2021-01-01T00:00:00"/>
    <n v="8333.33"/>
    <m/>
    <m/>
    <m/>
    <m/>
    <m/>
    <m/>
    <m/>
    <m/>
    <s v="13. Item 13"/>
    <n v="1"/>
    <x v="1"/>
    <x v="2"/>
    <n v="2021"/>
    <n v="2021"/>
    <b v="1"/>
  </r>
  <r>
    <x v="11"/>
    <s v="10. Item 10"/>
    <x v="1"/>
    <s v="Centralized"/>
    <s v="Out"/>
    <m/>
    <m/>
    <m/>
    <m/>
    <m/>
    <m/>
    <s v="p"/>
    <d v="2021-01-01T00:00:00"/>
    <d v="2021-01-01T00:00:00"/>
    <n v="73809.52"/>
    <m/>
    <m/>
    <m/>
    <m/>
    <m/>
    <m/>
    <m/>
    <m/>
    <s v="10. Item 10"/>
    <n v="1"/>
    <x v="1"/>
    <x v="2"/>
    <n v="2021"/>
    <n v="2021"/>
    <b v="1"/>
  </r>
  <r>
    <x v="9"/>
    <m/>
    <x v="1"/>
    <s v="Centralized"/>
    <s v="Out"/>
    <m/>
    <m/>
    <m/>
    <m/>
    <m/>
    <m/>
    <s v="p"/>
    <d v="2021-01-01T00:00:00"/>
    <d v="2021-01-01T00:00:00"/>
    <n v="40238.1"/>
    <m/>
    <m/>
    <m/>
    <m/>
    <m/>
    <m/>
    <m/>
    <m/>
    <s v="09. Item 09"/>
    <n v="1"/>
    <x v="1"/>
    <x v="2"/>
    <n v="2021"/>
    <n v="2021"/>
    <b v="1"/>
  </r>
  <r>
    <x v="8"/>
    <m/>
    <x v="1"/>
    <s v="Centralized"/>
    <s v="Out"/>
    <m/>
    <m/>
    <m/>
    <m/>
    <m/>
    <m/>
    <s v="p"/>
    <d v="2021-01-01T00:00:00"/>
    <d v="2021-01-01T00:00:00"/>
    <n v="76190.48"/>
    <m/>
    <m/>
    <m/>
    <m/>
    <m/>
    <m/>
    <m/>
    <m/>
    <s v="09. Item 09"/>
    <n v="1"/>
    <x v="1"/>
    <x v="2"/>
    <n v="2021"/>
    <n v="2021"/>
    <b v="1"/>
  </r>
  <r>
    <x v="6"/>
    <s v="12. Item 12"/>
    <x v="1"/>
    <s v="Centralized"/>
    <s v="Out"/>
    <m/>
    <m/>
    <m/>
    <m/>
    <m/>
    <m/>
    <s v="p"/>
    <d v="2021-01-01T00:00:00"/>
    <d v="2021-01-01T00:00:00"/>
    <n v="29285.71"/>
    <m/>
    <m/>
    <m/>
    <m/>
    <m/>
    <m/>
    <m/>
    <m/>
    <s v="12. Item 12"/>
    <n v="1"/>
    <x v="1"/>
    <x v="2"/>
    <n v="2021"/>
    <n v="2021"/>
    <b v="1"/>
  </r>
  <r>
    <x v="5"/>
    <s v="13. Item 13"/>
    <x v="1"/>
    <s v="Centralized"/>
    <s v="Out"/>
    <s v="X"/>
    <m/>
    <m/>
    <m/>
    <m/>
    <m/>
    <s v="p"/>
    <d v="2021-01-01T00:00:00"/>
    <d v="2021-01-01T00:00:00"/>
    <n v="1292252.3700000001"/>
    <m/>
    <m/>
    <m/>
    <m/>
    <m/>
    <m/>
    <m/>
    <m/>
    <s v="13. Item 13"/>
    <n v="1"/>
    <x v="1"/>
    <x v="2"/>
    <n v="2021"/>
    <n v="2020"/>
    <b v="1"/>
  </r>
  <r>
    <x v="2"/>
    <s v="13. Item 13"/>
    <x v="1"/>
    <s v="Centralized"/>
    <s v="Out"/>
    <m/>
    <m/>
    <m/>
    <m/>
    <m/>
    <m/>
    <s v="p"/>
    <d v="2021-01-01T00:00:00"/>
    <d v="2021-01-01T00:00:00"/>
    <n v="1448523.81"/>
    <m/>
    <m/>
    <m/>
    <m/>
    <m/>
    <m/>
    <m/>
    <m/>
    <s v="13. Item 13"/>
    <n v="1"/>
    <x v="1"/>
    <x v="2"/>
    <n v="2021"/>
    <n v="2021"/>
    <b v="1"/>
  </r>
  <r>
    <x v="0"/>
    <m/>
    <x v="1"/>
    <s v="Centralized"/>
    <s v="Out"/>
    <s v="X"/>
    <m/>
    <m/>
    <m/>
    <m/>
    <m/>
    <s v="p"/>
    <d v="2021-01-01T00:00:00"/>
    <d v="2021-01-01T00:00:00"/>
    <n v="552751.56999999995"/>
    <m/>
    <m/>
    <m/>
    <m/>
    <m/>
    <m/>
    <m/>
    <m/>
    <s v="01. Item 01"/>
    <n v="1"/>
    <x v="1"/>
    <x v="2"/>
    <n v="2021"/>
    <n v="2020"/>
    <b v="1"/>
  </r>
  <r>
    <x v="1"/>
    <m/>
    <x v="1"/>
    <s v="Centralized"/>
    <s v="Out"/>
    <m/>
    <m/>
    <m/>
    <m/>
    <m/>
    <m/>
    <s v="p"/>
    <d v="2021-01-01T00:00:00"/>
    <d v="2021-01-01T00:00:00"/>
    <n v="2954761.9"/>
    <m/>
    <m/>
    <m/>
    <m/>
    <m/>
    <m/>
    <m/>
    <m/>
    <s v="02. Item 02"/>
    <n v="1"/>
    <x v="1"/>
    <x v="2"/>
    <n v="2021"/>
    <n v="2021"/>
    <b v="1"/>
  </r>
  <r>
    <x v="3"/>
    <m/>
    <x v="1"/>
    <s v="Centralized"/>
    <s v="Out"/>
    <m/>
    <m/>
    <m/>
    <m/>
    <m/>
    <m/>
    <s v="p"/>
    <d v="2021-01-01T00:00:00"/>
    <d v="2021-01-01T00:00:00"/>
    <n v="9060.7999999999993"/>
    <m/>
    <m/>
    <m/>
    <m/>
    <m/>
    <m/>
    <m/>
    <m/>
    <s v="04. Item 04"/>
    <n v="1"/>
    <x v="1"/>
    <x v="2"/>
    <n v="2021"/>
    <n v="2021"/>
    <b v="1"/>
  </r>
  <r>
    <x v="4"/>
    <m/>
    <x v="1"/>
    <s v="Centralized"/>
    <s v="Out"/>
    <m/>
    <m/>
    <m/>
    <m/>
    <n v="3"/>
    <s v="COMPLETE"/>
    <s v="f"/>
    <d v="2021-01-15T00:00:00"/>
    <d v="2021-01-29T00:00:00"/>
    <m/>
    <n v="5280313.53"/>
    <m/>
    <m/>
    <m/>
    <m/>
    <m/>
    <m/>
    <m/>
    <s v="05. Item 05"/>
    <n v="1"/>
    <x v="1"/>
    <x v="2"/>
    <n v="2021"/>
    <n v="2021"/>
    <b v="1"/>
  </r>
  <r>
    <x v="7"/>
    <m/>
    <x v="1"/>
    <s v="Centralized"/>
    <s v="Out"/>
    <m/>
    <m/>
    <m/>
    <m/>
    <n v="3"/>
    <s v="COMPLETE"/>
    <s v="f"/>
    <d v="2021-01-15T00:00:00"/>
    <d v="2021-01-29T00:00:00"/>
    <m/>
    <n v="8862857.1400000006"/>
    <m/>
    <m/>
    <m/>
    <m/>
    <m/>
    <m/>
    <m/>
    <s v="08. Item 08"/>
    <n v="1"/>
    <x v="1"/>
    <x v="2"/>
    <n v="2021"/>
    <n v="2021"/>
    <b v="1"/>
  </r>
  <r>
    <x v="10"/>
    <m/>
    <x v="1"/>
    <s v="Centralized"/>
    <s v="Out"/>
    <s v="X"/>
    <m/>
    <m/>
    <m/>
    <n v="3"/>
    <s v="COMPLETE"/>
    <s v="f"/>
    <d v="2021-01-15T00:00:00"/>
    <d v="2021-01-29T00:00:00"/>
    <m/>
    <n v="1781996.15"/>
    <m/>
    <m/>
    <m/>
    <m/>
    <m/>
    <m/>
    <m/>
    <s v="11. Item 11"/>
    <n v="1"/>
    <x v="1"/>
    <x v="2"/>
    <n v="2021"/>
    <n v="2020"/>
    <b v="1"/>
  </r>
  <r>
    <x v="12"/>
    <m/>
    <x v="1"/>
    <s v="Centralized"/>
    <s v="Out"/>
    <m/>
    <m/>
    <m/>
    <m/>
    <n v="3"/>
    <s v="COMPLETE"/>
    <s v="f"/>
    <d v="2021-01-25T00:00:00"/>
    <d v="2021-01-25T00:00:00"/>
    <m/>
    <n v="1380952.38"/>
    <m/>
    <m/>
    <m/>
    <m/>
    <m/>
    <m/>
    <m/>
    <s v="13. Item 13"/>
    <n v="1"/>
    <x v="1"/>
    <x v="2"/>
    <n v="2021"/>
    <n v="2021"/>
    <b v="1"/>
  </r>
  <r>
    <x v="12"/>
    <m/>
    <x v="1"/>
    <s v="Centralized"/>
    <s v="Out"/>
    <m/>
    <m/>
    <m/>
    <m/>
    <n v="3"/>
    <s v="COMPLETE"/>
    <s v="f"/>
    <d v="2021-01-15T00:00:00"/>
    <d v="2021-01-26T00:00:00"/>
    <m/>
    <n v="129422.93"/>
    <m/>
    <m/>
    <m/>
    <m/>
    <m/>
    <m/>
    <m/>
    <s v="13. Item 13"/>
    <n v="1"/>
    <x v="1"/>
    <x v="2"/>
    <n v="2021"/>
    <n v="2021"/>
    <b v="1"/>
  </r>
  <r>
    <x v="13"/>
    <m/>
    <x v="1"/>
    <s v="Centralized"/>
    <s v="Out"/>
    <s v="X"/>
    <m/>
    <m/>
    <m/>
    <n v="3"/>
    <s v="COMPLETE"/>
    <s v="f"/>
    <d v="2021-01-15T00:00:00"/>
    <d v="2021-01-26T00:00:00"/>
    <m/>
    <n v="73360.89"/>
    <m/>
    <m/>
    <m/>
    <m/>
    <m/>
    <m/>
    <m/>
    <s v="13. Item 13"/>
    <n v="1"/>
    <x v="1"/>
    <x v="2"/>
    <n v="2021"/>
    <n v="2020"/>
    <b v="1"/>
  </r>
  <r>
    <x v="13"/>
    <m/>
    <x v="1"/>
    <s v="Centralized"/>
    <s v="Out"/>
    <m/>
    <m/>
    <m/>
    <s v="X"/>
    <n v="3"/>
    <s v="COMPLETE"/>
    <s v="f"/>
    <d v="2021-01-15T00:00:00"/>
    <d v="2021-01-26T00:00:00"/>
    <m/>
    <n v="8160.05"/>
    <m/>
    <m/>
    <m/>
    <m/>
    <m/>
    <m/>
    <m/>
    <s v="13. Item 13"/>
    <n v="1"/>
    <x v="1"/>
    <x v="2"/>
    <n v="2021"/>
    <n v="2021"/>
    <b v="1"/>
  </r>
  <r>
    <x v="11"/>
    <m/>
    <x v="1"/>
    <s v="Centralized"/>
    <s v="Out"/>
    <m/>
    <m/>
    <m/>
    <m/>
    <n v="4"/>
    <s v="COMPLETE"/>
    <s v="f"/>
    <d v="2021-01-21T00:00:00"/>
    <d v="2021-01-21T00:00:00"/>
    <m/>
    <n v="3054400.15"/>
    <m/>
    <m/>
    <m/>
    <m/>
    <m/>
    <m/>
    <m/>
    <s v="13. Item 13"/>
    <n v="1"/>
    <x v="1"/>
    <x v="2"/>
    <n v="2021"/>
    <n v="2021"/>
    <b v="1"/>
  </r>
  <r>
    <x v="11"/>
    <m/>
    <x v="1"/>
    <s v="Centralized"/>
    <s v="Out"/>
    <m/>
    <m/>
    <m/>
    <m/>
    <n v="4"/>
    <s v="COMPLETE"/>
    <s v="f"/>
    <d v="2021-01-22T00:00:00"/>
    <d v="2021-01-22T00:00:00"/>
    <m/>
    <n v="75517.59"/>
    <m/>
    <m/>
    <m/>
    <m/>
    <m/>
    <m/>
    <m/>
    <s v="13. Item 13"/>
    <n v="1"/>
    <x v="1"/>
    <x v="2"/>
    <n v="2021"/>
    <n v="2021"/>
    <b v="1"/>
  </r>
  <r>
    <x v="15"/>
    <m/>
    <x v="1"/>
    <s v="Centralized"/>
    <s v="Out"/>
    <m/>
    <m/>
    <m/>
    <m/>
    <n v="4"/>
    <s v="COMPLETE"/>
    <s v="f"/>
    <d v="2021-01-21T00:00:00"/>
    <d v="2021-01-21T00:00:00"/>
    <m/>
    <n v="36021.94"/>
    <m/>
    <m/>
    <m/>
    <m/>
    <m/>
    <m/>
    <m/>
    <s v="06. Item 06"/>
    <n v="1"/>
    <x v="1"/>
    <x v="2"/>
    <n v="2021"/>
    <n v="2021"/>
    <b v="1"/>
  </r>
  <r>
    <x v="14"/>
    <m/>
    <x v="1"/>
    <s v="Centralized"/>
    <s v="Out"/>
    <m/>
    <m/>
    <m/>
    <m/>
    <n v="3"/>
    <s v="COMPLETE"/>
    <s v="f"/>
    <d v="2021-01-15T00:00:00"/>
    <d v="2021-02-02T00:00:00"/>
    <m/>
    <n v="989011.8"/>
    <m/>
    <m/>
    <m/>
    <m/>
    <m/>
    <m/>
    <m/>
    <s v="19. Item 19"/>
    <n v="1"/>
    <x v="6"/>
    <x v="2"/>
    <n v="2021"/>
    <n v="2021"/>
    <b v="1"/>
  </r>
  <r>
    <x v="0"/>
    <m/>
    <x v="1"/>
    <s v="Centralized"/>
    <s v="Out"/>
    <m/>
    <m/>
    <m/>
    <m/>
    <n v="3"/>
    <s v="COMPLETE"/>
    <s v="f"/>
    <d v="2021-01-15T00:00:00"/>
    <d v="2021-01-28T00:00:00"/>
    <m/>
    <n v="861816.49"/>
    <m/>
    <m/>
    <m/>
    <m/>
    <m/>
    <m/>
    <m/>
    <s v="01. Item 01"/>
    <n v="1"/>
    <x v="1"/>
    <x v="2"/>
    <n v="2021"/>
    <n v="2021"/>
    <b v="1"/>
  </r>
  <r>
    <x v="0"/>
    <m/>
    <x v="1"/>
    <s v="Centralized"/>
    <s v="Out"/>
    <m/>
    <m/>
    <m/>
    <m/>
    <n v="3"/>
    <s v="COMPLETE"/>
    <s v="f"/>
    <d v="2021-01-15T00:00:00"/>
    <d v="2021-02-02T00:00:00"/>
    <m/>
    <n v="53635.79"/>
    <m/>
    <m/>
    <m/>
    <m/>
    <m/>
    <m/>
    <m/>
    <s v="01. Item 01"/>
    <n v="1"/>
    <x v="6"/>
    <x v="2"/>
    <n v="2021"/>
    <n v="2021"/>
    <b v="1"/>
  </r>
  <r>
    <x v="1"/>
    <m/>
    <x v="1"/>
    <s v="Centralized"/>
    <s v="In"/>
    <m/>
    <m/>
    <m/>
    <m/>
    <m/>
    <s v="COMPLETE"/>
    <s v="f"/>
    <d v="2021-01-20T00:00:00"/>
    <d v="2021-01-20T00:00:00"/>
    <m/>
    <n v="192.83"/>
    <m/>
    <m/>
    <m/>
    <m/>
    <m/>
    <m/>
    <m/>
    <s v="02. Item 02"/>
    <n v="1"/>
    <x v="1"/>
    <x v="2"/>
    <n v="2021"/>
    <n v="2021"/>
    <b v="1"/>
  </r>
  <r>
    <x v="4"/>
    <m/>
    <x v="1"/>
    <s v="Centralized"/>
    <s v="Out"/>
    <m/>
    <m/>
    <m/>
    <m/>
    <n v="3"/>
    <s v="COMPLETE"/>
    <s v="f"/>
    <d v="2021-01-15T00:00:00"/>
    <d v="2021-01-27T00:00:00"/>
    <m/>
    <n v="83279.91"/>
    <m/>
    <m/>
    <m/>
    <m/>
    <m/>
    <m/>
    <m/>
    <s v="05. Item 05"/>
    <n v="1"/>
    <x v="1"/>
    <x v="2"/>
    <n v="2021"/>
    <n v="2021"/>
    <b v="1"/>
  </r>
  <r>
    <x v="4"/>
    <m/>
    <x v="1"/>
    <s v="Centralized"/>
    <s v="Out"/>
    <s v="X"/>
    <m/>
    <m/>
    <m/>
    <n v="3"/>
    <s v="COMPLETE"/>
    <s v="f"/>
    <d v="2021-01-15T00:00:00"/>
    <d v="2021-01-27T00:00:00"/>
    <m/>
    <n v="64207.99"/>
    <m/>
    <m/>
    <m/>
    <m/>
    <m/>
    <m/>
    <m/>
    <s v="05. Item 05"/>
    <n v="1"/>
    <x v="1"/>
    <x v="2"/>
    <n v="2021"/>
    <n v="2020"/>
    <b v="1"/>
  </r>
  <r>
    <x v="5"/>
    <m/>
    <x v="1"/>
    <s v="Centralized"/>
    <s v="Out"/>
    <m/>
    <m/>
    <m/>
    <m/>
    <n v="3"/>
    <s v="COMPLETE"/>
    <s v="f"/>
    <d v="2021-01-15T00:00:00"/>
    <d v="2021-02-04T00:00:00"/>
    <m/>
    <n v="19326.41"/>
    <m/>
    <m/>
    <m/>
    <m/>
    <m/>
    <m/>
    <m/>
    <s v="05. Item 05"/>
    <n v="1"/>
    <x v="6"/>
    <x v="2"/>
    <n v="2021"/>
    <n v="2021"/>
    <b v="1"/>
  </r>
  <r>
    <x v="15"/>
    <m/>
    <x v="1"/>
    <s v="Centralized"/>
    <s v="Out"/>
    <m/>
    <m/>
    <m/>
    <m/>
    <n v="3"/>
    <s v="COMPLETE"/>
    <s v="f"/>
    <d v="2021-01-15T00:00:00"/>
    <d v="2021-01-28T00:00:00"/>
    <m/>
    <n v="278767.86"/>
    <m/>
    <m/>
    <m/>
    <m/>
    <m/>
    <m/>
    <m/>
    <s v="06. Item 06"/>
    <n v="1"/>
    <x v="1"/>
    <x v="2"/>
    <n v="2021"/>
    <n v="2021"/>
    <b v="1"/>
  </r>
  <r>
    <x v="6"/>
    <m/>
    <x v="1"/>
    <s v="Centralized"/>
    <s v="Out"/>
    <m/>
    <m/>
    <m/>
    <m/>
    <n v="4"/>
    <s v="COMPLETE"/>
    <s v="f"/>
    <d v="2021-01-20T00:00:00"/>
    <d v="2021-01-28T00:00:00"/>
    <m/>
    <n v="9060.7999999999993"/>
    <m/>
    <m/>
    <m/>
    <m/>
    <m/>
    <m/>
    <m/>
    <s v="07. Item 07"/>
    <n v="1"/>
    <x v="1"/>
    <x v="2"/>
    <n v="2021"/>
    <n v="2021"/>
    <b v="1"/>
  </r>
  <r>
    <x v="6"/>
    <m/>
    <x v="1"/>
    <s v="Centralized"/>
    <s v="Out"/>
    <m/>
    <m/>
    <m/>
    <m/>
    <n v="3"/>
    <s v="COMPLETE"/>
    <s v="f"/>
    <d v="2021-01-20T00:00:00"/>
    <d v="2021-01-29T00:00:00"/>
    <m/>
    <n v="2994.05"/>
    <m/>
    <m/>
    <m/>
    <m/>
    <m/>
    <m/>
    <m/>
    <s v="07. Item 07"/>
    <n v="1"/>
    <x v="1"/>
    <x v="2"/>
    <n v="2021"/>
    <n v="2021"/>
    <b v="1"/>
  </r>
  <r>
    <x v="7"/>
    <m/>
    <x v="1"/>
    <s v="Centralized"/>
    <s v="Out"/>
    <m/>
    <m/>
    <m/>
    <m/>
    <n v="3"/>
    <s v="COMPLETE"/>
    <s v="f"/>
    <d v="2021-01-20T00:00:00"/>
    <d v="2021-01-29T00:00:00"/>
    <m/>
    <n v="16586.03"/>
    <m/>
    <m/>
    <m/>
    <m/>
    <m/>
    <m/>
    <m/>
    <s v="08. Item 08"/>
    <n v="1"/>
    <x v="1"/>
    <x v="2"/>
    <n v="2021"/>
    <n v="2021"/>
    <b v="1"/>
  </r>
  <r>
    <x v="21"/>
    <m/>
    <x v="1"/>
    <s v="Centralized"/>
    <s v="Out"/>
    <s v="X"/>
    <m/>
    <m/>
    <m/>
    <n v="3"/>
    <s v="COMPLETE"/>
    <s v="f"/>
    <d v="2021-01-15T00:00:00"/>
    <d v="2021-01-29T00:00:00"/>
    <m/>
    <n v="69391.97"/>
    <m/>
    <m/>
    <m/>
    <m/>
    <m/>
    <m/>
    <m/>
    <s v="09. Item 09"/>
    <n v="1"/>
    <x v="1"/>
    <x v="2"/>
    <n v="2021"/>
    <n v="2020"/>
    <b v="1"/>
  </r>
  <r>
    <x v="9"/>
    <m/>
    <x v="1"/>
    <s v="Centralized"/>
    <s v="Out"/>
    <s v="X"/>
    <m/>
    <m/>
    <m/>
    <n v="3"/>
    <s v="COMPLETE"/>
    <s v="f"/>
    <d v="2021-01-15T00:00:00"/>
    <d v="2021-01-29T00:00:00"/>
    <m/>
    <n v="580080.17000000004"/>
    <m/>
    <m/>
    <m/>
    <m/>
    <m/>
    <m/>
    <m/>
    <s v="09. Item 09"/>
    <n v="1"/>
    <x v="1"/>
    <x v="2"/>
    <n v="2021"/>
    <n v="2020"/>
    <b v="1"/>
  </r>
  <r>
    <x v="9"/>
    <m/>
    <x v="1"/>
    <s v="Centralized"/>
    <s v="Out"/>
    <m/>
    <m/>
    <m/>
    <m/>
    <n v="3"/>
    <s v="COMPLETE"/>
    <s v="f"/>
    <d v="2021-01-15T00:00:00"/>
    <d v="2021-01-29T00:00:00"/>
    <m/>
    <n v="2316583.21"/>
    <m/>
    <m/>
    <m/>
    <m/>
    <m/>
    <m/>
    <m/>
    <s v="09. Item 09"/>
    <n v="1"/>
    <x v="1"/>
    <x v="2"/>
    <n v="2021"/>
    <n v="2021"/>
    <b v="1"/>
  </r>
  <r>
    <x v="8"/>
    <m/>
    <x v="1"/>
    <s v="Centralized"/>
    <s v="Out"/>
    <s v="X"/>
    <m/>
    <m/>
    <m/>
    <n v="3"/>
    <s v="COMPLETE"/>
    <s v="f"/>
    <d v="2021-01-15T00:00:00"/>
    <d v="2021-01-29T00:00:00"/>
    <m/>
    <n v="2580205.63"/>
    <m/>
    <m/>
    <m/>
    <m/>
    <m/>
    <m/>
    <m/>
    <s v="09. Item 09"/>
    <n v="1"/>
    <x v="1"/>
    <x v="2"/>
    <n v="2021"/>
    <n v="2020"/>
    <b v="1"/>
  </r>
  <r>
    <x v="17"/>
    <m/>
    <x v="1"/>
    <s v="Centralized"/>
    <s v="Out"/>
    <m/>
    <m/>
    <m/>
    <m/>
    <n v="3"/>
    <s v="COMPLETE"/>
    <s v="f"/>
    <d v="2021-01-15T00:00:00"/>
    <d v="2021-02-04T00:00:00"/>
    <m/>
    <n v="86672.4"/>
    <m/>
    <m/>
    <m/>
    <m/>
    <m/>
    <m/>
    <m/>
    <s v="09. Item 09"/>
    <n v="1"/>
    <x v="6"/>
    <x v="2"/>
    <n v="2021"/>
    <n v="2021"/>
    <b v="1"/>
  </r>
  <r>
    <x v="10"/>
    <m/>
    <x v="2"/>
    <s v="Centralized"/>
    <s v="Out"/>
    <m/>
    <m/>
    <m/>
    <m/>
    <m/>
    <m/>
    <s v="f"/>
    <d v="2021-01-01T00:00:00"/>
    <d v="2021-01-01T00:00:00"/>
    <m/>
    <n v="7710324.4199999999"/>
    <m/>
    <m/>
    <m/>
    <m/>
    <m/>
    <m/>
    <m/>
    <s v="11. Item 11"/>
    <n v="1"/>
    <x v="1"/>
    <x v="2"/>
    <n v="2021"/>
    <n v="2021"/>
    <b v="1"/>
  </r>
  <r>
    <x v="23"/>
    <m/>
    <x v="2"/>
    <s v="Centralized"/>
    <s v="Out"/>
    <m/>
    <m/>
    <m/>
    <m/>
    <m/>
    <m/>
    <s v="f"/>
    <d v="2021-01-01T00:00:00"/>
    <d v="2021-01-01T00:00:00"/>
    <m/>
    <n v="6685422.1399999997"/>
    <m/>
    <m/>
    <m/>
    <m/>
    <m/>
    <m/>
    <m/>
    <s v="21. Item 21"/>
    <n v="1"/>
    <x v="1"/>
    <x v="2"/>
    <n v="2021"/>
    <n v="2021"/>
    <b v="1"/>
  </r>
  <r>
    <x v="20"/>
    <m/>
    <x v="2"/>
    <s v="Centralized"/>
    <s v="Out"/>
    <m/>
    <m/>
    <m/>
    <m/>
    <m/>
    <m/>
    <s v="f"/>
    <d v="2021-01-01T00:00:00"/>
    <d v="2021-01-01T00:00:00"/>
    <m/>
    <n v="1352834.33"/>
    <m/>
    <m/>
    <m/>
    <m/>
    <m/>
    <m/>
    <m/>
    <s v="14. Item 14"/>
    <n v="1"/>
    <x v="1"/>
    <x v="2"/>
    <n v="2021"/>
    <n v="2021"/>
    <b v="1"/>
  </r>
  <r>
    <x v="20"/>
    <m/>
    <x v="2"/>
    <s v="Centralized"/>
    <s v="Out"/>
    <m/>
    <m/>
    <m/>
    <m/>
    <m/>
    <m/>
    <s v="f"/>
    <d v="2021-01-01T00:00:00"/>
    <d v="2021-01-01T00:00:00"/>
    <m/>
    <n v="1870637.85"/>
    <m/>
    <m/>
    <m/>
    <m/>
    <m/>
    <m/>
    <m/>
    <s v="14. Item 14"/>
    <n v="1"/>
    <x v="1"/>
    <x v="2"/>
    <n v="2021"/>
    <n v="2021"/>
    <b v="1"/>
  </r>
  <r>
    <x v="8"/>
    <m/>
    <x v="2"/>
    <s v="Centralized"/>
    <s v="Out"/>
    <m/>
    <m/>
    <m/>
    <m/>
    <m/>
    <m/>
    <s v="f"/>
    <d v="2021-01-01T00:00:00"/>
    <d v="2021-01-01T00:00:00"/>
    <m/>
    <n v="636296.01"/>
    <m/>
    <m/>
    <m/>
    <m/>
    <m/>
    <m/>
    <m/>
    <s v="09. Item 09"/>
    <n v="1"/>
    <x v="1"/>
    <x v="2"/>
    <n v="2021"/>
    <n v="2021"/>
    <b v="1"/>
  </r>
  <r>
    <x v="14"/>
    <m/>
    <x v="2"/>
    <s v="Centralized"/>
    <s v="Out"/>
    <m/>
    <m/>
    <m/>
    <m/>
    <m/>
    <m/>
    <s v="f"/>
    <d v="2021-01-01T00:00:00"/>
    <d v="2021-01-01T00:00:00"/>
    <m/>
    <n v="1048906.43"/>
    <m/>
    <m/>
    <m/>
    <m/>
    <m/>
    <m/>
    <m/>
    <s v="19. Item 19"/>
    <n v="1"/>
    <x v="1"/>
    <x v="2"/>
    <n v="2021"/>
    <n v="2021"/>
    <b v="1"/>
  </r>
  <r>
    <x v="4"/>
    <m/>
    <x v="2"/>
    <s v="Centralized"/>
    <s v="Out"/>
    <m/>
    <m/>
    <m/>
    <m/>
    <m/>
    <m/>
    <s v="f"/>
    <d v="2021-01-01T00:00:00"/>
    <d v="2021-01-01T00:00:00"/>
    <m/>
    <n v="13475.36"/>
    <m/>
    <m/>
    <m/>
    <m/>
    <m/>
    <m/>
    <m/>
    <s v="05. Item 05"/>
    <n v="1"/>
    <x v="1"/>
    <x v="2"/>
    <n v="2021"/>
    <n v="2021"/>
    <b v="1"/>
  </r>
  <r>
    <x v="6"/>
    <m/>
    <x v="2"/>
    <s v="Centralized"/>
    <s v="Out"/>
    <m/>
    <m/>
    <m/>
    <m/>
    <m/>
    <m/>
    <s v="f"/>
    <d v="2021-01-01T00:00:00"/>
    <d v="2021-01-01T00:00:00"/>
    <m/>
    <n v="60159.16"/>
    <m/>
    <m/>
    <m/>
    <m/>
    <m/>
    <m/>
    <m/>
    <s v="07. Item 07"/>
    <n v="1"/>
    <x v="1"/>
    <x v="2"/>
    <n v="2021"/>
    <n v="2021"/>
    <b v="1"/>
  </r>
  <r>
    <x v="6"/>
    <m/>
    <x v="2"/>
    <s v="Centralized"/>
    <s v="Out"/>
    <m/>
    <m/>
    <m/>
    <m/>
    <m/>
    <m/>
    <s v="f"/>
    <d v="2021-01-01T00:00:00"/>
    <d v="2021-01-01T00:00:00"/>
    <m/>
    <n v="33889.230000000003"/>
    <m/>
    <m/>
    <m/>
    <m/>
    <m/>
    <m/>
    <m/>
    <s v="07. Item 07"/>
    <n v="1"/>
    <x v="1"/>
    <x v="2"/>
    <n v="2021"/>
    <n v="2021"/>
    <b v="1"/>
  </r>
  <r>
    <x v="24"/>
    <m/>
    <x v="2"/>
    <s v="Centralized"/>
    <s v="Out"/>
    <m/>
    <m/>
    <m/>
    <m/>
    <m/>
    <m/>
    <s v="f"/>
    <d v="2021-01-01T00:00:00"/>
    <d v="2021-01-01T00:00:00"/>
    <m/>
    <n v="133604.17000000001"/>
    <m/>
    <m/>
    <m/>
    <m/>
    <m/>
    <m/>
    <m/>
    <s v="03. Item 03"/>
    <n v="1"/>
    <x v="1"/>
    <x v="2"/>
    <n v="2021"/>
    <n v="2021"/>
    <b v="1"/>
  </r>
  <r>
    <x v="25"/>
    <m/>
    <x v="2"/>
    <s v="Centralized"/>
    <s v="Out"/>
    <m/>
    <m/>
    <m/>
    <m/>
    <m/>
    <m/>
    <s v="f"/>
    <d v="2021-01-01T00:00:00"/>
    <d v="2021-01-01T00:00:00"/>
    <m/>
    <n v="1778529.94"/>
    <m/>
    <m/>
    <m/>
    <m/>
    <m/>
    <m/>
    <m/>
    <s v="03. Item 03"/>
    <n v="1"/>
    <x v="1"/>
    <x v="2"/>
    <n v="2021"/>
    <n v="2021"/>
    <b v="1"/>
  </r>
  <r>
    <x v="9"/>
    <m/>
    <x v="2"/>
    <s v="Centralized"/>
    <s v="Out"/>
    <m/>
    <m/>
    <m/>
    <m/>
    <m/>
    <m/>
    <s v="f"/>
    <d v="2021-01-01T00:00:00"/>
    <d v="2021-01-01T00:00:00"/>
    <m/>
    <n v="441560.19"/>
    <m/>
    <m/>
    <m/>
    <m/>
    <m/>
    <m/>
    <m/>
    <s v="09. Item 09"/>
    <n v="1"/>
    <x v="1"/>
    <x v="2"/>
    <n v="2021"/>
    <n v="2021"/>
    <b v="1"/>
  </r>
  <r>
    <x v="9"/>
    <m/>
    <x v="2"/>
    <s v="Centralized"/>
    <s v="Out"/>
    <m/>
    <m/>
    <m/>
    <m/>
    <m/>
    <m/>
    <s v="f"/>
    <d v="2021-01-01T00:00:00"/>
    <d v="2021-01-01T00:00:00"/>
    <m/>
    <n v="143.57"/>
    <m/>
    <m/>
    <m/>
    <m/>
    <m/>
    <m/>
    <m/>
    <s v="09. Item 09"/>
    <n v="1"/>
    <x v="1"/>
    <x v="2"/>
    <n v="2021"/>
    <n v="2021"/>
    <b v="1"/>
  </r>
  <r>
    <x v="17"/>
    <m/>
    <x v="2"/>
    <s v="Centralized"/>
    <s v="Out"/>
    <m/>
    <m/>
    <m/>
    <m/>
    <m/>
    <m/>
    <s v="f"/>
    <d v="2021-01-01T00:00:00"/>
    <d v="2021-01-01T00:00:00"/>
    <m/>
    <n v="187442.86"/>
    <m/>
    <m/>
    <m/>
    <m/>
    <m/>
    <m/>
    <m/>
    <s v="09. Item 09"/>
    <n v="1"/>
    <x v="1"/>
    <x v="2"/>
    <n v="2021"/>
    <n v="2021"/>
    <b v="1"/>
  </r>
  <r>
    <x v="26"/>
    <m/>
    <x v="2"/>
    <s v="Centralized"/>
    <s v="Out"/>
    <m/>
    <m/>
    <m/>
    <m/>
    <m/>
    <m/>
    <s v="f"/>
    <d v="2021-01-01T00:00:00"/>
    <d v="2021-01-01T00:00:00"/>
    <m/>
    <n v="1165610.1200000001"/>
    <m/>
    <m/>
    <m/>
    <m/>
    <m/>
    <m/>
    <m/>
    <s v="16. Item 16"/>
    <n v="1"/>
    <x v="1"/>
    <x v="2"/>
    <n v="2021"/>
    <n v="2021"/>
    <b v="1"/>
  </r>
  <r>
    <x v="26"/>
    <m/>
    <x v="2"/>
    <s v="Centralized"/>
    <s v="Out"/>
    <m/>
    <m/>
    <m/>
    <m/>
    <m/>
    <m/>
    <s v="f"/>
    <d v="2021-01-01T00:00:00"/>
    <d v="2021-01-01T00:00:00"/>
    <m/>
    <n v="2687085.43"/>
    <m/>
    <m/>
    <m/>
    <m/>
    <m/>
    <m/>
    <m/>
    <s v="16. Item 16"/>
    <n v="1"/>
    <x v="1"/>
    <x v="2"/>
    <n v="2021"/>
    <n v="2021"/>
    <b v="1"/>
  </r>
  <r>
    <x v="26"/>
    <m/>
    <x v="2"/>
    <s v="Centralized"/>
    <s v="Out"/>
    <m/>
    <m/>
    <m/>
    <m/>
    <m/>
    <m/>
    <s v="f"/>
    <d v="2021-01-01T00:00:00"/>
    <d v="2021-01-01T00:00:00"/>
    <m/>
    <n v="3367728.23"/>
    <m/>
    <m/>
    <m/>
    <m/>
    <m/>
    <m/>
    <m/>
    <s v="16. Item 16"/>
    <n v="1"/>
    <x v="1"/>
    <x v="2"/>
    <n v="2021"/>
    <n v="2021"/>
    <b v="1"/>
  </r>
  <r>
    <x v="20"/>
    <m/>
    <x v="2"/>
    <s v="Centralized"/>
    <s v="Out"/>
    <m/>
    <m/>
    <m/>
    <m/>
    <m/>
    <m/>
    <s v="f"/>
    <d v="2021-01-01T00:00:00"/>
    <d v="2021-01-01T00:00:00"/>
    <m/>
    <n v="98248.08"/>
    <m/>
    <m/>
    <m/>
    <m/>
    <m/>
    <m/>
    <m/>
    <s v="14. Item 14"/>
    <n v="1"/>
    <x v="1"/>
    <x v="2"/>
    <n v="2021"/>
    <n v="2021"/>
    <b v="1"/>
  </r>
  <r>
    <x v="11"/>
    <m/>
    <x v="2"/>
    <s v="Centralized"/>
    <s v="Out"/>
    <m/>
    <m/>
    <m/>
    <m/>
    <m/>
    <m/>
    <s v="f"/>
    <d v="2021-01-01T00:00:00"/>
    <d v="2021-01-01T00:00:00"/>
    <m/>
    <n v="9060.7999999999993"/>
    <m/>
    <m/>
    <m/>
    <m/>
    <m/>
    <m/>
    <m/>
    <s v="13. Item 13"/>
    <n v="1"/>
    <x v="1"/>
    <x v="2"/>
    <n v="2021"/>
    <n v="2021"/>
    <b v="1"/>
  </r>
  <r>
    <x v="11"/>
    <m/>
    <x v="1"/>
    <s v="Centralized"/>
    <s v="Out"/>
    <m/>
    <m/>
    <m/>
    <s v="X"/>
    <n v="1"/>
    <s v="COMPLETE"/>
    <s v="f"/>
    <d v="2021-01-15T00:00:00"/>
    <d v="2021-01-26T00:00:00"/>
    <m/>
    <n v="3492857.14"/>
    <m/>
    <m/>
    <m/>
    <m/>
    <m/>
    <m/>
    <m/>
    <s v="13. Item 13"/>
    <n v="1"/>
    <x v="1"/>
    <x v="2"/>
    <n v="2021"/>
    <n v="2021"/>
    <b v="1"/>
  </r>
  <r>
    <x v="8"/>
    <m/>
    <x v="1"/>
    <s v="Centralized"/>
    <s v="Out"/>
    <m/>
    <m/>
    <m/>
    <m/>
    <n v="1"/>
    <s v="COMPLETE"/>
    <s v="f"/>
    <d v="2021-01-15T00:00:00"/>
    <d v="2021-01-26T00:00:00"/>
    <m/>
    <n v="4577.1400000000003"/>
    <m/>
    <m/>
    <m/>
    <m/>
    <m/>
    <m/>
    <m/>
    <s v="09. Item 09"/>
    <n v="1"/>
    <x v="1"/>
    <x v="2"/>
    <n v="2021"/>
    <n v="2021"/>
    <b v="1"/>
  </r>
  <r>
    <x v="21"/>
    <m/>
    <x v="1"/>
    <s v="Centralized"/>
    <s v="Out"/>
    <m/>
    <m/>
    <m/>
    <s v="X"/>
    <n v="1"/>
    <s v="COMPLETE"/>
    <s v="f"/>
    <d v="2021-01-15T00:00:00"/>
    <d v="2021-01-26T00:00:00"/>
    <m/>
    <n v="16677.400000000001"/>
    <m/>
    <m/>
    <m/>
    <m/>
    <m/>
    <m/>
    <m/>
    <s v="09. Item 09"/>
    <n v="1"/>
    <x v="1"/>
    <x v="2"/>
    <n v="2021"/>
    <n v="2021"/>
    <b v="1"/>
  </r>
  <r>
    <x v="21"/>
    <m/>
    <x v="1"/>
    <s v="Centralized"/>
    <s v="Out"/>
    <m/>
    <m/>
    <m/>
    <m/>
    <n v="1"/>
    <s v="COMPLETE"/>
    <s v="f"/>
    <d v="2021-01-15T00:00:00"/>
    <d v="2021-01-26T00:00:00"/>
    <m/>
    <n v="23560.16"/>
    <m/>
    <m/>
    <m/>
    <m/>
    <m/>
    <m/>
    <m/>
    <s v="09. Item 09"/>
    <n v="1"/>
    <x v="1"/>
    <x v="2"/>
    <n v="2021"/>
    <n v="2021"/>
    <b v="1"/>
  </r>
  <r>
    <x v="21"/>
    <m/>
    <x v="1"/>
    <s v="Centralized"/>
    <s v="Out"/>
    <m/>
    <m/>
    <m/>
    <s v="X"/>
    <n v="1"/>
    <s v="COMPLETE"/>
    <s v="f"/>
    <d v="2021-01-15T00:00:00"/>
    <d v="2021-01-26T00:00:00"/>
    <m/>
    <n v="75986.59"/>
    <m/>
    <m/>
    <m/>
    <m/>
    <m/>
    <m/>
    <m/>
    <s v="09. Item 09"/>
    <n v="1"/>
    <x v="1"/>
    <x v="2"/>
    <n v="2021"/>
    <n v="2021"/>
    <b v="1"/>
  </r>
  <r>
    <x v="21"/>
    <m/>
    <x v="1"/>
    <s v="Centralized"/>
    <s v="Out"/>
    <m/>
    <m/>
    <m/>
    <s v="X"/>
    <n v="1"/>
    <s v="COMPLETE"/>
    <s v="f"/>
    <d v="2021-01-15T00:00:00"/>
    <d v="2021-01-26T00:00:00"/>
    <m/>
    <n v="27486.63"/>
    <m/>
    <m/>
    <m/>
    <m/>
    <m/>
    <m/>
    <m/>
    <s v="09. Item 09"/>
    <n v="1"/>
    <x v="1"/>
    <x v="2"/>
    <n v="2021"/>
    <n v="2021"/>
    <b v="1"/>
  </r>
  <r>
    <x v="8"/>
    <m/>
    <x v="1"/>
    <s v="Centralized"/>
    <s v="Out"/>
    <m/>
    <m/>
    <m/>
    <s v="X"/>
    <n v="1"/>
    <s v="COMPLETE"/>
    <s v="f"/>
    <d v="2021-01-15T00:00:00"/>
    <d v="2021-01-26T00:00:00"/>
    <m/>
    <n v="37710.54"/>
    <m/>
    <m/>
    <m/>
    <m/>
    <m/>
    <m/>
    <m/>
    <s v="09. Item 09"/>
    <n v="1"/>
    <x v="1"/>
    <x v="2"/>
    <n v="2021"/>
    <n v="2021"/>
    <b v="1"/>
  </r>
  <r>
    <x v="16"/>
    <m/>
    <x v="1"/>
    <s v="Centralized"/>
    <s v="Out"/>
    <m/>
    <m/>
    <m/>
    <m/>
    <n v="1"/>
    <s v="COMPLETE"/>
    <s v="f"/>
    <d v="2021-01-15T00:00:00"/>
    <d v="2021-01-26T00:00:00"/>
    <m/>
    <n v="2571.4299999999998"/>
    <m/>
    <m/>
    <m/>
    <m/>
    <m/>
    <m/>
    <m/>
    <s v="_1. Item _1"/>
    <n v="1"/>
    <x v="1"/>
    <x v="2"/>
    <n v="2021"/>
    <n v="2021"/>
    <b v="1"/>
  </r>
  <r>
    <x v="8"/>
    <m/>
    <x v="1"/>
    <s v="Centralized"/>
    <s v="Out"/>
    <m/>
    <m/>
    <m/>
    <m/>
    <n v="1"/>
    <s v="COMPLETE"/>
    <s v="f"/>
    <d v="2021-01-15T00:00:00"/>
    <d v="2021-01-26T00:00:00"/>
    <m/>
    <n v="17365.52"/>
    <m/>
    <m/>
    <m/>
    <m/>
    <m/>
    <m/>
    <m/>
    <s v="09. Item 09"/>
    <n v="1"/>
    <x v="1"/>
    <x v="2"/>
    <n v="2021"/>
    <n v="2021"/>
    <b v="1"/>
  </r>
  <r>
    <x v="9"/>
    <m/>
    <x v="1"/>
    <s v="Centralized"/>
    <s v="Out"/>
    <m/>
    <m/>
    <m/>
    <s v="X"/>
    <n v="1"/>
    <s v="COMPLETE"/>
    <s v="f"/>
    <d v="2021-01-15T00:00:00"/>
    <d v="2021-01-26T00:00:00"/>
    <m/>
    <n v="115.48"/>
    <m/>
    <m/>
    <m/>
    <m/>
    <m/>
    <m/>
    <m/>
    <s v="09. Item 09"/>
    <n v="1"/>
    <x v="1"/>
    <x v="2"/>
    <n v="2021"/>
    <n v="2021"/>
    <b v="1"/>
  </r>
  <r>
    <x v="9"/>
    <m/>
    <x v="1"/>
    <s v="Centralized"/>
    <s v="Out"/>
    <m/>
    <m/>
    <m/>
    <m/>
    <n v="1"/>
    <s v="COMPLETE"/>
    <s v="f"/>
    <d v="2021-01-15T00:00:00"/>
    <d v="2021-01-26T00:00:00"/>
    <m/>
    <n v="23685.75"/>
    <m/>
    <m/>
    <m/>
    <m/>
    <m/>
    <m/>
    <m/>
    <s v="09. Item 09"/>
    <n v="1"/>
    <x v="1"/>
    <x v="2"/>
    <n v="2021"/>
    <n v="2021"/>
    <b v="1"/>
  </r>
  <r>
    <x v="21"/>
    <m/>
    <x v="1"/>
    <s v="Centralized"/>
    <s v="Out"/>
    <m/>
    <m/>
    <m/>
    <s v="X"/>
    <n v="1"/>
    <s v="COMPLETE"/>
    <s v="f"/>
    <d v="2021-01-15T00:00:00"/>
    <d v="2021-01-26T00:00:00"/>
    <m/>
    <n v="1728.6"/>
    <m/>
    <m/>
    <m/>
    <m/>
    <m/>
    <m/>
    <m/>
    <s v="09. Item 09"/>
    <n v="1"/>
    <x v="1"/>
    <x v="2"/>
    <n v="2021"/>
    <n v="2021"/>
    <b v="1"/>
  </r>
  <r>
    <x v="9"/>
    <m/>
    <x v="1"/>
    <s v="Centralized"/>
    <s v="Out"/>
    <m/>
    <m/>
    <m/>
    <m/>
    <n v="1"/>
    <s v="COMPLETE"/>
    <s v="f"/>
    <d v="2021-01-15T00:00:00"/>
    <d v="2021-01-27T00:00:00"/>
    <m/>
    <n v="28916.77"/>
    <m/>
    <m/>
    <m/>
    <m/>
    <m/>
    <m/>
    <m/>
    <s v="09. Item 09"/>
    <n v="1"/>
    <x v="1"/>
    <x v="2"/>
    <n v="2021"/>
    <n v="2021"/>
    <b v="1"/>
  </r>
  <r>
    <x v="14"/>
    <m/>
    <x v="1"/>
    <s v="Centralized"/>
    <s v="Out"/>
    <m/>
    <m/>
    <m/>
    <m/>
    <n v="1"/>
    <s v="COMPLETE"/>
    <s v="f"/>
    <d v="2021-01-15T00:00:00"/>
    <d v="2021-01-27T00:00:00"/>
    <m/>
    <n v="8898.2099999999991"/>
    <m/>
    <m/>
    <m/>
    <m/>
    <m/>
    <m/>
    <m/>
    <s v="19. Item 19"/>
    <n v="1"/>
    <x v="1"/>
    <x v="2"/>
    <n v="2021"/>
    <n v="2021"/>
    <b v="1"/>
  </r>
  <r>
    <x v="27"/>
    <m/>
    <x v="1"/>
    <s v="Centralized"/>
    <s v="Out"/>
    <m/>
    <m/>
    <m/>
    <m/>
    <n v="1"/>
    <s v="COMPLETE"/>
    <s v="f"/>
    <d v="2021-01-15T00:00:00"/>
    <d v="2021-01-27T00:00:00"/>
    <m/>
    <n v="36712.78"/>
    <m/>
    <m/>
    <m/>
    <m/>
    <m/>
    <m/>
    <m/>
    <s v="03. Item 03"/>
    <n v="1"/>
    <x v="1"/>
    <x v="2"/>
    <n v="2021"/>
    <n v="2021"/>
    <b v="1"/>
  </r>
  <r>
    <x v="28"/>
    <m/>
    <x v="1"/>
    <s v="Centralized"/>
    <s v="Out"/>
    <m/>
    <m/>
    <m/>
    <m/>
    <n v="1"/>
    <s v="COMPLETE"/>
    <s v="f"/>
    <d v="2021-01-15T00:00:00"/>
    <d v="2021-01-27T00:00:00"/>
    <m/>
    <n v="89847.62"/>
    <m/>
    <m/>
    <m/>
    <m/>
    <m/>
    <m/>
    <m/>
    <s v="03. Item 03"/>
    <n v="1"/>
    <x v="1"/>
    <x v="2"/>
    <n v="2021"/>
    <n v="2021"/>
    <b v="1"/>
  </r>
  <r>
    <x v="11"/>
    <m/>
    <x v="1"/>
    <s v="Centralized"/>
    <s v="Out"/>
    <m/>
    <m/>
    <m/>
    <m/>
    <n v="1"/>
    <s v="COMPLETE"/>
    <s v="f"/>
    <d v="2021-01-15T00:00:00"/>
    <d v="2021-01-27T00:00:00"/>
    <m/>
    <n v="25439.77"/>
    <m/>
    <m/>
    <m/>
    <m/>
    <m/>
    <m/>
    <m/>
    <s v="13. Item 13"/>
    <n v="1"/>
    <x v="1"/>
    <x v="2"/>
    <n v="2021"/>
    <n v="2021"/>
    <b v="1"/>
  </r>
  <r>
    <x v="29"/>
    <m/>
    <x v="1"/>
    <s v="Centralized"/>
    <s v="Out"/>
    <m/>
    <m/>
    <m/>
    <m/>
    <n v="1"/>
    <s v="COMPLETE"/>
    <s v="f"/>
    <d v="2021-01-15T00:00:00"/>
    <d v="2021-01-27T00:00:00"/>
    <m/>
    <n v="857.14"/>
    <m/>
    <m/>
    <m/>
    <m/>
    <m/>
    <m/>
    <m/>
    <s v="13. Item 13"/>
    <n v="1"/>
    <x v="1"/>
    <x v="2"/>
    <n v="2021"/>
    <n v="2021"/>
    <b v="1"/>
  </r>
  <r>
    <x v="22"/>
    <m/>
    <x v="1"/>
    <s v="Centralized"/>
    <s v="Out"/>
    <m/>
    <m/>
    <m/>
    <m/>
    <n v="1"/>
    <s v="COMPLETE"/>
    <s v="f"/>
    <d v="2021-01-15T00:00:00"/>
    <d v="2021-01-27T00:00:00"/>
    <m/>
    <n v="362284.51"/>
    <m/>
    <m/>
    <m/>
    <m/>
    <m/>
    <m/>
    <m/>
    <s v="04. Item 04"/>
    <n v="1"/>
    <x v="1"/>
    <x v="2"/>
    <n v="2021"/>
    <n v="2021"/>
    <b v="1"/>
  </r>
  <r>
    <x v="22"/>
    <m/>
    <x v="1"/>
    <s v="Centralized"/>
    <s v="Out"/>
    <m/>
    <m/>
    <m/>
    <m/>
    <n v="1"/>
    <s v="COMPLETE"/>
    <s v="f"/>
    <d v="2021-01-15T00:00:00"/>
    <d v="2021-01-27T00:00:00"/>
    <m/>
    <n v="19981.5"/>
    <m/>
    <m/>
    <m/>
    <m/>
    <m/>
    <m/>
    <m/>
    <s v="04. Item 04"/>
    <n v="1"/>
    <x v="1"/>
    <x v="2"/>
    <n v="2021"/>
    <n v="2021"/>
    <b v="1"/>
  </r>
  <r>
    <x v="22"/>
    <m/>
    <x v="1"/>
    <s v="Centralized"/>
    <s v="Out"/>
    <m/>
    <m/>
    <m/>
    <m/>
    <n v="1"/>
    <s v="COMPLETE"/>
    <s v="f"/>
    <d v="2021-01-15T00:00:00"/>
    <d v="2021-01-27T00:00:00"/>
    <m/>
    <n v="114859.46"/>
    <m/>
    <m/>
    <m/>
    <m/>
    <m/>
    <m/>
    <m/>
    <s v="04. Item 04"/>
    <n v="1"/>
    <x v="1"/>
    <x v="2"/>
    <n v="2021"/>
    <n v="2021"/>
    <b v="1"/>
  </r>
  <r>
    <x v="3"/>
    <m/>
    <x v="1"/>
    <s v="Centralized"/>
    <s v="Out"/>
    <m/>
    <m/>
    <m/>
    <m/>
    <n v="1"/>
    <s v="COMPLETE"/>
    <s v="f"/>
    <d v="2021-01-15T00:00:00"/>
    <d v="2021-01-27T00:00:00"/>
    <m/>
    <n v="73364.87"/>
    <m/>
    <m/>
    <m/>
    <m/>
    <m/>
    <m/>
    <m/>
    <s v="04. Item 04"/>
    <n v="1"/>
    <x v="1"/>
    <x v="2"/>
    <n v="2021"/>
    <n v="2021"/>
    <b v="1"/>
  </r>
  <r>
    <x v="22"/>
    <m/>
    <x v="1"/>
    <s v="Centralized"/>
    <s v="Out"/>
    <m/>
    <m/>
    <m/>
    <m/>
    <n v="1"/>
    <s v="COMPLETE"/>
    <s v="f"/>
    <d v="2021-01-15T00:00:00"/>
    <d v="2021-01-27T00:00:00"/>
    <m/>
    <n v="8681.16"/>
    <m/>
    <m/>
    <m/>
    <m/>
    <m/>
    <m/>
    <m/>
    <s v="04. Item 04"/>
    <n v="1"/>
    <x v="1"/>
    <x v="2"/>
    <n v="2021"/>
    <n v="2021"/>
    <b v="1"/>
  </r>
  <r>
    <x v="4"/>
    <m/>
    <x v="1"/>
    <s v="Centralized"/>
    <s v="Out"/>
    <m/>
    <m/>
    <m/>
    <m/>
    <n v="1"/>
    <s v="COMPLETE"/>
    <s v="f"/>
    <d v="2021-01-15T00:00:00"/>
    <d v="2021-01-27T00:00:00"/>
    <m/>
    <n v="2383.3200000000002"/>
    <m/>
    <m/>
    <m/>
    <m/>
    <m/>
    <m/>
    <m/>
    <s v="05. Item 05"/>
    <n v="1"/>
    <x v="1"/>
    <x v="2"/>
    <n v="2021"/>
    <n v="2021"/>
    <b v="1"/>
  </r>
  <r>
    <x v="5"/>
    <m/>
    <x v="1"/>
    <s v="Centralized"/>
    <s v="Out"/>
    <m/>
    <m/>
    <m/>
    <m/>
    <n v="1"/>
    <s v="COMPLETE"/>
    <s v="f"/>
    <d v="2021-01-15T00:00:00"/>
    <d v="2021-01-28T00:00:00"/>
    <m/>
    <n v="237185.84"/>
    <m/>
    <m/>
    <m/>
    <m/>
    <m/>
    <m/>
    <m/>
    <s v="05. Item 05"/>
    <n v="1"/>
    <x v="1"/>
    <x v="2"/>
    <n v="2021"/>
    <n v="2021"/>
    <b v="1"/>
  </r>
  <r>
    <x v="15"/>
    <m/>
    <x v="1"/>
    <s v="Centralized"/>
    <s v="Out"/>
    <m/>
    <m/>
    <m/>
    <s v="X"/>
    <n v="1"/>
    <s v="COMPLETE"/>
    <s v="f"/>
    <d v="2021-01-15T00:00:00"/>
    <d v="2021-01-28T00:00:00"/>
    <m/>
    <n v="15980.81"/>
    <m/>
    <m/>
    <m/>
    <m/>
    <m/>
    <m/>
    <m/>
    <s v="06. Item 06"/>
    <n v="1"/>
    <x v="1"/>
    <x v="2"/>
    <n v="2021"/>
    <n v="2021"/>
    <b v="1"/>
  </r>
  <r>
    <x v="6"/>
    <m/>
    <x v="1"/>
    <s v="Centralized"/>
    <s v="Out"/>
    <m/>
    <m/>
    <m/>
    <m/>
    <n v="1"/>
    <s v="COMPLETE"/>
    <s v="f"/>
    <d v="2021-01-15T00:00:00"/>
    <d v="2021-01-28T00:00:00"/>
    <m/>
    <n v="13049.7"/>
    <m/>
    <m/>
    <m/>
    <m/>
    <m/>
    <m/>
    <m/>
    <s v="07. Item 07"/>
    <n v="1"/>
    <x v="1"/>
    <x v="2"/>
    <n v="2021"/>
    <n v="2021"/>
    <b v="1"/>
  </r>
  <r>
    <x v="7"/>
    <m/>
    <x v="1"/>
    <s v="Centralized"/>
    <s v="Out"/>
    <s v="X"/>
    <m/>
    <m/>
    <m/>
    <n v="1"/>
    <s v="COMPLETE"/>
    <s v="f"/>
    <d v="2021-01-15T00:00:00"/>
    <d v="2021-01-28T00:00:00"/>
    <m/>
    <n v="97595.24"/>
    <m/>
    <m/>
    <m/>
    <m/>
    <m/>
    <m/>
    <m/>
    <s v="08. Item 08"/>
    <n v="1"/>
    <x v="1"/>
    <x v="2"/>
    <n v="2021"/>
    <n v="2020"/>
    <b v="1"/>
  </r>
  <r>
    <x v="21"/>
    <m/>
    <x v="1"/>
    <s v="Centralized"/>
    <s v="Out"/>
    <s v="X"/>
    <m/>
    <m/>
    <m/>
    <n v="1"/>
    <s v="COMPLETE"/>
    <s v="f"/>
    <d v="2021-01-15T00:00:00"/>
    <d v="2021-01-28T00:00:00"/>
    <m/>
    <n v="338053.39"/>
    <m/>
    <m/>
    <m/>
    <m/>
    <m/>
    <m/>
    <m/>
    <s v="09. Item 09"/>
    <n v="1"/>
    <x v="1"/>
    <x v="2"/>
    <n v="2021"/>
    <n v="2020"/>
    <b v="1"/>
  </r>
  <r>
    <x v="9"/>
    <m/>
    <x v="1"/>
    <s v="Centralized"/>
    <s v="Out"/>
    <s v="X"/>
    <m/>
    <m/>
    <m/>
    <n v="1"/>
    <s v="COMPLETE"/>
    <s v="f"/>
    <d v="2021-01-15T00:00:00"/>
    <d v="2021-01-28T00:00:00"/>
    <m/>
    <n v="131394.10999999999"/>
    <m/>
    <m/>
    <m/>
    <m/>
    <m/>
    <m/>
    <m/>
    <s v="09. Item 09"/>
    <n v="1"/>
    <x v="1"/>
    <x v="2"/>
    <n v="2021"/>
    <n v="2020"/>
    <b v="1"/>
  </r>
  <r>
    <x v="8"/>
    <m/>
    <x v="1"/>
    <s v="Centralized"/>
    <s v="Out"/>
    <m/>
    <m/>
    <m/>
    <m/>
    <n v="1"/>
    <s v="COMPLETE"/>
    <s v="f"/>
    <d v="2021-01-15T00:00:00"/>
    <d v="2021-02-02T00:00:00"/>
    <m/>
    <n v="31242.39"/>
    <m/>
    <m/>
    <m/>
    <m/>
    <m/>
    <m/>
    <m/>
    <s v="09. Item 09"/>
    <n v="1"/>
    <x v="6"/>
    <x v="2"/>
    <n v="2021"/>
    <n v="2021"/>
    <b v="1"/>
  </r>
  <r>
    <x v="30"/>
    <m/>
    <x v="1"/>
    <s v="Centralized"/>
    <s v="In"/>
    <m/>
    <m/>
    <m/>
    <m/>
    <m/>
    <s v="COMPLETE"/>
    <s v="f"/>
    <d v="2021-01-25T00:00:00"/>
    <d v="2021-01-25T00:00:00"/>
    <m/>
    <n v="1380952.38"/>
    <m/>
    <m/>
    <m/>
    <m/>
    <m/>
    <m/>
    <m/>
    <s v="10. Item 10"/>
    <n v="1"/>
    <x v="1"/>
    <x v="2"/>
    <n v="2021"/>
    <n v="2021"/>
    <b v="1"/>
  </r>
  <r>
    <x v="31"/>
    <m/>
    <x v="1"/>
    <s v="Decentralized"/>
    <s v="Out"/>
    <m/>
    <m/>
    <m/>
    <m/>
    <n v="4"/>
    <s v="COMPLETE"/>
    <s v="f"/>
    <d v="2021-01-15T00:00:00"/>
    <d v="2021-01-15T00:00:00"/>
    <m/>
    <n v="15205.06"/>
    <m/>
    <m/>
    <m/>
    <m/>
    <m/>
    <m/>
    <m/>
    <s v="10. Item 10"/>
    <n v="1"/>
    <x v="1"/>
    <x v="2"/>
    <n v="2021"/>
    <n v="2021"/>
    <b v="1"/>
  </r>
  <r>
    <x v="10"/>
    <m/>
    <x v="1"/>
    <s v="Centralized"/>
    <s v="In"/>
    <m/>
    <m/>
    <m/>
    <m/>
    <m/>
    <s v="COMPLETE"/>
    <s v="f"/>
    <d v="2021-01-15T00:00:00"/>
    <d v="2021-01-15T00:00:00"/>
    <m/>
    <n v="15205.06"/>
    <m/>
    <m/>
    <m/>
    <m/>
    <m/>
    <m/>
    <m/>
    <s v="11. Item 11"/>
    <n v="1"/>
    <x v="1"/>
    <x v="2"/>
    <n v="2021"/>
    <n v="2021"/>
    <b v="1"/>
  </r>
  <r>
    <x v="32"/>
    <m/>
    <x v="1"/>
    <s v="Centralized"/>
    <s v="In"/>
    <m/>
    <m/>
    <m/>
    <m/>
    <m/>
    <s v="COMPLETE"/>
    <s v="f"/>
    <d v="2021-01-21T00:00:00"/>
    <d v="2021-01-21T00:00:00"/>
    <m/>
    <n v="3090422.09"/>
    <m/>
    <m/>
    <m/>
    <m/>
    <m/>
    <m/>
    <m/>
    <s v="12. Item 12"/>
    <n v="1"/>
    <x v="1"/>
    <x v="2"/>
    <n v="2021"/>
    <n v="2021"/>
    <b v="1"/>
  </r>
  <r>
    <x v="29"/>
    <m/>
    <x v="1"/>
    <s v="Centralized"/>
    <s v="In"/>
    <m/>
    <m/>
    <m/>
    <m/>
    <m/>
    <s v="COMPLETE"/>
    <s v="f"/>
    <d v="2021-01-22T00:00:00"/>
    <d v="2021-01-22T00:00:00"/>
    <m/>
    <n v="75517.59"/>
    <m/>
    <m/>
    <m/>
    <m/>
    <m/>
    <m/>
    <m/>
    <s v="13. Item 13"/>
    <n v="1"/>
    <x v="1"/>
    <x v="2"/>
    <n v="2021"/>
    <n v="2021"/>
    <b v="1"/>
  </r>
  <r>
    <x v="11"/>
    <m/>
    <x v="1"/>
    <s v="Centralized"/>
    <s v="In"/>
    <m/>
    <m/>
    <m/>
    <m/>
    <m/>
    <s v="COMPLETE"/>
    <s v="f"/>
    <d v="2021-01-26T00:00:00"/>
    <d v="2021-01-26T00:00:00"/>
    <m/>
    <n v="4748552.6100000003"/>
    <m/>
    <m/>
    <m/>
    <m/>
    <m/>
    <m/>
    <m/>
    <s v="13. Item 13"/>
    <n v="1"/>
    <x v="1"/>
    <x v="2"/>
    <n v="2021"/>
    <n v="2021"/>
    <b v="1"/>
  </r>
  <r>
    <x v="33"/>
    <m/>
    <x v="1"/>
    <s v="Centralized"/>
    <s v="In"/>
    <m/>
    <m/>
    <m/>
    <m/>
    <m/>
    <s v="COMPLETE"/>
    <s v="f"/>
    <d v="2021-01-27T00:00:00"/>
    <d v="2021-01-27T00:00:00"/>
    <m/>
    <n v="1766603.8"/>
    <m/>
    <m/>
    <m/>
    <m/>
    <m/>
    <m/>
    <m/>
    <s v="13. Item 13"/>
    <n v="1"/>
    <x v="1"/>
    <x v="2"/>
    <n v="2021"/>
    <n v="2021"/>
    <b v="1"/>
  </r>
  <r>
    <x v="34"/>
    <m/>
    <x v="1"/>
    <s v="Centralized"/>
    <s v="In"/>
    <m/>
    <m/>
    <m/>
    <m/>
    <m/>
    <s v="COMPLETE"/>
    <s v="f"/>
    <d v="2021-01-28T00:00:00"/>
    <d v="2021-01-28T00:00:00"/>
    <m/>
    <n v="2119421.69"/>
    <m/>
    <m/>
    <m/>
    <m/>
    <m/>
    <m/>
    <m/>
    <s v="13. Item 13"/>
    <n v="1"/>
    <x v="1"/>
    <x v="2"/>
    <n v="2021"/>
    <n v="2021"/>
    <b v="1"/>
  </r>
  <r>
    <x v="13"/>
    <m/>
    <x v="1"/>
    <s v="Centralized"/>
    <s v="Out"/>
    <m/>
    <m/>
    <m/>
    <m/>
    <n v="4"/>
    <s v="COMPLETE"/>
    <s v="f"/>
    <d v="2021-01-26T00:00:00"/>
    <d v="2021-01-26T00:00:00"/>
    <m/>
    <n v="461964.4"/>
    <m/>
    <m/>
    <m/>
    <m/>
    <m/>
    <m/>
    <m/>
    <s v="13. Item 13"/>
    <n v="1"/>
    <x v="1"/>
    <x v="2"/>
    <n v="2021"/>
    <n v="2021"/>
    <b v="1"/>
  </r>
  <r>
    <x v="20"/>
    <m/>
    <x v="1"/>
    <s v="Centralized"/>
    <s v="Out"/>
    <s v="X"/>
    <m/>
    <m/>
    <m/>
    <n v="4"/>
    <s v="COMPLETE"/>
    <s v="f"/>
    <d v="2021-01-20T00:00:00"/>
    <d v="2021-03-02T00:00:00"/>
    <m/>
    <n v="161135.89000000001"/>
    <m/>
    <m/>
    <m/>
    <m/>
    <m/>
    <m/>
    <m/>
    <s v="14. Item 14"/>
    <n v="1"/>
    <x v="8"/>
    <x v="2"/>
    <n v="2021"/>
    <n v="2020"/>
    <b v="1"/>
  </r>
  <r>
    <x v="26"/>
    <m/>
    <x v="1"/>
    <s v="Centralized"/>
    <s v="Out"/>
    <m/>
    <m/>
    <m/>
    <m/>
    <n v="4"/>
    <s v="COMPLETE"/>
    <s v="f"/>
    <d v="2021-01-20T00:00:00"/>
    <d v="2021-03-01T00:00:00"/>
    <m/>
    <n v="1676190.48"/>
    <m/>
    <m/>
    <m/>
    <m/>
    <m/>
    <m/>
    <m/>
    <s v="16. Item 16"/>
    <n v="1"/>
    <x v="8"/>
    <x v="2"/>
    <n v="2021"/>
    <n v="2021"/>
    <b v="1"/>
  </r>
  <r>
    <x v="35"/>
    <m/>
    <x v="1"/>
    <s v="Centralized"/>
    <s v="Out"/>
    <m/>
    <m/>
    <m/>
    <m/>
    <n v="3"/>
    <s v="COMPLETE"/>
    <s v="f"/>
    <d v="2021-01-15T00:00:00"/>
    <d v="2021-01-29T00:00:00"/>
    <m/>
    <n v="280713.09999999998"/>
    <m/>
    <m/>
    <m/>
    <m/>
    <m/>
    <m/>
    <m/>
    <s v="17. Item 17"/>
    <n v="1"/>
    <x v="1"/>
    <x v="2"/>
    <n v="2021"/>
    <n v="2021"/>
    <b v="1"/>
  </r>
  <r>
    <x v="14"/>
    <m/>
    <x v="1"/>
    <s v="Decentralized"/>
    <s v="Out"/>
    <m/>
    <m/>
    <m/>
    <m/>
    <n v="4"/>
    <s v="COMPLETE"/>
    <s v="f"/>
    <d v="2021-01-15T00:00:00"/>
    <d v="2021-01-29T00:00:00"/>
    <m/>
    <n v="31590.5"/>
    <m/>
    <m/>
    <m/>
    <m/>
    <m/>
    <m/>
    <m/>
    <s v="19. Item 19"/>
    <n v="1"/>
    <x v="1"/>
    <x v="2"/>
    <n v="2021"/>
    <n v="2021"/>
    <b v="1"/>
  </r>
  <r>
    <x v="15"/>
    <m/>
    <x v="1"/>
    <s v="Centralized"/>
    <s v="Out"/>
    <m/>
    <m/>
    <m/>
    <m/>
    <n v="3"/>
    <s v="COMPLETE"/>
    <s v="f"/>
    <d v="2021-02-15T00:00:00"/>
    <d v="2021-02-25T00:00:00"/>
    <m/>
    <n v="894.86"/>
    <m/>
    <m/>
    <m/>
    <m/>
    <m/>
    <m/>
    <m/>
    <s v="06. Item 06"/>
    <n v="2"/>
    <x v="6"/>
    <x v="2"/>
    <n v="2021"/>
    <n v="2021"/>
    <b v="1"/>
  </r>
  <r>
    <x v="30"/>
    <m/>
    <x v="1"/>
    <s v="Decentralized"/>
    <s v="Out"/>
    <m/>
    <m/>
    <m/>
    <m/>
    <n v="4"/>
    <s v="COMPLETE"/>
    <s v="f"/>
    <d v="2021-01-15T00:00:00"/>
    <d v="2021-02-03T00:00:00"/>
    <m/>
    <n v="2475.56"/>
    <m/>
    <m/>
    <m/>
    <m/>
    <m/>
    <m/>
    <m/>
    <s v="10. Item 10"/>
    <n v="1"/>
    <x v="6"/>
    <x v="2"/>
    <n v="2021"/>
    <n v="2021"/>
    <b v="1"/>
  </r>
  <r>
    <x v="10"/>
    <m/>
    <x v="1"/>
    <s v="Centralized"/>
    <s v="Out"/>
    <s v="X"/>
    <m/>
    <m/>
    <m/>
    <n v="3"/>
    <s v="COMPLETE"/>
    <s v="f"/>
    <d v="2021-01-15T00:00:00"/>
    <d v="2021-02-04T00:00:00"/>
    <m/>
    <n v="1051249.52"/>
    <m/>
    <m/>
    <m/>
    <m/>
    <m/>
    <m/>
    <m/>
    <s v="11. Item 11"/>
    <n v="1"/>
    <x v="6"/>
    <x v="2"/>
    <n v="2021"/>
    <n v="2020"/>
    <b v="1"/>
  </r>
  <r>
    <x v="10"/>
    <m/>
    <x v="1"/>
    <s v="Centralized"/>
    <s v="Out"/>
    <m/>
    <m/>
    <m/>
    <m/>
    <n v="3"/>
    <s v="COMPLETE"/>
    <s v="f"/>
    <d v="2021-01-15T00:00:00"/>
    <d v="2021-02-08T00:00:00"/>
    <m/>
    <n v="35837.29"/>
    <m/>
    <m/>
    <m/>
    <m/>
    <m/>
    <m/>
    <m/>
    <s v="11. Item 11"/>
    <n v="1"/>
    <x v="6"/>
    <x v="2"/>
    <n v="2021"/>
    <n v="2021"/>
    <b v="1"/>
  </r>
  <r>
    <x v="23"/>
    <m/>
    <x v="1"/>
    <s v="Centralized"/>
    <s v="Out"/>
    <m/>
    <m/>
    <m/>
    <m/>
    <n v="1"/>
    <s v="COMPLETE"/>
    <s v="f"/>
    <d v="2021-01-15T00:00:00"/>
    <d v="2021-01-27T00:00:00"/>
    <m/>
    <n v="15446.74"/>
    <m/>
    <m/>
    <m/>
    <m/>
    <m/>
    <m/>
    <m/>
    <s v="21. Item 21"/>
    <n v="1"/>
    <x v="1"/>
    <x v="2"/>
    <n v="2021"/>
    <n v="2021"/>
    <b v="1"/>
  </r>
  <r>
    <x v="13"/>
    <m/>
    <x v="1"/>
    <s v="Centralized"/>
    <s v="Out"/>
    <m/>
    <m/>
    <m/>
    <m/>
    <n v="1"/>
    <s v="COMPLETE"/>
    <s v="f"/>
    <d v="2021-01-15T00:00:00"/>
    <d v="2021-01-27T00:00:00"/>
    <m/>
    <n v="714.29"/>
    <m/>
    <m/>
    <m/>
    <m/>
    <m/>
    <m/>
    <m/>
    <s v="13. Item 13"/>
    <n v="1"/>
    <x v="1"/>
    <x v="2"/>
    <n v="2021"/>
    <n v="2021"/>
    <b v="1"/>
  </r>
  <r>
    <x v="13"/>
    <m/>
    <x v="1"/>
    <s v="Centralized"/>
    <s v="In"/>
    <m/>
    <m/>
    <m/>
    <m/>
    <m/>
    <s v="COMPLETE"/>
    <s v="f"/>
    <d v="2021-01-29T00:00:00"/>
    <d v="2021-01-29T00:00:00"/>
    <m/>
    <n v="246222.92"/>
    <m/>
    <m/>
    <m/>
    <m/>
    <m/>
    <m/>
    <m/>
    <s v="13. Item 13"/>
    <n v="1"/>
    <x v="1"/>
    <x v="2"/>
    <n v="2021"/>
    <n v="2021"/>
    <b v="1"/>
  </r>
  <r>
    <x v="13"/>
    <m/>
    <x v="1"/>
    <s v="Centralized"/>
    <s v="In"/>
    <m/>
    <m/>
    <m/>
    <m/>
    <m/>
    <s v="COMPLETE"/>
    <s v="f"/>
    <d v="2021-01-29T00:00:00"/>
    <d v="2021-01-29T00:00:00"/>
    <m/>
    <n v="21771720.989999998"/>
    <m/>
    <m/>
    <m/>
    <m/>
    <m/>
    <m/>
    <m/>
    <s v="13. Item 13"/>
    <n v="1"/>
    <x v="1"/>
    <x v="2"/>
    <n v="2021"/>
    <n v="2021"/>
    <b v="1"/>
  </r>
  <r>
    <x v="32"/>
    <m/>
    <x v="1"/>
    <s v="Centralized"/>
    <s v="In"/>
    <m/>
    <m/>
    <m/>
    <m/>
    <m/>
    <s v="COMPLETE"/>
    <s v="f"/>
    <d v="2021-02-02T00:00:00"/>
    <d v="2021-02-02T00:00:00"/>
    <m/>
    <n v="1094965.03"/>
    <m/>
    <m/>
    <m/>
    <m/>
    <m/>
    <m/>
    <m/>
    <s v="12. Item 12"/>
    <n v="2"/>
    <x v="6"/>
    <x v="2"/>
    <n v="2021"/>
    <n v="2021"/>
    <b v="1"/>
  </r>
  <r>
    <x v="13"/>
    <m/>
    <x v="1"/>
    <s v="Centralized"/>
    <s v="In"/>
    <m/>
    <m/>
    <m/>
    <m/>
    <m/>
    <s v="COMPLETE"/>
    <s v="f"/>
    <d v="2021-02-03T00:00:00"/>
    <d v="2021-02-03T00:00:00"/>
    <m/>
    <n v="483.16"/>
    <m/>
    <m/>
    <m/>
    <m/>
    <m/>
    <m/>
    <m/>
    <s v="13. Item 13"/>
    <n v="2"/>
    <x v="6"/>
    <x v="2"/>
    <n v="2021"/>
    <n v="2021"/>
    <b v="1"/>
  </r>
  <r>
    <x v="13"/>
    <m/>
    <x v="1"/>
    <s v="Centralized"/>
    <s v="In"/>
    <m/>
    <m/>
    <m/>
    <m/>
    <m/>
    <s v="COMPLETE"/>
    <s v="f"/>
    <d v="2021-02-03T00:00:00"/>
    <d v="2021-02-03T00:00:00"/>
    <m/>
    <n v="2475.56"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7904761.9000000004"/>
    <m/>
    <m/>
    <m/>
    <m/>
    <m/>
    <m/>
    <m/>
    <m/>
    <s v="13. Item 13"/>
    <n v="2"/>
    <x v="6"/>
    <x v="2"/>
    <n v="2021"/>
    <n v="2021"/>
    <b v="1"/>
  </r>
  <r>
    <x v="31"/>
    <m/>
    <x v="1"/>
    <s v="Centralized"/>
    <s v="Out"/>
    <m/>
    <m/>
    <m/>
    <m/>
    <m/>
    <m/>
    <s v="p"/>
    <d v="2021-02-01T00:00:00"/>
    <d v="2021-02-01T00:00:00"/>
    <n v="1833333.33"/>
    <m/>
    <m/>
    <m/>
    <m/>
    <m/>
    <m/>
    <m/>
    <m/>
    <s v="10. Item 10"/>
    <n v="2"/>
    <x v="6"/>
    <x v="2"/>
    <n v="2021"/>
    <n v="2021"/>
    <b v="1"/>
  </r>
  <r>
    <x v="30"/>
    <s v="03. Item 03"/>
    <x v="1"/>
    <s v="Centralized"/>
    <s v="Out"/>
    <m/>
    <m/>
    <m/>
    <m/>
    <m/>
    <m/>
    <s v="p"/>
    <d v="2021-02-01T00:00:00"/>
    <d v="2021-02-01T00:00:00"/>
    <n v="1306302.31"/>
    <m/>
    <m/>
    <m/>
    <m/>
    <m/>
    <m/>
    <m/>
    <m/>
    <s v="03. Item 0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3647315.57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5297718.76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47619.05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2857142.86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8235714.29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1059032.1399999999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184459.43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245238.1"/>
    <m/>
    <m/>
    <m/>
    <m/>
    <m/>
    <m/>
    <m/>
    <m/>
    <s v="13. Item 13"/>
    <n v="2"/>
    <x v="6"/>
    <x v="2"/>
    <n v="2021"/>
    <n v="2021"/>
    <b v="1"/>
  </r>
  <r>
    <x v="13"/>
    <s v="10. Item 10"/>
    <x v="1"/>
    <s v="Centralized"/>
    <s v="Out"/>
    <m/>
    <m/>
    <m/>
    <m/>
    <m/>
    <m/>
    <s v="p"/>
    <d v="2021-02-01T00:00:00"/>
    <d v="2021-02-01T00:00:00"/>
    <n v="2380.9499999999998"/>
    <m/>
    <m/>
    <m/>
    <m/>
    <m/>
    <m/>
    <m/>
    <m/>
    <s v="10. Item 10"/>
    <n v="2"/>
    <x v="6"/>
    <x v="2"/>
    <n v="2021"/>
    <n v="2021"/>
    <b v="1"/>
  </r>
  <r>
    <x v="13"/>
    <m/>
    <x v="1"/>
    <s v="Centralized"/>
    <s v="Out"/>
    <m/>
    <m/>
    <m/>
    <m/>
    <m/>
    <m/>
    <s v="p"/>
    <d v="2021-02-01T00:00:00"/>
    <d v="2021-02-01T00:00:00"/>
    <n v="44047.62"/>
    <m/>
    <m/>
    <m/>
    <m/>
    <m/>
    <m/>
    <m/>
    <m/>
    <s v="13. Item 13"/>
    <n v="2"/>
    <x v="6"/>
    <x v="2"/>
    <n v="2021"/>
    <n v="2021"/>
    <b v="1"/>
  </r>
  <r>
    <x v="3"/>
    <m/>
    <x v="1"/>
    <s v="Centralized"/>
    <s v="Out"/>
    <m/>
    <m/>
    <m/>
    <m/>
    <m/>
    <m/>
    <s v="p"/>
    <d v="2021-02-01T00:00:00"/>
    <d v="2021-02-01T00:00:00"/>
    <n v="63095.24"/>
    <m/>
    <m/>
    <m/>
    <m/>
    <m/>
    <m/>
    <m/>
    <m/>
    <s v="04. Item 04"/>
    <n v="2"/>
    <x v="6"/>
    <x v="2"/>
    <n v="2021"/>
    <n v="2021"/>
    <b v="1"/>
  </r>
  <r>
    <x v="5"/>
    <s v="12. Item 12"/>
    <x v="1"/>
    <s v="Centralized"/>
    <s v="Out"/>
    <m/>
    <m/>
    <m/>
    <m/>
    <m/>
    <m/>
    <s v="p"/>
    <d v="2021-02-01T00:00:00"/>
    <d v="2021-02-01T00:00:00"/>
    <n v="871428.57"/>
    <m/>
    <m/>
    <m/>
    <m/>
    <m/>
    <m/>
    <m/>
    <m/>
    <s v="12. Item 12"/>
    <n v="2"/>
    <x v="6"/>
    <x v="2"/>
    <n v="2021"/>
    <n v="2021"/>
    <b v="1"/>
  </r>
  <r>
    <x v="5"/>
    <s v="13. Item 13"/>
    <x v="1"/>
    <s v="Centralized"/>
    <s v="Out"/>
    <m/>
    <m/>
    <m/>
    <m/>
    <m/>
    <m/>
    <s v="p"/>
    <d v="2021-02-01T00:00:00"/>
    <d v="2021-02-01T00:00:00"/>
    <n v="1119047.6200000001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s v="X"/>
    <m/>
    <m/>
    <m/>
    <m/>
    <m/>
    <s v="p"/>
    <d v="2021-02-01T00:00:00"/>
    <d v="2021-02-01T00:00:00"/>
    <n v="218571.43"/>
    <m/>
    <m/>
    <m/>
    <m/>
    <m/>
    <m/>
    <m/>
    <m/>
    <s v="13. Item 13"/>
    <n v="2"/>
    <x v="6"/>
    <x v="2"/>
    <n v="2021"/>
    <n v="2020"/>
    <b v="1"/>
  </r>
  <r>
    <x v="13"/>
    <m/>
    <x v="1"/>
    <s v="Centralized"/>
    <s v="Out"/>
    <m/>
    <m/>
    <m/>
    <m/>
    <m/>
    <m/>
    <s v="p"/>
    <d v="2021-02-01T00:00:00"/>
    <d v="2021-02-01T00:00:00"/>
    <n v="1287.83"/>
    <m/>
    <m/>
    <m/>
    <m/>
    <m/>
    <m/>
    <m/>
    <m/>
    <s v="13. Item 13"/>
    <n v="2"/>
    <x v="6"/>
    <x v="2"/>
    <n v="2021"/>
    <n v="2021"/>
    <b v="1"/>
  </r>
  <r>
    <x v="13"/>
    <m/>
    <x v="1"/>
    <s v="Centralized"/>
    <s v="In"/>
    <m/>
    <m/>
    <m/>
    <m/>
    <m/>
    <s v="COMPLETE"/>
    <s v="f"/>
    <d v="2021-02-04T00:00:00"/>
    <d v="2021-02-04T00:00:00"/>
    <m/>
    <n v="1157248.32"/>
    <m/>
    <m/>
    <m/>
    <m/>
    <m/>
    <m/>
    <m/>
    <s v="13. Item 13"/>
    <n v="2"/>
    <x v="6"/>
    <x v="2"/>
    <n v="2021"/>
    <n v="2021"/>
    <b v="1"/>
  </r>
  <r>
    <x v="31"/>
    <m/>
    <x v="1"/>
    <s v="Centralized"/>
    <s v="In"/>
    <m/>
    <m/>
    <m/>
    <m/>
    <m/>
    <s v="COMPLETE"/>
    <s v="f"/>
    <d v="2021-02-08T00:00:00"/>
    <d v="2021-02-08T00:00:00"/>
    <m/>
    <n v="35837.29"/>
    <m/>
    <m/>
    <m/>
    <m/>
    <m/>
    <m/>
    <m/>
    <s v="10. Item 10"/>
    <n v="2"/>
    <x v="6"/>
    <x v="2"/>
    <n v="2021"/>
    <n v="2021"/>
    <b v="1"/>
  </r>
  <r>
    <x v="16"/>
    <m/>
    <x v="1"/>
    <s v="Centralized"/>
    <s v="Out"/>
    <m/>
    <m/>
    <m/>
    <m/>
    <n v="3"/>
    <s v="COMPLETE"/>
    <s v="f"/>
    <d v="2021-02-04T00:00:00"/>
    <d v="2021-02-12T00:00:00"/>
    <m/>
    <n v="22894.33"/>
    <m/>
    <m/>
    <m/>
    <m/>
    <m/>
    <m/>
    <m/>
    <s v="_1. Item _1"/>
    <n v="2"/>
    <x v="6"/>
    <x v="2"/>
    <n v="2021"/>
    <n v="2021"/>
    <b v="1"/>
  </r>
  <r>
    <x v="35"/>
    <m/>
    <x v="1"/>
    <s v="Centralized"/>
    <s v="Out"/>
    <m/>
    <m/>
    <m/>
    <m/>
    <n v="3"/>
    <s v="COMPLETE"/>
    <s v="f"/>
    <d v="2021-02-04T00:00:00"/>
    <d v="2021-02-16T00:00:00"/>
    <m/>
    <n v="1869.51"/>
    <m/>
    <m/>
    <m/>
    <m/>
    <m/>
    <m/>
    <m/>
    <s v="17. Item 17"/>
    <n v="2"/>
    <x v="6"/>
    <x v="2"/>
    <n v="2021"/>
    <n v="2021"/>
    <b v="1"/>
  </r>
  <r>
    <x v="36"/>
    <m/>
    <x v="1"/>
    <s v="Centralized"/>
    <s v="Out"/>
    <m/>
    <m/>
    <m/>
    <m/>
    <n v="3"/>
    <s v="COMPLETE"/>
    <s v="f"/>
    <d v="2021-02-04T00:00:00"/>
    <d v="2021-02-15T00:00:00"/>
    <m/>
    <n v="77656.95"/>
    <m/>
    <m/>
    <m/>
    <m/>
    <m/>
    <m/>
    <m/>
    <s v="_3. Item _3"/>
    <n v="2"/>
    <x v="6"/>
    <x v="2"/>
    <n v="2021"/>
    <n v="2021"/>
    <b v="1"/>
  </r>
  <r>
    <x v="37"/>
    <m/>
    <x v="1"/>
    <s v="Centralized"/>
    <s v="In"/>
    <m/>
    <m/>
    <m/>
    <m/>
    <m/>
    <s v="COMPLETE"/>
    <s v="f"/>
    <d v="2021-02-12T00:00:00"/>
    <d v="2021-02-12T00:00:00"/>
    <m/>
    <n v="1523151.18"/>
    <m/>
    <m/>
    <m/>
    <m/>
    <m/>
    <m/>
    <m/>
    <s v="_4. Item _4"/>
    <n v="2"/>
    <x v="6"/>
    <x v="2"/>
    <n v="2021"/>
    <n v="2021"/>
    <b v="1"/>
  </r>
  <r>
    <x v="37"/>
    <m/>
    <x v="1"/>
    <s v="Centralized"/>
    <s v="In"/>
    <m/>
    <m/>
    <m/>
    <m/>
    <m/>
    <s v="COMPLETE"/>
    <s v="f"/>
    <d v="2021-02-12T00:00:00"/>
    <d v="2021-02-12T00:00:00"/>
    <m/>
    <n v="1514.39"/>
    <m/>
    <m/>
    <m/>
    <m/>
    <m/>
    <m/>
    <m/>
    <s v="_4. Item _4"/>
    <n v="2"/>
    <x v="6"/>
    <x v="2"/>
    <n v="2021"/>
    <n v="2021"/>
    <b v="1"/>
  </r>
  <r>
    <x v="16"/>
    <m/>
    <x v="1"/>
    <s v="Decentralized"/>
    <s v="Out"/>
    <m/>
    <m/>
    <m/>
    <m/>
    <n v="4"/>
    <s v="COMPLETE"/>
    <s v="f"/>
    <d v="2021-02-12T00:00:00"/>
    <d v="2021-02-12T00:00:00"/>
    <m/>
    <n v="1514.39"/>
    <m/>
    <m/>
    <m/>
    <m/>
    <m/>
    <m/>
    <m/>
    <s v="_1. Item _1"/>
    <n v="2"/>
    <x v="6"/>
    <x v="2"/>
    <n v="2021"/>
    <n v="2021"/>
    <b v="1"/>
  </r>
  <r>
    <x v="16"/>
    <m/>
    <x v="1"/>
    <s v="Centralized"/>
    <s v="Out"/>
    <m/>
    <m/>
    <m/>
    <s v="X"/>
    <n v="1"/>
    <s v="COMPLETE"/>
    <s v="f"/>
    <d v="2021-02-04T00:00:00"/>
    <d v="2021-02-17T00:00:00"/>
    <m/>
    <n v="13374.26"/>
    <m/>
    <m/>
    <m/>
    <m/>
    <m/>
    <m/>
    <m/>
    <s v="_1. Item _1"/>
    <n v="2"/>
    <x v="6"/>
    <x v="2"/>
    <n v="2021"/>
    <n v="2021"/>
    <b v="1"/>
  </r>
  <r>
    <x v="16"/>
    <m/>
    <x v="1"/>
    <s v="Centralized"/>
    <s v="Out"/>
    <m/>
    <m/>
    <m/>
    <s v="X"/>
    <n v="1"/>
    <s v="COMPLETE"/>
    <s v="f"/>
    <d v="2021-02-04T00:00:00"/>
    <d v="2021-02-16T00:00:00"/>
    <m/>
    <n v="8582.16"/>
    <m/>
    <m/>
    <m/>
    <m/>
    <m/>
    <m/>
    <m/>
    <s v="_1. Item _1"/>
    <n v="2"/>
    <x v="6"/>
    <x v="2"/>
    <n v="2021"/>
    <n v="2021"/>
    <b v="1"/>
  </r>
  <r>
    <x v="20"/>
    <m/>
    <x v="1"/>
    <s v="Centralized"/>
    <s v="Out"/>
    <m/>
    <m/>
    <m/>
    <s v="X"/>
    <n v="1"/>
    <s v="COMPLETE"/>
    <s v="f"/>
    <d v="2021-02-04T00:00:00"/>
    <d v="2021-02-12T00:00:00"/>
    <m/>
    <n v="98919.13"/>
    <m/>
    <m/>
    <m/>
    <m/>
    <m/>
    <m/>
    <m/>
    <s v="14. Item 14"/>
    <n v="2"/>
    <x v="6"/>
    <x v="2"/>
    <n v="2021"/>
    <n v="2021"/>
    <b v="1"/>
  </r>
  <r>
    <x v="20"/>
    <m/>
    <x v="1"/>
    <s v="Centralized"/>
    <s v="Out"/>
    <m/>
    <m/>
    <m/>
    <m/>
    <n v="1"/>
    <s v="COMPLETE"/>
    <s v="f"/>
    <d v="2021-02-04T00:00:00"/>
    <d v="2021-02-12T00:00:00"/>
    <m/>
    <n v="20385.349999999999"/>
    <m/>
    <m/>
    <m/>
    <m/>
    <m/>
    <m/>
    <m/>
    <s v="14. Item 14"/>
    <n v="2"/>
    <x v="6"/>
    <x v="2"/>
    <n v="2021"/>
    <n v="2021"/>
    <b v="1"/>
  </r>
  <r>
    <x v="20"/>
    <m/>
    <x v="1"/>
    <s v="Centralized"/>
    <s v="Out"/>
    <m/>
    <m/>
    <m/>
    <s v="X"/>
    <n v="1"/>
    <s v="COMPLETE"/>
    <s v="f"/>
    <d v="2021-02-04T00:00:00"/>
    <d v="2021-02-12T00:00:00"/>
    <m/>
    <n v="1380952.38"/>
    <m/>
    <m/>
    <m/>
    <m/>
    <m/>
    <m/>
    <m/>
    <s v="14. Item 14"/>
    <n v="2"/>
    <x v="6"/>
    <x v="2"/>
    <n v="2021"/>
    <n v="2021"/>
    <b v="1"/>
  </r>
  <r>
    <x v="7"/>
    <m/>
    <x v="1"/>
    <s v="Centralized"/>
    <s v="In"/>
    <m/>
    <m/>
    <m/>
    <m/>
    <m/>
    <s v="COMPLETE"/>
    <s v="f"/>
    <d v="2021-02-15T00:00:00"/>
    <d v="2021-02-15T00:00:00"/>
    <m/>
    <n v="77656.95"/>
    <m/>
    <m/>
    <m/>
    <m/>
    <m/>
    <m/>
    <m/>
    <s v="08. Item 08"/>
    <n v="2"/>
    <x v="6"/>
    <x v="2"/>
    <n v="2021"/>
    <n v="2021"/>
    <b v="1"/>
  </r>
  <r>
    <x v="35"/>
    <m/>
    <x v="1"/>
    <s v="Centralized"/>
    <s v="Out"/>
    <m/>
    <m/>
    <m/>
    <m/>
    <n v="2"/>
    <s v="COMPLETE"/>
    <s v="f"/>
    <d v="2021-02-12T00:00:00"/>
    <d v="2021-02-24T00:00:00"/>
    <m/>
    <n v="849256.57"/>
    <m/>
    <m/>
    <m/>
    <m/>
    <m/>
    <m/>
    <m/>
    <s v="17. Item 17"/>
    <n v="2"/>
    <x v="6"/>
    <x v="2"/>
    <n v="2021"/>
    <n v="2021"/>
    <b v="1"/>
  </r>
  <r>
    <x v="21"/>
    <m/>
    <x v="1"/>
    <s v="Centralized"/>
    <s v="Out"/>
    <m/>
    <m/>
    <m/>
    <s v="X"/>
    <n v="2"/>
    <s v="COMPLETE"/>
    <s v="f"/>
    <d v="2021-02-12T00:00:00"/>
    <d v="2021-02-24T00:00:00"/>
    <m/>
    <n v="63040.37"/>
    <m/>
    <m/>
    <m/>
    <m/>
    <m/>
    <m/>
    <m/>
    <s v="09. Item 09"/>
    <n v="2"/>
    <x v="6"/>
    <x v="2"/>
    <n v="2021"/>
    <n v="2021"/>
    <b v="1"/>
  </r>
  <r>
    <x v="35"/>
    <m/>
    <x v="1"/>
    <s v="Decentralized"/>
    <s v="Out"/>
    <m/>
    <m/>
    <m/>
    <m/>
    <m/>
    <m/>
    <s v="p"/>
    <d v="2021-02-01T00:00:00"/>
    <d v="2021-02-01T00:00:00"/>
    <n v="692757.43"/>
    <m/>
    <m/>
    <m/>
    <m/>
    <m/>
    <m/>
    <m/>
    <m/>
    <s v="17. Item 17"/>
    <n v="2"/>
    <x v="6"/>
    <x v="2"/>
    <n v="2021"/>
    <n v="2021"/>
    <b v="1"/>
  </r>
  <r>
    <x v="22"/>
    <m/>
    <x v="1"/>
    <s v="Centralized"/>
    <s v="Out"/>
    <s v="X"/>
    <m/>
    <m/>
    <m/>
    <m/>
    <m/>
    <s v="p"/>
    <d v="2021-02-01T00:00:00"/>
    <d v="2021-02-01T00:00:00"/>
    <n v="1051249.52"/>
    <m/>
    <m/>
    <m/>
    <m/>
    <m/>
    <m/>
    <m/>
    <m/>
    <s v="04. Item 04"/>
    <n v="2"/>
    <x v="6"/>
    <x v="2"/>
    <n v="2021"/>
    <n v="2020"/>
    <b v="1"/>
  </r>
  <r>
    <x v="22"/>
    <m/>
    <x v="1"/>
    <s v="Decentralized"/>
    <s v="Out"/>
    <m/>
    <m/>
    <m/>
    <m/>
    <m/>
    <m/>
    <s v="p"/>
    <d v="2021-01-01T00:00:00"/>
    <d v="2021-01-01T00:00:00"/>
    <n v="11904.76"/>
    <m/>
    <m/>
    <m/>
    <m/>
    <m/>
    <m/>
    <m/>
    <m/>
    <s v="04. Item 04"/>
    <n v="1"/>
    <x v="1"/>
    <x v="2"/>
    <n v="2021"/>
    <n v="2021"/>
    <b v="1"/>
  </r>
  <r>
    <x v="13"/>
    <m/>
    <x v="1"/>
    <s v="Centralized"/>
    <s v="Out"/>
    <m/>
    <m/>
    <m/>
    <m/>
    <n v="3"/>
    <s v="COMPLETE"/>
    <s v="f"/>
    <d v="2021-02-15T00:00:00"/>
    <d v="2021-02-26T00:00:00"/>
    <m/>
    <n v="5297406.1100000003"/>
    <m/>
    <m/>
    <m/>
    <m/>
    <m/>
    <m/>
    <m/>
    <s v="13. Item 13"/>
    <n v="2"/>
    <x v="6"/>
    <x v="2"/>
    <n v="2021"/>
    <n v="2021"/>
    <b v="1"/>
  </r>
  <r>
    <x v="13"/>
    <m/>
    <x v="1"/>
    <s v="Centralized"/>
    <s v="Out"/>
    <m/>
    <m/>
    <m/>
    <m/>
    <n v="3"/>
    <s v="COMPLETE"/>
    <s v="f"/>
    <d v="2021-02-15T00:00:00"/>
    <d v="2021-02-26T00:00:00"/>
    <m/>
    <n v="8218840.9900000002"/>
    <m/>
    <m/>
    <m/>
    <m/>
    <m/>
    <m/>
    <m/>
    <s v="13. Item 13"/>
    <n v="2"/>
    <x v="6"/>
    <x v="2"/>
    <n v="2021"/>
    <n v="2021"/>
    <b v="1"/>
  </r>
  <r>
    <x v="36"/>
    <m/>
    <x v="1"/>
    <s v="Centralized"/>
    <s v="Out"/>
    <m/>
    <m/>
    <m/>
    <m/>
    <n v="3"/>
    <s v="COMPLETE"/>
    <s v="f"/>
    <d v="2021-02-15T00:00:00"/>
    <d v="2021-03-04T00:00:00"/>
    <m/>
    <n v="3636.81"/>
    <m/>
    <m/>
    <m/>
    <m/>
    <m/>
    <m/>
    <m/>
    <s v="_3. Item _3"/>
    <n v="2"/>
    <x v="8"/>
    <x v="2"/>
    <n v="2021"/>
    <n v="2021"/>
    <b v="1"/>
  </r>
  <r>
    <x v="16"/>
    <m/>
    <x v="1"/>
    <s v="Centralized"/>
    <s v="Out"/>
    <m/>
    <m/>
    <m/>
    <s v="X"/>
    <n v="3"/>
    <s v="COMPLETE"/>
    <s v="f"/>
    <d v="2021-03-01T00:00:00"/>
    <d v="2021-03-17T00:00:00"/>
    <m/>
    <n v="873526.39"/>
    <m/>
    <m/>
    <m/>
    <m/>
    <m/>
    <m/>
    <m/>
    <s v="_1. Item _1"/>
    <n v="3"/>
    <x v="8"/>
    <x v="2"/>
    <n v="2021"/>
    <n v="2021"/>
    <b v="1"/>
  </r>
  <r>
    <x v="16"/>
    <m/>
    <x v="1"/>
    <s v="Centralized"/>
    <s v="Out"/>
    <m/>
    <m/>
    <m/>
    <m/>
    <n v="3"/>
    <s v="COMPLETE"/>
    <s v="f"/>
    <d v="2021-02-15T00:00:00"/>
    <d v="2021-02-26T00:00:00"/>
    <m/>
    <n v="1141.6500000000001"/>
    <m/>
    <m/>
    <m/>
    <m/>
    <m/>
    <m/>
    <m/>
    <s v="_1. Item _1"/>
    <n v="2"/>
    <x v="6"/>
    <x v="2"/>
    <n v="2021"/>
    <n v="2021"/>
    <b v="1"/>
  </r>
  <r>
    <x v="16"/>
    <m/>
    <x v="1"/>
    <s v="Centralized"/>
    <s v="Out"/>
    <m/>
    <m/>
    <m/>
    <s v="X"/>
    <n v="1"/>
    <s v="COMPLETE"/>
    <s v="f"/>
    <d v="2021-03-01T00:00:00"/>
    <d v="2021-03-22T00:00:00"/>
    <m/>
    <n v="499354.13"/>
    <m/>
    <m/>
    <m/>
    <m/>
    <m/>
    <m/>
    <m/>
    <s v="_1. Item _1"/>
    <n v="3"/>
    <x v="8"/>
    <x v="2"/>
    <n v="2021"/>
    <n v="2021"/>
    <b v="1"/>
  </r>
  <r>
    <x v="36"/>
    <m/>
    <x v="1"/>
    <s v="Centralized"/>
    <s v="Out"/>
    <m/>
    <m/>
    <m/>
    <m/>
    <n v="1"/>
    <s v="COMPLETE"/>
    <s v="f"/>
    <d v="2021-02-05T00:00:00"/>
    <d v="2021-02-26T00:00:00"/>
    <m/>
    <n v="11424.71"/>
    <m/>
    <m/>
    <m/>
    <m/>
    <m/>
    <m/>
    <m/>
    <s v="_3. Item _3"/>
    <n v="2"/>
    <x v="6"/>
    <x v="2"/>
    <n v="2021"/>
    <n v="2021"/>
    <b v="1"/>
  </r>
  <r>
    <x v="0"/>
    <m/>
    <x v="1"/>
    <s v="Centralized"/>
    <s v="Out"/>
    <m/>
    <m/>
    <m/>
    <m/>
    <n v="3"/>
    <s v="COMPLETE"/>
    <s v="f"/>
    <d v="2021-02-15T00:00:00"/>
    <d v="2021-02-26T00:00:00"/>
    <m/>
    <n v="241420.32"/>
    <m/>
    <m/>
    <m/>
    <m/>
    <m/>
    <m/>
    <m/>
    <s v="01. Item 01"/>
    <n v="2"/>
    <x v="6"/>
    <x v="2"/>
    <n v="2021"/>
    <n v="2021"/>
    <b v="1"/>
  </r>
  <r>
    <x v="1"/>
    <m/>
    <x v="1"/>
    <s v="Centralized"/>
    <s v="Out"/>
    <m/>
    <m/>
    <m/>
    <m/>
    <n v="3"/>
    <s v="COMPLETE"/>
    <s v="f"/>
    <d v="2021-02-15T00:00:00"/>
    <d v="2021-03-03T00:00:00"/>
    <m/>
    <n v="41014.29"/>
    <m/>
    <m/>
    <m/>
    <m/>
    <m/>
    <m/>
    <m/>
    <s v="02. Item 02"/>
    <n v="2"/>
    <x v="8"/>
    <x v="2"/>
    <n v="2021"/>
    <n v="2021"/>
    <b v="1"/>
  </r>
  <r>
    <x v="22"/>
    <m/>
    <x v="1"/>
    <s v="Centralized"/>
    <s v="Out"/>
    <m/>
    <m/>
    <m/>
    <m/>
    <n v="3"/>
    <s v="COMPLETE"/>
    <s v="f"/>
    <d v="2021-02-15T00:00:00"/>
    <d v="2021-02-25T00:00:00"/>
    <m/>
    <n v="106802.48"/>
    <m/>
    <m/>
    <m/>
    <m/>
    <m/>
    <m/>
    <m/>
    <s v="04. Item 04"/>
    <n v="2"/>
    <x v="6"/>
    <x v="2"/>
    <n v="2021"/>
    <n v="2021"/>
    <b v="1"/>
  </r>
  <r>
    <x v="4"/>
    <m/>
    <x v="1"/>
    <s v="Centralized"/>
    <s v="Out"/>
    <m/>
    <m/>
    <m/>
    <m/>
    <n v="4"/>
    <s v="COMPLETE"/>
    <s v="f"/>
    <d v="2021-02-15T00:00:00"/>
    <d v="2021-02-26T00:00:00"/>
    <m/>
    <n v="1287.83"/>
    <m/>
    <m/>
    <m/>
    <m/>
    <m/>
    <m/>
    <m/>
    <s v="05. Item 05"/>
    <n v="2"/>
    <x v="6"/>
    <x v="2"/>
    <n v="2021"/>
    <n v="2021"/>
    <b v="1"/>
  </r>
  <r>
    <x v="5"/>
    <m/>
    <x v="1"/>
    <s v="Centralized"/>
    <s v="Out"/>
    <m/>
    <m/>
    <m/>
    <m/>
    <n v="3"/>
    <s v="COMPLETE"/>
    <s v="f"/>
    <d v="2021-02-15T00:00:00"/>
    <d v="2021-02-26T00:00:00"/>
    <m/>
    <n v="20588.02"/>
    <m/>
    <m/>
    <m/>
    <m/>
    <m/>
    <m/>
    <m/>
    <s v="05. Item 05"/>
    <n v="2"/>
    <x v="6"/>
    <x v="2"/>
    <n v="2021"/>
    <n v="2021"/>
    <b v="1"/>
  </r>
  <r>
    <x v="15"/>
    <m/>
    <x v="1"/>
    <s v="Centralized"/>
    <s v="Out"/>
    <m/>
    <m/>
    <s v="CANCEL"/>
    <m/>
    <m/>
    <m/>
    <s v="p"/>
    <d v="2020-12-01T00:00:00"/>
    <d v="2020-12-01T00:00:00"/>
    <n v="-330552.99"/>
    <m/>
    <m/>
    <m/>
    <m/>
    <m/>
    <m/>
    <m/>
    <m/>
    <s v="06. Item 06"/>
    <n v="12"/>
    <x v="0"/>
    <x v="1"/>
    <n v="2020"/>
    <n v="2020"/>
    <b v="1"/>
  </r>
  <r>
    <x v="6"/>
    <m/>
    <x v="1"/>
    <s v="Centralized"/>
    <s v="Out"/>
    <m/>
    <m/>
    <s v="CANCEL"/>
    <m/>
    <m/>
    <m/>
    <s v="p"/>
    <d v="2020-12-01T00:00:00"/>
    <d v="2020-12-01T00:00:00"/>
    <n v="-1159801.75"/>
    <m/>
    <m/>
    <m/>
    <m/>
    <m/>
    <m/>
    <m/>
    <m/>
    <s v="07. Item 07"/>
    <n v="12"/>
    <x v="0"/>
    <x v="1"/>
    <n v="2020"/>
    <n v="2020"/>
    <b v="1"/>
  </r>
  <r>
    <x v="21"/>
    <m/>
    <x v="1"/>
    <s v="Centralized"/>
    <s v="In"/>
    <m/>
    <m/>
    <m/>
    <m/>
    <m/>
    <s v="COMPLETE"/>
    <s v="f"/>
    <d v="2021-02-16T00:00:00"/>
    <d v="2021-02-16T00:00:00"/>
    <m/>
    <n v="10451.67"/>
    <m/>
    <m/>
    <m/>
    <m/>
    <m/>
    <m/>
    <m/>
    <s v="09. Item 09"/>
    <n v="2"/>
    <x v="6"/>
    <x v="2"/>
    <n v="2021"/>
    <n v="2021"/>
    <b v="1"/>
  </r>
  <r>
    <x v="8"/>
    <m/>
    <x v="2"/>
    <s v="Centralized"/>
    <s v="Out"/>
    <m/>
    <m/>
    <m/>
    <m/>
    <m/>
    <m/>
    <s v="f"/>
    <d v="2021-02-01T00:00:00"/>
    <d v="2021-02-01T00:00:00"/>
    <m/>
    <n v="3636.81"/>
    <m/>
    <m/>
    <m/>
    <m/>
    <m/>
    <m/>
    <m/>
    <s v="09. Item 09"/>
    <n v="2"/>
    <x v="6"/>
    <x v="2"/>
    <n v="2021"/>
    <n v="2021"/>
    <b v="1"/>
  </r>
  <r>
    <x v="9"/>
    <m/>
    <x v="2"/>
    <s v="Centralized"/>
    <s v="Out"/>
    <m/>
    <m/>
    <m/>
    <m/>
    <m/>
    <m/>
    <s v="f"/>
    <d v="2021-02-01T00:00:00"/>
    <d v="2021-02-01T00:00:00"/>
    <m/>
    <n v="1877810.77"/>
    <m/>
    <m/>
    <m/>
    <m/>
    <m/>
    <m/>
    <m/>
    <s v="09. Item 09"/>
    <n v="2"/>
    <x v="6"/>
    <x v="2"/>
    <n v="2021"/>
    <n v="2021"/>
    <b v="1"/>
  </r>
  <r>
    <x v="10"/>
    <m/>
    <x v="2"/>
    <s v="Centralized"/>
    <s v="Out"/>
    <m/>
    <m/>
    <m/>
    <m/>
    <m/>
    <m/>
    <s v="f"/>
    <d v="2021-02-01T00:00:00"/>
    <d v="2021-02-01T00:00:00"/>
    <m/>
    <n v="33471.75"/>
    <m/>
    <m/>
    <m/>
    <m/>
    <m/>
    <m/>
    <m/>
    <s v="11. Item 11"/>
    <n v="2"/>
    <x v="6"/>
    <x v="2"/>
    <n v="2021"/>
    <n v="2021"/>
    <b v="1"/>
  </r>
  <r>
    <x v="23"/>
    <m/>
    <x v="2"/>
    <s v="Centralized"/>
    <s v="Out"/>
    <m/>
    <m/>
    <m/>
    <m/>
    <m/>
    <m/>
    <s v="f"/>
    <d v="2021-02-01T00:00:00"/>
    <d v="2021-02-01T00:00:00"/>
    <m/>
    <n v="21221.72"/>
    <m/>
    <m/>
    <m/>
    <m/>
    <m/>
    <m/>
    <m/>
    <s v="21. Item 21"/>
    <n v="2"/>
    <x v="6"/>
    <x v="2"/>
    <n v="2021"/>
    <n v="2021"/>
    <b v="1"/>
  </r>
  <r>
    <x v="20"/>
    <m/>
    <x v="2"/>
    <s v="Centralized"/>
    <s v="Out"/>
    <m/>
    <m/>
    <m/>
    <m/>
    <m/>
    <m/>
    <s v="f"/>
    <d v="2021-02-01T00:00:00"/>
    <d v="2021-02-01T00:00:00"/>
    <m/>
    <n v="1050730.51"/>
    <m/>
    <m/>
    <m/>
    <m/>
    <m/>
    <m/>
    <m/>
    <s v="14. Item 14"/>
    <n v="2"/>
    <x v="6"/>
    <x v="2"/>
    <n v="2021"/>
    <n v="2021"/>
    <b v="1"/>
  </r>
  <r>
    <x v="14"/>
    <m/>
    <x v="2"/>
    <s v="Centralized"/>
    <s v="Out"/>
    <m/>
    <m/>
    <m/>
    <m/>
    <m/>
    <m/>
    <s v="f"/>
    <d v="2021-02-01T00:00:00"/>
    <d v="2021-02-01T00:00:00"/>
    <m/>
    <n v="248662.59"/>
    <m/>
    <m/>
    <m/>
    <m/>
    <m/>
    <m/>
    <m/>
    <s v="19. Item 19"/>
    <n v="2"/>
    <x v="6"/>
    <x v="2"/>
    <n v="2021"/>
    <n v="2021"/>
    <b v="1"/>
  </r>
  <r>
    <x v="16"/>
    <m/>
    <x v="2"/>
    <s v="Centralized"/>
    <s v="Out"/>
    <m/>
    <m/>
    <m/>
    <m/>
    <m/>
    <m/>
    <s v="f"/>
    <d v="2021-02-01T00:00:00"/>
    <d v="2021-02-01T00:00:00"/>
    <m/>
    <n v="468217.28"/>
    <m/>
    <m/>
    <m/>
    <m/>
    <m/>
    <m/>
    <m/>
    <s v="_1. Item _1"/>
    <n v="2"/>
    <x v="6"/>
    <x v="2"/>
    <n v="2021"/>
    <n v="2021"/>
    <b v="1"/>
  </r>
  <r>
    <x v="16"/>
    <m/>
    <x v="2"/>
    <s v="Centralized"/>
    <s v="Out"/>
    <m/>
    <m/>
    <m/>
    <m/>
    <m/>
    <m/>
    <s v="f"/>
    <d v="2021-02-01T00:00:00"/>
    <d v="2021-02-01T00:00:00"/>
    <m/>
    <n v="1767.86"/>
    <m/>
    <m/>
    <m/>
    <m/>
    <m/>
    <m/>
    <m/>
    <s v="_1. Item _1"/>
    <n v="2"/>
    <x v="6"/>
    <x v="2"/>
    <n v="2021"/>
    <n v="2021"/>
    <b v="1"/>
  </r>
  <r>
    <x v="11"/>
    <m/>
    <x v="2"/>
    <s v="Centralized"/>
    <s v="Out"/>
    <m/>
    <m/>
    <m/>
    <m/>
    <m/>
    <m/>
    <s v="f"/>
    <d v="2021-02-01T00:00:00"/>
    <d v="2021-02-01T00:00:00"/>
    <m/>
    <n v="31242.39"/>
    <m/>
    <m/>
    <m/>
    <m/>
    <m/>
    <m/>
    <m/>
    <s v="13. Item 13"/>
    <n v="2"/>
    <x v="6"/>
    <x v="2"/>
    <n v="2021"/>
    <n v="2021"/>
    <b v="1"/>
  </r>
  <r>
    <x v="11"/>
    <m/>
    <x v="2"/>
    <s v="Centralized"/>
    <s v="Out"/>
    <m/>
    <m/>
    <m/>
    <m/>
    <m/>
    <m/>
    <s v="f"/>
    <d v="2021-02-01T00:00:00"/>
    <d v="2021-02-01T00:00:00"/>
    <m/>
    <n v="32290.09"/>
    <m/>
    <m/>
    <m/>
    <m/>
    <m/>
    <m/>
    <m/>
    <s v="13. Item 13"/>
    <n v="2"/>
    <x v="6"/>
    <x v="2"/>
    <n v="2021"/>
    <n v="2021"/>
    <b v="1"/>
  </r>
  <r>
    <x v="8"/>
    <m/>
    <x v="2"/>
    <s v="Centralized"/>
    <s v="Out"/>
    <m/>
    <m/>
    <m/>
    <m/>
    <m/>
    <m/>
    <s v="f"/>
    <d v="2021-02-01T00:00:00"/>
    <d v="2021-02-01T00:00:00"/>
    <m/>
    <n v="3257012.61"/>
    <m/>
    <m/>
    <m/>
    <m/>
    <m/>
    <m/>
    <m/>
    <s v="09. Item 09"/>
    <n v="2"/>
    <x v="6"/>
    <x v="2"/>
    <n v="2021"/>
    <n v="2021"/>
    <b v="1"/>
  </r>
  <r>
    <x v="16"/>
    <m/>
    <x v="2"/>
    <s v="Centralized"/>
    <s v="Out"/>
    <m/>
    <m/>
    <m/>
    <m/>
    <m/>
    <m/>
    <s v="f"/>
    <d v="2021-02-01T00:00:00"/>
    <d v="2021-02-01T00:00:00"/>
    <m/>
    <n v="656404.68999999994"/>
    <m/>
    <m/>
    <m/>
    <m/>
    <m/>
    <m/>
    <m/>
    <s v="_1. Item _1"/>
    <n v="2"/>
    <x v="6"/>
    <x v="2"/>
    <n v="2021"/>
    <n v="2021"/>
    <b v="1"/>
  </r>
  <r>
    <x v="36"/>
    <m/>
    <x v="2"/>
    <s v="Centralized"/>
    <s v="Out"/>
    <m/>
    <m/>
    <m/>
    <m/>
    <m/>
    <m/>
    <s v="f"/>
    <d v="2021-02-01T00:00:00"/>
    <d v="2021-02-01T00:00:00"/>
    <m/>
    <n v="25905.5"/>
    <m/>
    <m/>
    <m/>
    <m/>
    <m/>
    <m/>
    <m/>
    <s v="_3. Item _3"/>
    <n v="2"/>
    <x v="6"/>
    <x v="2"/>
    <n v="2021"/>
    <n v="2021"/>
    <b v="1"/>
  </r>
  <r>
    <x v="35"/>
    <m/>
    <x v="2"/>
    <s v="Centralized"/>
    <s v="Out"/>
    <m/>
    <m/>
    <m/>
    <m/>
    <m/>
    <m/>
    <s v="f"/>
    <d v="2021-02-01T00:00:00"/>
    <d v="2021-02-01T00:00:00"/>
    <m/>
    <n v="129.29"/>
    <m/>
    <m/>
    <m/>
    <m/>
    <m/>
    <m/>
    <m/>
    <s v="17. Item 17"/>
    <n v="2"/>
    <x v="6"/>
    <x v="2"/>
    <n v="2021"/>
    <n v="2021"/>
    <b v="1"/>
  </r>
  <r>
    <x v="5"/>
    <m/>
    <x v="2"/>
    <s v="Centralized"/>
    <s v="Out"/>
    <m/>
    <m/>
    <m/>
    <m/>
    <m/>
    <m/>
    <s v="f"/>
    <d v="2021-02-01T00:00:00"/>
    <d v="2021-02-01T00:00:00"/>
    <m/>
    <n v="904.76"/>
    <m/>
    <m/>
    <m/>
    <m/>
    <m/>
    <m/>
    <m/>
    <s v="05. Item 05"/>
    <n v="2"/>
    <x v="6"/>
    <x v="2"/>
    <n v="2021"/>
    <n v="2021"/>
    <b v="1"/>
  </r>
  <r>
    <x v="10"/>
    <m/>
    <x v="2"/>
    <s v="Centralized"/>
    <s v="Out"/>
    <m/>
    <m/>
    <m/>
    <m/>
    <m/>
    <m/>
    <s v="f"/>
    <d v="2021-02-01T00:00:00"/>
    <d v="2021-02-01T00:00:00"/>
    <m/>
    <n v="260947.67"/>
    <m/>
    <m/>
    <m/>
    <m/>
    <m/>
    <m/>
    <m/>
    <s v="11. Item 11"/>
    <n v="2"/>
    <x v="6"/>
    <x v="2"/>
    <n v="2021"/>
    <n v="2021"/>
    <b v="1"/>
  </r>
  <r>
    <x v="13"/>
    <m/>
    <x v="2"/>
    <s v="Centralized"/>
    <s v="Out"/>
    <m/>
    <m/>
    <m/>
    <m/>
    <m/>
    <m/>
    <s v="f"/>
    <d v="2021-02-01T00:00:00"/>
    <d v="2021-02-01T00:00:00"/>
    <m/>
    <n v="1890983.19"/>
    <m/>
    <m/>
    <m/>
    <m/>
    <m/>
    <m/>
    <m/>
    <s v="13. Item 13"/>
    <n v="2"/>
    <x v="6"/>
    <x v="2"/>
    <n v="2021"/>
    <n v="2021"/>
    <b v="1"/>
  </r>
  <r>
    <x v="13"/>
    <m/>
    <x v="2"/>
    <s v="Centralized"/>
    <s v="Out"/>
    <m/>
    <m/>
    <m/>
    <m/>
    <m/>
    <m/>
    <s v="f"/>
    <d v="2021-02-01T00:00:00"/>
    <d v="2021-02-01T00:00:00"/>
    <m/>
    <n v="1722606.52"/>
    <m/>
    <m/>
    <m/>
    <m/>
    <m/>
    <m/>
    <m/>
    <s v="13. Item 13"/>
    <n v="2"/>
    <x v="6"/>
    <x v="2"/>
    <n v="2021"/>
    <n v="2021"/>
    <b v="1"/>
  </r>
  <r>
    <x v="15"/>
    <m/>
    <x v="2"/>
    <s v="Centralized"/>
    <s v="Out"/>
    <m/>
    <m/>
    <m/>
    <m/>
    <m/>
    <m/>
    <s v="f"/>
    <d v="2021-02-01T00:00:00"/>
    <d v="2021-02-01T00:00:00"/>
    <m/>
    <n v="66657.58"/>
    <m/>
    <m/>
    <m/>
    <m/>
    <m/>
    <m/>
    <m/>
    <s v="06. Item 06"/>
    <n v="2"/>
    <x v="6"/>
    <x v="2"/>
    <n v="2021"/>
    <n v="2021"/>
    <b v="1"/>
  </r>
  <r>
    <x v="16"/>
    <m/>
    <x v="1"/>
    <s v="Centralized"/>
    <s v="Out"/>
    <m/>
    <m/>
    <s v="CANCEL"/>
    <m/>
    <m/>
    <m/>
    <s v="p"/>
    <d v="2020-12-01T00:00:00"/>
    <d v="2020-12-01T00:00:00"/>
    <n v="-552256.52"/>
    <m/>
    <m/>
    <m/>
    <m/>
    <m/>
    <m/>
    <m/>
    <m/>
    <s v="_1. Item _1"/>
    <n v="12"/>
    <x v="0"/>
    <x v="1"/>
    <n v="2020"/>
    <n v="2020"/>
    <b v="1"/>
  </r>
  <r>
    <x v="32"/>
    <m/>
    <x v="2"/>
    <s v="Centralized"/>
    <s v="In"/>
    <m/>
    <m/>
    <m/>
    <m/>
    <m/>
    <m/>
    <s v="f"/>
    <d v="2021-01-31T00:00:00"/>
    <d v="2021-01-31T00:00:00"/>
    <m/>
    <n v="38341085.350000001"/>
    <m/>
    <m/>
    <m/>
    <m/>
    <m/>
    <m/>
    <m/>
    <s v="12. Item 12"/>
    <n v="1"/>
    <x v="1"/>
    <x v="2"/>
    <n v="2021"/>
    <n v="2021"/>
    <b v="1"/>
  </r>
  <r>
    <x v="23"/>
    <m/>
    <x v="1"/>
    <s v="Centralized"/>
    <s v="In"/>
    <m/>
    <m/>
    <m/>
    <m/>
    <m/>
    <s v="COMPLETE"/>
    <s v="f"/>
    <d v="2021-02-17T00:00:00"/>
    <d v="2021-02-17T00:00:00"/>
    <m/>
    <n v="13374.26"/>
    <m/>
    <m/>
    <m/>
    <m/>
    <m/>
    <m/>
    <m/>
    <s v="21. Item 21"/>
    <n v="2"/>
    <x v="6"/>
    <x v="2"/>
    <n v="2021"/>
    <n v="2021"/>
    <b v="1"/>
  </r>
  <r>
    <x v="4"/>
    <m/>
    <x v="1"/>
    <s v="Decentralized"/>
    <s v="In"/>
    <m/>
    <m/>
    <m/>
    <m/>
    <m/>
    <m/>
    <s v="p"/>
    <d v="2020-12-01T00:00:00"/>
    <d v="2020-12-01T00:00:00"/>
    <n v="71904.759999999995"/>
    <m/>
    <m/>
    <m/>
    <m/>
    <m/>
    <m/>
    <m/>
    <m/>
    <s v="05. Item 05"/>
    <n v="12"/>
    <x v="0"/>
    <x v="1"/>
    <n v="2020"/>
    <n v="2020"/>
    <b v="1"/>
  </r>
  <r>
    <x v="22"/>
    <m/>
    <x v="1"/>
    <s v="Decentralized"/>
    <s v="Out"/>
    <m/>
    <m/>
    <m/>
    <m/>
    <m/>
    <m/>
    <s v="p"/>
    <d v="2020-12-01T00:00:00"/>
    <d v="2020-12-01T00:00:00"/>
    <n v="71904.759999999995"/>
    <m/>
    <m/>
    <m/>
    <m/>
    <m/>
    <m/>
    <m/>
    <m/>
    <s v="04. Item 04"/>
    <n v="12"/>
    <x v="0"/>
    <x v="1"/>
    <n v="2020"/>
    <n v="2020"/>
    <b v="1"/>
  </r>
  <r>
    <x v="35"/>
    <m/>
    <x v="1"/>
    <s v="Centralized"/>
    <s v="Out"/>
    <m/>
    <m/>
    <m/>
    <m/>
    <m/>
    <m/>
    <s v="p"/>
    <d v="2020-03-01T00:00:00"/>
    <d v="2020-03-01T00:00:00"/>
    <n v="5220.9799999999996"/>
    <m/>
    <m/>
    <m/>
    <m/>
    <m/>
    <m/>
    <m/>
    <m/>
    <s v="17. Item 17"/>
    <n v="3"/>
    <x v="8"/>
    <x v="1"/>
    <n v="2020"/>
    <n v="2020"/>
    <b v="1"/>
  </r>
  <r>
    <x v="4"/>
    <m/>
    <x v="1"/>
    <s v="Centralized"/>
    <s v="Out"/>
    <m/>
    <m/>
    <m/>
    <m/>
    <m/>
    <m/>
    <s v="p"/>
    <d v="2020-02-01T00:00:00"/>
    <d v="2020-02-01T00:00:00"/>
    <n v="360834.73"/>
    <m/>
    <m/>
    <m/>
    <m/>
    <m/>
    <m/>
    <m/>
    <m/>
    <s v="05. Item 05"/>
    <n v="2"/>
    <x v="6"/>
    <x v="1"/>
    <n v="2020"/>
    <n v="2020"/>
    <b v="1"/>
  </r>
  <r>
    <x v="6"/>
    <s v="03. Item 03"/>
    <x v="1"/>
    <s v="Centralized"/>
    <s v="Out"/>
    <m/>
    <m/>
    <s v="CANCEL"/>
    <m/>
    <m/>
    <m/>
    <s v="p"/>
    <d v="2020-12-31T00:00:00"/>
    <d v="2020-12-31T00:00:00"/>
    <n v="-738804.47"/>
    <m/>
    <m/>
    <m/>
    <m/>
    <m/>
    <m/>
    <m/>
    <m/>
    <s v="03. Item 03"/>
    <n v="12"/>
    <x v="0"/>
    <x v="1"/>
    <n v="2020"/>
    <n v="2020"/>
    <b v="1"/>
  </r>
  <r>
    <x v="3"/>
    <s v="04. Item 04"/>
    <x v="1"/>
    <s v="Centralized"/>
    <s v="Out"/>
    <m/>
    <m/>
    <m/>
    <m/>
    <m/>
    <m/>
    <s v="p"/>
    <d v="2020-12-01T00:00:00"/>
    <d v="2020-12-01T00:00:00"/>
    <n v="-7327283.2300000004"/>
    <m/>
    <m/>
    <m/>
    <m/>
    <m/>
    <m/>
    <m/>
    <m/>
    <s v="04. Item 04"/>
    <n v="12"/>
    <x v="0"/>
    <x v="1"/>
    <n v="2020"/>
    <n v="2020"/>
    <b v="1"/>
  </r>
  <r>
    <x v="22"/>
    <s v="10. Item 10"/>
    <x v="1"/>
    <s v="Centralized"/>
    <s v="Out"/>
    <m/>
    <m/>
    <m/>
    <m/>
    <m/>
    <m/>
    <s v="p"/>
    <d v="2020-12-01T00:00:00"/>
    <d v="2020-12-01T00:00:00"/>
    <n v="-1839.99"/>
    <m/>
    <m/>
    <m/>
    <m/>
    <m/>
    <m/>
    <m/>
    <m/>
    <s v="10. Item 10"/>
    <n v="12"/>
    <x v="0"/>
    <x v="1"/>
    <n v="2020"/>
    <n v="2020"/>
    <b v="1"/>
  </r>
  <r>
    <x v="11"/>
    <m/>
    <x v="1"/>
    <s v="Centralized"/>
    <s v="Out"/>
    <m/>
    <m/>
    <m/>
    <m/>
    <m/>
    <m/>
    <s v="p"/>
    <d v="2020-12-01T00:00:00"/>
    <d v="2020-12-01T00:00:00"/>
    <n v="-32106.45"/>
    <m/>
    <m/>
    <m/>
    <m/>
    <m/>
    <m/>
    <m/>
    <m/>
    <s v="13. Item 13"/>
    <n v="12"/>
    <x v="0"/>
    <x v="1"/>
    <n v="2020"/>
    <n v="2020"/>
    <b v="1"/>
  </r>
  <r>
    <x v="29"/>
    <s v="12. Item 12"/>
    <x v="1"/>
    <s v="Centralized"/>
    <s v="Out"/>
    <m/>
    <m/>
    <m/>
    <m/>
    <m/>
    <m/>
    <s v="p"/>
    <d v="2020-12-01T00:00:00"/>
    <d v="2020-12-01T00:00:00"/>
    <n v="-5086.5200000000004"/>
    <m/>
    <m/>
    <m/>
    <m/>
    <m/>
    <m/>
    <m/>
    <m/>
    <s v="12. Item 12"/>
    <n v="12"/>
    <x v="0"/>
    <x v="1"/>
    <n v="2020"/>
    <n v="2020"/>
    <b v="1"/>
  </r>
  <r>
    <x v="29"/>
    <s v="13. Item 13"/>
    <x v="1"/>
    <s v="Centralized"/>
    <s v="Out"/>
    <m/>
    <m/>
    <m/>
    <m/>
    <m/>
    <m/>
    <s v="p"/>
    <d v="2020-12-01T00:00:00"/>
    <d v="2020-12-01T00:00:00"/>
    <n v="-1334903.44"/>
    <m/>
    <m/>
    <m/>
    <m/>
    <m/>
    <m/>
    <m/>
    <m/>
    <s v="13. Item 13"/>
    <n v="12"/>
    <x v="0"/>
    <x v="1"/>
    <n v="2020"/>
    <n v="2020"/>
    <b v="1"/>
  </r>
  <r>
    <x v="9"/>
    <m/>
    <x v="1"/>
    <s v="Centralized"/>
    <s v="Out"/>
    <m/>
    <m/>
    <m/>
    <m/>
    <m/>
    <m/>
    <s v="p"/>
    <d v="2020-12-01T00:00:00"/>
    <d v="2020-12-01T00:00:00"/>
    <n v="-26732.74"/>
    <m/>
    <m/>
    <m/>
    <m/>
    <m/>
    <m/>
    <m/>
    <m/>
    <s v="09. Item 09"/>
    <n v="12"/>
    <x v="0"/>
    <x v="1"/>
    <n v="2020"/>
    <n v="2020"/>
    <b v="1"/>
  </r>
  <r>
    <x v="21"/>
    <m/>
    <x v="1"/>
    <s v="Centralized"/>
    <s v="Out"/>
    <m/>
    <m/>
    <s v="CANCEL"/>
    <m/>
    <m/>
    <m/>
    <s v="p"/>
    <d v="2020-12-31T00:00:00"/>
    <d v="2020-12-31T00:00:00"/>
    <n v="-14885.73"/>
    <m/>
    <m/>
    <m/>
    <m/>
    <m/>
    <m/>
    <m/>
    <m/>
    <s v="09. Item 09"/>
    <n v="12"/>
    <x v="0"/>
    <x v="1"/>
    <n v="2020"/>
    <n v="2020"/>
    <b v="1"/>
  </r>
  <r>
    <x v="21"/>
    <m/>
    <x v="1"/>
    <s v="Centralized"/>
    <s v="Out"/>
    <m/>
    <m/>
    <s v="CANCEL"/>
    <m/>
    <m/>
    <m/>
    <s v="p"/>
    <d v="2020-12-31T00:00:00"/>
    <d v="2020-12-31T00:00:00"/>
    <n v="-9161.3700000000008"/>
    <m/>
    <m/>
    <m/>
    <m/>
    <m/>
    <m/>
    <m/>
    <m/>
    <s v="09. Item 09"/>
    <n v="12"/>
    <x v="0"/>
    <x v="1"/>
    <n v="2020"/>
    <n v="2020"/>
    <b v="1"/>
  </r>
  <r>
    <x v="8"/>
    <m/>
    <x v="1"/>
    <s v="Centralized"/>
    <s v="Out"/>
    <m/>
    <m/>
    <s v="CANCEL"/>
    <m/>
    <m/>
    <m/>
    <s v="p"/>
    <d v="2020-12-31T00:00:00"/>
    <d v="2020-12-31T00:00:00"/>
    <n v="-17481.77"/>
    <m/>
    <m/>
    <m/>
    <m/>
    <m/>
    <m/>
    <m/>
    <m/>
    <s v="09. Item 09"/>
    <n v="12"/>
    <x v="0"/>
    <x v="1"/>
    <n v="2020"/>
    <n v="2020"/>
    <b v="1"/>
  </r>
  <r>
    <x v="14"/>
    <m/>
    <x v="1"/>
    <s v="Centralized"/>
    <s v="Out"/>
    <m/>
    <m/>
    <s v="CANCEL"/>
    <m/>
    <m/>
    <m/>
    <s v="p"/>
    <d v="2020-12-31T00:00:00"/>
    <d v="2020-12-31T00:00:00"/>
    <n v="-2638.59"/>
    <m/>
    <m/>
    <m/>
    <m/>
    <m/>
    <m/>
    <m/>
    <m/>
    <s v="19. Item 19"/>
    <n v="12"/>
    <x v="0"/>
    <x v="1"/>
    <n v="2020"/>
    <n v="2020"/>
    <b v="1"/>
  </r>
  <r>
    <x v="38"/>
    <m/>
    <x v="1"/>
    <s v="Centralized"/>
    <s v="Out"/>
    <m/>
    <m/>
    <s v="CANCEL"/>
    <m/>
    <m/>
    <m/>
    <s v="p"/>
    <d v="2020-12-01T00:00:00"/>
    <d v="2020-12-01T00:00:00"/>
    <n v="-1318.37"/>
    <m/>
    <m/>
    <m/>
    <m/>
    <m/>
    <m/>
    <m/>
    <m/>
    <s v="03. Item 03"/>
    <n v="12"/>
    <x v="0"/>
    <x v="1"/>
    <n v="2020"/>
    <n v="2020"/>
    <b v="1"/>
  </r>
  <r>
    <x v="20"/>
    <m/>
    <x v="1"/>
    <s v="Centralized"/>
    <s v="Out"/>
    <m/>
    <m/>
    <s v="CANCEL"/>
    <m/>
    <m/>
    <m/>
    <s v="p"/>
    <d v="2020-12-01T00:00:00"/>
    <d v="2020-12-01T00:00:00"/>
    <n v="-289.52999999999997"/>
    <m/>
    <m/>
    <m/>
    <m/>
    <m/>
    <m/>
    <m/>
    <m/>
    <s v="14. Item 14"/>
    <n v="12"/>
    <x v="0"/>
    <x v="1"/>
    <n v="2020"/>
    <n v="2020"/>
    <b v="1"/>
  </r>
  <r>
    <x v="7"/>
    <m/>
    <x v="1"/>
    <s v="Centralized"/>
    <s v="Out"/>
    <s v="X"/>
    <m/>
    <m/>
    <m/>
    <n v="4"/>
    <s v="COMPLETE"/>
    <s v="f"/>
    <d v="2021-01-20T00:00:00"/>
    <d v="2021-03-01T00:00:00"/>
    <m/>
    <n v="53656.83"/>
    <m/>
    <m/>
    <m/>
    <m/>
    <m/>
    <m/>
    <m/>
    <s v="08. Item 08"/>
    <n v="1"/>
    <x v="8"/>
    <x v="2"/>
    <n v="2021"/>
    <n v="2020"/>
    <b v="1"/>
  </r>
  <r>
    <x v="16"/>
    <m/>
    <x v="1"/>
    <s v="Centralized"/>
    <s v="Out"/>
    <m/>
    <m/>
    <m/>
    <m/>
    <n v="1"/>
    <s v="COMPLETE"/>
    <s v="f"/>
    <d v="2021-02-05T00:00:00"/>
    <d v="2021-03-03T00:00:00"/>
    <m/>
    <n v="58016.31"/>
    <m/>
    <m/>
    <m/>
    <m/>
    <m/>
    <m/>
    <m/>
    <s v="_1. Item _1"/>
    <n v="2"/>
    <x v="8"/>
    <x v="2"/>
    <n v="2021"/>
    <n v="2021"/>
    <b v="1"/>
  </r>
  <r>
    <x v="3"/>
    <m/>
    <x v="1"/>
    <s v="Centralized"/>
    <s v="Out"/>
    <m/>
    <m/>
    <m/>
    <s v="X"/>
    <n v="3"/>
    <s v="COMPLETE"/>
    <s v="f"/>
    <d v="2021-03-01T00:00:00"/>
    <d v="2021-03-16T00:00:00"/>
    <m/>
    <n v="357600"/>
    <m/>
    <m/>
    <m/>
    <m/>
    <m/>
    <m/>
    <m/>
    <s v="04. Item 04"/>
    <n v="3"/>
    <x v="8"/>
    <x v="2"/>
    <n v="2021"/>
    <n v="2021"/>
    <b v="1"/>
  </r>
  <r>
    <x v="22"/>
    <m/>
    <x v="1"/>
    <s v="Centralized"/>
    <s v="Out"/>
    <m/>
    <m/>
    <m/>
    <m/>
    <n v="3"/>
    <s v="COMPLETE"/>
    <s v="f"/>
    <d v="2021-02-15T00:00:00"/>
    <d v="2021-02-25T00:00:00"/>
    <m/>
    <n v="32748.45"/>
    <m/>
    <m/>
    <m/>
    <m/>
    <m/>
    <m/>
    <m/>
    <s v="04. Item 04"/>
    <n v="2"/>
    <x v="6"/>
    <x v="2"/>
    <n v="2021"/>
    <n v="2021"/>
    <b v="1"/>
  </r>
  <r>
    <x v="4"/>
    <m/>
    <x v="1"/>
    <s v="Centralized"/>
    <s v="Out"/>
    <m/>
    <m/>
    <m/>
    <m/>
    <n v="3"/>
    <s v="COMPLETE"/>
    <s v="f"/>
    <d v="2021-02-15T00:00:00"/>
    <d v="2021-02-25T00:00:00"/>
    <m/>
    <n v="32290.09"/>
    <m/>
    <m/>
    <m/>
    <m/>
    <m/>
    <m/>
    <m/>
    <s v="05. Item 05"/>
    <n v="2"/>
    <x v="6"/>
    <x v="2"/>
    <n v="2021"/>
    <n v="2021"/>
    <b v="1"/>
  </r>
  <r>
    <x v="5"/>
    <m/>
    <x v="1"/>
    <s v="Centralized"/>
    <s v="Out"/>
    <m/>
    <m/>
    <m/>
    <m/>
    <n v="3"/>
    <s v="COMPLETE"/>
    <s v="f"/>
    <d v="2021-02-15T00:00:00"/>
    <d v="2021-02-26T00:00:00"/>
    <m/>
    <n v="904.76"/>
    <m/>
    <m/>
    <m/>
    <m/>
    <m/>
    <m/>
    <m/>
    <s v="05. Item 05"/>
    <n v="2"/>
    <x v="6"/>
    <x v="2"/>
    <n v="2021"/>
    <n v="2021"/>
    <b v="1"/>
  </r>
  <r>
    <x v="15"/>
    <m/>
    <x v="1"/>
    <s v="Centralized"/>
    <s v="Out"/>
    <m/>
    <m/>
    <m/>
    <m/>
    <n v="3"/>
    <s v="COMPLETE"/>
    <s v="f"/>
    <d v="2021-02-15T00:00:00"/>
    <d v="2021-02-26T00:00:00"/>
    <m/>
    <n v="101723.23"/>
    <m/>
    <m/>
    <m/>
    <m/>
    <m/>
    <m/>
    <m/>
    <s v="06. Item 06"/>
    <n v="2"/>
    <x v="6"/>
    <x v="2"/>
    <n v="2021"/>
    <n v="2021"/>
    <b v="1"/>
  </r>
  <r>
    <x v="6"/>
    <m/>
    <x v="1"/>
    <s v="Centralized"/>
    <s v="Out"/>
    <m/>
    <m/>
    <m/>
    <s v="X"/>
    <n v="3"/>
    <s v="COMPLETE"/>
    <s v="f"/>
    <d v="2021-02-15T00:00:00"/>
    <d v="2021-02-26T00:00:00"/>
    <m/>
    <n v="1385.71"/>
    <m/>
    <m/>
    <m/>
    <m/>
    <m/>
    <m/>
    <m/>
    <s v="07. Item 07"/>
    <n v="2"/>
    <x v="6"/>
    <x v="2"/>
    <n v="2021"/>
    <n v="2021"/>
    <b v="1"/>
  </r>
  <r>
    <x v="7"/>
    <m/>
    <x v="1"/>
    <s v="Centralized"/>
    <s v="In"/>
    <m/>
    <m/>
    <m/>
    <m/>
    <m/>
    <s v="COMPLETE"/>
    <s v="f"/>
    <d v="2021-02-24T00:00:00"/>
    <d v="2021-02-24T00:00:00"/>
    <m/>
    <n v="1026749.32"/>
    <m/>
    <m/>
    <m/>
    <m/>
    <m/>
    <m/>
    <m/>
    <s v="08. Item 08"/>
    <n v="2"/>
    <x v="6"/>
    <x v="2"/>
    <n v="2021"/>
    <n v="2021"/>
    <b v="1"/>
  </r>
  <r>
    <x v="21"/>
    <m/>
    <x v="1"/>
    <s v="Centralized"/>
    <s v="In"/>
    <m/>
    <m/>
    <m/>
    <m/>
    <m/>
    <s v="COMPLETE"/>
    <s v="f"/>
    <d v="2021-02-25T00:00:00"/>
    <d v="2021-02-25T00:00:00"/>
    <m/>
    <n v="1458450.16"/>
    <m/>
    <m/>
    <m/>
    <m/>
    <m/>
    <m/>
    <m/>
    <s v="09. Item 09"/>
    <n v="2"/>
    <x v="6"/>
    <x v="2"/>
    <n v="2021"/>
    <n v="2021"/>
    <b v="1"/>
  </r>
  <r>
    <x v="9"/>
    <m/>
    <x v="1"/>
    <s v="Centralized"/>
    <s v="In"/>
    <m/>
    <m/>
    <m/>
    <m/>
    <m/>
    <s v="COMPLETE"/>
    <s v="f"/>
    <d v="2021-02-26T00:00:00"/>
    <d v="2021-02-26T00:00:00"/>
    <m/>
    <n v="15286599.539999999"/>
    <m/>
    <m/>
    <m/>
    <m/>
    <m/>
    <m/>
    <m/>
    <s v="09. Item 09"/>
    <n v="2"/>
    <x v="6"/>
    <x v="2"/>
    <n v="2021"/>
    <n v="2021"/>
    <b v="1"/>
  </r>
  <r>
    <x v="8"/>
    <m/>
    <x v="1"/>
    <s v="Centralized"/>
    <s v="Out"/>
    <m/>
    <m/>
    <m/>
    <m/>
    <n v="3"/>
    <s v="COMPLETE"/>
    <s v="f"/>
    <d v="2021-02-15T00:00:00"/>
    <d v="2021-02-25T00:00:00"/>
    <m/>
    <n v="1285714.29"/>
    <m/>
    <m/>
    <m/>
    <m/>
    <m/>
    <m/>
    <m/>
    <s v="09. Item 09"/>
    <n v="2"/>
    <x v="6"/>
    <x v="2"/>
    <n v="2021"/>
    <n v="2021"/>
    <b v="1"/>
  </r>
  <r>
    <x v="30"/>
    <m/>
    <x v="1"/>
    <s v="Centralized"/>
    <s v="Out"/>
    <m/>
    <m/>
    <m/>
    <m/>
    <n v="3"/>
    <s v="COMPLETE"/>
    <s v="f"/>
    <d v="2021-02-15T00:00:00"/>
    <d v="2021-02-24T00:00:00"/>
    <m/>
    <n v="114452.38"/>
    <m/>
    <m/>
    <m/>
    <m/>
    <m/>
    <m/>
    <m/>
    <s v="10. Item 10"/>
    <n v="2"/>
    <x v="6"/>
    <x v="2"/>
    <n v="2021"/>
    <n v="2021"/>
    <b v="1"/>
  </r>
  <r>
    <x v="31"/>
    <m/>
    <x v="1"/>
    <s v="Centralized"/>
    <s v="Out"/>
    <m/>
    <m/>
    <m/>
    <s v="X"/>
    <n v="3"/>
    <s v="COMPLETE"/>
    <s v="f"/>
    <d v="2021-02-18T00:00:00"/>
    <d v="2021-02-26T00:00:00"/>
    <m/>
    <n v="1390476.19"/>
    <m/>
    <m/>
    <m/>
    <m/>
    <m/>
    <m/>
    <m/>
    <s v="10. Item 10"/>
    <n v="2"/>
    <x v="6"/>
    <x v="2"/>
    <n v="2021"/>
    <n v="2021"/>
    <b v="1"/>
  </r>
  <r>
    <x v="10"/>
    <m/>
    <x v="1"/>
    <s v="Centralized"/>
    <s v="Out"/>
    <m/>
    <m/>
    <m/>
    <m/>
    <n v="4"/>
    <s v="COMPLETE"/>
    <s v="f"/>
    <d v="2021-01-15T00:00:00"/>
    <d v="2021-02-03T00:00:00"/>
    <m/>
    <n v="483.16"/>
    <m/>
    <m/>
    <m/>
    <m/>
    <m/>
    <m/>
    <m/>
    <s v="11. Item 11"/>
    <n v="1"/>
    <x v="6"/>
    <x v="2"/>
    <n v="2021"/>
    <n v="2021"/>
    <b v="1"/>
  </r>
  <r>
    <x v="16"/>
    <m/>
    <x v="3"/>
    <s v="Centralized"/>
    <s v="In"/>
    <m/>
    <m/>
    <m/>
    <m/>
    <m/>
    <m/>
    <s v="f"/>
    <d v="2020-10-31T00:00:00"/>
    <d v="2020-10-31T00:00:00"/>
    <m/>
    <n v="7249315.71"/>
    <m/>
    <m/>
    <m/>
    <m/>
    <m/>
    <m/>
    <m/>
    <s v="_1. Item _1"/>
    <n v="10"/>
    <x v="3"/>
    <x v="1"/>
    <n v="2020"/>
    <n v="2020"/>
    <b v="1"/>
  </r>
  <r>
    <x v="16"/>
    <m/>
    <x v="3"/>
    <s v="Centralized"/>
    <s v="In"/>
    <m/>
    <m/>
    <m/>
    <m/>
    <m/>
    <m/>
    <s v="f"/>
    <d v="2020-11-30T00:00:00"/>
    <d v="2020-11-30T00:00:00"/>
    <m/>
    <n v="34960355.75"/>
    <m/>
    <m/>
    <m/>
    <m/>
    <m/>
    <m/>
    <m/>
    <s v="_1. Item _1"/>
    <n v="11"/>
    <x v="2"/>
    <x v="1"/>
    <n v="2020"/>
    <n v="2020"/>
    <b v="1"/>
  </r>
  <r>
    <x v="16"/>
    <m/>
    <x v="3"/>
    <s v="Centralized"/>
    <s v="In"/>
    <m/>
    <m/>
    <m/>
    <m/>
    <m/>
    <m/>
    <s v="f"/>
    <d v="2020-12-31T00:00:00"/>
    <d v="2020-12-31T00:00:00"/>
    <m/>
    <n v="41088752.299999997"/>
    <m/>
    <m/>
    <m/>
    <m/>
    <m/>
    <m/>
    <m/>
    <s v="_1. Item _1"/>
    <n v="12"/>
    <x v="0"/>
    <x v="1"/>
    <n v="2020"/>
    <n v="2020"/>
    <b v="1"/>
  </r>
  <r>
    <x v="33"/>
    <m/>
    <x v="1"/>
    <s v="Centralized"/>
    <s v="In"/>
    <m/>
    <m/>
    <m/>
    <m/>
    <m/>
    <s v="COMPLETE"/>
    <s v="f"/>
    <d v="2021-03-01T00:00:00"/>
    <d v="2021-03-01T00:00:00"/>
    <m/>
    <n v="1729847.31"/>
    <m/>
    <m/>
    <m/>
    <m/>
    <m/>
    <m/>
    <m/>
    <s v="13. Item 13"/>
    <n v="3"/>
    <x v="8"/>
    <x v="2"/>
    <n v="2021"/>
    <n v="2021"/>
    <b v="1"/>
  </r>
  <r>
    <x v="34"/>
    <m/>
    <x v="1"/>
    <s v="Centralized"/>
    <s v="In"/>
    <m/>
    <m/>
    <m/>
    <m/>
    <m/>
    <s v="COMPLETE"/>
    <s v="f"/>
    <d v="2021-03-02T00:00:00"/>
    <d v="2021-03-02T00:00:00"/>
    <m/>
    <n v="161135.89000000001"/>
    <m/>
    <m/>
    <m/>
    <m/>
    <m/>
    <m/>
    <m/>
    <s v="13. Item 13"/>
    <n v="3"/>
    <x v="8"/>
    <x v="2"/>
    <n v="2021"/>
    <n v="2021"/>
    <b v="1"/>
  </r>
  <r>
    <x v="13"/>
    <m/>
    <x v="1"/>
    <s v="Centralized"/>
    <s v="In"/>
    <m/>
    <m/>
    <m/>
    <m/>
    <m/>
    <s v="COMPLETE"/>
    <s v="f"/>
    <d v="2021-03-03T00:00:00"/>
    <d v="2021-03-03T00:00:00"/>
    <m/>
    <n v="99030.6"/>
    <m/>
    <m/>
    <m/>
    <m/>
    <m/>
    <m/>
    <m/>
    <s v="13. Item 13"/>
    <n v="3"/>
    <x v="8"/>
    <x v="2"/>
    <n v="2021"/>
    <n v="2021"/>
    <b v="1"/>
  </r>
  <r>
    <x v="20"/>
    <m/>
    <x v="1"/>
    <s v="Centralized"/>
    <s v="Out"/>
    <m/>
    <m/>
    <m/>
    <m/>
    <n v="1"/>
    <s v="COMPLETE"/>
    <s v="f"/>
    <d v="2021-03-04T00:00:00"/>
    <d v="2021-03-17T00:00:00"/>
    <m/>
    <n v="3075.8"/>
    <m/>
    <m/>
    <m/>
    <m/>
    <m/>
    <m/>
    <m/>
    <s v="14. Item 14"/>
    <n v="3"/>
    <x v="8"/>
    <x v="2"/>
    <n v="2021"/>
    <n v="2021"/>
    <b v="1"/>
  </r>
  <r>
    <x v="26"/>
    <m/>
    <x v="1"/>
    <s v="Centralized"/>
    <s v="Out"/>
    <m/>
    <m/>
    <m/>
    <s v="X"/>
    <n v="1"/>
    <s v="COMPLETE"/>
    <s v="f"/>
    <d v="2021-03-04T00:00:00"/>
    <d v="2021-03-15T00:00:00"/>
    <m/>
    <n v="2523809.52"/>
    <m/>
    <m/>
    <m/>
    <m/>
    <m/>
    <m/>
    <m/>
    <s v="16. Item 16"/>
    <n v="3"/>
    <x v="8"/>
    <x v="2"/>
    <n v="2021"/>
    <n v="2021"/>
    <b v="1"/>
  </r>
  <r>
    <x v="35"/>
    <m/>
    <x v="1"/>
    <s v="Centralized"/>
    <s v="Out"/>
    <m/>
    <m/>
    <m/>
    <m/>
    <m/>
    <m/>
    <s v="p"/>
    <d v="2021-03-01T00:00:00"/>
    <d v="2021-03-01T00:00:00"/>
    <n v="7522619.0499999998"/>
    <m/>
    <m/>
    <m/>
    <m/>
    <m/>
    <m/>
    <m/>
    <m/>
    <s v="17. Item 17"/>
    <n v="3"/>
    <x v="8"/>
    <x v="2"/>
    <n v="2021"/>
    <n v="2021"/>
    <b v="1"/>
  </r>
  <r>
    <x v="6"/>
    <m/>
    <x v="1"/>
    <s v="Centralized"/>
    <s v="Out"/>
    <m/>
    <m/>
    <m/>
    <m/>
    <m/>
    <m/>
    <s v="p"/>
    <d v="2021-03-01T00:00:00"/>
    <d v="2021-03-01T00:00:00"/>
    <n v="2261904.7599999998"/>
    <m/>
    <m/>
    <m/>
    <m/>
    <m/>
    <m/>
    <m/>
    <m/>
    <s v="07. Item 07"/>
    <n v="3"/>
    <x v="8"/>
    <x v="2"/>
    <n v="2021"/>
    <n v="2021"/>
    <b v="1"/>
  </r>
  <r>
    <x v="16"/>
    <s v="03. Item 03"/>
    <x v="1"/>
    <s v="Centralized"/>
    <s v="Out"/>
    <m/>
    <m/>
    <m/>
    <m/>
    <m/>
    <m/>
    <s v="p"/>
    <d v="2021-03-01T00:00:00"/>
    <d v="2021-03-01T00:00:00"/>
    <n v="1753469.98"/>
    <m/>
    <m/>
    <m/>
    <m/>
    <m/>
    <m/>
    <m/>
    <m/>
    <s v="03. Item 03"/>
    <n v="3"/>
    <x v="8"/>
    <x v="2"/>
    <n v="2021"/>
    <n v="2021"/>
    <b v="1"/>
  </r>
  <r>
    <x v="16"/>
    <m/>
    <x v="1"/>
    <s v="Centralized"/>
    <s v="Out"/>
    <m/>
    <m/>
    <m/>
    <m/>
    <m/>
    <m/>
    <s v="p"/>
    <d v="2021-03-01T00:00:00"/>
    <d v="2021-03-01T00:00:00"/>
    <n v="3553455"/>
    <m/>
    <m/>
    <m/>
    <m/>
    <m/>
    <m/>
    <m/>
    <m/>
    <s v="_1. Item _1"/>
    <n v="3"/>
    <x v="8"/>
    <x v="2"/>
    <n v="2021"/>
    <n v="2021"/>
    <b v="1"/>
  </r>
  <r>
    <x v="36"/>
    <m/>
    <x v="1"/>
    <s v="Centralized"/>
    <s v="Out"/>
    <m/>
    <m/>
    <m/>
    <m/>
    <m/>
    <m/>
    <s v="p"/>
    <d v="2021-03-01T00:00:00"/>
    <d v="2021-03-01T00:00:00"/>
    <n v="5699714.2800000003"/>
    <m/>
    <m/>
    <m/>
    <m/>
    <m/>
    <m/>
    <m/>
    <m/>
    <s v="_3. Item _3"/>
    <n v="3"/>
    <x v="8"/>
    <x v="2"/>
    <n v="2021"/>
    <n v="2021"/>
    <b v="1"/>
  </r>
  <r>
    <x v="35"/>
    <m/>
    <x v="1"/>
    <s v="Decentralized"/>
    <s v="Out"/>
    <m/>
    <m/>
    <m/>
    <m/>
    <m/>
    <m/>
    <s v="p"/>
    <d v="2021-03-01T00:00:00"/>
    <d v="2021-03-01T00:00:00"/>
    <n v="559571.43000000005"/>
    <m/>
    <m/>
    <m/>
    <m/>
    <m/>
    <m/>
    <m/>
    <m/>
    <s v="17. Item 17"/>
    <n v="3"/>
    <x v="8"/>
    <x v="2"/>
    <n v="2021"/>
    <n v="2021"/>
    <b v="1"/>
  </r>
  <r>
    <x v="0"/>
    <m/>
    <x v="1"/>
    <s v="Centralized"/>
    <s v="Out"/>
    <m/>
    <m/>
    <m/>
    <m/>
    <m/>
    <m/>
    <s v="p"/>
    <d v="2021-03-01T00:00:00"/>
    <d v="2021-03-01T00:00:00"/>
    <n v="88571.43"/>
    <m/>
    <m/>
    <m/>
    <m/>
    <m/>
    <m/>
    <m/>
    <m/>
    <s v="01. Item 01"/>
    <n v="3"/>
    <x v="8"/>
    <x v="2"/>
    <n v="2021"/>
    <n v="2021"/>
    <b v="1"/>
  </r>
  <r>
    <x v="0"/>
    <m/>
    <x v="1"/>
    <s v="Centralized"/>
    <s v="Out"/>
    <m/>
    <m/>
    <m/>
    <m/>
    <m/>
    <m/>
    <s v="p"/>
    <d v="2021-03-01T00:00:00"/>
    <d v="2021-03-01T00:00:00"/>
    <n v="5136666.67"/>
    <m/>
    <m/>
    <m/>
    <m/>
    <m/>
    <m/>
    <m/>
    <m/>
    <s v="01. Item 01"/>
    <n v="3"/>
    <x v="8"/>
    <x v="2"/>
    <n v="2021"/>
    <n v="2021"/>
    <b v="1"/>
  </r>
  <r>
    <x v="10"/>
    <m/>
    <x v="1"/>
    <s v="Centralized"/>
    <s v="Out"/>
    <m/>
    <m/>
    <m/>
    <m/>
    <m/>
    <m/>
    <s v="p"/>
    <d v="2021-03-01T00:00:00"/>
    <d v="2021-03-01T00:00:00"/>
    <n v="278095.24"/>
    <m/>
    <m/>
    <m/>
    <m/>
    <m/>
    <m/>
    <m/>
    <m/>
    <s v="11. Item 11"/>
    <n v="3"/>
    <x v="8"/>
    <x v="2"/>
    <n v="2021"/>
    <n v="2021"/>
    <b v="1"/>
  </r>
  <r>
    <x v="2"/>
    <s v="10. Item 10"/>
    <x v="1"/>
    <s v="Centralized"/>
    <s v="Out"/>
    <m/>
    <m/>
    <m/>
    <m/>
    <m/>
    <m/>
    <s v="p"/>
    <d v="2021-03-01T00:00:00"/>
    <d v="2021-03-01T00:00:00"/>
    <n v="9523.81"/>
    <m/>
    <m/>
    <m/>
    <m/>
    <m/>
    <m/>
    <m/>
    <m/>
    <s v="10. Item 10"/>
    <n v="3"/>
    <x v="8"/>
    <x v="2"/>
    <n v="2021"/>
    <n v="2021"/>
    <b v="1"/>
  </r>
  <r>
    <x v="14"/>
    <m/>
    <x v="1"/>
    <s v="Centralized"/>
    <s v="Out"/>
    <m/>
    <m/>
    <m/>
    <m/>
    <m/>
    <m/>
    <s v="p"/>
    <d v="2021-03-01T00:00:00"/>
    <d v="2021-03-01T00:00:00"/>
    <n v="63333.33"/>
    <m/>
    <m/>
    <m/>
    <m/>
    <m/>
    <m/>
    <m/>
    <m/>
    <s v="19. Item 19"/>
    <n v="3"/>
    <x v="8"/>
    <x v="2"/>
    <n v="2021"/>
    <n v="2021"/>
    <b v="1"/>
  </r>
  <r>
    <x v="5"/>
    <s v="12. Item 12"/>
    <x v="1"/>
    <s v="Centralized"/>
    <s v="Out"/>
    <m/>
    <m/>
    <m/>
    <m/>
    <m/>
    <m/>
    <s v="p"/>
    <d v="2021-03-01T00:00:00"/>
    <d v="2021-03-01T00:00:00"/>
    <n v="621190.48"/>
    <m/>
    <m/>
    <m/>
    <m/>
    <m/>
    <m/>
    <m/>
    <m/>
    <s v="12. Item 12"/>
    <n v="3"/>
    <x v="8"/>
    <x v="2"/>
    <n v="2021"/>
    <n v="2021"/>
    <b v="1"/>
  </r>
  <r>
    <x v="4"/>
    <s v="13. Item 13"/>
    <x v="1"/>
    <s v="Centralized"/>
    <s v="Out"/>
    <m/>
    <m/>
    <m/>
    <m/>
    <m/>
    <m/>
    <s v="p"/>
    <d v="2021-03-01T00:00:00"/>
    <d v="2021-03-01T00:00:00"/>
    <n v="1258619.05"/>
    <m/>
    <m/>
    <m/>
    <m/>
    <m/>
    <m/>
    <m/>
    <m/>
    <s v="13. Item 13"/>
    <n v="3"/>
    <x v="8"/>
    <x v="2"/>
    <n v="2021"/>
    <n v="2021"/>
    <b v="1"/>
  </r>
  <r>
    <x v="8"/>
    <m/>
    <x v="1"/>
    <s v="Centralized"/>
    <s v="Out"/>
    <m/>
    <m/>
    <m/>
    <m/>
    <m/>
    <m/>
    <s v="p"/>
    <d v="2021-03-01T00:00:00"/>
    <d v="2021-03-01T00:00:00"/>
    <n v="2380.9499999999998"/>
    <m/>
    <m/>
    <m/>
    <m/>
    <m/>
    <m/>
    <m/>
    <m/>
    <s v="09. Item 09"/>
    <n v="3"/>
    <x v="8"/>
    <x v="2"/>
    <n v="2021"/>
    <n v="2021"/>
    <b v="1"/>
  </r>
  <r>
    <x v="9"/>
    <m/>
    <x v="1"/>
    <s v="Centralized"/>
    <s v="Out"/>
    <m/>
    <m/>
    <m/>
    <m/>
    <m/>
    <m/>
    <s v="p"/>
    <d v="2021-03-01T00:00:00"/>
    <d v="2021-03-01T00:00:00"/>
    <n v="23.81"/>
    <m/>
    <m/>
    <m/>
    <m/>
    <m/>
    <m/>
    <m/>
    <m/>
    <s v="09. Item 09"/>
    <n v="3"/>
    <x v="8"/>
    <x v="2"/>
    <n v="2021"/>
    <n v="2021"/>
    <b v="1"/>
  </r>
  <r>
    <x v="17"/>
    <m/>
    <x v="1"/>
    <s v="Centralized"/>
    <s v="In"/>
    <m/>
    <m/>
    <m/>
    <m/>
    <m/>
    <s v="COMPLETE"/>
    <s v="f"/>
    <d v="2021-03-04T00:00:00"/>
    <d v="2021-03-04T00:00:00"/>
    <m/>
    <n v="3636.81"/>
    <m/>
    <m/>
    <m/>
    <m/>
    <m/>
    <m/>
    <m/>
    <s v="09. Item 09"/>
    <n v="3"/>
    <x v="8"/>
    <x v="2"/>
    <n v="2021"/>
    <n v="2021"/>
    <b v="1"/>
  </r>
  <r>
    <x v="21"/>
    <m/>
    <x v="1"/>
    <s v="Centralized"/>
    <s v="In"/>
    <m/>
    <m/>
    <m/>
    <m/>
    <m/>
    <s v="COMPLETE"/>
    <s v="f"/>
    <d v="2021-03-05T00:00:00"/>
    <d v="2021-03-05T00:00:00"/>
    <m/>
    <n v="659414.06999999995"/>
    <m/>
    <m/>
    <m/>
    <m/>
    <m/>
    <m/>
    <m/>
    <s v="09. Item 09"/>
    <n v="3"/>
    <x v="8"/>
    <x v="2"/>
    <n v="2021"/>
    <n v="2021"/>
    <b v="1"/>
  </r>
  <r>
    <x v="20"/>
    <m/>
    <x v="1"/>
    <s v="Centralized"/>
    <s v="In"/>
    <m/>
    <m/>
    <m/>
    <m/>
    <m/>
    <s v="COMPLETE"/>
    <s v="f"/>
    <d v="2021-03-05T00:00:00"/>
    <d v="2021-03-05T00:00:00"/>
    <m/>
    <n v="64342.47"/>
    <m/>
    <m/>
    <m/>
    <m/>
    <m/>
    <m/>
    <m/>
    <s v="14. Item 14"/>
    <n v="3"/>
    <x v="8"/>
    <x v="2"/>
    <n v="2021"/>
    <n v="2021"/>
    <b v="1"/>
  </r>
  <r>
    <x v="29"/>
    <m/>
    <x v="1"/>
    <s v="Decentralized"/>
    <s v="Out"/>
    <m/>
    <m/>
    <m/>
    <m/>
    <n v="4"/>
    <s v="COMPLETE"/>
    <s v="f"/>
    <d v="2021-03-05T00:00:00"/>
    <d v="2021-03-05T00:00:00"/>
    <m/>
    <n v="64182.02"/>
    <m/>
    <m/>
    <m/>
    <m/>
    <m/>
    <m/>
    <m/>
    <s v="13. Item 13"/>
    <n v="3"/>
    <x v="8"/>
    <x v="2"/>
    <n v="2021"/>
    <n v="2021"/>
    <b v="1"/>
  </r>
  <r>
    <x v="21"/>
    <m/>
    <x v="1"/>
    <s v="Centralized"/>
    <s v="Out"/>
    <m/>
    <m/>
    <m/>
    <m/>
    <n v="1"/>
    <s v="COMPLETE"/>
    <s v="f"/>
    <d v="2021-03-05T00:00:00"/>
    <d v="2021-03-11T00:00:00"/>
    <m/>
    <n v="206783.84"/>
    <m/>
    <m/>
    <m/>
    <m/>
    <m/>
    <m/>
    <m/>
    <s v="09. Item 09"/>
    <n v="3"/>
    <x v="8"/>
    <x v="2"/>
    <n v="2021"/>
    <n v="2021"/>
    <b v="1"/>
  </r>
  <r>
    <x v="5"/>
    <m/>
    <x v="1"/>
    <s v="Centralized"/>
    <s v="Out"/>
    <m/>
    <m/>
    <m/>
    <m/>
    <n v="3"/>
    <s v="COMPLETE"/>
    <s v="f"/>
    <d v="2021-03-05T00:00:00"/>
    <d v="2021-03-17T00:00:00"/>
    <m/>
    <n v="64639.25"/>
    <m/>
    <m/>
    <m/>
    <m/>
    <m/>
    <m/>
    <m/>
    <s v="05. Item 05"/>
    <n v="3"/>
    <x v="8"/>
    <x v="2"/>
    <n v="2021"/>
    <n v="2021"/>
    <b v="1"/>
  </r>
  <r>
    <x v="10"/>
    <m/>
    <x v="1"/>
    <s v="Centralized"/>
    <s v="Out"/>
    <m/>
    <m/>
    <m/>
    <m/>
    <n v="1"/>
    <s v="COMPLETE"/>
    <s v="f"/>
    <d v="2021-03-05T00:00:00"/>
    <d v="2021-03-15T00:00:00"/>
    <m/>
    <n v="21126.13"/>
    <m/>
    <m/>
    <m/>
    <m/>
    <m/>
    <m/>
    <m/>
    <s v="11. Item 11"/>
    <n v="3"/>
    <x v="8"/>
    <x v="2"/>
    <n v="2021"/>
    <n v="2021"/>
    <b v="1"/>
  </r>
  <r>
    <x v="34"/>
    <m/>
    <x v="1"/>
    <s v="Centralized"/>
    <s v="Out"/>
    <m/>
    <m/>
    <m/>
    <m/>
    <n v="4"/>
    <s v="COMPLETE"/>
    <s v="f"/>
    <d v="2021-02-20T00:00:00"/>
    <d v="2021-03-15T00:00:00"/>
    <m/>
    <n v="107.14"/>
    <m/>
    <m/>
    <m/>
    <m/>
    <m/>
    <m/>
    <m/>
    <s v="13. Item 13"/>
    <n v="2"/>
    <x v="8"/>
    <x v="2"/>
    <n v="2021"/>
    <n v="2021"/>
    <b v="1"/>
  </r>
  <r>
    <x v="13"/>
    <m/>
    <x v="1"/>
    <s v="Centralized"/>
    <s v="Out"/>
    <m/>
    <m/>
    <m/>
    <s v="X"/>
    <n v="1"/>
    <s v="COMPLETE"/>
    <s v="f"/>
    <d v="2021-03-04T00:00:00"/>
    <d v="2021-03-17T00:00:00"/>
    <m/>
    <n v="13701.21"/>
    <m/>
    <m/>
    <m/>
    <m/>
    <m/>
    <m/>
    <m/>
    <s v="13. Item 13"/>
    <n v="3"/>
    <x v="8"/>
    <x v="2"/>
    <n v="2021"/>
    <n v="2021"/>
    <b v="1"/>
  </r>
  <r>
    <x v="13"/>
    <m/>
    <x v="1"/>
    <s v="Centralized"/>
    <s v="Out"/>
    <m/>
    <m/>
    <m/>
    <s v="X"/>
    <n v="1"/>
    <s v="COMPLETE"/>
    <s v="f"/>
    <d v="2021-03-04T00:00:00"/>
    <d v="2021-03-17T00:00:00"/>
    <m/>
    <n v="7112.95"/>
    <m/>
    <m/>
    <m/>
    <m/>
    <m/>
    <m/>
    <m/>
    <s v="13. Item 13"/>
    <n v="3"/>
    <x v="8"/>
    <x v="2"/>
    <n v="2021"/>
    <n v="2021"/>
    <b v="1"/>
  </r>
  <r>
    <x v="16"/>
    <m/>
    <x v="1"/>
    <s v="Centralized"/>
    <s v="Out"/>
    <m/>
    <m/>
    <m/>
    <m/>
    <n v="1"/>
    <s v="COMPLETE"/>
    <s v="f"/>
    <d v="2021-03-04T00:00:00"/>
    <d v="2021-03-17T00:00:00"/>
    <m/>
    <n v="2856.84"/>
    <m/>
    <m/>
    <m/>
    <m/>
    <m/>
    <m/>
    <m/>
    <s v="_1. Item _1"/>
    <n v="3"/>
    <x v="8"/>
    <x v="2"/>
    <n v="2021"/>
    <n v="2021"/>
    <b v="1"/>
  </r>
  <r>
    <x v="16"/>
    <m/>
    <x v="1"/>
    <s v="Centralized"/>
    <s v="Out"/>
    <m/>
    <m/>
    <m/>
    <s v="X"/>
    <n v="1"/>
    <s v="COMPLETE"/>
    <s v="f"/>
    <d v="2021-03-04T00:00:00"/>
    <d v="2021-03-17T00:00:00"/>
    <m/>
    <n v="55572.55"/>
    <m/>
    <m/>
    <m/>
    <m/>
    <m/>
    <m/>
    <m/>
    <s v="_1. Item _1"/>
    <n v="3"/>
    <x v="8"/>
    <x v="2"/>
    <n v="2021"/>
    <n v="2021"/>
    <b v="1"/>
  </r>
  <r>
    <x v="16"/>
    <m/>
    <x v="1"/>
    <s v="Centralized"/>
    <s v="Out"/>
    <m/>
    <m/>
    <m/>
    <m/>
    <n v="1"/>
    <s v="COMPLETE"/>
    <s v="f"/>
    <d v="2021-03-04T00:00:00"/>
    <d v="2021-03-17T00:00:00"/>
    <m/>
    <n v="1216.95"/>
    <m/>
    <m/>
    <m/>
    <m/>
    <m/>
    <m/>
    <m/>
    <s v="_1. Item _1"/>
    <n v="3"/>
    <x v="8"/>
    <x v="2"/>
    <n v="2021"/>
    <n v="2021"/>
    <b v="1"/>
  </r>
  <r>
    <x v="25"/>
    <m/>
    <x v="1"/>
    <s v="Centralized"/>
    <s v="Out"/>
    <m/>
    <m/>
    <m/>
    <s v="X"/>
    <n v="1"/>
    <s v="COMPLETE"/>
    <s v="f"/>
    <d v="2021-03-04T00:00:00"/>
    <d v="2021-03-15T00:00:00"/>
    <m/>
    <n v="47969.94"/>
    <m/>
    <m/>
    <m/>
    <m/>
    <m/>
    <m/>
    <m/>
    <s v="03. Item 03"/>
    <n v="3"/>
    <x v="8"/>
    <x v="2"/>
    <n v="2021"/>
    <n v="2021"/>
    <b v="1"/>
  </r>
  <r>
    <x v="13"/>
    <m/>
    <x v="1"/>
    <s v="Centralized"/>
    <s v="Out"/>
    <m/>
    <m/>
    <m/>
    <m/>
    <n v="1"/>
    <s v="COMPLETE"/>
    <s v="f"/>
    <d v="2021-03-04T00:00:00"/>
    <d v="2021-03-15T00:00:00"/>
    <m/>
    <n v="136200.01"/>
    <m/>
    <m/>
    <m/>
    <m/>
    <m/>
    <m/>
    <m/>
    <s v="13. Item 13"/>
    <n v="3"/>
    <x v="8"/>
    <x v="2"/>
    <n v="2021"/>
    <n v="2021"/>
    <b v="1"/>
  </r>
  <r>
    <x v="15"/>
    <m/>
    <x v="1"/>
    <s v="Centralized"/>
    <s v="Out"/>
    <m/>
    <m/>
    <m/>
    <s v="X"/>
    <n v="3"/>
    <s v="COMPLETE"/>
    <s v="f"/>
    <d v="2021-03-01T00:00:00"/>
    <d v="2021-03-19T00:00:00"/>
    <m/>
    <n v="428571.43"/>
    <m/>
    <m/>
    <m/>
    <m/>
    <m/>
    <m/>
    <m/>
    <s v="06. Item 06"/>
    <n v="3"/>
    <x v="8"/>
    <x v="2"/>
    <n v="2021"/>
    <n v="2021"/>
    <b v="1"/>
  </r>
  <r>
    <x v="21"/>
    <m/>
    <x v="1"/>
    <s v="Centralized"/>
    <s v="Out"/>
    <m/>
    <m/>
    <m/>
    <m/>
    <n v="3"/>
    <s v="COMPLETE"/>
    <s v="f"/>
    <d v="2021-03-05T00:00:00"/>
    <d v="2021-03-18T00:00:00"/>
    <m/>
    <n v="26104.78"/>
    <m/>
    <m/>
    <m/>
    <m/>
    <m/>
    <m/>
    <m/>
    <s v="09. Item 09"/>
    <n v="3"/>
    <x v="8"/>
    <x v="2"/>
    <n v="2021"/>
    <n v="2021"/>
    <b v="1"/>
  </r>
  <r>
    <x v="16"/>
    <m/>
    <x v="1"/>
    <s v="Centralized"/>
    <s v="Out"/>
    <m/>
    <m/>
    <m/>
    <s v="X"/>
    <n v="3"/>
    <s v="COMPLETE"/>
    <s v="f"/>
    <d v="2021-03-05T00:00:00"/>
    <d v="2021-03-18T00:00:00"/>
    <m/>
    <n v="35714.29"/>
    <m/>
    <m/>
    <m/>
    <m/>
    <m/>
    <m/>
    <m/>
    <s v="_1. Item _1"/>
    <n v="3"/>
    <x v="8"/>
    <x v="2"/>
    <n v="2021"/>
    <n v="2021"/>
    <b v="1"/>
  </r>
  <r>
    <x v="16"/>
    <m/>
    <x v="1"/>
    <s v="Centralized"/>
    <s v="Out"/>
    <m/>
    <m/>
    <m/>
    <s v="X"/>
    <n v="1"/>
    <s v="COMPLETE"/>
    <s v="f"/>
    <d v="2021-03-01T00:00:00"/>
    <d v="2021-03-19T00:00:00"/>
    <m/>
    <n v="392831.56"/>
    <m/>
    <m/>
    <m/>
    <m/>
    <m/>
    <m/>
    <m/>
    <s v="_1. Item _1"/>
    <n v="3"/>
    <x v="8"/>
    <x v="2"/>
    <n v="2021"/>
    <n v="2021"/>
    <b v="1"/>
  </r>
  <r>
    <x v="16"/>
    <m/>
    <x v="1"/>
    <s v="Centralized"/>
    <s v="In"/>
    <m/>
    <m/>
    <m/>
    <m/>
    <m/>
    <s v="COMPLETE"/>
    <s v="f"/>
    <d v="2021-03-10T00:00:00"/>
    <d v="2021-03-10T00:00:00"/>
    <m/>
    <n v="4132.21"/>
    <m/>
    <m/>
    <m/>
    <m/>
    <m/>
    <m/>
    <m/>
    <s v="_1. Item _1"/>
    <n v="3"/>
    <x v="8"/>
    <x v="2"/>
    <n v="2021"/>
    <n v="2021"/>
    <b v="1"/>
  </r>
  <r>
    <x v="16"/>
    <m/>
    <x v="1"/>
    <s v="Decentralized"/>
    <s v="Out"/>
    <m/>
    <m/>
    <m/>
    <m/>
    <n v="4"/>
    <s v="COMPLETE"/>
    <s v="f"/>
    <d v="2021-03-10T00:00:00"/>
    <d v="2021-03-10T00:00:00"/>
    <m/>
    <n v="4132.21"/>
    <m/>
    <m/>
    <m/>
    <m/>
    <m/>
    <m/>
    <m/>
    <s v="_1. Item _1"/>
    <n v="3"/>
    <x v="8"/>
    <x v="2"/>
    <n v="2021"/>
    <n v="2021"/>
    <b v="1"/>
  </r>
  <r>
    <x v="16"/>
    <m/>
    <x v="1"/>
    <s v="Centralized"/>
    <s v="In"/>
    <m/>
    <m/>
    <m/>
    <m/>
    <m/>
    <s v="COMPLETE"/>
    <s v="f"/>
    <d v="2021-03-11T00:00:00"/>
    <d v="2021-03-11T00:00:00"/>
    <m/>
    <n v="8612992.8499999996"/>
    <m/>
    <m/>
    <m/>
    <m/>
    <m/>
    <m/>
    <m/>
    <s v="_1. Item _1"/>
    <n v="3"/>
    <x v="8"/>
    <x v="2"/>
    <n v="2021"/>
    <n v="2021"/>
    <b v="1"/>
  </r>
  <r>
    <x v="16"/>
    <m/>
    <x v="1"/>
    <s v="Centralized"/>
    <s v="Out"/>
    <m/>
    <m/>
    <m/>
    <m/>
    <n v="3"/>
    <s v="COMPLETE"/>
    <s v="f"/>
    <d v="2021-03-15T00:00:00"/>
    <d v="2021-03-31T00:00:00"/>
    <m/>
    <n v="7649031.71"/>
    <m/>
    <m/>
    <m/>
    <m/>
    <m/>
    <m/>
    <m/>
    <s v="_1. Item _1"/>
    <n v="3"/>
    <x v="8"/>
    <x v="2"/>
    <n v="2021"/>
    <n v="2021"/>
    <b v="1"/>
  </r>
  <r>
    <x v="30"/>
    <m/>
    <x v="1"/>
    <s v="Centralized"/>
    <s v="Out"/>
    <m/>
    <m/>
    <m/>
    <m/>
    <n v="3"/>
    <s v="COMPLETE"/>
    <s v="f"/>
    <d v="2021-03-15T00:00:00"/>
    <d v="2021-03-31T00:00:00"/>
    <m/>
    <n v="5699178.4000000004"/>
    <m/>
    <m/>
    <m/>
    <m/>
    <m/>
    <m/>
    <m/>
    <s v="10. Item 10"/>
    <n v="3"/>
    <x v="8"/>
    <x v="2"/>
    <n v="2021"/>
    <n v="2021"/>
    <b v="1"/>
  </r>
  <r>
    <x v="15"/>
    <m/>
    <x v="1"/>
    <s v="Centralized"/>
    <s v="Out"/>
    <m/>
    <m/>
    <m/>
    <m/>
    <n v="3"/>
    <s v="COMPLETE"/>
    <s v="f"/>
    <d v="2021-03-15T00:00:00"/>
    <d v="2021-03-24T00:00:00"/>
    <m/>
    <n v="48440.31"/>
    <m/>
    <m/>
    <m/>
    <m/>
    <m/>
    <m/>
    <m/>
    <s v="06. Item 06"/>
    <n v="3"/>
    <x v="8"/>
    <x v="2"/>
    <n v="2021"/>
    <n v="2021"/>
    <b v="1"/>
  </r>
  <r>
    <x v="0"/>
    <m/>
    <x v="1"/>
    <s v="Centralized"/>
    <s v="Out"/>
    <m/>
    <m/>
    <m/>
    <m/>
    <n v="3"/>
    <s v="COMPLETE"/>
    <s v="f"/>
    <d v="2021-03-15T00:00:00"/>
    <d v="2021-03-24T00:00:00"/>
    <m/>
    <n v="675220.3"/>
    <m/>
    <m/>
    <m/>
    <m/>
    <m/>
    <m/>
    <m/>
    <s v="01. Item 01"/>
    <n v="3"/>
    <x v="8"/>
    <x v="2"/>
    <n v="2021"/>
    <n v="2021"/>
    <b v="1"/>
  </r>
  <r>
    <x v="1"/>
    <m/>
    <x v="1"/>
    <s v="Centralized"/>
    <s v="Out"/>
    <m/>
    <m/>
    <m/>
    <s v="X"/>
    <n v="1"/>
    <s v="COMPLETE"/>
    <s v="f"/>
    <d v="2021-03-01T00:00:00"/>
    <d v="2021-03-17T00:00:00"/>
    <m/>
    <n v="491917.41"/>
    <m/>
    <m/>
    <m/>
    <m/>
    <m/>
    <m/>
    <m/>
    <s v="02. Item 02"/>
    <n v="3"/>
    <x v="8"/>
    <x v="2"/>
    <n v="2021"/>
    <n v="2021"/>
    <b v="1"/>
  </r>
  <r>
    <x v="22"/>
    <m/>
    <x v="1"/>
    <s v="Centralized"/>
    <s v="Out"/>
    <m/>
    <m/>
    <m/>
    <m/>
    <n v="3"/>
    <s v="COMPLETE"/>
    <s v="f"/>
    <d v="2021-03-15T00:00:00"/>
    <d v="2021-03-24T00:00:00"/>
    <m/>
    <n v="127990.99"/>
    <m/>
    <m/>
    <m/>
    <m/>
    <m/>
    <m/>
    <m/>
    <s v="04. Item 04"/>
    <n v="3"/>
    <x v="8"/>
    <x v="2"/>
    <n v="2021"/>
    <n v="2021"/>
    <b v="1"/>
  </r>
  <r>
    <x v="4"/>
    <m/>
    <x v="1"/>
    <s v="Centralized"/>
    <s v="Out"/>
    <m/>
    <m/>
    <m/>
    <m/>
    <n v="3"/>
    <s v="COMPLETE"/>
    <s v="f"/>
    <d v="2021-03-05T00:00:00"/>
    <d v="2021-03-19T00:00:00"/>
    <m/>
    <n v="22804.69"/>
    <m/>
    <m/>
    <m/>
    <m/>
    <m/>
    <m/>
    <m/>
    <s v="05. Item 05"/>
    <n v="3"/>
    <x v="8"/>
    <x v="2"/>
    <n v="2021"/>
    <n v="2021"/>
    <b v="1"/>
  </r>
  <r>
    <x v="4"/>
    <m/>
    <x v="1"/>
    <s v="Centralized"/>
    <s v="Out"/>
    <m/>
    <m/>
    <m/>
    <m/>
    <n v="3"/>
    <s v="COMPLETE"/>
    <s v="f"/>
    <d v="2021-03-15T00:00:00"/>
    <d v="2021-03-24T00:00:00"/>
    <m/>
    <n v="22.69"/>
    <m/>
    <m/>
    <m/>
    <m/>
    <m/>
    <m/>
    <m/>
    <s v="05. Item 05"/>
    <n v="3"/>
    <x v="8"/>
    <x v="2"/>
    <n v="2021"/>
    <n v="2021"/>
    <b v="1"/>
  </r>
  <r>
    <x v="5"/>
    <m/>
    <x v="1"/>
    <s v="Centralized"/>
    <s v="Out"/>
    <m/>
    <m/>
    <m/>
    <m/>
    <n v="3"/>
    <s v="COMPLETE"/>
    <s v="f"/>
    <d v="2021-03-12T00:00:00"/>
    <d v="2021-03-22T00:00:00"/>
    <m/>
    <n v="66830.87"/>
    <m/>
    <m/>
    <m/>
    <m/>
    <m/>
    <m/>
    <m/>
    <s v="05. Item 05"/>
    <n v="3"/>
    <x v="8"/>
    <x v="2"/>
    <n v="2021"/>
    <n v="2021"/>
    <b v="1"/>
  </r>
  <r>
    <x v="15"/>
    <m/>
    <x v="1"/>
    <s v="Centralized"/>
    <s v="Out"/>
    <m/>
    <m/>
    <m/>
    <m/>
    <n v="3"/>
    <s v="COMPLETE"/>
    <s v="f"/>
    <d v="2021-03-15T00:00:00"/>
    <d v="2021-03-23T00:00:00"/>
    <m/>
    <n v="209.09"/>
    <m/>
    <m/>
    <m/>
    <m/>
    <m/>
    <m/>
    <m/>
    <s v="06. Item 06"/>
    <n v="3"/>
    <x v="8"/>
    <x v="2"/>
    <n v="2021"/>
    <n v="2021"/>
    <b v="1"/>
  </r>
  <r>
    <x v="6"/>
    <m/>
    <x v="1"/>
    <s v="Centralized"/>
    <s v="Out"/>
    <m/>
    <m/>
    <m/>
    <m/>
    <n v="3"/>
    <s v="COMPLETE"/>
    <s v="f"/>
    <d v="2021-03-15T00:00:00"/>
    <d v="2021-03-31T00:00:00"/>
    <m/>
    <n v="13095.24"/>
    <m/>
    <m/>
    <m/>
    <m/>
    <m/>
    <m/>
    <m/>
    <s v="07. Item 07"/>
    <n v="3"/>
    <x v="8"/>
    <x v="2"/>
    <n v="2021"/>
    <n v="2021"/>
    <b v="1"/>
  </r>
  <r>
    <x v="9"/>
    <m/>
    <x v="1"/>
    <s v="Centralized"/>
    <s v="Out"/>
    <m/>
    <m/>
    <m/>
    <m/>
    <n v="3"/>
    <s v="COMPLETE"/>
    <s v="f"/>
    <d v="2021-03-15T00:00:00"/>
    <d v="2021-03-23T00:00:00"/>
    <m/>
    <n v="67575.259999999995"/>
    <m/>
    <m/>
    <m/>
    <m/>
    <m/>
    <m/>
    <m/>
    <s v="09. Item 09"/>
    <n v="3"/>
    <x v="8"/>
    <x v="2"/>
    <n v="2021"/>
    <n v="2021"/>
    <b v="1"/>
  </r>
  <r>
    <x v="8"/>
    <m/>
    <x v="1"/>
    <s v="Centralized"/>
    <s v="Out"/>
    <m/>
    <m/>
    <m/>
    <m/>
    <n v="3"/>
    <s v="COMPLETE"/>
    <s v="f"/>
    <d v="2021-03-15T00:00:00"/>
    <d v="2021-03-22T00:00:00"/>
    <m/>
    <n v="7242.27"/>
    <m/>
    <m/>
    <m/>
    <m/>
    <m/>
    <m/>
    <m/>
    <s v="09. Item 09"/>
    <n v="3"/>
    <x v="8"/>
    <x v="2"/>
    <n v="2021"/>
    <n v="2021"/>
    <b v="1"/>
  </r>
  <r>
    <x v="21"/>
    <m/>
    <x v="1"/>
    <s v="Centralized"/>
    <s v="Out"/>
    <m/>
    <m/>
    <m/>
    <m/>
    <n v="3"/>
    <s v="COMPLETE"/>
    <s v="f"/>
    <d v="2021-03-15T00:00:00"/>
    <d v="2021-03-22T00:00:00"/>
    <m/>
    <n v="89119.29"/>
    <m/>
    <m/>
    <m/>
    <m/>
    <m/>
    <m/>
    <m/>
    <s v="09. Item 09"/>
    <n v="3"/>
    <x v="8"/>
    <x v="2"/>
    <n v="2021"/>
    <n v="2021"/>
    <b v="1"/>
  </r>
  <r>
    <x v="10"/>
    <m/>
    <x v="2"/>
    <s v="Centralized"/>
    <s v="In"/>
    <m/>
    <m/>
    <m/>
    <m/>
    <m/>
    <m/>
    <s v="f"/>
    <d v="2021-02-28T00:00:00"/>
    <d v="2021-02-28T00:00:00"/>
    <m/>
    <n v="34529634.93"/>
    <m/>
    <m/>
    <m/>
    <m/>
    <m/>
    <m/>
    <m/>
    <s v="11. Item 11"/>
    <n v="2"/>
    <x v="6"/>
    <x v="2"/>
    <n v="2021"/>
    <n v="2021"/>
    <b v="1"/>
  </r>
  <r>
    <x v="23"/>
    <m/>
    <x v="2"/>
    <s v="Centralized"/>
    <s v="Out"/>
    <m/>
    <m/>
    <m/>
    <m/>
    <m/>
    <m/>
    <s v="f"/>
    <d v="2021-03-01T00:00:00"/>
    <d v="2021-03-01T00:00:00"/>
    <m/>
    <n v="6493.74"/>
    <m/>
    <m/>
    <m/>
    <m/>
    <m/>
    <m/>
    <m/>
    <s v="21. Item 21"/>
    <n v="3"/>
    <x v="8"/>
    <x v="2"/>
    <n v="2021"/>
    <n v="2021"/>
    <b v="1"/>
  </r>
  <r>
    <x v="20"/>
    <m/>
    <x v="2"/>
    <s v="Centralized"/>
    <s v="Out"/>
    <m/>
    <m/>
    <m/>
    <m/>
    <m/>
    <m/>
    <s v="f"/>
    <d v="2021-03-01T00:00:00"/>
    <d v="2021-03-01T00:00:00"/>
    <m/>
    <n v="33447.75"/>
    <m/>
    <m/>
    <m/>
    <m/>
    <m/>
    <m/>
    <m/>
    <s v="14. Item 14"/>
    <n v="3"/>
    <x v="8"/>
    <x v="2"/>
    <n v="2021"/>
    <n v="2021"/>
    <b v="1"/>
  </r>
  <r>
    <x v="14"/>
    <m/>
    <x v="2"/>
    <s v="Centralized"/>
    <s v="Out"/>
    <m/>
    <m/>
    <m/>
    <m/>
    <m/>
    <m/>
    <s v="f"/>
    <d v="2021-03-01T00:00:00"/>
    <d v="2021-03-01T00:00:00"/>
    <m/>
    <n v="38308.379999999997"/>
    <m/>
    <m/>
    <m/>
    <m/>
    <m/>
    <m/>
    <m/>
    <s v="19. Item 19"/>
    <n v="3"/>
    <x v="8"/>
    <x v="2"/>
    <n v="2021"/>
    <n v="2021"/>
    <b v="1"/>
  </r>
  <r>
    <x v="16"/>
    <m/>
    <x v="2"/>
    <s v="Centralized"/>
    <s v="Out"/>
    <m/>
    <m/>
    <m/>
    <m/>
    <m/>
    <m/>
    <s v="f"/>
    <d v="2021-03-01T00:00:00"/>
    <d v="2021-03-01T00:00:00"/>
    <m/>
    <n v="7649031.71"/>
    <m/>
    <m/>
    <m/>
    <m/>
    <m/>
    <m/>
    <m/>
    <s v="_1. Item _1"/>
    <n v="3"/>
    <x v="8"/>
    <x v="2"/>
    <n v="2021"/>
    <n v="2021"/>
    <b v="1"/>
  </r>
  <r>
    <x v="16"/>
    <m/>
    <x v="2"/>
    <s v="Centralized"/>
    <s v="Out"/>
    <m/>
    <m/>
    <m/>
    <m/>
    <m/>
    <m/>
    <s v="f"/>
    <d v="2021-03-01T00:00:00"/>
    <d v="2021-03-01T00:00:00"/>
    <m/>
    <n v="71940"/>
    <m/>
    <m/>
    <m/>
    <m/>
    <m/>
    <m/>
    <m/>
    <s v="_1. Item _1"/>
    <n v="3"/>
    <x v="8"/>
    <x v="2"/>
    <n v="2021"/>
    <n v="2021"/>
    <b v="1"/>
  </r>
  <r>
    <x v="36"/>
    <m/>
    <x v="2"/>
    <s v="Centralized"/>
    <s v="Out"/>
    <m/>
    <m/>
    <m/>
    <m/>
    <m/>
    <m/>
    <s v="f"/>
    <d v="2021-03-01T00:00:00"/>
    <d v="2021-03-01T00:00:00"/>
    <m/>
    <n v="167473.21"/>
    <m/>
    <m/>
    <m/>
    <m/>
    <m/>
    <m/>
    <m/>
    <s v="_3. Item _3"/>
    <n v="3"/>
    <x v="8"/>
    <x v="2"/>
    <n v="2021"/>
    <n v="2021"/>
    <b v="1"/>
  </r>
  <r>
    <x v="35"/>
    <m/>
    <x v="2"/>
    <s v="Centralized"/>
    <s v="Out"/>
    <m/>
    <m/>
    <m/>
    <m/>
    <m/>
    <m/>
    <s v="f"/>
    <d v="2021-03-01T00:00:00"/>
    <d v="2021-03-01T00:00:00"/>
    <m/>
    <n v="573159.51"/>
    <m/>
    <m/>
    <m/>
    <m/>
    <m/>
    <m/>
    <m/>
    <s v="17. Item 17"/>
    <n v="3"/>
    <x v="8"/>
    <x v="2"/>
    <n v="2021"/>
    <n v="2021"/>
    <b v="1"/>
  </r>
  <r>
    <x v="8"/>
    <m/>
    <x v="2"/>
    <s v="Centralized"/>
    <s v="Out"/>
    <m/>
    <m/>
    <m/>
    <m/>
    <m/>
    <m/>
    <s v="f"/>
    <d v="2021-03-01T00:00:00"/>
    <d v="2021-03-01T00:00:00"/>
    <m/>
    <n v="1307.95"/>
    <m/>
    <m/>
    <m/>
    <m/>
    <m/>
    <m/>
    <m/>
    <s v="09. Item 09"/>
    <n v="3"/>
    <x v="8"/>
    <x v="2"/>
    <n v="2021"/>
    <n v="2021"/>
    <b v="1"/>
  </r>
  <r>
    <x v="8"/>
    <m/>
    <x v="2"/>
    <s v="Centralized"/>
    <s v="Out"/>
    <m/>
    <m/>
    <m/>
    <m/>
    <m/>
    <m/>
    <s v="f"/>
    <d v="2021-03-01T00:00:00"/>
    <d v="2021-03-01T00:00:00"/>
    <m/>
    <n v="32725.58"/>
    <m/>
    <m/>
    <m/>
    <m/>
    <m/>
    <m/>
    <m/>
    <s v="09. Item 09"/>
    <n v="3"/>
    <x v="8"/>
    <x v="2"/>
    <n v="2021"/>
    <n v="2021"/>
    <b v="1"/>
  </r>
  <r>
    <x v="11"/>
    <m/>
    <x v="2"/>
    <s v="Centralized"/>
    <s v="Out"/>
    <m/>
    <m/>
    <m/>
    <m/>
    <m/>
    <m/>
    <s v="f"/>
    <d v="2021-03-01T00:00:00"/>
    <d v="2021-03-01T00:00:00"/>
    <m/>
    <n v="2763142.42"/>
    <m/>
    <m/>
    <m/>
    <m/>
    <m/>
    <m/>
    <m/>
    <s v="13. Item 13"/>
    <n v="3"/>
    <x v="8"/>
    <x v="2"/>
    <n v="2021"/>
    <n v="2021"/>
    <b v="1"/>
  </r>
  <r>
    <x v="20"/>
    <m/>
    <x v="2"/>
    <s v="Centralized"/>
    <s v="Out"/>
    <m/>
    <m/>
    <m/>
    <m/>
    <m/>
    <m/>
    <s v="f"/>
    <d v="2021-03-01T00:00:00"/>
    <d v="2021-03-01T00:00:00"/>
    <m/>
    <n v="481343.53"/>
    <m/>
    <m/>
    <m/>
    <m/>
    <m/>
    <m/>
    <m/>
    <s v="14. Item 14"/>
    <n v="3"/>
    <x v="8"/>
    <x v="2"/>
    <n v="2021"/>
    <n v="2021"/>
    <b v="1"/>
  </r>
  <r>
    <x v="10"/>
    <m/>
    <x v="2"/>
    <s v="Centralized"/>
    <s v="Out"/>
    <m/>
    <m/>
    <m/>
    <m/>
    <m/>
    <m/>
    <s v="f"/>
    <d v="2021-03-01T00:00:00"/>
    <d v="2021-03-01T00:00:00"/>
    <m/>
    <n v="43953.51"/>
    <m/>
    <m/>
    <m/>
    <m/>
    <m/>
    <m/>
    <m/>
    <s v="11. Item 11"/>
    <n v="3"/>
    <x v="8"/>
    <x v="2"/>
    <n v="2021"/>
    <n v="2021"/>
    <b v="1"/>
  </r>
  <r>
    <x v="3"/>
    <m/>
    <x v="2"/>
    <s v="Centralized"/>
    <s v="Out"/>
    <m/>
    <m/>
    <m/>
    <m/>
    <m/>
    <m/>
    <s v="f"/>
    <d v="2021-03-01T00:00:00"/>
    <d v="2021-03-01T00:00:00"/>
    <m/>
    <n v="127.62"/>
    <m/>
    <m/>
    <m/>
    <m/>
    <m/>
    <m/>
    <m/>
    <s v="04. Item 04"/>
    <n v="3"/>
    <x v="8"/>
    <x v="2"/>
    <n v="2021"/>
    <n v="2021"/>
    <b v="1"/>
  </r>
  <r>
    <x v="3"/>
    <m/>
    <x v="2"/>
    <s v="Centralized"/>
    <s v="Out"/>
    <m/>
    <m/>
    <m/>
    <m/>
    <m/>
    <m/>
    <s v="f"/>
    <d v="2021-03-01T00:00:00"/>
    <d v="2021-03-01T00:00:00"/>
    <m/>
    <n v="16652.38"/>
    <m/>
    <m/>
    <m/>
    <m/>
    <m/>
    <m/>
    <m/>
    <s v="04. Item 04"/>
    <n v="3"/>
    <x v="8"/>
    <x v="2"/>
    <n v="2021"/>
    <n v="2021"/>
    <b v="1"/>
  </r>
  <r>
    <x v="5"/>
    <m/>
    <x v="2"/>
    <s v="Centralized"/>
    <s v="Out"/>
    <m/>
    <m/>
    <m/>
    <m/>
    <m/>
    <m/>
    <s v="f"/>
    <d v="2021-03-01T00:00:00"/>
    <d v="2021-03-01T00:00:00"/>
    <m/>
    <n v="928445"/>
    <m/>
    <m/>
    <m/>
    <m/>
    <m/>
    <m/>
    <m/>
    <s v="05. Item 05"/>
    <n v="3"/>
    <x v="8"/>
    <x v="2"/>
    <n v="2021"/>
    <n v="2021"/>
    <b v="1"/>
  </r>
  <r>
    <x v="5"/>
    <m/>
    <x v="2"/>
    <s v="Centralized"/>
    <s v="Out"/>
    <m/>
    <m/>
    <m/>
    <m/>
    <m/>
    <m/>
    <s v="f"/>
    <d v="2021-03-01T00:00:00"/>
    <d v="2021-03-01T00:00:00"/>
    <m/>
    <n v="1890983.19"/>
    <m/>
    <m/>
    <m/>
    <m/>
    <m/>
    <m/>
    <m/>
    <s v="05. Item 05"/>
    <n v="3"/>
    <x v="8"/>
    <x v="2"/>
    <n v="2021"/>
    <n v="2021"/>
    <b v="1"/>
  </r>
  <r>
    <x v="13"/>
    <m/>
    <x v="2"/>
    <s v="Centralized"/>
    <s v="Out"/>
    <m/>
    <m/>
    <m/>
    <m/>
    <m/>
    <m/>
    <s v="f"/>
    <d v="2021-03-01T00:00:00"/>
    <d v="2021-03-01T00:00:00"/>
    <m/>
    <n v="88743.23"/>
    <m/>
    <m/>
    <m/>
    <m/>
    <m/>
    <m/>
    <m/>
    <s v="13. Item 13"/>
    <n v="3"/>
    <x v="8"/>
    <x v="2"/>
    <n v="2021"/>
    <n v="2021"/>
    <b v="1"/>
  </r>
  <r>
    <x v="13"/>
    <m/>
    <x v="1"/>
    <s v="Centralized"/>
    <s v="Out"/>
    <m/>
    <m/>
    <m/>
    <s v="X"/>
    <n v="3"/>
    <s v="COMPLETE"/>
    <s v="f"/>
    <d v="2021-03-15T00:00:00"/>
    <d v="2021-03-25T00:00:00"/>
    <m/>
    <n v="571.42999999999995"/>
    <m/>
    <m/>
    <m/>
    <m/>
    <m/>
    <m/>
    <m/>
    <s v="13. Item 13"/>
    <n v="3"/>
    <x v="8"/>
    <x v="2"/>
    <n v="2021"/>
    <n v="2021"/>
    <b v="1"/>
  </r>
  <r>
    <x v="22"/>
    <m/>
    <x v="1"/>
    <s v="Centralized"/>
    <s v="Out"/>
    <m/>
    <m/>
    <m/>
    <m/>
    <n v="3"/>
    <s v="COMPLETE"/>
    <s v="f"/>
    <d v="2021-03-15T00:00:00"/>
    <d v="2021-03-25T00:00:00"/>
    <m/>
    <n v="32995.58"/>
    <m/>
    <m/>
    <m/>
    <m/>
    <m/>
    <m/>
    <m/>
    <s v="04. Item 04"/>
    <n v="3"/>
    <x v="8"/>
    <x v="2"/>
    <n v="2021"/>
    <n v="2021"/>
    <b v="1"/>
  </r>
  <r>
    <x v="8"/>
    <m/>
    <x v="1"/>
    <s v="Centralized"/>
    <s v="Out"/>
    <m/>
    <m/>
    <m/>
    <m/>
    <n v="3"/>
    <s v="COMPLETE"/>
    <s v="f"/>
    <d v="2021-03-15T00:00:00"/>
    <d v="2021-03-26T00:00:00"/>
    <m/>
    <n v="31642.21"/>
    <m/>
    <m/>
    <m/>
    <m/>
    <m/>
    <m/>
    <m/>
    <s v="09. Item 09"/>
    <n v="3"/>
    <x v="8"/>
    <x v="2"/>
    <n v="2021"/>
    <n v="2021"/>
    <b v="1"/>
  </r>
  <r>
    <x v="8"/>
    <m/>
    <x v="1"/>
    <s v="Centralized"/>
    <s v="Out"/>
    <m/>
    <m/>
    <m/>
    <m/>
    <n v="3"/>
    <s v="COMPLETE"/>
    <s v="f"/>
    <d v="2021-03-15T00:00:00"/>
    <d v="2021-03-24T00:00:00"/>
    <m/>
    <n v="16652.38"/>
    <m/>
    <m/>
    <m/>
    <m/>
    <m/>
    <m/>
    <m/>
    <s v="09. Item 09"/>
    <n v="3"/>
    <x v="8"/>
    <x v="2"/>
    <n v="2021"/>
    <n v="2021"/>
    <b v="1"/>
  </r>
  <r>
    <x v="22"/>
    <m/>
    <x v="1"/>
    <s v="Centralized"/>
    <s v="Out"/>
    <m/>
    <m/>
    <m/>
    <m/>
    <n v="3"/>
    <s v="COMPLETE"/>
    <s v="f"/>
    <d v="2021-03-15T00:00:00"/>
    <d v="2021-03-22T00:00:00"/>
    <m/>
    <n v="122648.38"/>
    <m/>
    <m/>
    <m/>
    <m/>
    <m/>
    <m/>
    <m/>
    <s v="04. Item 04"/>
    <n v="3"/>
    <x v="8"/>
    <x v="2"/>
    <n v="2021"/>
    <n v="2021"/>
    <b v="1"/>
  </r>
  <r>
    <x v="36"/>
    <m/>
    <x v="1"/>
    <s v="Centralized"/>
    <s v="Out"/>
    <m/>
    <m/>
    <m/>
    <m/>
    <n v="3"/>
    <s v="COMPLETE"/>
    <s v="f"/>
    <d v="2021-03-15T00:00:00"/>
    <d v="2021-03-23T00:00:00"/>
    <m/>
    <n v="714.66"/>
    <m/>
    <m/>
    <m/>
    <m/>
    <m/>
    <m/>
    <m/>
    <s v="_3. Item _3"/>
    <n v="3"/>
    <x v="8"/>
    <x v="2"/>
    <n v="2021"/>
    <n v="2021"/>
    <b v="1"/>
  </r>
  <r>
    <x v="35"/>
    <m/>
    <x v="1"/>
    <s v="Centralized"/>
    <s v="Out"/>
    <m/>
    <m/>
    <m/>
    <s v="X"/>
    <n v="3"/>
    <s v="COMPLETE"/>
    <s v="f"/>
    <d v="2021-03-15T00:00:00"/>
    <d v="2021-03-24T00:00:00"/>
    <m/>
    <n v="1028.57"/>
    <m/>
    <m/>
    <m/>
    <m/>
    <m/>
    <m/>
    <m/>
    <s v="17. Item 17"/>
    <n v="3"/>
    <x v="8"/>
    <x v="2"/>
    <n v="2021"/>
    <n v="2021"/>
    <b v="1"/>
  </r>
  <r>
    <x v="16"/>
    <m/>
    <x v="1"/>
    <s v="Centralized"/>
    <s v="Out"/>
    <m/>
    <m/>
    <m/>
    <m/>
    <n v="3"/>
    <s v="COMPLETE"/>
    <s v="f"/>
    <d v="2021-03-15T00:00:00"/>
    <d v="2021-03-24T00:00:00"/>
    <m/>
    <n v="648354.4"/>
    <m/>
    <m/>
    <m/>
    <m/>
    <m/>
    <m/>
    <m/>
    <s v="_1. Item _1"/>
    <n v="3"/>
    <x v="8"/>
    <x v="2"/>
    <n v="2021"/>
    <n v="2021"/>
    <b v="1"/>
  </r>
  <r>
    <x v="6"/>
    <m/>
    <x v="0"/>
    <m/>
    <s v="Out"/>
    <m/>
    <m/>
    <m/>
    <m/>
    <m/>
    <m/>
    <s v="f"/>
    <d v="2020-10-01T00:00:00"/>
    <d v="2020-10-01T00:00:00"/>
    <m/>
    <n v="266214.28999999998"/>
    <m/>
    <m/>
    <m/>
    <m/>
    <m/>
    <m/>
    <m/>
    <s v="07. Item 07"/>
    <n v="10"/>
    <x v="3"/>
    <x v="1"/>
    <n v="2020"/>
    <n v="2020"/>
    <b v="1"/>
  </r>
  <r>
    <x v="4"/>
    <m/>
    <x v="0"/>
    <m/>
    <s v="Out"/>
    <m/>
    <m/>
    <m/>
    <m/>
    <m/>
    <m/>
    <s v="f"/>
    <d v="2020-10-01T00:00:00"/>
    <d v="2020-10-01T00:00:00"/>
    <m/>
    <n v="1858571.43"/>
    <m/>
    <m/>
    <m/>
    <m/>
    <m/>
    <m/>
    <m/>
    <s v="05. Item 05"/>
    <n v="10"/>
    <x v="3"/>
    <x v="1"/>
    <n v="2020"/>
    <n v="2020"/>
    <b v="1"/>
  </r>
  <r>
    <x v="22"/>
    <m/>
    <x v="0"/>
    <m/>
    <s v="Out"/>
    <m/>
    <m/>
    <m/>
    <m/>
    <m/>
    <m/>
    <s v="f"/>
    <d v="2020-10-01T00:00:00"/>
    <d v="2020-10-01T00:00:00"/>
    <m/>
    <n v="7159690.4800000004"/>
    <m/>
    <m/>
    <m/>
    <m/>
    <m/>
    <m/>
    <m/>
    <s v="04. Item 04"/>
    <n v="10"/>
    <x v="3"/>
    <x v="1"/>
    <n v="2020"/>
    <n v="2020"/>
    <b v="1"/>
  </r>
  <r>
    <x v="22"/>
    <m/>
    <x v="0"/>
    <m/>
    <s v="Out"/>
    <m/>
    <m/>
    <m/>
    <m/>
    <m/>
    <m/>
    <s v="f"/>
    <d v="2020-10-01T00:00:00"/>
    <d v="2020-10-01T00:00:00"/>
    <m/>
    <n v="57690.48"/>
    <m/>
    <m/>
    <m/>
    <m/>
    <m/>
    <m/>
    <m/>
    <s v="04. Item 04"/>
    <n v="10"/>
    <x v="3"/>
    <x v="1"/>
    <n v="2020"/>
    <n v="2020"/>
    <b v="1"/>
  </r>
  <r>
    <x v="22"/>
    <m/>
    <x v="0"/>
    <m/>
    <s v="Out"/>
    <m/>
    <m/>
    <m/>
    <m/>
    <m/>
    <m/>
    <s v="f"/>
    <d v="2020-10-01T00:00:00"/>
    <d v="2020-10-01T00:00:00"/>
    <m/>
    <n v="7196404.7599999998"/>
    <m/>
    <m/>
    <m/>
    <m/>
    <m/>
    <m/>
    <m/>
    <s v="04. Item 04"/>
    <n v="10"/>
    <x v="3"/>
    <x v="1"/>
    <n v="2020"/>
    <n v="2020"/>
    <b v="1"/>
  </r>
  <r>
    <x v="22"/>
    <m/>
    <x v="0"/>
    <m/>
    <s v="Out"/>
    <m/>
    <m/>
    <m/>
    <m/>
    <m/>
    <m/>
    <s v="f"/>
    <d v="2020-10-01T00:00:00"/>
    <d v="2020-10-01T00:00:00"/>
    <m/>
    <n v="1575476.19"/>
    <m/>
    <m/>
    <m/>
    <m/>
    <m/>
    <m/>
    <m/>
    <s v="04. Item 04"/>
    <n v="10"/>
    <x v="3"/>
    <x v="1"/>
    <n v="2020"/>
    <n v="2020"/>
    <b v="1"/>
  </r>
  <r>
    <x v="29"/>
    <s v="04. Item 04"/>
    <x v="0"/>
    <m/>
    <s v="Out"/>
    <m/>
    <m/>
    <m/>
    <m/>
    <m/>
    <m/>
    <s v="f"/>
    <d v="2020-10-01T00:00:00"/>
    <d v="2020-10-01T00:00:00"/>
    <m/>
    <n v="3072023.81"/>
    <m/>
    <m/>
    <m/>
    <m/>
    <m/>
    <m/>
    <m/>
    <s v="04. Item 04"/>
    <n v="10"/>
    <x v="3"/>
    <x v="1"/>
    <n v="2020"/>
    <n v="2020"/>
    <b v="1"/>
  </r>
  <r>
    <x v="11"/>
    <m/>
    <x v="0"/>
    <m/>
    <s v="Out"/>
    <m/>
    <m/>
    <m/>
    <m/>
    <m/>
    <m/>
    <s v="f"/>
    <d v="2020-10-01T00:00:00"/>
    <d v="2020-10-01T00:00:00"/>
    <m/>
    <n v="3561000"/>
    <m/>
    <m/>
    <m/>
    <m/>
    <m/>
    <m/>
    <m/>
    <s v="13. Item 13"/>
    <n v="10"/>
    <x v="3"/>
    <x v="1"/>
    <n v="2020"/>
    <n v="2020"/>
    <b v="1"/>
  </r>
  <r>
    <x v="11"/>
    <m/>
    <x v="0"/>
    <m/>
    <s v="Out"/>
    <m/>
    <m/>
    <m/>
    <m/>
    <m/>
    <m/>
    <s v="f"/>
    <d v="2020-10-01T00:00:00"/>
    <d v="2020-10-01T00:00:00"/>
    <m/>
    <n v="237547.62"/>
    <m/>
    <m/>
    <m/>
    <m/>
    <m/>
    <m/>
    <m/>
    <s v="13. Item 13"/>
    <n v="10"/>
    <x v="3"/>
    <x v="1"/>
    <n v="2020"/>
    <n v="2020"/>
    <b v="1"/>
  </r>
  <r>
    <x v="8"/>
    <m/>
    <x v="0"/>
    <m/>
    <s v="Out"/>
    <m/>
    <m/>
    <m/>
    <m/>
    <m/>
    <m/>
    <s v="f"/>
    <d v="2020-10-01T00:00:00"/>
    <d v="2020-10-01T00:00:00"/>
    <m/>
    <n v="35642.86"/>
    <m/>
    <m/>
    <m/>
    <m/>
    <m/>
    <m/>
    <m/>
    <s v="09. Item 09"/>
    <n v="10"/>
    <x v="3"/>
    <x v="1"/>
    <n v="2020"/>
    <n v="2020"/>
    <b v="1"/>
  </r>
  <r>
    <x v="8"/>
    <s v="12. Item 12"/>
    <x v="0"/>
    <m/>
    <s v="Out"/>
    <m/>
    <m/>
    <m/>
    <m/>
    <m/>
    <m/>
    <s v="f"/>
    <d v="2020-10-01T00:00:00"/>
    <d v="2020-10-01T00:00:00"/>
    <m/>
    <n v="851880.95"/>
    <m/>
    <m/>
    <m/>
    <m/>
    <m/>
    <m/>
    <m/>
    <s v="12. Item 12"/>
    <n v="10"/>
    <x v="3"/>
    <x v="1"/>
    <n v="2020"/>
    <n v="2020"/>
    <b v="1"/>
  </r>
  <r>
    <x v="8"/>
    <m/>
    <x v="0"/>
    <m/>
    <s v="Out"/>
    <m/>
    <m/>
    <m/>
    <m/>
    <m/>
    <m/>
    <s v="f"/>
    <d v="2020-10-01T00:00:00"/>
    <d v="2020-10-01T00:00:00"/>
    <m/>
    <n v="30261.9"/>
    <m/>
    <m/>
    <m/>
    <m/>
    <m/>
    <m/>
    <m/>
    <s v="09. Item 09"/>
    <n v="10"/>
    <x v="3"/>
    <x v="1"/>
    <n v="2020"/>
    <n v="2020"/>
    <b v="1"/>
  </r>
  <r>
    <x v="9"/>
    <m/>
    <x v="0"/>
    <m/>
    <s v="Out"/>
    <m/>
    <m/>
    <m/>
    <m/>
    <m/>
    <m/>
    <s v="f"/>
    <d v="2020-10-01T00:00:00"/>
    <d v="2020-10-01T00:00:00"/>
    <m/>
    <n v="658952.38"/>
    <m/>
    <m/>
    <m/>
    <m/>
    <m/>
    <m/>
    <m/>
    <s v="09. Item 09"/>
    <n v="10"/>
    <x v="3"/>
    <x v="1"/>
    <n v="2020"/>
    <n v="2020"/>
    <b v="1"/>
  </r>
  <r>
    <x v="9"/>
    <m/>
    <x v="0"/>
    <m/>
    <s v="Out"/>
    <m/>
    <m/>
    <m/>
    <m/>
    <m/>
    <m/>
    <s v="f"/>
    <d v="2020-10-01T00:00:00"/>
    <d v="2020-10-01T00:00:00"/>
    <m/>
    <n v="283023.81"/>
    <m/>
    <m/>
    <m/>
    <m/>
    <m/>
    <m/>
    <m/>
    <s v="09. Item 09"/>
    <n v="10"/>
    <x v="3"/>
    <x v="1"/>
    <n v="2020"/>
    <n v="2020"/>
    <b v="1"/>
  </r>
  <r>
    <x v="9"/>
    <m/>
    <x v="0"/>
    <m/>
    <s v="Out"/>
    <m/>
    <m/>
    <m/>
    <m/>
    <m/>
    <m/>
    <s v="f"/>
    <d v="2020-10-01T00:00:00"/>
    <d v="2020-10-01T00:00:00"/>
    <m/>
    <n v="3494452.38"/>
    <m/>
    <m/>
    <m/>
    <m/>
    <m/>
    <m/>
    <m/>
    <s v="09. Item 09"/>
    <n v="10"/>
    <x v="3"/>
    <x v="1"/>
    <n v="2020"/>
    <n v="2020"/>
    <b v="1"/>
  </r>
  <r>
    <x v="9"/>
    <m/>
    <x v="0"/>
    <m/>
    <s v="Out"/>
    <m/>
    <m/>
    <m/>
    <m/>
    <m/>
    <m/>
    <s v="p"/>
    <d v="2020-10-01T00:00:00"/>
    <d v="2020-10-01T00:00:00"/>
    <n v="283047.62"/>
    <m/>
    <m/>
    <m/>
    <m/>
    <m/>
    <m/>
    <m/>
    <m/>
    <s v="09. Item 09"/>
    <n v="10"/>
    <x v="3"/>
    <x v="1"/>
    <n v="2020"/>
    <n v="2020"/>
    <b v="1"/>
  </r>
  <r>
    <x v="16"/>
    <m/>
    <x v="0"/>
    <m/>
    <s v="Out"/>
    <m/>
    <m/>
    <m/>
    <m/>
    <m/>
    <m/>
    <s v="p"/>
    <d v="2020-10-01T00:00:00"/>
    <d v="2020-10-01T00:00:00"/>
    <n v="-22142.86"/>
    <m/>
    <m/>
    <m/>
    <m/>
    <m/>
    <m/>
    <m/>
    <m/>
    <s v="_1. Item _1"/>
    <n v="10"/>
    <x v="3"/>
    <x v="1"/>
    <n v="2020"/>
    <n v="2020"/>
    <b v="1"/>
  </r>
  <r>
    <x v="16"/>
    <m/>
    <x v="0"/>
    <m/>
    <s v="Out"/>
    <m/>
    <m/>
    <m/>
    <m/>
    <m/>
    <m/>
    <s v="p"/>
    <d v="2020-10-01T00:00:00"/>
    <d v="2020-10-01T00:00:00"/>
    <n v="758904.76"/>
    <m/>
    <m/>
    <m/>
    <m/>
    <m/>
    <m/>
    <m/>
    <m/>
    <s v="_1. Item _1"/>
    <n v="10"/>
    <x v="3"/>
    <x v="1"/>
    <n v="2020"/>
    <n v="2020"/>
    <b v="1"/>
  </r>
  <r>
    <x v="3"/>
    <m/>
    <x v="0"/>
    <m/>
    <s v="Out"/>
    <m/>
    <m/>
    <m/>
    <m/>
    <m/>
    <m/>
    <s v="f"/>
    <d v="2020-11-01T00:00:00"/>
    <d v="2020-11-01T00:00:00"/>
    <m/>
    <n v="342190.48"/>
    <m/>
    <m/>
    <m/>
    <m/>
    <m/>
    <m/>
    <m/>
    <s v="04. Item 04"/>
    <n v="11"/>
    <x v="2"/>
    <x v="1"/>
    <n v="2020"/>
    <n v="2020"/>
    <b v="1"/>
  </r>
  <r>
    <x v="22"/>
    <m/>
    <x v="0"/>
    <m/>
    <s v="Out"/>
    <m/>
    <m/>
    <m/>
    <m/>
    <m/>
    <m/>
    <s v="f"/>
    <d v="2020-11-01T00:00:00"/>
    <d v="2020-11-01T00:00:00"/>
    <m/>
    <n v="2343642.86"/>
    <m/>
    <m/>
    <m/>
    <m/>
    <m/>
    <m/>
    <m/>
    <s v="04. Item 04"/>
    <n v="11"/>
    <x v="2"/>
    <x v="1"/>
    <n v="2020"/>
    <n v="2020"/>
    <b v="1"/>
  </r>
  <r>
    <x v="4"/>
    <m/>
    <x v="0"/>
    <m/>
    <s v="Out"/>
    <m/>
    <m/>
    <m/>
    <m/>
    <m/>
    <m/>
    <s v="f"/>
    <d v="2020-11-01T00:00:00"/>
    <d v="2020-11-01T00:00:00"/>
    <m/>
    <n v="8035571.4299999997"/>
    <m/>
    <m/>
    <m/>
    <m/>
    <m/>
    <m/>
    <m/>
    <s v="05. Item 05"/>
    <n v="11"/>
    <x v="2"/>
    <x v="1"/>
    <n v="2020"/>
    <n v="2020"/>
    <b v="1"/>
  </r>
  <r>
    <x v="5"/>
    <m/>
    <x v="0"/>
    <m/>
    <s v="Out"/>
    <m/>
    <m/>
    <m/>
    <m/>
    <m/>
    <m/>
    <s v="f"/>
    <d v="2020-11-01T00:00:00"/>
    <d v="2020-11-01T00:00:00"/>
    <m/>
    <n v="69095.240000000005"/>
    <m/>
    <m/>
    <m/>
    <m/>
    <m/>
    <m/>
    <m/>
    <s v="05. Item 05"/>
    <n v="11"/>
    <x v="2"/>
    <x v="1"/>
    <n v="2020"/>
    <n v="2020"/>
    <b v="1"/>
  </r>
  <r>
    <x v="15"/>
    <m/>
    <x v="0"/>
    <m/>
    <s v="Out"/>
    <m/>
    <m/>
    <m/>
    <m/>
    <m/>
    <m/>
    <s v="f"/>
    <d v="2020-11-01T00:00:00"/>
    <d v="2020-11-01T00:00:00"/>
    <m/>
    <n v="5879214.29"/>
    <m/>
    <m/>
    <m/>
    <m/>
    <m/>
    <m/>
    <m/>
    <s v="06. Item 06"/>
    <n v="11"/>
    <x v="2"/>
    <x v="1"/>
    <n v="2020"/>
    <n v="2020"/>
    <b v="1"/>
  </r>
  <r>
    <x v="6"/>
    <m/>
    <x v="0"/>
    <m/>
    <s v="Out"/>
    <m/>
    <m/>
    <m/>
    <m/>
    <m/>
    <m/>
    <s v="f"/>
    <d v="2020-11-01T00:00:00"/>
    <d v="2020-11-01T00:00:00"/>
    <m/>
    <n v="1543357.14"/>
    <m/>
    <m/>
    <m/>
    <m/>
    <m/>
    <m/>
    <m/>
    <s v="07. Item 07"/>
    <n v="11"/>
    <x v="2"/>
    <x v="1"/>
    <n v="2020"/>
    <n v="2020"/>
    <b v="1"/>
  </r>
  <r>
    <x v="21"/>
    <s v="04. Item 04"/>
    <x v="0"/>
    <m/>
    <s v="Out"/>
    <m/>
    <m/>
    <m/>
    <m/>
    <m/>
    <m/>
    <s v="f"/>
    <d v="2020-11-01T00:00:00"/>
    <d v="2020-11-01T00:00:00"/>
    <m/>
    <n v="4002904.76"/>
    <m/>
    <m/>
    <m/>
    <m/>
    <m/>
    <m/>
    <m/>
    <s v="04. Item 04"/>
    <n v="11"/>
    <x v="2"/>
    <x v="1"/>
    <n v="2020"/>
    <n v="2020"/>
    <b v="1"/>
  </r>
  <r>
    <x v="9"/>
    <m/>
    <x v="0"/>
    <m/>
    <s v="Out"/>
    <m/>
    <m/>
    <m/>
    <m/>
    <m/>
    <m/>
    <s v="f"/>
    <d v="2020-11-01T00:00:00"/>
    <d v="2020-11-01T00:00:00"/>
    <m/>
    <n v="6952404.7599999998"/>
    <m/>
    <m/>
    <m/>
    <m/>
    <m/>
    <m/>
    <m/>
    <s v="09. Item 09"/>
    <n v="11"/>
    <x v="2"/>
    <x v="1"/>
    <n v="2020"/>
    <n v="2020"/>
    <b v="1"/>
  </r>
  <r>
    <x v="8"/>
    <m/>
    <x v="0"/>
    <m/>
    <s v="Out"/>
    <m/>
    <m/>
    <m/>
    <m/>
    <m/>
    <m/>
    <s v="f"/>
    <d v="2020-11-01T00:00:00"/>
    <d v="2020-11-01T00:00:00"/>
    <m/>
    <n v="239023.81"/>
    <m/>
    <m/>
    <m/>
    <m/>
    <m/>
    <m/>
    <m/>
    <s v="09. Item 09"/>
    <n v="11"/>
    <x v="2"/>
    <x v="1"/>
    <n v="2020"/>
    <n v="2020"/>
    <b v="1"/>
  </r>
  <r>
    <x v="30"/>
    <m/>
    <x v="0"/>
    <m/>
    <s v="Out"/>
    <m/>
    <m/>
    <m/>
    <m/>
    <m/>
    <m/>
    <s v="f"/>
    <d v="2020-11-01T00:00:00"/>
    <d v="2020-11-01T00:00:00"/>
    <m/>
    <n v="23523.81"/>
    <m/>
    <m/>
    <m/>
    <m/>
    <m/>
    <m/>
    <m/>
    <s v="10. Item 10"/>
    <n v="11"/>
    <x v="2"/>
    <x v="1"/>
    <n v="2020"/>
    <n v="2020"/>
    <b v="1"/>
  </r>
  <r>
    <x v="10"/>
    <s v="12. Item 12"/>
    <x v="0"/>
    <m/>
    <s v="Out"/>
    <m/>
    <m/>
    <m/>
    <m/>
    <m/>
    <m/>
    <s v="f"/>
    <d v="2020-11-01T00:00:00"/>
    <d v="2020-11-01T00:00:00"/>
    <m/>
    <n v="518857.14"/>
    <m/>
    <m/>
    <m/>
    <m/>
    <m/>
    <m/>
    <m/>
    <s v="12. Item 12"/>
    <n v="11"/>
    <x v="2"/>
    <x v="1"/>
    <n v="2020"/>
    <n v="2020"/>
    <b v="1"/>
  </r>
  <r>
    <x v="32"/>
    <m/>
    <x v="0"/>
    <m/>
    <s v="Out"/>
    <m/>
    <m/>
    <m/>
    <m/>
    <m/>
    <m/>
    <s v="f"/>
    <d v="2020-11-01T00:00:00"/>
    <d v="2020-11-01T00:00:00"/>
    <m/>
    <n v="32309.52"/>
    <m/>
    <m/>
    <m/>
    <m/>
    <m/>
    <m/>
    <m/>
    <s v="12. Item 12"/>
    <n v="11"/>
    <x v="2"/>
    <x v="1"/>
    <n v="2020"/>
    <n v="2020"/>
    <b v="1"/>
  </r>
  <r>
    <x v="29"/>
    <m/>
    <x v="0"/>
    <m/>
    <s v="Out"/>
    <m/>
    <m/>
    <m/>
    <m/>
    <m/>
    <m/>
    <s v="f"/>
    <d v="2020-11-01T00:00:00"/>
    <d v="2020-11-01T00:00:00"/>
    <m/>
    <n v="762428.57"/>
    <m/>
    <m/>
    <m/>
    <m/>
    <m/>
    <m/>
    <m/>
    <s v="13. Item 13"/>
    <n v="11"/>
    <x v="2"/>
    <x v="1"/>
    <n v="2020"/>
    <n v="2020"/>
    <b v="1"/>
  </r>
  <r>
    <x v="11"/>
    <m/>
    <x v="0"/>
    <m/>
    <s v="Out"/>
    <m/>
    <m/>
    <m/>
    <m/>
    <m/>
    <m/>
    <s v="f"/>
    <d v="2020-11-01T00:00:00"/>
    <d v="2020-11-01T00:00:00"/>
    <m/>
    <n v="593857.14"/>
    <m/>
    <m/>
    <m/>
    <m/>
    <m/>
    <m/>
    <m/>
    <s v="13. Item 13"/>
    <n v="11"/>
    <x v="2"/>
    <x v="1"/>
    <n v="2020"/>
    <n v="2020"/>
    <b v="1"/>
  </r>
  <r>
    <x v="33"/>
    <m/>
    <x v="0"/>
    <m/>
    <s v="Out"/>
    <m/>
    <m/>
    <m/>
    <m/>
    <m/>
    <m/>
    <s v="f"/>
    <d v="2020-11-01T00:00:00"/>
    <d v="2020-11-01T00:00:00"/>
    <m/>
    <n v="2307190.48"/>
    <m/>
    <m/>
    <m/>
    <m/>
    <m/>
    <m/>
    <m/>
    <s v="13. Item 13"/>
    <n v="11"/>
    <x v="2"/>
    <x v="1"/>
    <n v="2020"/>
    <n v="2020"/>
    <b v="1"/>
  </r>
  <r>
    <x v="34"/>
    <m/>
    <x v="0"/>
    <m/>
    <s v="Out"/>
    <m/>
    <m/>
    <m/>
    <m/>
    <m/>
    <m/>
    <s v="p"/>
    <d v="2020-11-01T00:00:00"/>
    <d v="2020-11-01T00:00:00"/>
    <n v="259928.57"/>
    <m/>
    <m/>
    <m/>
    <m/>
    <m/>
    <m/>
    <m/>
    <m/>
    <s v="13. Item 13"/>
    <n v="11"/>
    <x v="2"/>
    <x v="1"/>
    <n v="2020"/>
    <n v="2020"/>
    <b v="1"/>
  </r>
  <r>
    <x v="13"/>
    <m/>
    <x v="0"/>
    <m/>
    <s v="Out"/>
    <m/>
    <m/>
    <m/>
    <m/>
    <m/>
    <m/>
    <s v="p"/>
    <d v="2020-11-01T00:00:00"/>
    <d v="2020-11-01T00:00:00"/>
    <n v="-22142.86"/>
    <m/>
    <m/>
    <m/>
    <m/>
    <m/>
    <m/>
    <m/>
    <m/>
    <s v="13. Item 13"/>
    <n v="11"/>
    <x v="2"/>
    <x v="1"/>
    <n v="2020"/>
    <n v="2020"/>
    <b v="1"/>
  </r>
  <r>
    <x v="20"/>
    <m/>
    <x v="0"/>
    <m/>
    <s v="Out"/>
    <m/>
    <m/>
    <m/>
    <m/>
    <m/>
    <m/>
    <s v="p"/>
    <d v="2020-11-01T00:00:00"/>
    <d v="2020-11-01T00:00:00"/>
    <n v="758904.76"/>
    <m/>
    <m/>
    <m/>
    <m/>
    <m/>
    <m/>
    <m/>
    <m/>
    <s v="14. Item 14"/>
    <n v="11"/>
    <x v="2"/>
    <x v="1"/>
    <n v="2020"/>
    <n v="2020"/>
    <b v="1"/>
  </r>
  <r>
    <x v="35"/>
    <m/>
    <x v="0"/>
    <m/>
    <s v="Out"/>
    <m/>
    <m/>
    <m/>
    <m/>
    <m/>
    <m/>
    <s v="f"/>
    <d v="2020-12-01T00:00:00"/>
    <d v="2020-12-01T00:00:00"/>
    <m/>
    <n v="319642.86"/>
    <m/>
    <m/>
    <m/>
    <m/>
    <m/>
    <m/>
    <m/>
    <s v="17. Item 17"/>
    <n v="12"/>
    <x v="0"/>
    <x v="1"/>
    <n v="2020"/>
    <n v="2020"/>
    <b v="1"/>
  </r>
  <r>
    <x v="10"/>
    <m/>
    <x v="0"/>
    <m/>
    <s v="Out"/>
    <m/>
    <m/>
    <m/>
    <m/>
    <m/>
    <m/>
    <s v="f"/>
    <d v="2020-12-01T00:00:00"/>
    <d v="2020-12-01T00:00:00"/>
    <m/>
    <n v="6508571.4299999997"/>
    <m/>
    <m/>
    <m/>
    <m/>
    <m/>
    <m/>
    <m/>
    <s v="11. Item 11"/>
    <n v="12"/>
    <x v="0"/>
    <x v="1"/>
    <n v="2020"/>
    <n v="2020"/>
    <b v="1"/>
  </r>
  <r>
    <x v="10"/>
    <m/>
    <x v="0"/>
    <m/>
    <s v="Out"/>
    <m/>
    <m/>
    <m/>
    <m/>
    <m/>
    <m/>
    <s v="f"/>
    <d v="2020-12-01T00:00:00"/>
    <d v="2020-12-01T00:00:00"/>
    <m/>
    <n v="8870690.4800000004"/>
    <m/>
    <m/>
    <m/>
    <m/>
    <m/>
    <m/>
    <m/>
    <s v="11. Item 11"/>
    <n v="12"/>
    <x v="0"/>
    <x v="1"/>
    <n v="2020"/>
    <n v="2020"/>
    <b v="1"/>
  </r>
  <r>
    <x v="5"/>
    <m/>
    <x v="0"/>
    <m/>
    <s v="Out"/>
    <m/>
    <m/>
    <m/>
    <m/>
    <m/>
    <m/>
    <s v="f"/>
    <d v="2020-12-01T00:00:00"/>
    <d v="2020-12-01T00:00:00"/>
    <m/>
    <n v="66285.710000000006"/>
    <m/>
    <m/>
    <m/>
    <m/>
    <m/>
    <m/>
    <m/>
    <s v="05. Item 05"/>
    <n v="12"/>
    <x v="0"/>
    <x v="1"/>
    <n v="2020"/>
    <n v="2020"/>
    <b v="1"/>
  </r>
  <r>
    <x v="34"/>
    <m/>
    <x v="0"/>
    <m/>
    <s v="Out"/>
    <m/>
    <m/>
    <m/>
    <m/>
    <m/>
    <m/>
    <s v="f"/>
    <d v="2020-12-01T00:00:00"/>
    <d v="2020-12-01T00:00:00"/>
    <m/>
    <n v="8251357.1399999997"/>
    <m/>
    <m/>
    <m/>
    <m/>
    <m/>
    <m/>
    <m/>
    <s v="13. Item 13"/>
    <n v="12"/>
    <x v="0"/>
    <x v="1"/>
    <n v="2020"/>
    <n v="2020"/>
    <b v="1"/>
  </r>
  <r>
    <x v="13"/>
    <m/>
    <x v="0"/>
    <m/>
    <s v="Out"/>
    <m/>
    <m/>
    <m/>
    <m/>
    <m/>
    <m/>
    <s v="f"/>
    <d v="2020-12-01T00:00:00"/>
    <d v="2020-12-01T00:00:00"/>
    <m/>
    <n v="1890666.67"/>
    <m/>
    <m/>
    <m/>
    <m/>
    <m/>
    <m/>
    <m/>
    <s v="13. Item 13"/>
    <n v="12"/>
    <x v="0"/>
    <x v="1"/>
    <n v="2020"/>
    <n v="2020"/>
    <b v="1"/>
  </r>
  <r>
    <x v="13"/>
    <s v="04. Item 04"/>
    <x v="0"/>
    <m/>
    <s v="Out"/>
    <m/>
    <m/>
    <m/>
    <m/>
    <m/>
    <m/>
    <s v="f"/>
    <d v="2020-12-01T00:00:00"/>
    <d v="2020-12-01T00:00:00"/>
    <m/>
    <n v="8742642.8599999994"/>
    <m/>
    <m/>
    <m/>
    <m/>
    <m/>
    <m/>
    <m/>
    <s v="04. Item 04"/>
    <n v="12"/>
    <x v="0"/>
    <x v="1"/>
    <n v="2020"/>
    <n v="2020"/>
    <b v="1"/>
  </r>
  <r>
    <x v="13"/>
    <m/>
    <x v="0"/>
    <m/>
    <s v="Out"/>
    <m/>
    <m/>
    <m/>
    <m/>
    <m/>
    <m/>
    <s v="f"/>
    <d v="2020-12-01T00:00:00"/>
    <d v="2020-12-01T00:00:00"/>
    <m/>
    <n v="5571190.4800000004"/>
    <m/>
    <m/>
    <m/>
    <m/>
    <m/>
    <m/>
    <m/>
    <s v="13. Item 13"/>
    <n v="12"/>
    <x v="0"/>
    <x v="1"/>
    <n v="2020"/>
    <n v="2020"/>
    <b v="1"/>
  </r>
  <r>
    <x v="13"/>
    <m/>
    <x v="0"/>
    <m/>
    <s v="Out"/>
    <m/>
    <m/>
    <m/>
    <m/>
    <m/>
    <m/>
    <s v="f"/>
    <d v="2020-12-01T00:00:00"/>
    <d v="2020-12-01T00:00:00"/>
    <m/>
    <n v="1127357.1399999999"/>
    <m/>
    <m/>
    <m/>
    <m/>
    <m/>
    <m/>
    <m/>
    <s v="13. Item 13"/>
    <n v="12"/>
    <x v="0"/>
    <x v="1"/>
    <n v="2020"/>
    <n v="2020"/>
    <b v="1"/>
  </r>
  <r>
    <x v="9"/>
    <m/>
    <x v="0"/>
    <m/>
    <s v="Out"/>
    <m/>
    <m/>
    <m/>
    <m/>
    <m/>
    <m/>
    <s v="f"/>
    <d v="2020-12-01T00:00:00"/>
    <d v="2020-12-01T00:00:00"/>
    <m/>
    <n v="74761.899999999994"/>
    <m/>
    <m/>
    <m/>
    <m/>
    <m/>
    <m/>
    <m/>
    <s v="09. Item 09"/>
    <n v="12"/>
    <x v="0"/>
    <x v="1"/>
    <n v="2020"/>
    <n v="2020"/>
    <b v="1"/>
  </r>
  <r>
    <x v="8"/>
    <s v="12. Item 12"/>
    <x v="0"/>
    <m/>
    <s v="Out"/>
    <m/>
    <m/>
    <m/>
    <m/>
    <m/>
    <m/>
    <s v="f"/>
    <d v="2020-12-01T00:00:00"/>
    <d v="2020-12-01T00:00:00"/>
    <m/>
    <n v="449071.43"/>
    <m/>
    <m/>
    <m/>
    <m/>
    <m/>
    <m/>
    <m/>
    <s v="12. Item 12"/>
    <n v="12"/>
    <x v="0"/>
    <x v="1"/>
    <n v="2020"/>
    <n v="2020"/>
    <b v="1"/>
  </r>
  <r>
    <x v="6"/>
    <m/>
    <x v="0"/>
    <m/>
    <s v="Out"/>
    <m/>
    <m/>
    <m/>
    <m/>
    <m/>
    <m/>
    <s v="f"/>
    <d v="2020-12-01T00:00:00"/>
    <d v="2020-12-01T00:00:00"/>
    <m/>
    <n v="22452.38"/>
    <m/>
    <m/>
    <m/>
    <m/>
    <m/>
    <m/>
    <m/>
    <s v="07. Item 07"/>
    <n v="12"/>
    <x v="0"/>
    <x v="1"/>
    <n v="2020"/>
    <n v="2020"/>
    <b v="1"/>
  </r>
  <r>
    <x v="5"/>
    <m/>
    <x v="0"/>
    <m/>
    <s v="Out"/>
    <m/>
    <m/>
    <m/>
    <m/>
    <m/>
    <m/>
    <s v="f"/>
    <d v="2020-12-01T00:00:00"/>
    <d v="2020-12-01T00:00:00"/>
    <m/>
    <n v="2121285.71"/>
    <m/>
    <m/>
    <m/>
    <m/>
    <m/>
    <m/>
    <m/>
    <s v="05. Item 05"/>
    <n v="12"/>
    <x v="0"/>
    <x v="1"/>
    <n v="2020"/>
    <n v="2020"/>
    <b v="1"/>
  </r>
  <r>
    <x v="0"/>
    <m/>
    <x v="0"/>
    <m/>
    <s v="Out"/>
    <m/>
    <m/>
    <m/>
    <m/>
    <m/>
    <m/>
    <s v="f"/>
    <d v="2020-12-01T00:00:00"/>
    <d v="2020-12-01T00:00:00"/>
    <m/>
    <n v="2069761.9"/>
    <m/>
    <m/>
    <m/>
    <m/>
    <m/>
    <m/>
    <m/>
    <s v="01. Item 01"/>
    <n v="12"/>
    <x v="0"/>
    <x v="1"/>
    <n v="2020"/>
    <n v="2020"/>
    <b v="1"/>
  </r>
  <r>
    <x v="1"/>
    <m/>
    <x v="0"/>
    <m/>
    <s v="Out"/>
    <m/>
    <m/>
    <m/>
    <m/>
    <m/>
    <m/>
    <s v="p"/>
    <d v="2020-12-01T00:00:00"/>
    <d v="2020-12-01T00:00:00"/>
    <n v="927738.1"/>
    <m/>
    <m/>
    <m/>
    <m/>
    <m/>
    <m/>
    <m/>
    <m/>
    <s v="02. Item 02"/>
    <n v="12"/>
    <x v="0"/>
    <x v="1"/>
    <n v="2020"/>
    <n v="2020"/>
    <b v="1"/>
  </r>
  <r>
    <x v="3"/>
    <m/>
    <x v="0"/>
    <m/>
    <s v="Out"/>
    <m/>
    <m/>
    <m/>
    <m/>
    <m/>
    <m/>
    <s v="p"/>
    <d v="2020-12-01T00:00:00"/>
    <d v="2020-12-01T00:00:00"/>
    <n v="788619.05"/>
    <m/>
    <m/>
    <m/>
    <m/>
    <m/>
    <m/>
    <m/>
    <m/>
    <s v="04. Item 04"/>
    <n v="12"/>
    <x v="0"/>
    <x v="1"/>
    <n v="2020"/>
    <n v="2020"/>
    <b v="1"/>
  </r>
  <r>
    <x v="4"/>
    <m/>
    <x v="1"/>
    <s v="Centralized"/>
    <s v="Out"/>
    <m/>
    <m/>
    <m/>
    <m/>
    <n v="3"/>
    <s v="COMPLETE"/>
    <s v="f"/>
    <d v="2021-03-16T00:00:00"/>
    <d v="2021-03-25T00:00:00"/>
    <m/>
    <n v="1285714.29"/>
    <m/>
    <m/>
    <m/>
    <m/>
    <m/>
    <m/>
    <m/>
    <s v="05. Item 05"/>
    <n v="3"/>
    <x v="8"/>
    <x v="2"/>
    <n v="2021"/>
    <n v="2021"/>
    <b v="1"/>
  </r>
  <r>
    <x v="7"/>
    <m/>
    <x v="1"/>
    <s v="Centralized"/>
    <s v="Out"/>
    <m/>
    <m/>
    <m/>
    <s v="X"/>
    <n v="3"/>
    <s v="COMPLETE"/>
    <s v="f"/>
    <d v="2021-03-01T00:00:00"/>
    <d v="2021-03-22T00:00:00"/>
    <m/>
    <n v="278005.71000000002"/>
    <m/>
    <m/>
    <m/>
    <m/>
    <m/>
    <m/>
    <m/>
    <s v="08. Item 08"/>
    <n v="3"/>
    <x v="8"/>
    <x v="2"/>
    <n v="2021"/>
    <n v="2021"/>
    <b v="1"/>
  </r>
  <r>
    <x v="10"/>
    <m/>
    <x v="1"/>
    <s v="Centralized"/>
    <s v="Out"/>
    <m/>
    <m/>
    <m/>
    <m/>
    <n v="3"/>
    <s v="COMPLETE"/>
    <s v="f"/>
    <d v="2021-03-01T00:00:00"/>
    <d v="2021-03-25T00:00:00"/>
    <m/>
    <n v="89.52"/>
    <m/>
    <m/>
    <m/>
    <m/>
    <m/>
    <m/>
    <m/>
    <s v="11. Item 11"/>
    <n v="3"/>
    <x v="8"/>
    <x v="2"/>
    <n v="2021"/>
    <n v="2021"/>
    <b v="1"/>
  </r>
  <r>
    <x v="12"/>
    <m/>
    <x v="1"/>
    <s v="Centralized"/>
    <s v="Out"/>
    <m/>
    <m/>
    <m/>
    <m/>
    <n v="2"/>
    <s v="COMPLETE"/>
    <s v="f"/>
    <d v="2021-03-12T00:00:00"/>
    <d v="2021-03-23T00:00:00"/>
    <m/>
    <n v="626497.02"/>
    <m/>
    <m/>
    <m/>
    <m/>
    <m/>
    <m/>
    <m/>
    <s v="13. Item 13"/>
    <n v="3"/>
    <x v="8"/>
    <x v="2"/>
    <n v="2021"/>
    <n v="2021"/>
    <b v="1"/>
  </r>
  <r>
    <x v="13"/>
    <m/>
    <x v="1"/>
    <s v="Decentralized"/>
    <s v="Out"/>
    <m/>
    <m/>
    <m/>
    <m/>
    <n v="4"/>
    <s v="COMPLETE"/>
    <s v="f"/>
    <d v="2021-03-16T00:00:00"/>
    <d v="2021-03-22T00:00:00"/>
    <m/>
    <n v="24561.21"/>
    <m/>
    <m/>
    <m/>
    <m/>
    <m/>
    <m/>
    <m/>
    <s v="13. Item 13"/>
    <n v="3"/>
    <x v="8"/>
    <x v="2"/>
    <n v="2021"/>
    <n v="2021"/>
    <b v="1"/>
  </r>
  <r>
    <x v="11"/>
    <m/>
    <x v="0"/>
    <m/>
    <s v="Out"/>
    <m/>
    <m/>
    <m/>
    <m/>
    <m/>
    <m/>
    <s v="p"/>
    <d v="2020-09-01T00:00:00"/>
    <d v="2020-09-01T00:00:00"/>
    <n v="1443500"/>
    <m/>
    <m/>
    <m/>
    <m/>
    <m/>
    <m/>
    <m/>
    <m/>
    <s v="13. Item 13"/>
    <n v="9"/>
    <x v="4"/>
    <x v="1"/>
    <n v="2020"/>
    <n v="2020"/>
    <b v="1"/>
  </r>
  <r>
    <x v="15"/>
    <m/>
    <x v="1"/>
    <s v="Centralized"/>
    <s v="In"/>
    <m/>
    <m/>
    <m/>
    <m/>
    <m/>
    <s v="COMPLETE"/>
    <s v="f"/>
    <d v="2021-03-16T00:00:00"/>
    <d v="2021-03-16T00:00:00"/>
    <m/>
    <n v="357600"/>
    <m/>
    <m/>
    <m/>
    <m/>
    <m/>
    <m/>
    <m/>
    <s v="06. Item 06"/>
    <n v="3"/>
    <x v="8"/>
    <x v="2"/>
    <n v="2021"/>
    <n v="2021"/>
    <b v="1"/>
  </r>
  <r>
    <x v="11"/>
    <m/>
    <x v="1"/>
    <s v="Centralized"/>
    <s v="In"/>
    <m/>
    <m/>
    <m/>
    <m/>
    <m/>
    <s v="COMPLETE"/>
    <s v="f"/>
    <d v="2021-03-17T00:00:00"/>
    <d v="2021-03-17T00:00:00"/>
    <m/>
    <n v="3827291.92"/>
    <m/>
    <m/>
    <m/>
    <m/>
    <m/>
    <m/>
    <m/>
    <s v="13. Item 13"/>
    <n v="3"/>
    <x v="8"/>
    <x v="2"/>
    <n v="2021"/>
    <n v="2021"/>
    <b v="1"/>
  </r>
  <r>
    <x v="12"/>
    <m/>
    <x v="1"/>
    <s v="Centralized"/>
    <s v="Out"/>
    <m/>
    <m/>
    <s v="CANCEL"/>
    <m/>
    <m/>
    <m/>
    <s v="p"/>
    <d v="2021-01-01T00:00:00"/>
    <d v="2021-01-01T00:00:00"/>
    <n v="-1.19"/>
    <m/>
    <m/>
    <m/>
    <m/>
    <m/>
    <m/>
    <m/>
    <m/>
    <s v="13. Item 13"/>
    <n v="1"/>
    <x v="1"/>
    <x v="2"/>
    <n v="2021"/>
    <n v="2021"/>
    <b v="1"/>
  </r>
  <r>
    <x v="13"/>
    <s v="03. Item 03"/>
    <x v="1"/>
    <s v="Centralized"/>
    <s v="Out"/>
    <m/>
    <m/>
    <s v="CANCEL"/>
    <m/>
    <m/>
    <m/>
    <s v="p"/>
    <d v="2021-01-01T00:00:00"/>
    <d v="2021-01-01T00:00:00"/>
    <n v="-6559.02"/>
    <m/>
    <m/>
    <m/>
    <m/>
    <m/>
    <m/>
    <m/>
    <m/>
    <s v="03. Item 03"/>
    <n v="1"/>
    <x v="1"/>
    <x v="2"/>
    <n v="2021"/>
    <n v="2021"/>
    <b v="1"/>
  </r>
  <r>
    <x v="9"/>
    <m/>
    <x v="1"/>
    <s v="Centralized"/>
    <s v="Out"/>
    <m/>
    <m/>
    <m/>
    <m/>
    <m/>
    <m/>
    <s v="p"/>
    <d v="2021-01-01T00:00:00"/>
    <d v="2021-01-01T00:00:00"/>
    <n v="2448436.98"/>
    <m/>
    <m/>
    <m/>
    <m/>
    <m/>
    <m/>
    <m/>
    <m/>
    <s v="09. Item 09"/>
    <n v="1"/>
    <x v="1"/>
    <x v="2"/>
    <n v="2021"/>
    <n v="2021"/>
    <b v="1"/>
  </r>
  <r>
    <x v="8"/>
    <m/>
    <x v="1"/>
    <s v="Centralized"/>
    <s v="Out"/>
    <s v="X"/>
    <m/>
    <m/>
    <m/>
    <m/>
    <m/>
    <s v="p"/>
    <d v="2021-01-01T00:00:00"/>
    <d v="2021-01-01T00:00:00"/>
    <n v="3632710.5"/>
    <m/>
    <m/>
    <m/>
    <m/>
    <m/>
    <m/>
    <m/>
    <m/>
    <s v="09. Item 09"/>
    <n v="1"/>
    <x v="1"/>
    <x v="2"/>
    <n v="2021"/>
    <n v="2020"/>
    <b v="1"/>
  </r>
  <r>
    <x v="6"/>
    <m/>
    <x v="1"/>
    <s v="Centralized"/>
    <s v="Out"/>
    <m/>
    <m/>
    <s v="CANCEL"/>
    <m/>
    <m/>
    <m/>
    <s v="p"/>
    <d v="2021-01-01T00:00:00"/>
    <d v="2021-01-01T00:00:00"/>
    <n v="-9344.1"/>
    <m/>
    <m/>
    <m/>
    <m/>
    <m/>
    <m/>
    <m/>
    <m/>
    <s v="07. Item 07"/>
    <n v="1"/>
    <x v="1"/>
    <x v="2"/>
    <n v="2021"/>
    <n v="2021"/>
    <b v="1"/>
  </r>
  <r>
    <x v="5"/>
    <m/>
    <x v="1"/>
    <s v="Centralized"/>
    <s v="Out"/>
    <m/>
    <m/>
    <s v="CANCEL"/>
    <m/>
    <m/>
    <m/>
    <s v="p"/>
    <d v="2021-01-01T00:00:00"/>
    <d v="2021-01-01T00:00:00"/>
    <n v="-203.89"/>
    <m/>
    <m/>
    <m/>
    <m/>
    <m/>
    <m/>
    <m/>
    <m/>
    <s v="05. Item 05"/>
    <n v="1"/>
    <x v="1"/>
    <x v="2"/>
    <n v="2021"/>
    <n v="2021"/>
    <b v="1"/>
  </r>
  <r>
    <x v="0"/>
    <m/>
    <x v="1"/>
    <s v="Centralized"/>
    <s v="Out"/>
    <m/>
    <m/>
    <s v="CANCEL"/>
    <m/>
    <m/>
    <m/>
    <s v="p"/>
    <d v="2021-01-01T00:00:00"/>
    <d v="2021-01-01T00:00:00"/>
    <n v="-0.54"/>
    <m/>
    <m/>
    <m/>
    <m/>
    <m/>
    <m/>
    <m/>
    <m/>
    <s v="01. Item 01"/>
    <n v="1"/>
    <x v="1"/>
    <x v="2"/>
    <n v="2021"/>
    <n v="2021"/>
    <b v="1"/>
  </r>
  <r>
    <x v="1"/>
    <s v="10. Item 10"/>
    <x v="1"/>
    <s v="Centralized"/>
    <s v="Out"/>
    <m/>
    <m/>
    <s v="CANCEL"/>
    <m/>
    <m/>
    <m/>
    <s v="p"/>
    <d v="2021-01-01T00:00:00"/>
    <d v="2021-01-01T00:00:00"/>
    <n v="-175"/>
    <m/>
    <m/>
    <m/>
    <m/>
    <m/>
    <m/>
    <m/>
    <m/>
    <s v="10. Item 10"/>
    <n v="1"/>
    <x v="1"/>
    <x v="2"/>
    <n v="2021"/>
    <n v="2021"/>
    <b v="1"/>
  </r>
  <r>
    <x v="2"/>
    <s v="12. Item 12"/>
    <x v="1"/>
    <s v="Centralized"/>
    <s v="Out"/>
    <m/>
    <m/>
    <s v="CANCEL"/>
    <m/>
    <m/>
    <m/>
    <s v="p"/>
    <d v="2021-01-01T00:00:00"/>
    <d v="2021-01-01T00:00:00"/>
    <n v="-15.43"/>
    <m/>
    <m/>
    <m/>
    <m/>
    <m/>
    <m/>
    <m/>
    <m/>
    <s v="12. Item 12"/>
    <n v="1"/>
    <x v="1"/>
    <x v="2"/>
    <n v="2021"/>
    <n v="2021"/>
    <b v="1"/>
  </r>
  <r>
    <x v="3"/>
    <m/>
    <x v="1"/>
    <s v="Centralized"/>
    <s v="Out"/>
    <m/>
    <m/>
    <s v="CANCEL"/>
    <m/>
    <m/>
    <m/>
    <s v="p"/>
    <d v="2021-01-01T00:00:00"/>
    <d v="2021-01-01T00:00:00"/>
    <n v="-17.11"/>
    <m/>
    <m/>
    <m/>
    <m/>
    <m/>
    <m/>
    <m/>
    <m/>
    <s v="04. Item 04"/>
    <n v="1"/>
    <x v="1"/>
    <x v="2"/>
    <n v="2021"/>
    <n v="2021"/>
    <b v="1"/>
  </r>
  <r>
    <x v="4"/>
    <m/>
    <x v="1"/>
    <s v="Centralized"/>
    <s v="Out"/>
    <m/>
    <m/>
    <m/>
    <m/>
    <m/>
    <m/>
    <s v="p"/>
    <d v="2021-01-01T00:00:00"/>
    <d v="2021-01-01T00:00:00"/>
    <n v="-212922.91"/>
    <m/>
    <m/>
    <m/>
    <m/>
    <m/>
    <m/>
    <m/>
    <m/>
    <s v="05. Item 05"/>
    <n v="1"/>
    <x v="1"/>
    <x v="2"/>
    <n v="2021"/>
    <n v="2021"/>
    <b v="1"/>
  </r>
  <r>
    <x v="7"/>
    <m/>
    <x v="1"/>
    <s v="Centralized"/>
    <s v="Out"/>
    <m/>
    <m/>
    <s v="CANCEL"/>
    <m/>
    <m/>
    <m/>
    <s v="p"/>
    <d v="2021-01-01T00:00:00"/>
    <d v="2021-01-01T00:00:00"/>
    <n v="-5054.05"/>
    <m/>
    <m/>
    <m/>
    <m/>
    <m/>
    <m/>
    <m/>
    <m/>
    <s v="08. Item 08"/>
    <n v="1"/>
    <x v="1"/>
    <x v="2"/>
    <n v="2021"/>
    <n v="2021"/>
    <b v="1"/>
  </r>
  <r>
    <x v="10"/>
    <m/>
    <x v="1"/>
    <s v="Centralized"/>
    <s v="Out"/>
    <m/>
    <m/>
    <s v="CANCEL"/>
    <m/>
    <m/>
    <m/>
    <s v="p"/>
    <d v="2021-01-01T00:00:00"/>
    <d v="2021-01-01T00:00:00"/>
    <n v="-173.29"/>
    <m/>
    <m/>
    <m/>
    <m/>
    <m/>
    <m/>
    <m/>
    <m/>
    <s v="11. Item 11"/>
    <n v="1"/>
    <x v="1"/>
    <x v="2"/>
    <n v="2021"/>
    <n v="2021"/>
    <b v="1"/>
  </r>
  <r>
    <x v="12"/>
    <m/>
    <x v="1"/>
    <s v="Centralized"/>
    <s v="Out"/>
    <m/>
    <m/>
    <s v="CANCEL"/>
    <m/>
    <m/>
    <m/>
    <s v="p"/>
    <d v="2021-01-01T00:00:00"/>
    <d v="2021-01-01T00:00:00"/>
    <n v="-8.0299999999999994"/>
    <m/>
    <m/>
    <m/>
    <m/>
    <m/>
    <m/>
    <m/>
    <m/>
    <s v="13. Item 13"/>
    <n v="1"/>
    <x v="1"/>
    <x v="2"/>
    <n v="2021"/>
    <n v="2021"/>
    <b v="1"/>
  </r>
  <r>
    <x v="13"/>
    <m/>
    <x v="1"/>
    <s v="Centralized"/>
    <s v="Out"/>
    <m/>
    <m/>
    <m/>
    <m/>
    <m/>
    <m/>
    <s v="p"/>
    <d v="2021-01-01T00:00:00"/>
    <d v="2021-01-01T00:00:00"/>
    <n v="-27791.15"/>
    <m/>
    <m/>
    <m/>
    <m/>
    <m/>
    <m/>
    <m/>
    <m/>
    <s v="13. Item 13"/>
    <n v="1"/>
    <x v="1"/>
    <x v="2"/>
    <n v="2021"/>
    <n v="2021"/>
    <b v="1"/>
  </r>
  <r>
    <x v="11"/>
    <m/>
    <x v="1"/>
    <s v="Centralized"/>
    <s v="In"/>
    <m/>
    <m/>
    <m/>
    <m/>
    <m/>
    <s v="COMPLETE"/>
    <s v="f"/>
    <d v="2021-03-18T00:00:00"/>
    <d v="2021-03-18T00:00:00"/>
    <m/>
    <n v="61819.06"/>
    <m/>
    <m/>
    <m/>
    <m/>
    <m/>
    <m/>
    <m/>
    <s v="13. Item 13"/>
    <n v="3"/>
    <x v="8"/>
    <x v="2"/>
    <n v="2021"/>
    <n v="2021"/>
    <b v="1"/>
  </r>
  <r>
    <x v="15"/>
    <m/>
    <x v="1"/>
    <s v="Centralized"/>
    <s v="In"/>
    <m/>
    <m/>
    <m/>
    <m/>
    <m/>
    <s v="COMPLETE"/>
    <s v="f"/>
    <d v="2021-03-19T00:00:00"/>
    <d v="2021-03-19T00:00:00"/>
    <m/>
    <n v="844207.68"/>
    <m/>
    <m/>
    <m/>
    <m/>
    <m/>
    <m/>
    <m/>
    <s v="06. Item 06"/>
    <n v="3"/>
    <x v="8"/>
    <x v="2"/>
    <n v="2021"/>
    <n v="2021"/>
    <b v="1"/>
  </r>
  <r>
    <x v="11"/>
    <m/>
    <x v="1"/>
    <s v="Centralized"/>
    <s v="Out"/>
    <m/>
    <m/>
    <m/>
    <m/>
    <m/>
    <m/>
    <s v="p"/>
    <d v="2021-02-01T00:00:00"/>
    <d v="2021-02-01T00:00:00"/>
    <n v="-108.93"/>
    <m/>
    <m/>
    <m/>
    <m/>
    <m/>
    <m/>
    <m/>
    <m/>
    <s v="13. Item 13"/>
    <n v="2"/>
    <x v="6"/>
    <x v="2"/>
    <n v="2021"/>
    <n v="2021"/>
    <b v="1"/>
  </r>
  <r>
    <x v="12"/>
    <m/>
    <x v="1"/>
    <s v="Centralized"/>
    <s v="Out"/>
    <s v="X"/>
    <m/>
    <m/>
    <m/>
    <m/>
    <m/>
    <s v="p"/>
    <d v="2021-01-01T00:00:00"/>
    <d v="2021-01-01T00:00:00"/>
    <n v="-48.6"/>
    <m/>
    <m/>
    <m/>
    <m/>
    <m/>
    <m/>
    <m/>
    <m/>
    <s v="13. Item 13"/>
    <n v="1"/>
    <x v="1"/>
    <x v="2"/>
    <n v="2021"/>
    <n v="2020"/>
    <b v="1"/>
  </r>
  <r>
    <x v="13"/>
    <m/>
    <x v="1"/>
    <s v="Centralized"/>
    <s v="Out"/>
    <m/>
    <m/>
    <m/>
    <m/>
    <m/>
    <m/>
    <s v="p"/>
    <d v="2021-01-01T00:00:00"/>
    <d v="2021-01-01T00:00:00"/>
    <n v="-2976.19"/>
    <m/>
    <m/>
    <m/>
    <m/>
    <m/>
    <m/>
    <m/>
    <m/>
    <s v="13. Item 13"/>
    <n v="1"/>
    <x v="1"/>
    <x v="2"/>
    <n v="2021"/>
    <n v="2021"/>
    <b v="1"/>
  </r>
  <r>
    <x v="9"/>
    <m/>
    <x v="1"/>
    <s v="Centralized"/>
    <s v="Out"/>
    <m/>
    <m/>
    <m/>
    <m/>
    <n v="3"/>
    <s v="COMPLETE"/>
    <s v="f"/>
    <d v="2021-03-15T00:00:00"/>
    <d v="2021-03-30T00:00:00"/>
    <m/>
    <n v="4916.76"/>
    <m/>
    <m/>
    <m/>
    <m/>
    <m/>
    <m/>
    <m/>
    <s v="09. Item 09"/>
    <n v="3"/>
    <x v="8"/>
    <x v="2"/>
    <n v="2021"/>
    <n v="2021"/>
    <b v="1"/>
  </r>
  <r>
    <x v="8"/>
    <m/>
    <x v="1"/>
    <s v="Centralized"/>
    <s v="Out"/>
    <m/>
    <m/>
    <m/>
    <m/>
    <n v="4"/>
    <s v="COMPLETE"/>
    <s v="f"/>
    <d v="2021-03-19T00:00:00"/>
    <d v="2021-03-25T00:00:00"/>
    <m/>
    <n v="139.21"/>
    <m/>
    <m/>
    <m/>
    <m/>
    <m/>
    <m/>
    <m/>
    <s v="09. Item 09"/>
    <n v="3"/>
    <x v="8"/>
    <x v="2"/>
    <n v="2021"/>
    <n v="2021"/>
    <b v="1"/>
  </r>
  <r>
    <x v="6"/>
    <m/>
    <x v="1"/>
    <s v="Centralized"/>
    <s v="Out"/>
    <m/>
    <m/>
    <m/>
    <m/>
    <n v="4"/>
    <s v="COMPLETE"/>
    <s v="f"/>
    <d v="2021-03-23T00:00:00"/>
    <d v="2021-03-30T00:00:00"/>
    <m/>
    <n v="467616.48"/>
    <m/>
    <m/>
    <m/>
    <m/>
    <m/>
    <m/>
    <m/>
    <s v="07. Item 07"/>
    <n v="3"/>
    <x v="8"/>
    <x v="2"/>
    <n v="2021"/>
    <n v="2021"/>
    <b v="1"/>
  </r>
  <r>
    <x v="5"/>
    <m/>
    <x v="1"/>
    <s v="Centralized"/>
    <s v="Out"/>
    <m/>
    <m/>
    <m/>
    <m/>
    <m/>
    <m/>
    <s v="p"/>
    <d v="2021-02-01T00:00:00"/>
    <d v="2021-02-01T00:00:00"/>
    <n v="53635.81"/>
    <m/>
    <m/>
    <m/>
    <m/>
    <m/>
    <m/>
    <m/>
    <m/>
    <s v="05. Item 05"/>
    <n v="2"/>
    <x v="6"/>
    <x v="2"/>
    <n v="2021"/>
    <n v="2021"/>
    <b v="1"/>
  </r>
  <r>
    <x v="0"/>
    <m/>
    <x v="1"/>
    <s v="Centralized"/>
    <s v="Out"/>
    <m/>
    <m/>
    <m/>
    <m/>
    <m/>
    <m/>
    <s v="p"/>
    <d v="2021-02-01T00:00:00"/>
    <d v="2021-02-01T00:00:00"/>
    <n v="-16.760000000000002"/>
    <m/>
    <m/>
    <m/>
    <m/>
    <m/>
    <m/>
    <m/>
    <m/>
    <s v="01. Item 01"/>
    <n v="2"/>
    <x v="6"/>
    <x v="2"/>
    <n v="2021"/>
    <n v="2021"/>
    <b v="1"/>
  </r>
  <r>
    <x v="1"/>
    <m/>
    <x v="1"/>
    <s v="Centralized"/>
    <s v="Out"/>
    <m/>
    <m/>
    <m/>
    <s v="X"/>
    <n v="4"/>
    <s v="COMPLETE"/>
    <s v="f"/>
    <d v="2021-03-18T00:00:00"/>
    <d v="2021-03-29T00:00:00"/>
    <m/>
    <n v="2515238.1"/>
    <m/>
    <m/>
    <m/>
    <m/>
    <m/>
    <m/>
    <m/>
    <s v="02. Item 02"/>
    <n v="3"/>
    <x v="8"/>
    <x v="2"/>
    <n v="2021"/>
    <n v="2021"/>
    <b v="1"/>
  </r>
  <r>
    <x v="3"/>
    <m/>
    <x v="1"/>
    <s v="Centralized"/>
    <s v="Out"/>
    <m/>
    <m/>
    <m/>
    <m/>
    <m/>
    <m/>
    <s v="p"/>
    <d v="2021-03-01T00:00:00"/>
    <d v="2021-03-01T00:00:00"/>
    <n v="9969.7900000000009"/>
    <m/>
    <m/>
    <m/>
    <m/>
    <m/>
    <m/>
    <m/>
    <m/>
    <s v="04. Item 04"/>
    <n v="3"/>
    <x v="8"/>
    <x v="2"/>
    <n v="2021"/>
    <n v="2021"/>
    <b v="1"/>
  </r>
  <r>
    <x v="4"/>
    <m/>
    <x v="1"/>
    <s v="Centralized"/>
    <s v="Out"/>
    <m/>
    <m/>
    <m/>
    <m/>
    <m/>
    <m/>
    <s v="p"/>
    <d v="2021-02-01T00:00:00"/>
    <d v="2021-02-01T00:00:00"/>
    <n v="3636.81"/>
    <m/>
    <m/>
    <m/>
    <m/>
    <m/>
    <m/>
    <m/>
    <m/>
    <s v="05. Item 05"/>
    <n v="2"/>
    <x v="6"/>
    <x v="2"/>
    <n v="2021"/>
    <n v="2021"/>
    <b v="1"/>
  </r>
  <r>
    <x v="7"/>
    <m/>
    <x v="1"/>
    <s v="Centralized"/>
    <s v="Out"/>
    <m/>
    <m/>
    <m/>
    <m/>
    <m/>
    <m/>
    <s v="p"/>
    <d v="2021-01-01T00:00:00"/>
    <d v="2021-01-01T00:00:00"/>
    <n v="237185.84"/>
    <m/>
    <m/>
    <m/>
    <m/>
    <m/>
    <m/>
    <m/>
    <m/>
    <s v="08. Item 08"/>
    <n v="1"/>
    <x v="1"/>
    <x v="2"/>
    <n v="2021"/>
    <n v="2021"/>
    <b v="1"/>
  </r>
  <r>
    <x v="10"/>
    <s v="13. Item 13"/>
    <x v="1"/>
    <s v="Centralized"/>
    <s v="Out"/>
    <s v="X"/>
    <m/>
    <s v="CANCEL"/>
    <m/>
    <m/>
    <m/>
    <s v="p"/>
    <d v="2021-01-01T00:00:00"/>
    <d v="2021-01-01T00:00:00"/>
    <n v="-3525.5"/>
    <m/>
    <m/>
    <m/>
    <m/>
    <m/>
    <m/>
    <m/>
    <m/>
    <s v="13. Item 13"/>
    <n v="1"/>
    <x v="1"/>
    <x v="2"/>
    <n v="2021"/>
    <n v="2020"/>
    <b v="1"/>
  </r>
  <r>
    <x v="2"/>
    <s v="13. Item 13"/>
    <x v="1"/>
    <s v="Centralized"/>
    <s v="Out"/>
    <m/>
    <m/>
    <s v="CANCEL"/>
    <m/>
    <m/>
    <m/>
    <s v="p"/>
    <d v="2021-01-01T00:00:00"/>
    <d v="2021-01-01T00:00:00"/>
    <n v="-2315.0300000000002"/>
    <m/>
    <m/>
    <m/>
    <m/>
    <m/>
    <m/>
    <m/>
    <m/>
    <s v="13. Item 13"/>
    <n v="1"/>
    <x v="1"/>
    <x v="2"/>
    <n v="2021"/>
    <n v="2021"/>
    <b v="1"/>
  </r>
  <r>
    <x v="12"/>
    <m/>
    <x v="1"/>
    <s v="Centralized"/>
    <s v="Out"/>
    <s v="X"/>
    <m/>
    <s v="CANCEL"/>
    <m/>
    <m/>
    <m/>
    <s v="p"/>
    <d v="2021-01-01T00:00:00"/>
    <d v="2021-01-01T00:00:00"/>
    <n v="-222201.99"/>
    <m/>
    <m/>
    <m/>
    <m/>
    <m/>
    <m/>
    <m/>
    <m/>
    <s v="13. Item 13"/>
    <n v="1"/>
    <x v="1"/>
    <x v="2"/>
    <n v="2021"/>
    <n v="2020"/>
    <b v="1"/>
  </r>
  <r>
    <x v="13"/>
    <m/>
    <x v="1"/>
    <s v="Centralized"/>
    <s v="Out"/>
    <m/>
    <m/>
    <s v="CANCEL"/>
    <m/>
    <m/>
    <m/>
    <s v="p"/>
    <d v="2021-01-01T00:00:00"/>
    <d v="2021-01-01T00:00:00"/>
    <n v="-816607.03"/>
    <m/>
    <m/>
    <m/>
    <m/>
    <m/>
    <m/>
    <m/>
    <m/>
    <s v="13. Item 13"/>
    <n v="1"/>
    <x v="1"/>
    <x v="2"/>
    <n v="2021"/>
    <n v="2021"/>
    <b v="1"/>
  </r>
  <r>
    <x v="11"/>
    <m/>
    <x v="1"/>
    <s v="Decentralized"/>
    <s v="Out"/>
    <m/>
    <m/>
    <m/>
    <m/>
    <n v="4"/>
    <s v="COMPLETE"/>
    <s v="f"/>
    <d v="2021-01-15T00:00:00"/>
    <d v="2021-01-29T00:00:00"/>
    <m/>
    <n v="214632.42"/>
    <m/>
    <m/>
    <m/>
    <m/>
    <m/>
    <m/>
    <m/>
    <s v="13. Item 13"/>
    <n v="1"/>
    <x v="1"/>
    <x v="2"/>
    <n v="2021"/>
    <n v="2021"/>
    <b v="1"/>
  </r>
  <r>
    <x v="15"/>
    <m/>
    <x v="1"/>
    <s v="Decentralized"/>
    <s v="Out"/>
    <m/>
    <m/>
    <m/>
    <m/>
    <m/>
    <m/>
    <s v="p"/>
    <d v="2021-01-01T00:00:00"/>
    <d v="2021-01-01T00:00:00"/>
    <n v="212922.91"/>
    <m/>
    <m/>
    <m/>
    <m/>
    <m/>
    <m/>
    <m/>
    <m/>
    <s v="06. Item 06"/>
    <n v="1"/>
    <x v="1"/>
    <x v="2"/>
    <n v="2021"/>
    <n v="2021"/>
    <b v="1"/>
  </r>
  <r>
    <x v="11"/>
    <m/>
    <x v="1"/>
    <s v="Decentralized"/>
    <s v="Out"/>
    <m/>
    <m/>
    <m/>
    <m/>
    <n v="4"/>
    <s v="COMPLETE"/>
    <s v="f"/>
    <d v="2021-03-05T00:00:00"/>
    <d v="2021-03-05T00:00:00"/>
    <m/>
    <n v="160.46"/>
    <m/>
    <m/>
    <m/>
    <m/>
    <m/>
    <m/>
    <m/>
    <s v="13. Item 13"/>
    <n v="3"/>
    <x v="8"/>
    <x v="2"/>
    <n v="2021"/>
    <n v="2021"/>
    <b v="1"/>
  </r>
  <r>
    <x v="12"/>
    <m/>
    <x v="1"/>
    <s v="Centralized"/>
    <s v="In"/>
    <m/>
    <m/>
    <m/>
    <m/>
    <m/>
    <s v="COMPLETE"/>
    <s v="f"/>
    <d v="2021-03-22T00:00:00"/>
    <d v="2021-03-22T00:00:00"/>
    <m/>
    <n v="1126491.69"/>
    <m/>
    <m/>
    <m/>
    <m/>
    <m/>
    <m/>
    <m/>
    <s v="13. Item 13"/>
    <n v="3"/>
    <x v="8"/>
    <x v="2"/>
    <n v="2021"/>
    <n v="2021"/>
    <b v="1"/>
  </r>
  <r>
    <x v="13"/>
    <m/>
    <x v="1"/>
    <s v="Centralized"/>
    <s v="In"/>
    <m/>
    <m/>
    <m/>
    <m/>
    <m/>
    <s v="COMPLETE"/>
    <s v="f"/>
    <d v="2021-03-22T00:00:00"/>
    <d v="2021-03-22T00:00:00"/>
    <m/>
    <n v="24561.21"/>
    <m/>
    <m/>
    <m/>
    <m/>
    <m/>
    <m/>
    <m/>
    <s v="13. Item 13"/>
    <n v="3"/>
    <x v="8"/>
    <x v="2"/>
    <n v="2021"/>
    <n v="2021"/>
    <b v="1"/>
  </r>
  <r>
    <x v="25"/>
    <m/>
    <x v="1"/>
    <s v="Centralized"/>
    <s v="In"/>
    <m/>
    <m/>
    <m/>
    <m/>
    <m/>
    <s v="COMPLETE"/>
    <s v="f"/>
    <d v="2021-03-23T00:00:00"/>
    <d v="2021-03-23T00:00:00"/>
    <m/>
    <n v="694996.03"/>
    <m/>
    <m/>
    <m/>
    <m/>
    <m/>
    <m/>
    <m/>
    <s v="03. Item 03"/>
    <n v="3"/>
    <x v="8"/>
    <x v="2"/>
    <n v="2021"/>
    <n v="2021"/>
    <b v="1"/>
  </r>
  <r>
    <x v="21"/>
    <m/>
    <x v="1"/>
    <s v="Centralized"/>
    <s v="In"/>
    <m/>
    <m/>
    <m/>
    <m/>
    <m/>
    <s v="COMPLETE"/>
    <s v="f"/>
    <d v="2021-03-24T00:00:00"/>
    <d v="2021-03-24T00:00:00"/>
    <m/>
    <n v="1517709.64"/>
    <m/>
    <m/>
    <m/>
    <m/>
    <m/>
    <m/>
    <m/>
    <s v="09. Item 09"/>
    <n v="3"/>
    <x v="8"/>
    <x v="2"/>
    <n v="2021"/>
    <n v="2021"/>
    <b v="1"/>
  </r>
  <r>
    <x v="21"/>
    <m/>
    <x v="1"/>
    <s v="Centralized"/>
    <s v="In"/>
    <m/>
    <m/>
    <m/>
    <m/>
    <m/>
    <s v="COMPLETE"/>
    <s v="f"/>
    <d v="2021-03-25T00:00:00"/>
    <d v="2021-03-25T00:00:00"/>
    <m/>
    <n v="1319510.03"/>
    <m/>
    <m/>
    <m/>
    <m/>
    <m/>
    <m/>
    <m/>
    <s v="09. Item 09"/>
    <n v="3"/>
    <x v="8"/>
    <x v="2"/>
    <n v="2021"/>
    <n v="2021"/>
    <b v="1"/>
  </r>
  <r>
    <x v="23"/>
    <m/>
    <x v="1"/>
    <s v="Centralized"/>
    <s v="In"/>
    <m/>
    <m/>
    <m/>
    <m/>
    <m/>
    <s v="COMPLETE"/>
    <s v="f"/>
    <d v="2021-03-26T00:00:00"/>
    <d v="2021-03-26T00:00:00"/>
    <m/>
    <n v="31642.21"/>
    <m/>
    <m/>
    <m/>
    <m/>
    <m/>
    <m/>
    <m/>
    <s v="21. Item 21"/>
    <n v="3"/>
    <x v="8"/>
    <x v="2"/>
    <n v="2021"/>
    <n v="2021"/>
    <b v="1"/>
  </r>
  <r>
    <x v="32"/>
    <m/>
    <x v="1"/>
    <s v="Centralized"/>
    <s v="In"/>
    <m/>
    <m/>
    <m/>
    <m/>
    <m/>
    <s v="COMPLETE"/>
    <s v="f"/>
    <d v="2021-03-29T00:00:00"/>
    <d v="2021-03-29T00:00:00"/>
    <m/>
    <n v="2518184.2599999998"/>
    <m/>
    <m/>
    <m/>
    <m/>
    <m/>
    <m/>
    <m/>
    <s v="12. Item 12"/>
    <n v="3"/>
    <x v="8"/>
    <x v="2"/>
    <n v="2021"/>
    <n v="2021"/>
    <b v="1"/>
  </r>
  <r>
    <x v="35"/>
    <m/>
    <x v="1"/>
    <s v="Centralized"/>
    <s v="Out"/>
    <m/>
    <m/>
    <m/>
    <m/>
    <n v="3"/>
    <s v="COMPLETE"/>
    <s v="f"/>
    <d v="2021-03-23T00:00:00"/>
    <d v="2021-04-05T00:00:00"/>
    <m/>
    <n v="163.66"/>
    <m/>
    <m/>
    <m/>
    <m/>
    <m/>
    <m/>
    <m/>
    <s v="17. Item 17"/>
    <n v="3"/>
    <x v="10"/>
    <x v="2"/>
    <n v="2021"/>
    <n v="2021"/>
    <b v="1"/>
  </r>
  <r>
    <x v="7"/>
    <m/>
    <x v="1"/>
    <s v="Centralized"/>
    <s v="Out"/>
    <m/>
    <m/>
    <m/>
    <m/>
    <n v="3"/>
    <s v="COMPLETE"/>
    <s v="f"/>
    <d v="2021-03-24T00:00:00"/>
    <d v="2021-04-05T00:00:00"/>
    <m/>
    <n v="11077.6"/>
    <m/>
    <m/>
    <m/>
    <m/>
    <m/>
    <m/>
    <m/>
    <s v="08. Item 08"/>
    <n v="3"/>
    <x v="10"/>
    <x v="2"/>
    <n v="2021"/>
    <n v="2021"/>
    <b v="1"/>
  </r>
  <r>
    <x v="16"/>
    <m/>
    <x v="1"/>
    <s v="Centralized"/>
    <s v="Out"/>
    <s v="X"/>
    <m/>
    <m/>
    <m/>
    <m/>
    <m/>
    <s v="p"/>
    <d v="2021-01-01T00:00:00"/>
    <d v="2021-01-01T00:00:00"/>
    <n v="-75146.7"/>
    <m/>
    <m/>
    <m/>
    <m/>
    <m/>
    <m/>
    <m/>
    <m/>
    <s v="_1. Item _1"/>
    <n v="1"/>
    <x v="1"/>
    <x v="2"/>
    <n v="2021"/>
    <n v="2020"/>
    <b v="1"/>
  </r>
  <r>
    <x v="16"/>
    <m/>
    <x v="1"/>
    <s v="Centralized"/>
    <s v="Out"/>
    <m/>
    <m/>
    <m/>
    <s v="X"/>
    <n v="3"/>
    <s v="COMPLETE"/>
    <s v="f"/>
    <d v="2021-03-01T00:00:00"/>
    <d v="2021-03-31T00:00:00"/>
    <m/>
    <n v="1952380.95"/>
    <m/>
    <m/>
    <m/>
    <m/>
    <m/>
    <m/>
    <m/>
    <s v="_1. Item _1"/>
    <n v="3"/>
    <x v="8"/>
    <x v="2"/>
    <n v="2021"/>
    <n v="2021"/>
    <b v="1"/>
  </r>
  <r>
    <x v="7"/>
    <m/>
    <x v="1"/>
    <s v="Centralized"/>
    <s v="Out"/>
    <s v="X"/>
    <m/>
    <s v="CANCEL"/>
    <m/>
    <m/>
    <m/>
    <s v="p"/>
    <d v="2021-02-01T00:00:00"/>
    <d v="2021-02-01T00:00:00"/>
    <n v="-0.01"/>
    <m/>
    <m/>
    <m/>
    <m/>
    <m/>
    <m/>
    <m/>
    <m/>
    <s v="08. Item 08"/>
    <n v="2"/>
    <x v="6"/>
    <x v="2"/>
    <n v="2021"/>
    <n v="2020"/>
    <b v="1"/>
  </r>
  <r>
    <x v="22"/>
    <m/>
    <x v="1"/>
    <s v="Centralized"/>
    <s v="In"/>
    <m/>
    <m/>
    <m/>
    <m/>
    <m/>
    <s v="COMPLETE"/>
    <s v="f"/>
    <d v="2021-03-30T00:00:00"/>
    <d v="2021-03-30T00:00:00"/>
    <m/>
    <n v="472533.24"/>
    <m/>
    <m/>
    <m/>
    <m/>
    <m/>
    <m/>
    <m/>
    <s v="04. Item 04"/>
    <n v="3"/>
    <x v="8"/>
    <x v="2"/>
    <n v="2021"/>
    <n v="2021"/>
    <b v="1"/>
  </r>
  <r>
    <x v="22"/>
    <m/>
    <x v="1"/>
    <s v="Centralized"/>
    <s v="Out"/>
    <m/>
    <m/>
    <m/>
    <m/>
    <n v="3"/>
    <s v="COMPLETE"/>
    <s v="f"/>
    <d v="2021-03-30T00:00:00"/>
    <d v="2021-04-07T00:00:00"/>
    <m/>
    <n v="11297.52"/>
    <m/>
    <m/>
    <m/>
    <m/>
    <m/>
    <m/>
    <m/>
    <s v="04. Item 04"/>
    <n v="3"/>
    <x v="10"/>
    <x v="2"/>
    <n v="2021"/>
    <n v="2021"/>
    <b v="1"/>
  </r>
  <r>
    <x v="22"/>
    <m/>
    <x v="1"/>
    <s v="Centralized"/>
    <s v="Out"/>
    <m/>
    <m/>
    <m/>
    <m/>
    <n v="3"/>
    <s v="COMPLETE"/>
    <s v="f"/>
    <d v="2021-03-31T00:00:00"/>
    <d v="2021-04-08T00:00:00"/>
    <m/>
    <n v="41022.04"/>
    <m/>
    <m/>
    <m/>
    <m/>
    <m/>
    <m/>
    <m/>
    <s v="04. Item 04"/>
    <n v="3"/>
    <x v="10"/>
    <x v="2"/>
    <n v="2021"/>
    <n v="2021"/>
    <b v="1"/>
  </r>
  <r>
    <x v="23"/>
    <m/>
    <x v="1"/>
    <s v="Centralized"/>
    <s v="In"/>
    <m/>
    <m/>
    <m/>
    <m/>
    <m/>
    <s v="COMPLETE"/>
    <s v="f"/>
    <d v="2021-03-31T00:00:00"/>
    <d v="2021-03-31T00:00:00"/>
    <m/>
    <n v="15313686.300000001"/>
    <m/>
    <m/>
    <m/>
    <m/>
    <m/>
    <m/>
    <m/>
    <s v="21. Item 21"/>
    <n v="3"/>
    <x v="8"/>
    <x v="2"/>
    <n v="2021"/>
    <n v="2021"/>
    <b v="1"/>
  </r>
  <r>
    <x v="23"/>
    <m/>
    <x v="1"/>
    <s v="Centralized"/>
    <s v="Out"/>
    <m/>
    <m/>
    <m/>
    <s v="X"/>
    <n v="1"/>
    <s v="COMPLETE"/>
    <s v="f"/>
    <d v="2021-04-02T00:00:00"/>
    <d v="2021-04-15T00:00:00"/>
    <m/>
    <n v="98512.46"/>
    <m/>
    <m/>
    <m/>
    <m/>
    <m/>
    <m/>
    <m/>
    <s v="21. Item 21"/>
    <n v="4"/>
    <x v="10"/>
    <x v="2"/>
    <n v="2021"/>
    <n v="2021"/>
    <b v="1"/>
  </r>
  <r>
    <x v="10"/>
    <m/>
    <x v="1"/>
    <s v="Centralized"/>
    <s v="Out"/>
    <m/>
    <m/>
    <m/>
    <m/>
    <n v="1"/>
    <s v="COMPLETE"/>
    <s v="f"/>
    <d v="2021-04-02T00:00:00"/>
    <d v="2021-04-15T00:00:00"/>
    <m/>
    <n v="15457.81"/>
    <m/>
    <m/>
    <m/>
    <m/>
    <m/>
    <m/>
    <m/>
    <s v="11. Item 11"/>
    <n v="4"/>
    <x v="10"/>
    <x v="2"/>
    <n v="2021"/>
    <n v="2021"/>
    <b v="1"/>
  </r>
  <r>
    <x v="5"/>
    <m/>
    <x v="1"/>
    <s v="Centralized"/>
    <s v="In"/>
    <m/>
    <m/>
    <m/>
    <m/>
    <m/>
    <m/>
    <s v="p"/>
    <d v="2021-06-01T00:00:00"/>
    <d v="2021-06-01T00:00:00"/>
    <n v="46830476.189999998"/>
    <m/>
    <m/>
    <m/>
    <m/>
    <m/>
    <m/>
    <m/>
    <m/>
    <s v="05. Item 05"/>
    <n v="6"/>
    <x v="9"/>
    <x v="2"/>
    <n v="2021"/>
    <n v="2021"/>
    <b v="1"/>
  </r>
  <r>
    <x v="4"/>
    <m/>
    <x v="1"/>
    <s v="Decentralized"/>
    <s v="In"/>
    <m/>
    <m/>
    <m/>
    <m/>
    <m/>
    <m/>
    <s v="p"/>
    <d v="2021-04-01T00:00:00"/>
    <d v="2021-04-01T00:00:00"/>
    <n v="55000"/>
    <m/>
    <m/>
    <m/>
    <m/>
    <m/>
    <m/>
    <m/>
    <m/>
    <s v="05. Item 05"/>
    <n v="4"/>
    <x v="10"/>
    <x v="2"/>
    <n v="2021"/>
    <n v="2021"/>
    <b v="1"/>
  </r>
  <r>
    <x v="4"/>
    <m/>
    <x v="1"/>
    <s v="Decentralized"/>
    <s v="In"/>
    <m/>
    <m/>
    <m/>
    <m/>
    <m/>
    <m/>
    <s v="p"/>
    <d v="2021-04-01T00:00:00"/>
    <d v="2021-04-01T00:00:00"/>
    <n v="455238.1"/>
    <m/>
    <m/>
    <m/>
    <m/>
    <m/>
    <m/>
    <m/>
    <m/>
    <s v="05. Item 05"/>
    <n v="4"/>
    <x v="10"/>
    <x v="2"/>
    <n v="2021"/>
    <n v="2021"/>
    <b v="1"/>
  </r>
  <r>
    <x v="17"/>
    <m/>
    <x v="1"/>
    <s v="Decentralized"/>
    <s v="In"/>
    <m/>
    <m/>
    <m/>
    <m/>
    <m/>
    <m/>
    <s v="p"/>
    <d v="2021-05-01T00:00:00"/>
    <d v="2021-05-01T00:00:00"/>
    <n v="8571.43"/>
    <m/>
    <m/>
    <m/>
    <m/>
    <m/>
    <m/>
    <m/>
    <m/>
    <s v="09. Item 09"/>
    <n v="5"/>
    <x v="11"/>
    <x v="2"/>
    <n v="2021"/>
    <n v="2021"/>
    <b v="1"/>
  </r>
  <r>
    <x v="9"/>
    <m/>
    <x v="1"/>
    <s v="Decentralized"/>
    <s v="In"/>
    <m/>
    <m/>
    <m/>
    <m/>
    <m/>
    <m/>
    <s v="p"/>
    <d v="2021-05-01T00:00:00"/>
    <d v="2021-05-01T00:00:00"/>
    <n v="492380.95"/>
    <m/>
    <m/>
    <m/>
    <m/>
    <m/>
    <m/>
    <m/>
    <m/>
    <s v="09. Item 09"/>
    <n v="5"/>
    <x v="11"/>
    <x v="2"/>
    <n v="2021"/>
    <n v="2021"/>
    <b v="1"/>
  </r>
  <r>
    <x v="9"/>
    <m/>
    <x v="1"/>
    <s v="Decentralized"/>
    <s v="In"/>
    <m/>
    <m/>
    <m/>
    <m/>
    <m/>
    <m/>
    <s v="p"/>
    <d v="2021-06-01T00:00:00"/>
    <d v="2021-06-01T00:00:00"/>
    <n v="8571.43"/>
    <m/>
    <m/>
    <m/>
    <m/>
    <m/>
    <m/>
    <m/>
    <m/>
    <s v="09. Item 09"/>
    <n v="6"/>
    <x v="9"/>
    <x v="2"/>
    <n v="2021"/>
    <n v="2021"/>
    <b v="1"/>
  </r>
  <r>
    <x v="21"/>
    <m/>
    <x v="1"/>
    <s v="Decentralized"/>
    <s v="In"/>
    <m/>
    <m/>
    <m/>
    <m/>
    <m/>
    <m/>
    <s v="p"/>
    <d v="2021-06-01T00:00:00"/>
    <d v="2021-06-01T00:00:00"/>
    <n v="492142.86"/>
    <m/>
    <m/>
    <m/>
    <m/>
    <m/>
    <m/>
    <m/>
    <m/>
    <s v="09. Item 09"/>
    <n v="6"/>
    <x v="9"/>
    <x v="2"/>
    <n v="2021"/>
    <n v="2021"/>
    <b v="1"/>
  </r>
  <r>
    <x v="16"/>
    <m/>
    <x v="1"/>
    <s v="Decentralized"/>
    <s v="In"/>
    <m/>
    <m/>
    <m/>
    <m/>
    <m/>
    <m/>
    <s v="p"/>
    <d v="2021-01-01T00:00:00"/>
    <d v="2021-01-01T00:00:00"/>
    <n v="46904.76"/>
    <m/>
    <m/>
    <m/>
    <m/>
    <m/>
    <m/>
    <m/>
    <m/>
    <s v="_1. Item _1"/>
    <n v="1"/>
    <x v="1"/>
    <x v="2"/>
    <n v="2021"/>
    <n v="2021"/>
    <b v="1"/>
  </r>
  <r>
    <x v="16"/>
    <m/>
    <x v="1"/>
    <s v="Decentralized"/>
    <s v="In"/>
    <m/>
    <m/>
    <m/>
    <m/>
    <m/>
    <m/>
    <s v="p"/>
    <d v="2021-01-01T00:00:00"/>
    <d v="2021-01-01T00:00:00"/>
    <n v="479047.62"/>
    <m/>
    <m/>
    <m/>
    <m/>
    <m/>
    <m/>
    <m/>
    <m/>
    <s v="_1. Item _1"/>
    <n v="1"/>
    <x v="1"/>
    <x v="2"/>
    <n v="2021"/>
    <n v="2021"/>
    <b v="1"/>
  </r>
  <r>
    <x v="21"/>
    <m/>
    <x v="1"/>
    <s v="Decentralized"/>
    <s v="In"/>
    <m/>
    <m/>
    <m/>
    <m/>
    <m/>
    <m/>
    <s v="p"/>
    <d v="2021-02-01T00:00:00"/>
    <d v="2021-02-01T00:00:00"/>
    <n v="55476.19"/>
    <m/>
    <m/>
    <m/>
    <m/>
    <m/>
    <m/>
    <m/>
    <m/>
    <s v="09. Item 09"/>
    <n v="2"/>
    <x v="6"/>
    <x v="2"/>
    <n v="2021"/>
    <n v="2021"/>
    <b v="1"/>
  </r>
  <r>
    <x v="8"/>
    <m/>
    <x v="1"/>
    <s v="Decentralized"/>
    <s v="In"/>
    <m/>
    <m/>
    <m/>
    <m/>
    <m/>
    <m/>
    <s v="p"/>
    <d v="2021-02-01T00:00:00"/>
    <d v="2021-02-01T00:00:00"/>
    <n v="455238.1"/>
    <m/>
    <m/>
    <m/>
    <m/>
    <m/>
    <m/>
    <m/>
    <m/>
    <s v="09. Item 09"/>
    <n v="2"/>
    <x v="6"/>
    <x v="2"/>
    <n v="2021"/>
    <n v="2021"/>
    <b v="1"/>
  </r>
  <r>
    <x v="8"/>
    <m/>
    <x v="1"/>
    <s v="Decentralized"/>
    <s v="In"/>
    <m/>
    <m/>
    <m/>
    <m/>
    <m/>
    <m/>
    <s v="p"/>
    <d v="2021-03-01T00:00:00"/>
    <d v="2021-03-01T00:00:00"/>
    <n v="50714.29"/>
    <m/>
    <m/>
    <m/>
    <m/>
    <m/>
    <m/>
    <m/>
    <m/>
    <s v="09. Item 09"/>
    <n v="3"/>
    <x v="8"/>
    <x v="2"/>
    <n v="2021"/>
    <n v="2021"/>
    <b v="1"/>
  </r>
  <r>
    <x v="8"/>
    <m/>
    <x v="1"/>
    <s v="Decentralized"/>
    <s v="In"/>
    <m/>
    <m/>
    <m/>
    <m/>
    <m/>
    <m/>
    <s v="p"/>
    <d v="2021-03-01T00:00:00"/>
    <d v="2021-03-01T00:00:00"/>
    <n v="455238.1"/>
    <m/>
    <m/>
    <m/>
    <m/>
    <m/>
    <m/>
    <m/>
    <m/>
    <s v="09. Item 09"/>
    <n v="3"/>
    <x v="8"/>
    <x v="2"/>
    <n v="2021"/>
    <n v="2021"/>
    <b v="1"/>
  </r>
  <r>
    <x v="39"/>
    <m/>
    <x v="1"/>
    <s v="Decentralized"/>
    <s v="In"/>
    <m/>
    <m/>
    <m/>
    <m/>
    <m/>
    <m/>
    <s v="p"/>
    <d v="2021-01-01T00:00:00"/>
    <d v="2021-01-01T00:00:00"/>
    <n v="83095.240000000005"/>
    <m/>
    <m/>
    <m/>
    <m/>
    <m/>
    <m/>
    <m/>
    <m/>
    <s v="03. Item 03"/>
    <n v="1"/>
    <x v="1"/>
    <x v="2"/>
    <n v="2021"/>
    <n v="2021"/>
    <b v="1"/>
  </r>
  <r>
    <x v="39"/>
    <m/>
    <x v="1"/>
    <s v="Centralized"/>
    <s v="In"/>
    <m/>
    <m/>
    <m/>
    <m/>
    <m/>
    <m/>
    <s v="p"/>
    <d v="2021-01-01T00:00:00"/>
    <d v="2021-01-01T00:00:00"/>
    <n v="39085714.289999999"/>
    <m/>
    <m/>
    <m/>
    <m/>
    <m/>
    <m/>
    <m/>
    <m/>
    <s v="03. Item 03"/>
    <n v="1"/>
    <x v="1"/>
    <x v="2"/>
    <n v="2021"/>
    <n v="2021"/>
    <b v="1"/>
  </r>
  <r>
    <x v="8"/>
    <m/>
    <x v="1"/>
    <s v="Centralized"/>
    <s v="In"/>
    <m/>
    <m/>
    <m/>
    <m/>
    <m/>
    <m/>
    <s v="p"/>
    <d v="2021-02-01T00:00:00"/>
    <d v="2021-02-01T00:00:00"/>
    <n v="34240952.380000003"/>
    <m/>
    <m/>
    <m/>
    <m/>
    <m/>
    <m/>
    <m/>
    <m/>
    <s v="09. Item 09"/>
    <n v="2"/>
    <x v="6"/>
    <x v="2"/>
    <n v="2021"/>
    <n v="2021"/>
    <b v="1"/>
  </r>
  <r>
    <x v="8"/>
    <m/>
    <x v="1"/>
    <s v="Centralized"/>
    <s v="In"/>
    <m/>
    <m/>
    <m/>
    <m/>
    <m/>
    <m/>
    <s v="p"/>
    <d v="2021-03-01T00:00:00"/>
    <d v="2021-03-01T00:00:00"/>
    <n v="33020476.190000001"/>
    <m/>
    <m/>
    <m/>
    <m/>
    <m/>
    <m/>
    <m/>
    <m/>
    <s v="09. Item 09"/>
    <n v="3"/>
    <x v="8"/>
    <x v="2"/>
    <n v="2021"/>
    <n v="2021"/>
    <b v="1"/>
  </r>
  <r>
    <x v="8"/>
    <m/>
    <x v="1"/>
    <s v="Decentralized"/>
    <s v="Out"/>
    <m/>
    <m/>
    <m/>
    <m/>
    <m/>
    <m/>
    <s v="p"/>
    <d v="2021-04-01T00:00:00"/>
    <d v="2021-04-01T00:00:00"/>
    <n v="510238.1"/>
    <m/>
    <m/>
    <m/>
    <m/>
    <m/>
    <m/>
    <m/>
    <m/>
    <s v="09. Item 09"/>
    <n v="4"/>
    <x v="10"/>
    <x v="2"/>
    <n v="2021"/>
    <n v="2021"/>
    <b v="1"/>
  </r>
  <r>
    <x v="15"/>
    <m/>
    <x v="1"/>
    <s v="Decentralized"/>
    <s v="Out"/>
    <m/>
    <m/>
    <m/>
    <m/>
    <m/>
    <m/>
    <s v="p"/>
    <d v="2021-05-01T00:00:00"/>
    <d v="2021-05-01T00:00:00"/>
    <n v="500952.38"/>
    <m/>
    <m/>
    <m/>
    <m/>
    <m/>
    <m/>
    <m/>
    <m/>
    <s v="06. Item 06"/>
    <n v="5"/>
    <x v="11"/>
    <x v="2"/>
    <n v="2021"/>
    <n v="2021"/>
    <b v="1"/>
  </r>
  <r>
    <x v="30"/>
    <m/>
    <x v="1"/>
    <s v="Decentralized"/>
    <s v="Out"/>
    <m/>
    <m/>
    <m/>
    <m/>
    <m/>
    <m/>
    <s v="p"/>
    <d v="2021-06-01T00:00:00"/>
    <d v="2021-06-01T00:00:00"/>
    <n v="500714.29"/>
    <m/>
    <m/>
    <m/>
    <m/>
    <m/>
    <m/>
    <m/>
    <m/>
    <s v="10. Item 10"/>
    <n v="6"/>
    <x v="9"/>
    <x v="2"/>
    <n v="2021"/>
    <n v="2021"/>
    <b v="1"/>
  </r>
  <r>
    <x v="3"/>
    <m/>
    <x v="1"/>
    <s v="Centralized"/>
    <s v="Out"/>
    <m/>
    <m/>
    <m/>
    <m/>
    <m/>
    <m/>
    <s v="p"/>
    <d v="2021-04-01T00:00:00"/>
    <d v="2021-04-01T00:00:00"/>
    <n v="8263285.71"/>
    <m/>
    <m/>
    <m/>
    <m/>
    <m/>
    <m/>
    <m/>
    <m/>
    <s v="04. Item 04"/>
    <n v="4"/>
    <x v="10"/>
    <x v="2"/>
    <n v="2021"/>
    <n v="2021"/>
    <b v="1"/>
  </r>
  <r>
    <x v="3"/>
    <m/>
    <x v="1"/>
    <s v="Centralized"/>
    <s v="Out"/>
    <m/>
    <m/>
    <m/>
    <m/>
    <m/>
    <m/>
    <s v="p"/>
    <d v="2021-05-01T00:00:00"/>
    <d v="2021-05-01T00:00:00"/>
    <n v="12857142.859999999"/>
    <m/>
    <m/>
    <m/>
    <m/>
    <m/>
    <m/>
    <m/>
    <m/>
    <s v="04. Item 04"/>
    <n v="5"/>
    <x v="11"/>
    <x v="2"/>
    <n v="2021"/>
    <n v="2021"/>
    <b v="1"/>
  </r>
  <r>
    <x v="3"/>
    <m/>
    <x v="1"/>
    <s v="Centralized"/>
    <s v="Out"/>
    <m/>
    <m/>
    <m/>
    <m/>
    <m/>
    <m/>
    <s v="p"/>
    <d v="2021-06-01T00:00:00"/>
    <d v="2021-06-01T00:00:00"/>
    <n v="8598095.2400000002"/>
    <m/>
    <m/>
    <m/>
    <m/>
    <m/>
    <m/>
    <m/>
    <m/>
    <s v="04. Item 04"/>
    <n v="6"/>
    <x v="9"/>
    <x v="2"/>
    <n v="2021"/>
    <n v="2021"/>
    <b v="1"/>
  </r>
  <r>
    <x v="20"/>
    <m/>
    <x v="1"/>
    <s v="Centralized"/>
    <s v="Out"/>
    <m/>
    <m/>
    <m/>
    <m/>
    <m/>
    <m/>
    <s v="p"/>
    <d v="2021-06-01T00:00:00"/>
    <d v="2021-06-01T00:00:00"/>
    <n v="3833333.33"/>
    <m/>
    <m/>
    <m/>
    <m/>
    <m/>
    <m/>
    <m/>
    <m/>
    <s v="14. Item 14"/>
    <n v="6"/>
    <x v="9"/>
    <x v="2"/>
    <n v="2021"/>
    <n v="2021"/>
    <b v="1"/>
  </r>
  <r>
    <x v="20"/>
    <s v="03. Item 03"/>
    <x v="1"/>
    <s v="Centralized"/>
    <s v="Out"/>
    <m/>
    <m/>
    <m/>
    <m/>
    <m/>
    <m/>
    <s v="p"/>
    <d v="2021-04-01T00:00:00"/>
    <d v="2021-04-01T00:00:00"/>
    <n v="3298526.98"/>
    <m/>
    <m/>
    <m/>
    <m/>
    <m/>
    <m/>
    <m/>
    <m/>
    <s v="03. Item 03"/>
    <n v="4"/>
    <x v="10"/>
    <x v="2"/>
    <n v="2021"/>
    <n v="2021"/>
    <b v="1"/>
  </r>
  <r>
    <x v="4"/>
    <s v="03. Item 03"/>
    <x v="1"/>
    <s v="Centralized"/>
    <s v="Out"/>
    <m/>
    <m/>
    <m/>
    <m/>
    <m/>
    <m/>
    <s v="p"/>
    <d v="2021-05-01T00:00:00"/>
    <d v="2021-05-01T00:00:00"/>
    <n v="2979761.9"/>
    <m/>
    <m/>
    <m/>
    <m/>
    <m/>
    <m/>
    <m/>
    <m/>
    <s v="03. Item 03"/>
    <n v="5"/>
    <x v="11"/>
    <x v="2"/>
    <n v="2021"/>
    <n v="2021"/>
    <b v="1"/>
  </r>
  <r>
    <x v="4"/>
    <s v="03. Item 03"/>
    <x v="1"/>
    <s v="Centralized"/>
    <s v="Out"/>
    <m/>
    <m/>
    <m/>
    <m/>
    <m/>
    <m/>
    <s v="p"/>
    <d v="2021-06-01T00:00:00"/>
    <d v="2021-06-01T00:00:00"/>
    <n v="2977380.95"/>
    <m/>
    <m/>
    <m/>
    <m/>
    <m/>
    <m/>
    <m/>
    <m/>
    <s v="03. Item 03"/>
    <n v="6"/>
    <x v="9"/>
    <x v="2"/>
    <n v="2021"/>
    <n v="2021"/>
    <b v="1"/>
  </r>
  <r>
    <x v="4"/>
    <m/>
    <x v="1"/>
    <s v="Centralized"/>
    <s v="Out"/>
    <m/>
    <m/>
    <m/>
    <m/>
    <m/>
    <m/>
    <s v="p"/>
    <d v="2021-04-01T00:00:00"/>
    <d v="2021-04-01T00:00:00"/>
    <n v="5337214.47"/>
    <m/>
    <m/>
    <m/>
    <m/>
    <m/>
    <m/>
    <m/>
    <m/>
    <s v="05. Item 05"/>
    <n v="4"/>
    <x v="10"/>
    <x v="2"/>
    <n v="2021"/>
    <n v="2021"/>
    <b v="1"/>
  </r>
  <r>
    <x v="16"/>
    <m/>
    <x v="1"/>
    <s v="Centralized"/>
    <s v="Out"/>
    <m/>
    <m/>
    <m/>
    <m/>
    <m/>
    <m/>
    <s v="p"/>
    <d v="2021-05-01T00:00:00"/>
    <d v="2021-05-01T00:00:00"/>
    <n v="938072.31"/>
    <m/>
    <m/>
    <m/>
    <m/>
    <m/>
    <m/>
    <m/>
    <m/>
    <s v="_1. Item _1"/>
    <n v="5"/>
    <x v="11"/>
    <x v="2"/>
    <n v="2021"/>
    <n v="2021"/>
    <b v="1"/>
  </r>
  <r>
    <x v="36"/>
    <m/>
    <x v="1"/>
    <s v="Centralized"/>
    <s v="Out"/>
    <m/>
    <m/>
    <m/>
    <m/>
    <m/>
    <m/>
    <s v="p"/>
    <d v="2021-06-01T00:00:00"/>
    <d v="2021-06-01T00:00:00"/>
    <n v="1012204.75"/>
    <m/>
    <m/>
    <m/>
    <m/>
    <m/>
    <m/>
    <m/>
    <m/>
    <s v="_3. Item _3"/>
    <n v="6"/>
    <x v="9"/>
    <x v="2"/>
    <n v="2021"/>
    <n v="2021"/>
    <b v="1"/>
  </r>
  <r>
    <x v="16"/>
    <m/>
    <x v="1"/>
    <s v="Centralized"/>
    <s v="Out"/>
    <m/>
    <m/>
    <m/>
    <m/>
    <m/>
    <m/>
    <s v="p"/>
    <d v="2021-04-01T00:00:00"/>
    <d v="2021-04-01T00:00:00"/>
    <n v="5547142.8600000003"/>
    <m/>
    <m/>
    <m/>
    <m/>
    <m/>
    <m/>
    <m/>
    <m/>
    <s v="_1. Item _1"/>
    <n v="4"/>
    <x v="10"/>
    <x v="2"/>
    <n v="2021"/>
    <n v="2021"/>
    <b v="1"/>
  </r>
  <r>
    <x v="16"/>
    <m/>
    <x v="1"/>
    <s v="Centralized"/>
    <s v="Out"/>
    <m/>
    <m/>
    <m/>
    <m/>
    <m/>
    <m/>
    <s v="p"/>
    <d v="2021-05-01T00:00:00"/>
    <d v="2021-05-01T00:00:00"/>
    <n v="5556428.5700000003"/>
    <m/>
    <m/>
    <m/>
    <m/>
    <m/>
    <m/>
    <m/>
    <m/>
    <s v="_1. Item _1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6-01T00:00:00"/>
    <d v="2021-06-01T00:00:00"/>
    <n v="9517619.0500000007"/>
    <m/>
    <m/>
    <m/>
    <m/>
    <m/>
    <m/>
    <m/>
    <m/>
    <s v="_1. Item _1"/>
    <n v="6"/>
    <x v="9"/>
    <x v="2"/>
    <n v="2021"/>
    <n v="2021"/>
    <b v="1"/>
  </r>
  <r>
    <x v="16"/>
    <m/>
    <x v="1"/>
    <s v="Centralized"/>
    <s v="Out"/>
    <m/>
    <m/>
    <m/>
    <m/>
    <m/>
    <m/>
    <s v="p"/>
    <d v="2021-04-01T00:00:00"/>
    <d v="2021-04-01T00:00:00"/>
    <n v="78571.429999999993"/>
    <m/>
    <m/>
    <m/>
    <m/>
    <m/>
    <m/>
    <m/>
    <m/>
    <s v="_1. Item _1"/>
    <n v="4"/>
    <x v="10"/>
    <x v="2"/>
    <n v="2021"/>
    <n v="2021"/>
    <b v="1"/>
  </r>
  <r>
    <x v="16"/>
    <m/>
    <x v="1"/>
    <s v="Centralized"/>
    <s v="Out"/>
    <m/>
    <m/>
    <m/>
    <m/>
    <m/>
    <m/>
    <s v="p"/>
    <d v="2021-05-01T00:00:00"/>
    <d v="2021-05-01T00:00:00"/>
    <n v="52380.95"/>
    <m/>
    <m/>
    <m/>
    <m/>
    <m/>
    <m/>
    <m/>
    <m/>
    <s v="_1. Item _1"/>
    <n v="5"/>
    <x v="11"/>
    <x v="2"/>
    <n v="2021"/>
    <n v="2021"/>
    <b v="1"/>
  </r>
  <r>
    <x v="8"/>
    <m/>
    <x v="1"/>
    <s v="Centralized"/>
    <s v="Out"/>
    <m/>
    <m/>
    <m/>
    <m/>
    <m/>
    <m/>
    <s v="p"/>
    <d v="2021-06-01T00:00:00"/>
    <d v="2021-06-01T00:00:00"/>
    <n v="66666.67"/>
    <m/>
    <m/>
    <m/>
    <m/>
    <m/>
    <m/>
    <m/>
    <m/>
    <s v="09. Item 09"/>
    <n v="6"/>
    <x v="9"/>
    <x v="2"/>
    <n v="2021"/>
    <n v="2021"/>
    <b v="1"/>
  </r>
  <r>
    <x v="8"/>
    <m/>
    <x v="1"/>
    <s v="Centralized"/>
    <s v="Out"/>
    <m/>
    <m/>
    <m/>
    <m/>
    <m/>
    <m/>
    <s v="p"/>
    <d v="2021-04-01T00:00:00"/>
    <d v="2021-04-01T00:00:00"/>
    <n v="5000000"/>
    <m/>
    <m/>
    <m/>
    <m/>
    <m/>
    <m/>
    <m/>
    <m/>
    <s v="09. Item 09"/>
    <n v="4"/>
    <x v="10"/>
    <x v="2"/>
    <n v="2021"/>
    <n v="2021"/>
    <b v="1"/>
  </r>
  <r>
    <x v="6"/>
    <m/>
    <x v="1"/>
    <s v="Centralized"/>
    <s v="Out"/>
    <m/>
    <m/>
    <m/>
    <m/>
    <m/>
    <m/>
    <s v="p"/>
    <d v="2021-05-01T00:00:00"/>
    <d v="2021-05-01T00:00:00"/>
    <n v="4761904.76"/>
    <m/>
    <m/>
    <m/>
    <m/>
    <m/>
    <m/>
    <m/>
    <m/>
    <s v="07. Item 07"/>
    <n v="5"/>
    <x v="11"/>
    <x v="2"/>
    <n v="2021"/>
    <n v="2021"/>
    <b v="1"/>
  </r>
  <r>
    <x v="22"/>
    <m/>
    <x v="1"/>
    <s v="Centralized"/>
    <s v="Out"/>
    <m/>
    <m/>
    <m/>
    <m/>
    <m/>
    <m/>
    <s v="p"/>
    <d v="2021-06-01T00:00:00"/>
    <d v="2021-06-01T00:00:00"/>
    <n v="4332857.1399999997"/>
    <m/>
    <m/>
    <m/>
    <m/>
    <m/>
    <m/>
    <m/>
    <m/>
    <s v="04. Item 04"/>
    <n v="6"/>
    <x v="9"/>
    <x v="2"/>
    <n v="2021"/>
    <n v="2021"/>
    <b v="1"/>
  </r>
  <r>
    <x v="22"/>
    <m/>
    <x v="1"/>
    <s v="Centralized"/>
    <s v="Out"/>
    <m/>
    <m/>
    <m/>
    <m/>
    <m/>
    <m/>
    <s v="p"/>
    <d v="2021-04-01T00:00:00"/>
    <d v="2021-04-01T00:00:00"/>
    <n v="8599047.6199999992"/>
    <m/>
    <m/>
    <m/>
    <m/>
    <m/>
    <m/>
    <m/>
    <m/>
    <s v="04. Item 04"/>
    <n v="4"/>
    <x v="10"/>
    <x v="2"/>
    <n v="2021"/>
    <n v="2021"/>
    <b v="1"/>
  </r>
  <r>
    <x v="22"/>
    <m/>
    <x v="1"/>
    <s v="Centralized"/>
    <s v="Out"/>
    <m/>
    <m/>
    <m/>
    <m/>
    <m/>
    <m/>
    <s v="p"/>
    <d v="2021-05-01T00:00:00"/>
    <d v="2021-05-01T00:00:00"/>
    <n v="8928571.4299999997"/>
    <m/>
    <m/>
    <m/>
    <m/>
    <m/>
    <m/>
    <m/>
    <m/>
    <s v="04. Item 04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6-01T00:00:00"/>
    <d v="2021-06-01T00:00:00"/>
    <n v="10000000"/>
    <m/>
    <m/>
    <m/>
    <m/>
    <m/>
    <m/>
    <m/>
    <m/>
    <s v="_1. Item _1"/>
    <n v="6"/>
    <x v="9"/>
    <x v="2"/>
    <n v="2021"/>
    <n v="2021"/>
    <b v="1"/>
  </r>
  <r>
    <x v="8"/>
    <m/>
    <x v="1"/>
    <s v="Centralized"/>
    <s v="Out"/>
    <m/>
    <m/>
    <m/>
    <m/>
    <m/>
    <m/>
    <s v="p"/>
    <d v="2021-04-01T00:00:00"/>
    <d v="2021-04-01T00:00:00"/>
    <n v="61904.76"/>
    <m/>
    <m/>
    <m/>
    <m/>
    <m/>
    <m/>
    <m/>
    <m/>
    <s v="09. Item 09"/>
    <n v="4"/>
    <x v="10"/>
    <x v="2"/>
    <n v="2021"/>
    <n v="2021"/>
    <b v="1"/>
  </r>
  <r>
    <x v="8"/>
    <m/>
    <x v="1"/>
    <s v="Centralized"/>
    <s v="Out"/>
    <m/>
    <m/>
    <m/>
    <m/>
    <m/>
    <m/>
    <s v="p"/>
    <d v="2021-05-01T00:00:00"/>
    <d v="2021-05-01T00:00:00"/>
    <n v="1309523.81"/>
    <m/>
    <m/>
    <m/>
    <m/>
    <m/>
    <m/>
    <m/>
    <m/>
    <s v="09. Item 09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6-01T00:00:00"/>
    <d v="2021-06-01T00:00:00"/>
    <n v="2459523.81"/>
    <m/>
    <m/>
    <m/>
    <m/>
    <m/>
    <m/>
    <m/>
    <m/>
    <s v="_1. Item _1"/>
    <n v="6"/>
    <x v="9"/>
    <x v="2"/>
    <n v="2021"/>
    <n v="2021"/>
    <b v="1"/>
  </r>
  <r>
    <x v="31"/>
    <m/>
    <x v="1"/>
    <s v="Centralized"/>
    <s v="Out"/>
    <m/>
    <m/>
    <m/>
    <m/>
    <m/>
    <m/>
    <s v="p"/>
    <d v="2021-04-01T00:00:00"/>
    <d v="2021-04-01T00:00:00"/>
    <n v="43095.24"/>
    <m/>
    <m/>
    <m/>
    <m/>
    <m/>
    <m/>
    <m/>
    <m/>
    <s v="10. Item 10"/>
    <n v="4"/>
    <x v="10"/>
    <x v="2"/>
    <n v="2021"/>
    <n v="2021"/>
    <b v="1"/>
  </r>
  <r>
    <x v="30"/>
    <m/>
    <x v="1"/>
    <s v="Centralized"/>
    <s v="Out"/>
    <m/>
    <m/>
    <m/>
    <m/>
    <m/>
    <m/>
    <s v="p"/>
    <d v="2021-05-01T00:00:00"/>
    <d v="2021-05-01T00:00:00"/>
    <n v="720476.19"/>
    <m/>
    <m/>
    <m/>
    <m/>
    <m/>
    <m/>
    <m/>
    <m/>
    <s v="10. Item 10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6-01T00:00:00"/>
    <d v="2021-06-01T00:00:00"/>
    <n v="167857.14"/>
    <m/>
    <m/>
    <m/>
    <m/>
    <m/>
    <m/>
    <m/>
    <m/>
    <s v="_1. Item _1"/>
    <n v="6"/>
    <x v="9"/>
    <x v="2"/>
    <n v="2021"/>
    <n v="2021"/>
    <b v="1"/>
  </r>
  <r>
    <x v="16"/>
    <m/>
    <x v="1"/>
    <s v="Centralized"/>
    <s v="Out"/>
    <m/>
    <m/>
    <m/>
    <m/>
    <m/>
    <m/>
    <s v="p"/>
    <d v="2021-04-01T00:00:00"/>
    <d v="2021-04-01T00:00:00"/>
    <n v="945238.1"/>
    <m/>
    <m/>
    <m/>
    <m/>
    <m/>
    <m/>
    <m/>
    <m/>
    <s v="_1. Item _1"/>
    <n v="4"/>
    <x v="10"/>
    <x v="2"/>
    <n v="2021"/>
    <n v="2021"/>
    <b v="1"/>
  </r>
  <r>
    <x v="16"/>
    <m/>
    <x v="1"/>
    <s v="Centralized"/>
    <s v="Out"/>
    <m/>
    <m/>
    <m/>
    <m/>
    <m/>
    <m/>
    <s v="p"/>
    <d v="2021-05-01T00:00:00"/>
    <d v="2021-05-01T00:00:00"/>
    <n v="345285.71"/>
    <m/>
    <m/>
    <m/>
    <m/>
    <m/>
    <m/>
    <m/>
    <m/>
    <s v="_1. Item _1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6-01T00:00:00"/>
    <d v="2021-06-01T00:00:00"/>
    <n v="666666.67000000004"/>
    <m/>
    <m/>
    <m/>
    <m/>
    <m/>
    <m/>
    <m/>
    <m/>
    <s v="_1. Item _1"/>
    <n v="6"/>
    <x v="9"/>
    <x v="2"/>
    <n v="2021"/>
    <n v="2021"/>
    <b v="1"/>
  </r>
  <r>
    <x v="19"/>
    <m/>
    <x v="1"/>
    <s v="Centralized"/>
    <s v="Out"/>
    <m/>
    <m/>
    <m/>
    <m/>
    <m/>
    <m/>
    <s v="p"/>
    <d v="2021-04-01T00:00:00"/>
    <d v="2021-04-01T00:00:00"/>
    <n v="202380.95"/>
    <m/>
    <m/>
    <m/>
    <m/>
    <m/>
    <m/>
    <m/>
    <m/>
    <s v="_2. Item _2"/>
    <n v="4"/>
    <x v="10"/>
    <x v="2"/>
    <n v="2021"/>
    <n v="2021"/>
    <b v="1"/>
  </r>
  <r>
    <x v="16"/>
    <m/>
    <x v="1"/>
    <s v="Centralized"/>
    <s v="Out"/>
    <m/>
    <m/>
    <m/>
    <m/>
    <m/>
    <m/>
    <s v="p"/>
    <d v="2021-05-01T00:00:00"/>
    <d v="2021-05-01T00:00:00"/>
    <n v="200476.19"/>
    <m/>
    <m/>
    <m/>
    <m/>
    <m/>
    <m/>
    <m/>
    <m/>
    <s v="_1. Item _1"/>
    <n v="5"/>
    <x v="11"/>
    <x v="2"/>
    <n v="2021"/>
    <n v="2021"/>
    <b v="1"/>
  </r>
  <r>
    <x v="19"/>
    <m/>
    <x v="1"/>
    <s v="Centralized"/>
    <s v="Out"/>
    <m/>
    <m/>
    <m/>
    <m/>
    <m/>
    <m/>
    <s v="p"/>
    <d v="2021-06-01T00:00:00"/>
    <d v="2021-06-01T00:00:00"/>
    <n v="252380.95"/>
    <m/>
    <m/>
    <m/>
    <m/>
    <m/>
    <m/>
    <m/>
    <m/>
    <s v="_2. Item _2"/>
    <n v="6"/>
    <x v="9"/>
    <x v="2"/>
    <n v="2021"/>
    <n v="2021"/>
    <b v="1"/>
  </r>
  <r>
    <x v="16"/>
    <m/>
    <x v="1"/>
    <s v="Centralized"/>
    <s v="Out"/>
    <m/>
    <m/>
    <m/>
    <m/>
    <m/>
    <m/>
    <s v="p"/>
    <d v="2021-04-01T00:00:00"/>
    <d v="2021-04-01T00:00:00"/>
    <n v="3333.33"/>
    <m/>
    <m/>
    <m/>
    <m/>
    <m/>
    <m/>
    <m/>
    <m/>
    <s v="_1. Item _1"/>
    <n v="4"/>
    <x v="10"/>
    <x v="2"/>
    <n v="2021"/>
    <n v="2021"/>
    <b v="1"/>
  </r>
  <r>
    <x v="19"/>
    <m/>
    <x v="1"/>
    <s v="Centralized"/>
    <s v="Out"/>
    <m/>
    <m/>
    <m/>
    <m/>
    <m/>
    <m/>
    <s v="p"/>
    <d v="2021-05-01T00:00:00"/>
    <d v="2021-05-01T00:00:00"/>
    <n v="6380.95"/>
    <m/>
    <m/>
    <m/>
    <m/>
    <m/>
    <m/>
    <m/>
    <m/>
    <s v="_2. Item _2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4-01T00:00:00"/>
    <d v="2021-04-01T00:00:00"/>
    <n v="51904.76"/>
    <m/>
    <m/>
    <m/>
    <m/>
    <m/>
    <m/>
    <m/>
    <m/>
    <s v="_1. Item _1"/>
    <n v="4"/>
    <x v="10"/>
    <x v="2"/>
    <n v="2021"/>
    <n v="2021"/>
    <b v="1"/>
  </r>
  <r>
    <x v="19"/>
    <m/>
    <x v="1"/>
    <s v="Centralized"/>
    <s v="Out"/>
    <m/>
    <m/>
    <m/>
    <m/>
    <m/>
    <m/>
    <s v="p"/>
    <d v="2021-05-01T00:00:00"/>
    <d v="2021-05-01T00:00:00"/>
    <n v="41428.57"/>
    <m/>
    <m/>
    <m/>
    <m/>
    <m/>
    <m/>
    <m/>
    <m/>
    <s v="_2. Item _2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6-01T00:00:00"/>
    <d v="2021-06-01T00:00:00"/>
    <n v="42142.86"/>
    <m/>
    <m/>
    <m/>
    <m/>
    <m/>
    <m/>
    <m/>
    <m/>
    <s v="_1. Item _1"/>
    <n v="6"/>
    <x v="9"/>
    <x v="2"/>
    <n v="2021"/>
    <n v="2021"/>
    <b v="1"/>
  </r>
  <r>
    <x v="19"/>
    <s v="10. Item 10"/>
    <x v="1"/>
    <s v="Centralized"/>
    <s v="Out"/>
    <m/>
    <m/>
    <m/>
    <m/>
    <m/>
    <m/>
    <s v="p"/>
    <d v="2021-04-01T00:00:00"/>
    <d v="2021-04-01T00:00:00"/>
    <n v="152619.04999999999"/>
    <m/>
    <m/>
    <m/>
    <m/>
    <m/>
    <m/>
    <m/>
    <m/>
    <s v="10. Item 10"/>
    <n v="4"/>
    <x v="10"/>
    <x v="2"/>
    <n v="2021"/>
    <n v="2021"/>
    <b v="1"/>
  </r>
  <r>
    <x v="16"/>
    <s v="10. Item 10"/>
    <x v="1"/>
    <s v="Centralized"/>
    <s v="Out"/>
    <m/>
    <m/>
    <m/>
    <m/>
    <m/>
    <m/>
    <s v="p"/>
    <d v="2021-05-01T00:00:00"/>
    <d v="2021-05-01T00:00:00"/>
    <n v="150000"/>
    <m/>
    <m/>
    <m/>
    <m/>
    <m/>
    <m/>
    <m/>
    <m/>
    <s v="10. Item 10"/>
    <n v="5"/>
    <x v="11"/>
    <x v="2"/>
    <n v="2021"/>
    <n v="2021"/>
    <b v="1"/>
  </r>
  <r>
    <x v="19"/>
    <s v="10. Item 10"/>
    <x v="1"/>
    <s v="Centralized"/>
    <s v="Out"/>
    <m/>
    <m/>
    <m/>
    <m/>
    <m/>
    <m/>
    <s v="p"/>
    <d v="2021-06-01T00:00:00"/>
    <d v="2021-06-01T00:00:00"/>
    <n v="188095.24"/>
    <m/>
    <m/>
    <m/>
    <m/>
    <m/>
    <m/>
    <m/>
    <m/>
    <s v="10. Item 10"/>
    <n v="6"/>
    <x v="9"/>
    <x v="2"/>
    <n v="2021"/>
    <n v="2021"/>
    <b v="1"/>
  </r>
  <r>
    <x v="36"/>
    <s v="12. Item 12"/>
    <x v="1"/>
    <s v="Centralized"/>
    <s v="Out"/>
    <m/>
    <m/>
    <m/>
    <m/>
    <m/>
    <m/>
    <s v="p"/>
    <d v="2021-04-01T00:00:00"/>
    <d v="2021-04-01T00:00:00"/>
    <n v="365476.19"/>
    <m/>
    <m/>
    <m/>
    <m/>
    <m/>
    <m/>
    <m/>
    <m/>
    <s v="12. Item 12"/>
    <n v="4"/>
    <x v="10"/>
    <x v="2"/>
    <n v="2021"/>
    <n v="2021"/>
    <b v="1"/>
  </r>
  <r>
    <x v="16"/>
    <s v="12. Item 12"/>
    <x v="1"/>
    <s v="Centralized"/>
    <s v="Out"/>
    <m/>
    <m/>
    <m/>
    <m/>
    <m/>
    <m/>
    <s v="p"/>
    <d v="2021-05-01T00:00:00"/>
    <d v="2021-05-01T00:00:00"/>
    <n v="2234047.62"/>
    <m/>
    <m/>
    <m/>
    <m/>
    <m/>
    <m/>
    <m/>
    <m/>
    <s v="12. Item 12"/>
    <n v="5"/>
    <x v="11"/>
    <x v="2"/>
    <n v="2021"/>
    <n v="2021"/>
    <b v="1"/>
  </r>
  <r>
    <x v="16"/>
    <s v="12. Item 12"/>
    <x v="1"/>
    <s v="Centralized"/>
    <s v="Out"/>
    <m/>
    <m/>
    <m/>
    <m/>
    <m/>
    <m/>
    <s v="p"/>
    <d v="2021-06-01T00:00:00"/>
    <d v="2021-06-01T00:00:00"/>
    <n v="427857.14"/>
    <m/>
    <m/>
    <m/>
    <m/>
    <m/>
    <m/>
    <m/>
    <m/>
    <s v="12. Item 12"/>
    <n v="6"/>
    <x v="9"/>
    <x v="2"/>
    <n v="2021"/>
    <n v="2021"/>
    <b v="1"/>
  </r>
  <r>
    <x v="16"/>
    <s v="13. Item 13"/>
    <x v="1"/>
    <s v="Centralized"/>
    <s v="Out"/>
    <m/>
    <m/>
    <m/>
    <m/>
    <m/>
    <m/>
    <s v="p"/>
    <d v="2021-04-01T00:00:00"/>
    <d v="2021-04-01T00:00:00"/>
    <n v="1785714.29"/>
    <m/>
    <m/>
    <m/>
    <m/>
    <m/>
    <m/>
    <m/>
    <m/>
    <s v="13. Item 13"/>
    <n v="4"/>
    <x v="10"/>
    <x v="2"/>
    <n v="2021"/>
    <n v="2021"/>
    <b v="1"/>
  </r>
  <r>
    <x v="4"/>
    <s v="13. Item 13"/>
    <x v="1"/>
    <s v="Centralized"/>
    <s v="Out"/>
    <m/>
    <m/>
    <m/>
    <m/>
    <m/>
    <m/>
    <s v="p"/>
    <d v="2021-05-01T00:00:00"/>
    <d v="2021-05-01T00:00:00"/>
    <n v="1947619.05"/>
    <m/>
    <m/>
    <m/>
    <m/>
    <m/>
    <m/>
    <m/>
    <m/>
    <s v="13. Item 13"/>
    <n v="5"/>
    <x v="11"/>
    <x v="2"/>
    <n v="2021"/>
    <n v="2021"/>
    <b v="1"/>
  </r>
  <r>
    <x v="4"/>
    <s v="13. Item 13"/>
    <x v="1"/>
    <s v="Centralized"/>
    <s v="Out"/>
    <m/>
    <m/>
    <m/>
    <m/>
    <m/>
    <m/>
    <s v="p"/>
    <d v="2021-06-01T00:00:00"/>
    <d v="2021-06-01T00:00:00"/>
    <n v="1227857.1399999999"/>
    <m/>
    <m/>
    <m/>
    <m/>
    <m/>
    <m/>
    <m/>
    <m/>
    <s v="13. Item 13"/>
    <n v="6"/>
    <x v="9"/>
    <x v="2"/>
    <n v="2021"/>
    <n v="2021"/>
    <b v="1"/>
  </r>
  <r>
    <x v="4"/>
    <m/>
    <x v="1"/>
    <s v="Centralized"/>
    <s v="Out"/>
    <m/>
    <m/>
    <m/>
    <m/>
    <m/>
    <m/>
    <s v="p"/>
    <d v="2021-04-01T00:00:00"/>
    <d v="2021-04-01T00:00:00"/>
    <n v="63095.24"/>
    <m/>
    <m/>
    <m/>
    <m/>
    <m/>
    <m/>
    <m/>
    <m/>
    <s v="05. Item 05"/>
    <n v="4"/>
    <x v="10"/>
    <x v="2"/>
    <n v="2021"/>
    <n v="2021"/>
    <b v="1"/>
  </r>
  <r>
    <x v="0"/>
    <m/>
    <x v="1"/>
    <s v="Centralized"/>
    <s v="Out"/>
    <m/>
    <m/>
    <m/>
    <m/>
    <m/>
    <m/>
    <s v="p"/>
    <d v="2021-05-01T00:00:00"/>
    <d v="2021-05-01T00:00:00"/>
    <n v="62857.14"/>
    <m/>
    <m/>
    <m/>
    <m/>
    <m/>
    <m/>
    <m/>
    <m/>
    <s v="01. Item 01"/>
    <n v="5"/>
    <x v="11"/>
    <x v="2"/>
    <n v="2021"/>
    <n v="2021"/>
    <b v="1"/>
  </r>
  <r>
    <x v="0"/>
    <m/>
    <x v="1"/>
    <s v="Centralized"/>
    <s v="Out"/>
    <m/>
    <m/>
    <m/>
    <m/>
    <m/>
    <m/>
    <s v="p"/>
    <d v="2021-06-01T00:00:00"/>
    <d v="2021-06-01T00:00:00"/>
    <n v="62380.95"/>
    <m/>
    <m/>
    <m/>
    <m/>
    <m/>
    <m/>
    <m/>
    <m/>
    <s v="01. Item 01"/>
    <n v="6"/>
    <x v="9"/>
    <x v="2"/>
    <n v="2021"/>
    <n v="2021"/>
    <b v="1"/>
  </r>
  <r>
    <x v="0"/>
    <m/>
    <x v="1"/>
    <s v="Centralized"/>
    <s v="Out"/>
    <m/>
    <m/>
    <m/>
    <m/>
    <m/>
    <m/>
    <s v="p"/>
    <d v="2021-04-01T00:00:00"/>
    <d v="2021-04-01T00:00:00"/>
    <n v="766575.43"/>
    <m/>
    <m/>
    <m/>
    <m/>
    <m/>
    <m/>
    <m/>
    <m/>
    <s v="01. Item 01"/>
    <n v="4"/>
    <x v="10"/>
    <x v="2"/>
    <n v="2021"/>
    <n v="2021"/>
    <b v="1"/>
  </r>
  <r>
    <x v="1"/>
    <m/>
    <x v="1"/>
    <s v="Centralized"/>
    <s v="Out"/>
    <m/>
    <m/>
    <m/>
    <m/>
    <m/>
    <m/>
    <s v="p"/>
    <d v="2021-05-01T00:00:00"/>
    <d v="2021-05-01T00:00:00"/>
    <n v="945526.07"/>
    <m/>
    <m/>
    <m/>
    <m/>
    <m/>
    <m/>
    <m/>
    <m/>
    <s v="02. Item 02"/>
    <n v="5"/>
    <x v="11"/>
    <x v="2"/>
    <n v="2021"/>
    <n v="2021"/>
    <b v="1"/>
  </r>
  <r>
    <x v="1"/>
    <m/>
    <x v="1"/>
    <s v="Centralized"/>
    <s v="Out"/>
    <m/>
    <m/>
    <m/>
    <m/>
    <m/>
    <m/>
    <s v="p"/>
    <d v="2021-06-01T00:00:00"/>
    <d v="2021-06-01T00:00:00"/>
    <n v="945526.07"/>
    <m/>
    <m/>
    <m/>
    <m/>
    <m/>
    <m/>
    <m/>
    <m/>
    <s v="02. Item 02"/>
    <n v="6"/>
    <x v="9"/>
    <x v="2"/>
    <n v="2021"/>
    <n v="2021"/>
    <b v="1"/>
  </r>
  <r>
    <x v="1"/>
    <m/>
    <x v="1"/>
    <s v="Centralized"/>
    <s v="Out"/>
    <m/>
    <m/>
    <m/>
    <m/>
    <m/>
    <m/>
    <s v="p"/>
    <d v="2021-04-01T00:00:00"/>
    <d v="2021-04-01T00:00:00"/>
    <n v="2380.9499999999998"/>
    <m/>
    <m/>
    <m/>
    <m/>
    <m/>
    <m/>
    <m/>
    <m/>
    <s v="02. Item 02"/>
    <n v="4"/>
    <x v="10"/>
    <x v="2"/>
    <n v="2021"/>
    <n v="2021"/>
    <b v="1"/>
  </r>
  <r>
    <x v="22"/>
    <m/>
    <x v="1"/>
    <s v="Centralized"/>
    <s v="In"/>
    <m/>
    <m/>
    <m/>
    <m/>
    <m/>
    <s v="COMPLETE"/>
    <s v="f"/>
    <d v="2021-04-05T00:00:00"/>
    <d v="2021-04-05T00:00:00"/>
    <m/>
    <n v="11241.25"/>
    <m/>
    <m/>
    <m/>
    <m/>
    <m/>
    <m/>
    <m/>
    <s v="04. Item 04"/>
    <n v="4"/>
    <x v="10"/>
    <x v="2"/>
    <n v="2021"/>
    <n v="2021"/>
    <b v="1"/>
  </r>
  <r>
    <x v="22"/>
    <m/>
    <x v="1"/>
    <s v="Centralized"/>
    <s v="Out"/>
    <m/>
    <m/>
    <m/>
    <s v="X"/>
    <n v="2"/>
    <s v="COMPLETE"/>
    <s v="f"/>
    <d v="2021-04-07T00:00:00"/>
    <d v="2021-04-21T00:00:00"/>
    <m/>
    <n v="357142.86"/>
    <m/>
    <m/>
    <m/>
    <m/>
    <m/>
    <m/>
    <m/>
    <s v="04. Item 04"/>
    <n v="4"/>
    <x v="10"/>
    <x v="2"/>
    <n v="2021"/>
    <n v="2021"/>
    <b v="1"/>
  </r>
  <r>
    <x v="22"/>
    <m/>
    <x v="1"/>
    <s v="Centralized"/>
    <s v="In"/>
    <m/>
    <m/>
    <m/>
    <m/>
    <m/>
    <s v="COMPLETE"/>
    <s v="f"/>
    <d v="2021-04-07T00:00:00"/>
    <d v="2021-04-07T00:00:00"/>
    <m/>
    <n v="11297.52"/>
    <m/>
    <m/>
    <m/>
    <m/>
    <m/>
    <m/>
    <m/>
    <s v="04. Item 04"/>
    <n v="4"/>
    <x v="10"/>
    <x v="2"/>
    <n v="2021"/>
    <n v="2021"/>
    <b v="1"/>
  </r>
  <r>
    <x v="4"/>
    <m/>
    <x v="1"/>
    <s v="Centralized"/>
    <s v="In"/>
    <m/>
    <m/>
    <m/>
    <m/>
    <m/>
    <s v="COMPLETE"/>
    <s v="f"/>
    <d v="2021-04-08T00:00:00"/>
    <d v="2021-04-08T00:00:00"/>
    <m/>
    <n v="41022.04"/>
    <m/>
    <m/>
    <m/>
    <m/>
    <m/>
    <m/>
    <m/>
    <s v="05. Item 05"/>
    <n v="4"/>
    <x v="10"/>
    <x v="2"/>
    <n v="2021"/>
    <n v="2021"/>
    <b v="1"/>
  </r>
  <r>
    <x v="4"/>
    <m/>
    <x v="1"/>
    <s v="Decentralized"/>
    <s v="Out"/>
    <m/>
    <m/>
    <m/>
    <m/>
    <n v="4"/>
    <s v="COMPLETE"/>
    <s v="f"/>
    <d v="2021-03-29T00:00:00"/>
    <d v="2021-04-08T00:00:00"/>
    <m/>
    <n v="13971.74"/>
    <m/>
    <m/>
    <m/>
    <m/>
    <m/>
    <m/>
    <m/>
    <s v="05. Item 05"/>
    <n v="3"/>
    <x v="10"/>
    <x v="2"/>
    <n v="2021"/>
    <n v="2021"/>
    <b v="1"/>
  </r>
  <r>
    <x v="4"/>
    <m/>
    <x v="1"/>
    <s v="Centralized"/>
    <s v="In"/>
    <m/>
    <m/>
    <m/>
    <m/>
    <m/>
    <s v="COMPLETE"/>
    <s v="f"/>
    <d v="2021-04-08T00:00:00"/>
    <d v="2021-04-08T00:00:00"/>
    <m/>
    <n v="13971.74"/>
    <m/>
    <m/>
    <m/>
    <m/>
    <m/>
    <m/>
    <m/>
    <s v="05. Item 05"/>
    <n v="4"/>
    <x v="10"/>
    <x v="2"/>
    <n v="2021"/>
    <n v="2021"/>
    <b v="1"/>
  </r>
  <r>
    <x v="5"/>
    <m/>
    <x v="1"/>
    <s v="Centralized"/>
    <s v="Out"/>
    <m/>
    <m/>
    <m/>
    <s v="X"/>
    <n v="1"/>
    <s v="COMPLETE"/>
    <s v="f"/>
    <d v="2021-04-02T00:00:00"/>
    <d v="2021-04-16T00:00:00"/>
    <m/>
    <n v="24430.12"/>
    <m/>
    <m/>
    <m/>
    <m/>
    <m/>
    <m/>
    <m/>
    <s v="05. Item 05"/>
    <n v="4"/>
    <x v="10"/>
    <x v="2"/>
    <n v="2021"/>
    <n v="2021"/>
    <b v="1"/>
  </r>
  <r>
    <x v="5"/>
    <m/>
    <x v="1"/>
    <s v="Centralized"/>
    <s v="Out"/>
    <m/>
    <m/>
    <m/>
    <m/>
    <n v="1"/>
    <s v="COMPLETE"/>
    <s v="f"/>
    <d v="2021-04-02T00:00:00"/>
    <d v="2021-04-16T00:00:00"/>
    <m/>
    <n v="1189.6400000000001"/>
    <m/>
    <m/>
    <m/>
    <m/>
    <m/>
    <m/>
    <m/>
    <s v="05. Item 05"/>
    <n v="4"/>
    <x v="10"/>
    <x v="2"/>
    <n v="2021"/>
    <n v="2021"/>
    <b v="1"/>
  </r>
  <r>
    <x v="5"/>
    <m/>
    <x v="1"/>
    <s v="Centralized"/>
    <s v="Out"/>
    <m/>
    <m/>
    <m/>
    <s v="X"/>
    <n v="1"/>
    <s v="COMPLETE"/>
    <s v="f"/>
    <d v="2021-04-02T00:00:00"/>
    <d v="2021-04-16T00:00:00"/>
    <m/>
    <n v="3087712.19"/>
    <m/>
    <m/>
    <m/>
    <m/>
    <m/>
    <m/>
    <m/>
    <s v="05. Item 05"/>
    <n v="4"/>
    <x v="10"/>
    <x v="2"/>
    <n v="2021"/>
    <n v="2021"/>
    <b v="1"/>
  </r>
  <r>
    <x v="15"/>
    <m/>
    <x v="1"/>
    <s v="Centralized"/>
    <s v="Out"/>
    <m/>
    <m/>
    <m/>
    <m/>
    <n v="1"/>
    <s v="COMPLETE"/>
    <s v="f"/>
    <d v="2021-04-02T00:00:00"/>
    <d v="2021-04-14T00:00:00"/>
    <m/>
    <n v="13497.36"/>
    <m/>
    <m/>
    <m/>
    <m/>
    <m/>
    <m/>
    <m/>
    <s v="06. Item 06"/>
    <n v="4"/>
    <x v="10"/>
    <x v="2"/>
    <n v="2021"/>
    <n v="2021"/>
    <b v="1"/>
  </r>
  <r>
    <x v="15"/>
    <m/>
    <x v="1"/>
    <s v="Centralized"/>
    <s v="Out"/>
    <m/>
    <m/>
    <m/>
    <s v="X"/>
    <n v="1"/>
    <s v="COMPLETE"/>
    <s v="f"/>
    <d v="2021-04-02T00:00:00"/>
    <d v="2021-04-14T00:00:00"/>
    <m/>
    <n v="2380952.38"/>
    <m/>
    <m/>
    <m/>
    <m/>
    <m/>
    <m/>
    <m/>
    <s v="06. Item 06"/>
    <n v="4"/>
    <x v="10"/>
    <x v="2"/>
    <n v="2021"/>
    <n v="2021"/>
    <b v="1"/>
  </r>
  <r>
    <x v="15"/>
    <m/>
    <x v="1"/>
    <s v="Centralized"/>
    <s v="Out"/>
    <m/>
    <m/>
    <m/>
    <m/>
    <n v="3"/>
    <s v="COMPLETE"/>
    <s v="f"/>
    <d v="2021-04-01T00:00:00"/>
    <d v="2021-04-09T00:00:00"/>
    <m/>
    <n v="10500.65"/>
    <m/>
    <m/>
    <m/>
    <m/>
    <m/>
    <m/>
    <m/>
    <s v="06. Item 06"/>
    <n v="4"/>
    <x v="10"/>
    <x v="2"/>
    <n v="2021"/>
    <n v="2021"/>
    <b v="1"/>
  </r>
  <r>
    <x v="6"/>
    <m/>
    <x v="1"/>
    <s v="Centralized"/>
    <s v="Out"/>
    <m/>
    <m/>
    <m/>
    <m/>
    <n v="1"/>
    <s v="COMPLETE"/>
    <s v="f"/>
    <d v="2021-04-02T00:00:00"/>
    <d v="2021-04-14T00:00:00"/>
    <m/>
    <n v="70640.039999999994"/>
    <m/>
    <m/>
    <m/>
    <m/>
    <m/>
    <m/>
    <m/>
    <s v="07. Item 07"/>
    <n v="4"/>
    <x v="10"/>
    <x v="2"/>
    <n v="2021"/>
    <n v="2021"/>
    <b v="1"/>
  </r>
  <r>
    <x v="6"/>
    <m/>
    <x v="1"/>
    <s v="Centralized"/>
    <s v="Out"/>
    <m/>
    <m/>
    <m/>
    <s v="X"/>
    <n v="1"/>
    <s v="COMPLETE"/>
    <s v="f"/>
    <d v="2021-04-02T00:00:00"/>
    <d v="2021-04-15T00:00:00"/>
    <m/>
    <n v="3172.62"/>
    <m/>
    <m/>
    <m/>
    <m/>
    <m/>
    <m/>
    <m/>
    <s v="07. Item 07"/>
    <n v="4"/>
    <x v="10"/>
    <x v="2"/>
    <n v="2021"/>
    <n v="2021"/>
    <b v="1"/>
  </r>
  <r>
    <x v="6"/>
    <m/>
    <x v="1"/>
    <s v="Centralized"/>
    <s v="Out"/>
    <m/>
    <m/>
    <m/>
    <m/>
    <n v="1"/>
    <s v="COMPLETE"/>
    <s v="f"/>
    <d v="2021-04-02T00:00:00"/>
    <d v="2021-04-14T00:00:00"/>
    <m/>
    <n v="292.05"/>
    <m/>
    <m/>
    <m/>
    <m/>
    <m/>
    <m/>
    <m/>
    <s v="07. Item 07"/>
    <n v="4"/>
    <x v="10"/>
    <x v="2"/>
    <n v="2021"/>
    <n v="2021"/>
    <b v="1"/>
  </r>
  <r>
    <x v="21"/>
    <m/>
    <x v="1"/>
    <s v="Centralized"/>
    <s v="Out"/>
    <m/>
    <m/>
    <m/>
    <s v="X"/>
    <n v="1"/>
    <s v="COMPLETE"/>
    <s v="f"/>
    <d v="2021-04-02T00:00:00"/>
    <d v="2021-04-15T00:00:00"/>
    <m/>
    <n v="8939.2999999999993"/>
    <m/>
    <m/>
    <m/>
    <m/>
    <m/>
    <m/>
    <m/>
    <s v="09. Item 09"/>
    <n v="4"/>
    <x v="10"/>
    <x v="2"/>
    <n v="2021"/>
    <n v="2021"/>
    <b v="1"/>
  </r>
  <r>
    <x v="21"/>
    <m/>
    <x v="1"/>
    <s v="Centralized"/>
    <s v="Out"/>
    <m/>
    <m/>
    <m/>
    <m/>
    <n v="1"/>
    <s v="COMPLETE"/>
    <s v="f"/>
    <d v="2021-04-02T00:00:00"/>
    <d v="2021-04-13T00:00:00"/>
    <m/>
    <n v="38753.56"/>
    <m/>
    <m/>
    <m/>
    <m/>
    <m/>
    <m/>
    <m/>
    <s v="09. Item 09"/>
    <n v="4"/>
    <x v="10"/>
    <x v="2"/>
    <n v="2021"/>
    <n v="2021"/>
    <b v="1"/>
  </r>
  <r>
    <x v="21"/>
    <m/>
    <x v="1"/>
    <s v="Centralized"/>
    <s v="Out"/>
    <m/>
    <m/>
    <m/>
    <s v="X"/>
    <n v="1"/>
    <s v="COMPLETE"/>
    <s v="f"/>
    <d v="2021-04-02T00:00:00"/>
    <d v="2021-04-13T00:00:00"/>
    <m/>
    <n v="475.97"/>
    <m/>
    <m/>
    <m/>
    <m/>
    <m/>
    <m/>
    <m/>
    <s v="09. Item 09"/>
    <n v="4"/>
    <x v="10"/>
    <x v="2"/>
    <n v="2021"/>
    <n v="2021"/>
    <b v="1"/>
  </r>
  <r>
    <x v="7"/>
    <m/>
    <x v="1"/>
    <s v="Centralized"/>
    <s v="Out"/>
    <m/>
    <m/>
    <m/>
    <m/>
    <n v="1"/>
    <s v="COMPLETE"/>
    <s v="f"/>
    <d v="2021-04-02T00:00:00"/>
    <d v="2021-04-13T00:00:00"/>
    <m/>
    <n v="40918.129999999997"/>
    <m/>
    <m/>
    <m/>
    <m/>
    <m/>
    <m/>
    <m/>
    <s v="08. Item 08"/>
    <n v="4"/>
    <x v="10"/>
    <x v="2"/>
    <n v="2021"/>
    <n v="2021"/>
    <b v="1"/>
  </r>
  <r>
    <x v="7"/>
    <m/>
    <x v="1"/>
    <s v="Centralized"/>
    <s v="Out"/>
    <m/>
    <m/>
    <m/>
    <s v="X"/>
    <n v="1"/>
    <s v="COMPLETE"/>
    <s v="f"/>
    <d v="2021-04-02T00:00:00"/>
    <d v="2021-04-14T00:00:00"/>
    <m/>
    <n v="35945.53"/>
    <m/>
    <m/>
    <m/>
    <m/>
    <m/>
    <m/>
    <m/>
    <s v="08. Item 08"/>
    <n v="4"/>
    <x v="10"/>
    <x v="2"/>
    <n v="2021"/>
    <n v="2021"/>
    <b v="1"/>
  </r>
  <r>
    <x v="7"/>
    <m/>
    <x v="1"/>
    <s v="Centralized"/>
    <s v="Out"/>
    <m/>
    <m/>
    <m/>
    <m/>
    <n v="1"/>
    <s v="COMPLETE"/>
    <s v="f"/>
    <d v="2021-04-02T00:00:00"/>
    <d v="2021-04-14T00:00:00"/>
    <m/>
    <n v="41143.160000000003"/>
    <m/>
    <m/>
    <m/>
    <m/>
    <m/>
    <m/>
    <m/>
    <s v="08. Item 08"/>
    <n v="4"/>
    <x v="10"/>
    <x v="2"/>
    <n v="2021"/>
    <n v="2021"/>
    <b v="1"/>
  </r>
  <r>
    <x v="8"/>
    <m/>
    <x v="1"/>
    <s v="Centralized"/>
    <s v="Out"/>
    <m/>
    <m/>
    <m/>
    <s v="X"/>
    <n v="1"/>
    <s v="COMPLETE"/>
    <s v="f"/>
    <d v="2021-04-08T00:00:00"/>
    <d v="2021-04-16T00:00:00"/>
    <m/>
    <n v="383333.33"/>
    <m/>
    <m/>
    <m/>
    <m/>
    <m/>
    <m/>
    <m/>
    <s v="09. Item 09"/>
    <n v="4"/>
    <x v="10"/>
    <x v="2"/>
    <n v="2021"/>
    <n v="2021"/>
    <b v="1"/>
  </r>
  <r>
    <x v="8"/>
    <m/>
    <x v="1"/>
    <s v="Centralized"/>
    <s v="In"/>
    <m/>
    <m/>
    <m/>
    <m/>
    <m/>
    <s v="COMPLETE"/>
    <s v="f"/>
    <d v="2021-04-09T00:00:00"/>
    <d v="2021-04-09T00:00:00"/>
    <m/>
    <n v="10500.65"/>
    <m/>
    <m/>
    <m/>
    <m/>
    <m/>
    <m/>
    <m/>
    <s v="09. Item 09"/>
    <n v="4"/>
    <x v="10"/>
    <x v="2"/>
    <n v="2021"/>
    <n v="2021"/>
    <b v="1"/>
  </r>
  <r>
    <x v="8"/>
    <m/>
    <x v="2"/>
    <s v="Centralized"/>
    <s v="In"/>
    <m/>
    <m/>
    <m/>
    <m/>
    <m/>
    <m/>
    <s v="f"/>
    <d v="2021-03-31T00:00:00"/>
    <d v="2021-03-31T00:00:00"/>
    <m/>
    <n v="42401945.479999997"/>
    <m/>
    <m/>
    <m/>
    <m/>
    <m/>
    <m/>
    <m/>
    <s v="09. Item 09"/>
    <n v="3"/>
    <x v="8"/>
    <x v="2"/>
    <n v="2021"/>
    <n v="2021"/>
    <b v="1"/>
  </r>
  <r>
    <x v="9"/>
    <m/>
    <x v="1"/>
    <s v="Centralized"/>
    <s v="In"/>
    <m/>
    <m/>
    <m/>
    <m/>
    <m/>
    <s v="COMPLETE"/>
    <s v="f"/>
    <d v="2021-04-13T00:00:00"/>
    <d v="2021-04-13T00:00:00"/>
    <m/>
    <n v="80147.66"/>
    <m/>
    <m/>
    <m/>
    <m/>
    <m/>
    <m/>
    <m/>
    <s v="09. Item 09"/>
    <n v="4"/>
    <x v="10"/>
    <x v="2"/>
    <n v="2021"/>
    <n v="2021"/>
    <b v="1"/>
  </r>
  <r>
    <x v="9"/>
    <m/>
    <x v="2"/>
    <s v="Centralized"/>
    <s v="Out"/>
    <m/>
    <m/>
    <m/>
    <m/>
    <m/>
    <m/>
    <s v="f"/>
    <d v="2021-04-01T00:00:00"/>
    <d v="2021-04-01T00:00:00"/>
    <m/>
    <n v="21118.87"/>
    <m/>
    <m/>
    <m/>
    <m/>
    <m/>
    <m/>
    <m/>
    <s v="09. Item 09"/>
    <n v="4"/>
    <x v="10"/>
    <x v="2"/>
    <n v="2021"/>
    <n v="2021"/>
    <b v="1"/>
  </r>
  <r>
    <x v="9"/>
    <m/>
    <x v="2"/>
    <s v="Centralized"/>
    <s v="Out"/>
    <m/>
    <m/>
    <m/>
    <m/>
    <m/>
    <m/>
    <s v="f"/>
    <d v="2021-04-01T00:00:00"/>
    <d v="2021-04-01T00:00:00"/>
    <m/>
    <n v="2251909.37"/>
    <m/>
    <m/>
    <m/>
    <m/>
    <m/>
    <m/>
    <m/>
    <s v="09. Item 09"/>
    <n v="4"/>
    <x v="10"/>
    <x v="2"/>
    <n v="2021"/>
    <n v="2021"/>
    <b v="1"/>
  </r>
  <r>
    <x v="17"/>
    <m/>
    <x v="2"/>
    <s v="Centralized"/>
    <s v="Out"/>
    <m/>
    <m/>
    <m/>
    <m/>
    <m/>
    <m/>
    <s v="f"/>
    <d v="2021-04-01T00:00:00"/>
    <d v="2021-04-01T00:00:00"/>
    <m/>
    <n v="6057310.1100000003"/>
    <m/>
    <m/>
    <m/>
    <m/>
    <m/>
    <m/>
    <m/>
    <s v="09. Item 09"/>
    <n v="4"/>
    <x v="10"/>
    <x v="2"/>
    <n v="2021"/>
    <n v="2021"/>
    <b v="1"/>
  </r>
  <r>
    <x v="17"/>
    <m/>
    <x v="2"/>
    <s v="Centralized"/>
    <s v="Out"/>
    <m/>
    <m/>
    <m/>
    <m/>
    <m/>
    <m/>
    <s v="f"/>
    <d v="2021-04-01T00:00:00"/>
    <d v="2021-04-01T00:00:00"/>
    <m/>
    <n v="55997.94"/>
    <m/>
    <m/>
    <m/>
    <m/>
    <m/>
    <m/>
    <m/>
    <s v="09. Item 09"/>
    <n v="4"/>
    <x v="10"/>
    <x v="2"/>
    <n v="2021"/>
    <n v="2021"/>
    <b v="1"/>
  </r>
  <r>
    <x v="10"/>
    <m/>
    <x v="2"/>
    <s v="Centralized"/>
    <s v="Out"/>
    <m/>
    <m/>
    <m/>
    <m/>
    <m/>
    <m/>
    <s v="f"/>
    <d v="2021-04-01T00:00:00"/>
    <d v="2021-04-01T00:00:00"/>
    <m/>
    <n v="108476.61"/>
    <m/>
    <m/>
    <m/>
    <m/>
    <m/>
    <m/>
    <m/>
    <s v="11. Item 11"/>
    <n v="4"/>
    <x v="10"/>
    <x v="2"/>
    <n v="2021"/>
    <n v="2021"/>
    <b v="1"/>
  </r>
  <r>
    <x v="10"/>
    <m/>
    <x v="2"/>
    <s v="Centralized"/>
    <s v="Out"/>
    <m/>
    <m/>
    <m/>
    <m/>
    <m/>
    <m/>
    <s v="f"/>
    <d v="2021-04-01T00:00:00"/>
    <d v="2021-04-01T00:00:00"/>
    <m/>
    <n v="8597492.0899999999"/>
    <m/>
    <m/>
    <m/>
    <m/>
    <m/>
    <m/>
    <m/>
    <s v="11. Item 11"/>
    <n v="4"/>
    <x v="10"/>
    <x v="2"/>
    <n v="2021"/>
    <n v="2021"/>
    <b v="1"/>
  </r>
  <r>
    <x v="10"/>
    <m/>
    <x v="2"/>
    <s v="Centralized"/>
    <s v="Out"/>
    <m/>
    <m/>
    <m/>
    <m/>
    <m/>
    <m/>
    <s v="f"/>
    <d v="2021-04-01T00:00:00"/>
    <d v="2021-04-01T00:00:00"/>
    <m/>
    <n v="42944.05"/>
    <m/>
    <m/>
    <m/>
    <m/>
    <m/>
    <m/>
    <m/>
    <s v="11. Item 11"/>
    <n v="4"/>
    <x v="10"/>
    <x v="2"/>
    <n v="2021"/>
    <n v="2021"/>
    <b v="1"/>
  </r>
  <r>
    <x v="23"/>
    <m/>
    <x v="2"/>
    <s v="Centralized"/>
    <s v="Out"/>
    <m/>
    <m/>
    <m/>
    <m/>
    <m/>
    <m/>
    <s v="f"/>
    <d v="2021-04-01T00:00:00"/>
    <d v="2021-04-01T00:00:00"/>
    <m/>
    <n v="15897.62"/>
    <m/>
    <m/>
    <m/>
    <m/>
    <m/>
    <m/>
    <m/>
    <s v="21. Item 21"/>
    <n v="4"/>
    <x v="10"/>
    <x v="2"/>
    <n v="2021"/>
    <n v="2021"/>
    <b v="1"/>
  </r>
  <r>
    <x v="23"/>
    <m/>
    <x v="2"/>
    <s v="Centralized"/>
    <s v="Out"/>
    <m/>
    <m/>
    <m/>
    <m/>
    <m/>
    <m/>
    <s v="f"/>
    <d v="2021-04-01T00:00:00"/>
    <d v="2021-04-01T00:00:00"/>
    <m/>
    <n v="704181.69"/>
    <m/>
    <m/>
    <m/>
    <m/>
    <m/>
    <m/>
    <m/>
    <s v="21. Item 21"/>
    <n v="4"/>
    <x v="10"/>
    <x v="2"/>
    <n v="2021"/>
    <n v="2021"/>
    <b v="1"/>
  </r>
  <r>
    <x v="23"/>
    <m/>
    <x v="2"/>
    <s v="Centralized"/>
    <s v="Out"/>
    <m/>
    <m/>
    <m/>
    <m/>
    <m/>
    <m/>
    <s v="f"/>
    <d v="2021-04-01T00:00:00"/>
    <d v="2021-04-01T00:00:00"/>
    <m/>
    <n v="30859.43"/>
    <m/>
    <m/>
    <m/>
    <m/>
    <m/>
    <m/>
    <m/>
    <s v="21. Item 21"/>
    <n v="4"/>
    <x v="10"/>
    <x v="2"/>
    <n v="2021"/>
    <n v="2021"/>
    <b v="1"/>
  </r>
  <r>
    <x v="14"/>
    <m/>
    <x v="1"/>
    <s v="Centralized"/>
    <s v="Out"/>
    <m/>
    <m/>
    <m/>
    <m/>
    <n v="4"/>
    <s v="COMPLETE"/>
    <s v="f"/>
    <d v="2021-04-12T00:00:00"/>
    <d v="2021-04-27T00:00:00"/>
    <m/>
    <n v="3120.02"/>
    <m/>
    <m/>
    <m/>
    <m/>
    <m/>
    <m/>
    <m/>
    <s v="19. Item 19"/>
    <n v="4"/>
    <x v="10"/>
    <x v="2"/>
    <n v="2021"/>
    <n v="2021"/>
    <b v="1"/>
  </r>
  <r>
    <x v="14"/>
    <m/>
    <x v="1"/>
    <s v="Centralized"/>
    <s v="Out"/>
    <m/>
    <m/>
    <m/>
    <m/>
    <n v="3"/>
    <s v="COMPLETE"/>
    <s v="f"/>
    <d v="2021-04-15T00:00:00"/>
    <d v="2021-04-26T00:00:00"/>
    <m/>
    <n v="15897.62"/>
    <m/>
    <m/>
    <m/>
    <m/>
    <m/>
    <m/>
    <m/>
    <s v="19. Item 19"/>
    <n v="4"/>
    <x v="10"/>
    <x v="2"/>
    <n v="2021"/>
    <n v="2021"/>
    <b v="1"/>
  </r>
  <r>
    <x v="14"/>
    <m/>
    <x v="1"/>
    <s v="Centralized"/>
    <s v="Out"/>
    <m/>
    <m/>
    <m/>
    <m/>
    <n v="3"/>
    <s v="COMPLETE"/>
    <s v="f"/>
    <d v="2021-04-15T00:00:00"/>
    <d v="2021-04-26T00:00:00"/>
    <m/>
    <n v="461485.83"/>
    <m/>
    <m/>
    <m/>
    <m/>
    <m/>
    <m/>
    <m/>
    <s v="19. Item 19"/>
    <n v="4"/>
    <x v="10"/>
    <x v="2"/>
    <n v="2021"/>
    <n v="2021"/>
    <b v="1"/>
  </r>
  <r>
    <x v="20"/>
    <m/>
    <x v="1"/>
    <s v="Centralized"/>
    <s v="Out"/>
    <m/>
    <m/>
    <m/>
    <m/>
    <n v="3"/>
    <s v="COMPLETE"/>
    <s v="f"/>
    <d v="2021-04-15T00:00:00"/>
    <d v="2021-04-26T00:00:00"/>
    <m/>
    <n v="41756.99"/>
    <m/>
    <m/>
    <m/>
    <m/>
    <m/>
    <m/>
    <m/>
    <s v="14. Item 14"/>
    <n v="4"/>
    <x v="10"/>
    <x v="2"/>
    <n v="2021"/>
    <n v="2021"/>
    <b v="1"/>
  </r>
  <r>
    <x v="20"/>
    <m/>
    <x v="1"/>
    <s v="Centralized"/>
    <s v="Out"/>
    <m/>
    <m/>
    <m/>
    <m/>
    <n v="3"/>
    <s v="COMPLETE"/>
    <s v="f"/>
    <d v="2021-04-15T00:00:00"/>
    <d v="2021-04-27T00:00:00"/>
    <m/>
    <n v="51870.74"/>
    <m/>
    <m/>
    <m/>
    <m/>
    <m/>
    <m/>
    <m/>
    <s v="14. Item 14"/>
    <n v="4"/>
    <x v="10"/>
    <x v="2"/>
    <n v="2021"/>
    <n v="2021"/>
    <b v="1"/>
  </r>
  <r>
    <x v="20"/>
    <m/>
    <x v="1"/>
    <s v="Centralized"/>
    <s v="Out"/>
    <m/>
    <m/>
    <m/>
    <s v="X"/>
    <n v="3"/>
    <s v="COMPLETE"/>
    <s v="f"/>
    <d v="2021-04-15T00:00:00"/>
    <d v="2021-04-27T00:00:00"/>
    <m/>
    <n v="3.88"/>
    <m/>
    <m/>
    <m/>
    <m/>
    <m/>
    <m/>
    <m/>
    <s v="14. Item 14"/>
    <n v="4"/>
    <x v="10"/>
    <x v="2"/>
    <n v="2021"/>
    <n v="2021"/>
    <b v="1"/>
  </r>
  <r>
    <x v="23"/>
    <m/>
    <x v="1"/>
    <s v="Centralized"/>
    <s v="In"/>
    <m/>
    <m/>
    <m/>
    <m/>
    <m/>
    <s v="COMPLETE"/>
    <s v="f"/>
    <d v="2021-04-14T00:00:00"/>
    <d v="2021-04-14T00:00:00"/>
    <m/>
    <n v="2542470.5299999998"/>
    <m/>
    <m/>
    <m/>
    <m/>
    <m/>
    <m/>
    <m/>
    <s v="21. Item 21"/>
    <n v="4"/>
    <x v="10"/>
    <x v="2"/>
    <n v="2021"/>
    <n v="2021"/>
    <b v="1"/>
  </r>
  <r>
    <x v="16"/>
    <m/>
    <x v="1"/>
    <s v="Centralized"/>
    <s v="Out"/>
    <m/>
    <m/>
    <m/>
    <m/>
    <n v="1"/>
    <s v="COMPLETE"/>
    <s v="f"/>
    <d v="2021-04-02T00:00:00"/>
    <d v="2021-04-20T00:00:00"/>
    <m/>
    <n v="7621.5"/>
    <m/>
    <m/>
    <m/>
    <m/>
    <m/>
    <m/>
    <m/>
    <s v="_1. Item _1"/>
    <n v="4"/>
    <x v="10"/>
    <x v="2"/>
    <n v="2021"/>
    <n v="2021"/>
    <b v="1"/>
  </r>
  <r>
    <x v="32"/>
    <m/>
    <x v="1"/>
    <s v="Centralized"/>
    <s v="In"/>
    <m/>
    <m/>
    <m/>
    <m/>
    <m/>
    <s v="COMPLETE"/>
    <s v="f"/>
    <d v="2021-04-15T00:00:00"/>
    <d v="2021-04-15T00:00:00"/>
    <m/>
    <n v="126082.18"/>
    <m/>
    <m/>
    <m/>
    <m/>
    <m/>
    <m/>
    <m/>
    <s v="12. Item 12"/>
    <n v="4"/>
    <x v="10"/>
    <x v="2"/>
    <n v="2021"/>
    <n v="2021"/>
    <b v="1"/>
  </r>
  <r>
    <x v="16"/>
    <m/>
    <x v="1"/>
    <s v="Centralized"/>
    <s v="Out"/>
    <m/>
    <m/>
    <m/>
    <m/>
    <n v="3"/>
    <s v="COMPLETE"/>
    <s v="f"/>
    <d v="2021-04-15T00:00:00"/>
    <d v="2021-04-26T00:00:00"/>
    <m/>
    <n v="2249502.2799999998"/>
    <m/>
    <m/>
    <m/>
    <m/>
    <m/>
    <m/>
    <m/>
    <s v="_1. Item _1"/>
    <n v="4"/>
    <x v="10"/>
    <x v="2"/>
    <n v="2021"/>
    <n v="2021"/>
    <b v="1"/>
  </r>
  <r>
    <x v="16"/>
    <m/>
    <x v="1"/>
    <s v="Centralized"/>
    <s v="Out"/>
    <m/>
    <m/>
    <m/>
    <m/>
    <n v="3"/>
    <s v="COMPLETE"/>
    <s v="f"/>
    <d v="2021-04-15T00:00:00"/>
    <d v="2021-04-30T00:00:00"/>
    <m/>
    <n v="5547072.0199999996"/>
    <m/>
    <m/>
    <m/>
    <m/>
    <m/>
    <m/>
    <m/>
    <s v="_1. Item _1"/>
    <n v="4"/>
    <x v="10"/>
    <x v="2"/>
    <n v="2021"/>
    <n v="2021"/>
    <b v="1"/>
  </r>
  <r>
    <x v="35"/>
    <m/>
    <x v="1"/>
    <s v="Centralized"/>
    <s v="Out"/>
    <m/>
    <m/>
    <m/>
    <m/>
    <n v="3"/>
    <s v="COMPLETE"/>
    <s v="f"/>
    <d v="2021-04-15T00:00:00"/>
    <d v="2021-04-30T00:00:00"/>
    <m/>
    <n v="8597492.0899999999"/>
    <m/>
    <m/>
    <m/>
    <m/>
    <m/>
    <m/>
    <m/>
    <s v="17. Item 17"/>
    <n v="4"/>
    <x v="10"/>
    <x v="2"/>
    <n v="2021"/>
    <n v="2021"/>
    <b v="1"/>
  </r>
  <r>
    <x v="36"/>
    <m/>
    <x v="1"/>
    <s v="Centralized"/>
    <s v="Out"/>
    <m/>
    <m/>
    <m/>
    <m/>
    <n v="3"/>
    <s v="COMPLETE"/>
    <s v="f"/>
    <d v="2021-04-15T00:00:00"/>
    <d v="2021-04-26T00:00:00"/>
    <m/>
    <n v="42944.05"/>
    <m/>
    <m/>
    <m/>
    <m/>
    <m/>
    <m/>
    <m/>
    <s v="_3. Item _3"/>
    <n v="4"/>
    <x v="10"/>
    <x v="2"/>
    <n v="2021"/>
    <n v="2021"/>
    <b v="1"/>
  </r>
  <r>
    <x v="5"/>
    <m/>
    <x v="1"/>
    <s v="Centralized"/>
    <s v="Out"/>
    <m/>
    <m/>
    <m/>
    <m/>
    <n v="3"/>
    <s v="COMPLETE"/>
    <s v="f"/>
    <d v="2021-04-15T00:00:00"/>
    <d v="2021-04-30T00:00:00"/>
    <m/>
    <n v="30925.71"/>
    <m/>
    <m/>
    <m/>
    <m/>
    <m/>
    <m/>
    <m/>
    <s v="05. Item 05"/>
    <n v="4"/>
    <x v="10"/>
    <x v="2"/>
    <n v="2021"/>
    <n v="2021"/>
    <b v="1"/>
  </r>
  <r>
    <x v="5"/>
    <m/>
    <x v="1"/>
    <s v="Centralized"/>
    <s v="Out"/>
    <m/>
    <m/>
    <m/>
    <m/>
    <n v="3"/>
    <s v="COMPLETE"/>
    <s v="f"/>
    <d v="2021-04-09T00:00:00"/>
    <d v="2021-04-20T00:00:00"/>
    <m/>
    <n v="672373.21"/>
    <m/>
    <m/>
    <m/>
    <m/>
    <m/>
    <m/>
    <m/>
    <s v="05. Item 05"/>
    <n v="4"/>
    <x v="10"/>
    <x v="2"/>
    <n v="2021"/>
    <n v="2021"/>
    <b v="1"/>
  </r>
  <r>
    <x v="22"/>
    <m/>
    <x v="1"/>
    <s v="Centralized"/>
    <s v="Out"/>
    <m/>
    <m/>
    <m/>
    <m/>
    <n v="3"/>
    <s v="COMPLETE"/>
    <s v="f"/>
    <d v="2021-04-16T00:00:00"/>
    <d v="2021-04-26T00:00:00"/>
    <m/>
    <n v="2081.5"/>
    <m/>
    <m/>
    <m/>
    <m/>
    <m/>
    <m/>
    <m/>
    <s v="04. Item 04"/>
    <n v="4"/>
    <x v="10"/>
    <x v="2"/>
    <n v="2021"/>
    <n v="2021"/>
    <b v="1"/>
  </r>
  <r>
    <x v="3"/>
    <m/>
    <x v="1"/>
    <s v="Centralized"/>
    <s v="Out"/>
    <m/>
    <m/>
    <m/>
    <m/>
    <n v="3"/>
    <s v="COMPLETE"/>
    <s v="f"/>
    <d v="2021-04-15T00:00:00"/>
    <d v="2021-04-26T00:00:00"/>
    <m/>
    <n v="180056.57"/>
    <m/>
    <m/>
    <m/>
    <m/>
    <m/>
    <m/>
    <m/>
    <s v="04. Item 04"/>
    <n v="4"/>
    <x v="10"/>
    <x v="2"/>
    <n v="2021"/>
    <n v="2021"/>
    <b v="1"/>
  </r>
  <r>
    <x v="15"/>
    <m/>
    <x v="1"/>
    <s v="Centralized"/>
    <s v="Out"/>
    <m/>
    <m/>
    <m/>
    <m/>
    <n v="3"/>
    <s v="COMPLETE"/>
    <s v="f"/>
    <d v="2021-04-15T00:00:00"/>
    <d v="2021-04-26T00:00:00"/>
    <m/>
    <n v="319557.21000000002"/>
    <m/>
    <m/>
    <m/>
    <m/>
    <m/>
    <m/>
    <m/>
    <s v="06. Item 06"/>
    <n v="4"/>
    <x v="10"/>
    <x v="2"/>
    <n v="2021"/>
    <n v="2021"/>
    <b v="1"/>
  </r>
  <r>
    <x v="8"/>
    <m/>
    <x v="1"/>
    <s v="Centralized"/>
    <s v="Out"/>
    <m/>
    <m/>
    <m/>
    <m/>
    <n v="3"/>
    <s v="COMPLETE"/>
    <s v="f"/>
    <d v="2021-04-15T00:00:00"/>
    <d v="2021-04-26T00:00:00"/>
    <m/>
    <n v="106622.22"/>
    <m/>
    <m/>
    <m/>
    <m/>
    <m/>
    <m/>
    <m/>
    <s v="09. Item 09"/>
    <n v="4"/>
    <x v="10"/>
    <x v="2"/>
    <n v="2021"/>
    <n v="2021"/>
    <b v="1"/>
  </r>
  <r>
    <x v="8"/>
    <m/>
    <x v="1"/>
    <s v="Centralized"/>
    <s v="Out"/>
    <m/>
    <m/>
    <m/>
    <s v="X"/>
    <n v="3"/>
    <s v="COMPLETE"/>
    <s v="f"/>
    <d v="2021-04-16T00:00:00"/>
    <d v="2021-04-26T00:00:00"/>
    <m/>
    <n v="2448231.9"/>
    <m/>
    <m/>
    <m/>
    <m/>
    <m/>
    <m/>
    <m/>
    <s v="09. Item 09"/>
    <n v="4"/>
    <x v="10"/>
    <x v="2"/>
    <n v="2021"/>
    <n v="2021"/>
    <b v="1"/>
  </r>
  <r>
    <x v="17"/>
    <m/>
    <x v="1"/>
    <s v="Centralized"/>
    <s v="Out"/>
    <m/>
    <m/>
    <m/>
    <m/>
    <n v="3"/>
    <s v="COMPLETE"/>
    <s v="f"/>
    <d v="2021-04-16T00:00:00"/>
    <d v="2021-04-26T00:00:00"/>
    <m/>
    <n v="89595.19"/>
    <m/>
    <m/>
    <m/>
    <m/>
    <m/>
    <m/>
    <m/>
    <s v="09. Item 09"/>
    <n v="4"/>
    <x v="10"/>
    <x v="2"/>
    <n v="2021"/>
    <n v="2021"/>
    <b v="1"/>
  </r>
  <r>
    <x v="21"/>
    <m/>
    <x v="1"/>
    <s v="Centralized"/>
    <s v="In"/>
    <m/>
    <m/>
    <m/>
    <m/>
    <m/>
    <s v="COMPLETE"/>
    <s v="f"/>
    <d v="2021-04-16T00:00:00"/>
    <d v="2021-04-16T00:00:00"/>
    <m/>
    <n v="3496665.29"/>
    <m/>
    <m/>
    <m/>
    <m/>
    <m/>
    <m/>
    <m/>
    <s v="09. Item 09"/>
    <n v="4"/>
    <x v="10"/>
    <x v="2"/>
    <n v="2021"/>
    <n v="2021"/>
    <b v="1"/>
  </r>
  <r>
    <x v="10"/>
    <m/>
    <x v="1"/>
    <s v="Centralized"/>
    <s v="In"/>
    <m/>
    <m/>
    <m/>
    <m/>
    <m/>
    <s v="COMPLETE"/>
    <s v="f"/>
    <d v="2021-04-19T00:00:00"/>
    <d v="2021-04-19T00:00:00"/>
    <m/>
    <n v="97.62"/>
    <m/>
    <m/>
    <m/>
    <m/>
    <m/>
    <m/>
    <m/>
    <s v="11. Item 11"/>
    <n v="4"/>
    <x v="10"/>
    <x v="2"/>
    <n v="2021"/>
    <n v="2021"/>
    <b v="1"/>
  </r>
  <r>
    <x v="11"/>
    <m/>
    <x v="1"/>
    <s v="Centralized"/>
    <s v="Out"/>
    <m/>
    <m/>
    <m/>
    <m/>
    <n v="4"/>
    <s v="COMPLETE"/>
    <s v="f"/>
    <d v="2021-04-20T00:00:00"/>
    <d v="2021-04-19T00:00:00"/>
    <m/>
    <n v="97.62"/>
    <m/>
    <m/>
    <m/>
    <m/>
    <m/>
    <m/>
    <m/>
    <s v="13. Item 13"/>
    <n v="4"/>
    <x v="10"/>
    <x v="2"/>
    <n v="2021"/>
    <n v="2021"/>
    <b v="1"/>
  </r>
  <r>
    <x v="13"/>
    <m/>
    <x v="1"/>
    <s v="Centralized"/>
    <s v="In"/>
    <m/>
    <m/>
    <m/>
    <m/>
    <m/>
    <s v="COMPLETE"/>
    <s v="f"/>
    <d v="2021-04-20T00:00:00"/>
    <d v="2021-04-20T00:00:00"/>
    <m/>
    <n v="748245.55"/>
    <m/>
    <m/>
    <m/>
    <m/>
    <m/>
    <m/>
    <m/>
    <s v="13. Item 13"/>
    <n v="4"/>
    <x v="10"/>
    <x v="2"/>
    <n v="2021"/>
    <n v="2021"/>
    <b v="1"/>
  </r>
  <r>
    <x v="13"/>
    <m/>
    <x v="1"/>
    <s v="Centralized"/>
    <s v="Out"/>
    <m/>
    <m/>
    <m/>
    <m/>
    <n v="3"/>
    <s v="COMPLETE"/>
    <s v="f"/>
    <d v="2021-04-12T00:00:00"/>
    <d v="2021-04-20T00:00:00"/>
    <m/>
    <n v="225.36"/>
    <m/>
    <m/>
    <m/>
    <m/>
    <m/>
    <m/>
    <m/>
    <s v="13. Item 13"/>
    <n v="4"/>
    <x v="10"/>
    <x v="2"/>
    <n v="2021"/>
    <n v="2021"/>
    <b v="1"/>
  </r>
  <r>
    <x v="13"/>
    <m/>
    <x v="1"/>
    <s v="Centralized"/>
    <s v="Out"/>
    <m/>
    <m/>
    <m/>
    <m/>
    <n v="3"/>
    <s v="COMPLETE"/>
    <s v="f"/>
    <d v="2021-04-12T00:00:00"/>
    <d v="2021-04-20T00:00:00"/>
    <m/>
    <n v="5054.1000000000004"/>
    <m/>
    <m/>
    <m/>
    <m/>
    <m/>
    <m/>
    <m/>
    <s v="13. Item 13"/>
    <n v="4"/>
    <x v="10"/>
    <x v="2"/>
    <n v="2021"/>
    <n v="2021"/>
    <b v="1"/>
  </r>
  <r>
    <x v="13"/>
    <m/>
    <x v="1"/>
    <s v="Centralized"/>
    <s v="In"/>
    <m/>
    <m/>
    <m/>
    <m/>
    <m/>
    <s v="COMPLETE"/>
    <s v="f"/>
    <d v="2021-04-21T00:00:00"/>
    <d v="2021-04-21T00:00:00"/>
    <m/>
    <n v="360745.33"/>
    <m/>
    <m/>
    <m/>
    <m/>
    <m/>
    <m/>
    <m/>
    <s v="13. Item 13"/>
    <n v="4"/>
    <x v="10"/>
    <x v="2"/>
    <n v="2021"/>
    <n v="2021"/>
    <b v="1"/>
  </r>
  <r>
    <x v="13"/>
    <m/>
    <x v="1"/>
    <s v="Centralized"/>
    <s v="Out"/>
    <m/>
    <m/>
    <m/>
    <m/>
    <n v="3"/>
    <s v="COMPLETE"/>
    <s v="f"/>
    <d v="2021-04-15T00:00:00"/>
    <d v="2021-04-21T00:00:00"/>
    <m/>
    <n v="3602.47"/>
    <m/>
    <m/>
    <m/>
    <m/>
    <m/>
    <m/>
    <m/>
    <s v="13. Item 13"/>
    <n v="4"/>
    <x v="10"/>
    <x v="2"/>
    <n v="2021"/>
    <n v="2021"/>
    <b v="1"/>
  </r>
  <r>
    <x v="16"/>
    <m/>
    <x v="1"/>
    <s v="Centralized"/>
    <s v="In"/>
    <m/>
    <m/>
    <m/>
    <m/>
    <m/>
    <s v="COMPLETE"/>
    <s v="f"/>
    <d v="2021-04-22T00:00:00"/>
    <d v="2021-04-22T00:00:00"/>
    <m/>
    <n v="136134.38"/>
    <m/>
    <m/>
    <m/>
    <m/>
    <m/>
    <m/>
    <m/>
    <s v="_1. Item _1"/>
    <n v="4"/>
    <x v="10"/>
    <x v="2"/>
    <n v="2021"/>
    <n v="2021"/>
    <b v="1"/>
  </r>
  <r>
    <x v="16"/>
    <m/>
    <x v="1"/>
    <s v="Centralized"/>
    <s v="Out"/>
    <m/>
    <m/>
    <m/>
    <m/>
    <n v="3"/>
    <s v="COMPLETE"/>
    <s v="f"/>
    <d v="2021-04-15T00:00:00"/>
    <d v="2021-04-22T00:00:00"/>
    <m/>
    <n v="136134.38"/>
    <m/>
    <m/>
    <m/>
    <m/>
    <m/>
    <m/>
    <m/>
    <s v="_1. Item _1"/>
    <n v="4"/>
    <x v="10"/>
    <x v="2"/>
    <n v="2021"/>
    <n v="2021"/>
    <b v="1"/>
  </r>
  <r>
    <x v="16"/>
    <m/>
    <x v="1"/>
    <s v="Centralized"/>
    <s v="In"/>
    <m/>
    <m/>
    <m/>
    <m/>
    <m/>
    <s v="COMPLETE"/>
    <s v="f"/>
    <d v="2021-04-23T00:00:00"/>
    <d v="2021-04-23T00:00:00"/>
    <m/>
    <n v="2553.67"/>
    <m/>
    <m/>
    <m/>
    <m/>
    <m/>
    <m/>
    <m/>
    <s v="_1. Item _1"/>
    <n v="4"/>
    <x v="10"/>
    <x v="2"/>
    <n v="2021"/>
    <n v="2021"/>
    <b v="1"/>
  </r>
  <r>
    <x v="3"/>
    <m/>
    <x v="1"/>
    <s v="Centralized"/>
    <s v="Out"/>
    <m/>
    <m/>
    <m/>
    <m/>
    <n v="3"/>
    <s v="COMPLETE"/>
    <s v="f"/>
    <d v="2021-04-15T00:00:00"/>
    <d v="2021-04-23T00:00:00"/>
    <m/>
    <n v="2553.67"/>
    <m/>
    <m/>
    <m/>
    <m/>
    <m/>
    <m/>
    <m/>
    <s v="04. Item 04"/>
    <n v="4"/>
    <x v="10"/>
    <x v="2"/>
    <n v="2021"/>
    <n v="2021"/>
    <b v="1"/>
  </r>
  <r>
    <x v="22"/>
    <m/>
    <x v="1"/>
    <s v="Centralized"/>
    <s v="Out"/>
    <m/>
    <m/>
    <m/>
    <m/>
    <n v="3"/>
    <s v="COMPLETE"/>
    <s v="f"/>
    <d v="2021-04-20T00:00:00"/>
    <d v="2021-04-26T00:00:00"/>
    <m/>
    <n v="2928571.43"/>
    <m/>
    <m/>
    <m/>
    <m/>
    <m/>
    <m/>
    <m/>
    <s v="04. Item 04"/>
    <n v="4"/>
    <x v="10"/>
    <x v="2"/>
    <n v="2021"/>
    <n v="2021"/>
    <b v="1"/>
  </r>
  <r>
    <x v="4"/>
    <m/>
    <x v="1"/>
    <s v="Centralized"/>
    <s v="Out"/>
    <m/>
    <m/>
    <m/>
    <m/>
    <n v="3"/>
    <s v="COMPLETE"/>
    <s v="f"/>
    <d v="2021-04-16T00:00:00"/>
    <d v="2021-04-30T00:00:00"/>
    <m/>
    <n v="61399.25"/>
    <m/>
    <m/>
    <m/>
    <m/>
    <m/>
    <m/>
    <m/>
    <s v="05. Item 05"/>
    <n v="4"/>
    <x v="10"/>
    <x v="2"/>
    <n v="2021"/>
    <n v="2021"/>
    <b v="1"/>
  </r>
  <r>
    <x v="5"/>
    <m/>
    <x v="1"/>
    <s v="Centralized"/>
    <s v="Out"/>
    <m/>
    <m/>
    <m/>
    <m/>
    <n v="3"/>
    <s v="COMPLETE"/>
    <s v="f"/>
    <d v="2021-04-15T00:00:00"/>
    <d v="2021-04-27T00:00:00"/>
    <m/>
    <n v="12489.81"/>
    <m/>
    <m/>
    <m/>
    <m/>
    <m/>
    <m/>
    <m/>
    <s v="05. Item 05"/>
    <n v="4"/>
    <x v="10"/>
    <x v="2"/>
    <n v="2021"/>
    <n v="2021"/>
    <b v="1"/>
  </r>
  <r>
    <x v="15"/>
    <m/>
    <x v="1"/>
    <s v="Centralized"/>
    <s v="Out"/>
    <m/>
    <m/>
    <m/>
    <m/>
    <n v="3"/>
    <s v="COMPLETE"/>
    <s v="f"/>
    <d v="2021-04-16T00:00:00"/>
    <d v="2021-04-27T00:00:00"/>
    <m/>
    <n v="268.14999999999998"/>
    <m/>
    <m/>
    <m/>
    <m/>
    <m/>
    <m/>
    <m/>
    <s v="06. Item 06"/>
    <n v="4"/>
    <x v="10"/>
    <x v="2"/>
    <n v="2021"/>
    <n v="2021"/>
    <b v="1"/>
  </r>
  <r>
    <x v="6"/>
    <m/>
    <x v="1"/>
    <s v="Centralized"/>
    <s v="Out"/>
    <m/>
    <m/>
    <m/>
    <m/>
    <n v="4"/>
    <s v="COMPLETE"/>
    <s v="f"/>
    <d v="2021-04-19T00:00:00"/>
    <d v="2021-04-28T00:00:00"/>
    <m/>
    <n v="192.31"/>
    <m/>
    <m/>
    <m/>
    <m/>
    <m/>
    <m/>
    <m/>
    <s v="07. Item 07"/>
    <n v="4"/>
    <x v="10"/>
    <x v="2"/>
    <n v="2021"/>
    <n v="2021"/>
    <b v="1"/>
  </r>
  <r>
    <x v="7"/>
    <m/>
    <x v="1"/>
    <s v="Centralized"/>
    <s v="Out"/>
    <m/>
    <m/>
    <m/>
    <m/>
    <n v="4"/>
    <s v="COMPLETE"/>
    <s v="f"/>
    <d v="2021-04-19T00:00:00"/>
    <d v="2021-04-30T00:00:00"/>
    <m/>
    <n v="305670.05"/>
    <m/>
    <m/>
    <m/>
    <m/>
    <m/>
    <m/>
    <m/>
    <s v="08. Item 08"/>
    <n v="4"/>
    <x v="10"/>
    <x v="2"/>
    <n v="2021"/>
    <n v="2021"/>
    <b v="1"/>
  </r>
  <r>
    <x v="21"/>
    <m/>
    <x v="1"/>
    <s v="Centralized"/>
    <s v="Out"/>
    <m/>
    <m/>
    <m/>
    <m/>
    <n v="4"/>
    <s v="COMPLETE"/>
    <s v="f"/>
    <d v="2021-04-20T00:00:00"/>
    <d v="2021-04-28T00:00:00"/>
    <m/>
    <n v="766575.43"/>
    <m/>
    <m/>
    <m/>
    <m/>
    <m/>
    <m/>
    <m/>
    <s v="09. Item 09"/>
    <n v="4"/>
    <x v="10"/>
    <x v="2"/>
    <n v="2021"/>
    <n v="2021"/>
    <b v="1"/>
  </r>
  <r>
    <x v="9"/>
    <m/>
    <x v="1"/>
    <s v="Centralized"/>
    <s v="Out"/>
    <m/>
    <m/>
    <m/>
    <m/>
    <n v="3"/>
    <s v="COMPLETE"/>
    <s v="f"/>
    <d v="2021-04-20T00:00:00"/>
    <d v="2021-04-30T00:00:00"/>
    <m/>
    <n v="19324.88"/>
    <m/>
    <m/>
    <m/>
    <m/>
    <m/>
    <m/>
    <m/>
    <s v="09. Item 09"/>
    <n v="4"/>
    <x v="10"/>
    <x v="2"/>
    <n v="2021"/>
    <n v="2021"/>
    <b v="1"/>
  </r>
  <r>
    <x v="8"/>
    <m/>
    <x v="1"/>
    <s v="Centralized"/>
    <s v="Out"/>
    <m/>
    <m/>
    <m/>
    <m/>
    <n v="3"/>
    <s v="COMPLETE"/>
    <s v="f"/>
    <d v="2021-04-20T00:00:00"/>
    <d v="2021-04-30T00:00:00"/>
    <m/>
    <n v="38298.379999999997"/>
    <m/>
    <m/>
    <m/>
    <m/>
    <m/>
    <m/>
    <m/>
    <s v="09. Item 09"/>
    <n v="4"/>
    <x v="10"/>
    <x v="2"/>
    <n v="2021"/>
    <n v="2021"/>
    <b v="1"/>
  </r>
  <r>
    <x v="30"/>
    <m/>
    <x v="1"/>
    <s v="Centralized"/>
    <s v="Out"/>
    <m/>
    <m/>
    <m/>
    <m/>
    <m/>
    <m/>
    <s v="p"/>
    <d v="2021-04-01T00:00:00"/>
    <d v="2021-04-01T00:00:00"/>
    <n v="21118.87"/>
    <m/>
    <m/>
    <m/>
    <m/>
    <m/>
    <m/>
    <m/>
    <m/>
    <s v="10. Item 10"/>
    <n v="4"/>
    <x v="10"/>
    <x v="2"/>
    <n v="2021"/>
    <n v="2021"/>
    <b v="1"/>
  </r>
  <r>
    <x v="10"/>
    <m/>
    <x v="1"/>
    <s v="Centralized"/>
    <s v="In"/>
    <m/>
    <m/>
    <m/>
    <m/>
    <m/>
    <s v="COMPLETE"/>
    <s v="f"/>
    <d v="2021-04-26T00:00:00"/>
    <d v="2021-04-26T00:00:00"/>
    <m/>
    <n v="8886302.7799999993"/>
    <m/>
    <m/>
    <m/>
    <m/>
    <m/>
    <m/>
    <m/>
    <s v="11. Item 11"/>
    <n v="4"/>
    <x v="10"/>
    <x v="2"/>
    <n v="2021"/>
    <n v="2021"/>
    <b v="1"/>
  </r>
  <r>
    <x v="32"/>
    <m/>
    <x v="1"/>
    <s v="Decentralized"/>
    <s v="Out"/>
    <m/>
    <m/>
    <m/>
    <m/>
    <n v="4"/>
    <s v="COMPLETE"/>
    <s v="f"/>
    <d v="2021-04-19T00:00:00"/>
    <d v="2021-04-28T00:00:00"/>
    <m/>
    <n v="27244.11"/>
    <m/>
    <m/>
    <m/>
    <m/>
    <m/>
    <m/>
    <m/>
    <s v="12. Item 12"/>
    <n v="4"/>
    <x v="10"/>
    <x v="2"/>
    <n v="2021"/>
    <n v="2021"/>
    <b v="1"/>
  </r>
  <r>
    <x v="29"/>
    <m/>
    <x v="1"/>
    <s v="Decentralized"/>
    <s v="Out"/>
    <m/>
    <m/>
    <m/>
    <m/>
    <m/>
    <m/>
    <s v="p"/>
    <d v="2021-04-01T00:00:00"/>
    <d v="2021-04-30T00:00:00"/>
    <n v="13148.11"/>
    <m/>
    <m/>
    <m/>
    <m/>
    <m/>
    <m/>
    <m/>
    <m/>
    <s v="13. Item 13"/>
    <n v="4"/>
    <x v="10"/>
    <x v="2"/>
    <n v="2021"/>
    <n v="2021"/>
    <b v="1"/>
  </r>
  <r>
    <x v="11"/>
    <m/>
    <x v="1"/>
    <s v="Centralized"/>
    <s v="In"/>
    <m/>
    <m/>
    <m/>
    <m/>
    <m/>
    <s v="COMPLETE"/>
    <s v="f"/>
    <d v="2021-04-27T00:00:00"/>
    <d v="2021-04-27T00:00:00"/>
    <m/>
    <n v="67752.59"/>
    <m/>
    <m/>
    <m/>
    <m/>
    <m/>
    <m/>
    <m/>
    <s v="13. Item 13"/>
    <n v="4"/>
    <x v="10"/>
    <x v="2"/>
    <n v="2021"/>
    <n v="2021"/>
    <b v="1"/>
  </r>
  <r>
    <x v="33"/>
    <m/>
    <x v="1"/>
    <s v="Centralized"/>
    <s v="In"/>
    <m/>
    <m/>
    <m/>
    <m/>
    <m/>
    <s v="COMPLETE"/>
    <s v="f"/>
    <d v="2021-04-28T00:00:00"/>
    <d v="2021-04-28T00:00:00"/>
    <m/>
    <n v="766767.74"/>
    <m/>
    <m/>
    <m/>
    <m/>
    <m/>
    <m/>
    <m/>
    <s v="13. Item 13"/>
    <n v="4"/>
    <x v="10"/>
    <x v="2"/>
    <n v="2021"/>
    <n v="2021"/>
    <b v="1"/>
  </r>
  <r>
    <x v="34"/>
    <m/>
    <x v="1"/>
    <s v="Centralized"/>
    <s v="In"/>
    <m/>
    <m/>
    <m/>
    <m/>
    <m/>
    <s v="COMPLETE"/>
    <s v="f"/>
    <d v="2021-04-28T00:00:00"/>
    <d v="2021-04-28T00:00:00"/>
    <m/>
    <n v="27244.11"/>
    <m/>
    <m/>
    <m/>
    <m/>
    <m/>
    <m/>
    <m/>
    <s v="13. Item 13"/>
    <n v="4"/>
    <x v="10"/>
    <x v="2"/>
    <n v="2021"/>
    <n v="2021"/>
    <b v="1"/>
  </r>
  <r>
    <x v="13"/>
    <m/>
    <x v="1"/>
    <s v="Centralized"/>
    <s v="Out"/>
    <m/>
    <m/>
    <m/>
    <s v="X"/>
    <n v="1"/>
    <s v="COMPLETE"/>
    <s v="f"/>
    <d v="2021-05-13T00:00:00"/>
    <d v="2021-05-25T00:00:00"/>
    <m/>
    <n v="3848.19"/>
    <m/>
    <m/>
    <m/>
    <m/>
    <m/>
    <m/>
    <m/>
    <s v="13. Item 13"/>
    <n v="5"/>
    <x v="11"/>
    <x v="2"/>
    <n v="2021"/>
    <n v="2021"/>
    <b v="1"/>
  </r>
  <r>
    <x v="35"/>
    <m/>
    <x v="1"/>
    <s v="Centralized"/>
    <s v="Out"/>
    <m/>
    <m/>
    <m/>
    <m/>
    <n v="1"/>
    <s v="COMPLETE"/>
    <s v="f"/>
    <d v="2021-05-13T00:00:00"/>
    <d v="2021-05-25T00:00:00"/>
    <m/>
    <n v="353294.67"/>
    <m/>
    <m/>
    <m/>
    <m/>
    <m/>
    <m/>
    <m/>
    <s v="17. Item 17"/>
    <n v="5"/>
    <x v="11"/>
    <x v="2"/>
    <n v="2021"/>
    <n v="2021"/>
    <b v="1"/>
  </r>
  <r>
    <x v="30"/>
    <m/>
    <x v="1"/>
    <s v="Centralized"/>
    <s v="Out"/>
    <m/>
    <m/>
    <m/>
    <s v="X"/>
    <n v="1"/>
    <s v="COMPLETE"/>
    <s v="f"/>
    <d v="2021-05-13T00:00:00"/>
    <d v="2021-05-26T00:00:00"/>
    <m/>
    <n v="98512.46"/>
    <m/>
    <m/>
    <m/>
    <m/>
    <m/>
    <m/>
    <m/>
    <s v="10. Item 10"/>
    <n v="5"/>
    <x v="11"/>
    <x v="2"/>
    <n v="2021"/>
    <n v="2021"/>
    <b v="1"/>
  </r>
  <r>
    <x v="34"/>
    <m/>
    <x v="1"/>
    <s v="Centralized"/>
    <s v="In"/>
    <m/>
    <m/>
    <m/>
    <m/>
    <m/>
    <s v="COMPLETE"/>
    <s v="f"/>
    <d v="2021-04-30T00:00:00"/>
    <d v="2021-04-30T00:00:00"/>
    <m/>
    <n v="14600182.380000001"/>
    <m/>
    <m/>
    <m/>
    <m/>
    <m/>
    <m/>
    <m/>
    <s v="13. Item 13"/>
    <n v="4"/>
    <x v="10"/>
    <x v="2"/>
    <n v="2021"/>
    <n v="2021"/>
    <b v="1"/>
  </r>
  <r>
    <x v="13"/>
    <m/>
    <x v="1"/>
    <s v="Centralized"/>
    <s v="Out"/>
    <m/>
    <m/>
    <m/>
    <s v="X"/>
    <n v="1"/>
    <s v="COMPLETE"/>
    <s v="f"/>
    <d v="2021-05-11T00:00:00"/>
    <d v="2021-05-21T00:00:00"/>
    <m/>
    <n v="62832.17"/>
    <m/>
    <m/>
    <m/>
    <m/>
    <m/>
    <m/>
    <m/>
    <s v="13. Item 13"/>
    <n v="5"/>
    <x v="11"/>
    <x v="2"/>
    <n v="2021"/>
    <n v="2021"/>
    <b v="1"/>
  </r>
  <r>
    <x v="10"/>
    <m/>
    <x v="1"/>
    <s v="Centralized"/>
    <s v="In"/>
    <m/>
    <m/>
    <m/>
    <m/>
    <m/>
    <s v="COMPLETE"/>
    <s v="f"/>
    <d v="2021-05-11T00:00:00"/>
    <d v="2021-05-11T00:00:00"/>
    <m/>
    <n v="18943.11"/>
    <m/>
    <m/>
    <m/>
    <m/>
    <m/>
    <m/>
    <m/>
    <s v="11. Item 11"/>
    <n v="5"/>
    <x v="11"/>
    <x v="2"/>
    <n v="2021"/>
    <n v="2021"/>
    <b v="1"/>
  </r>
  <r>
    <x v="5"/>
    <m/>
    <x v="1"/>
    <s v="Decentralized"/>
    <s v="Out"/>
    <m/>
    <m/>
    <m/>
    <m/>
    <n v="4"/>
    <s v="COMPLETE"/>
    <s v="f"/>
    <d v="2021-04-28T00:00:00"/>
    <d v="2021-05-11T00:00:00"/>
    <m/>
    <n v="18943.11"/>
    <m/>
    <m/>
    <m/>
    <m/>
    <m/>
    <m/>
    <m/>
    <s v="05. Item 05"/>
    <n v="4"/>
    <x v="11"/>
    <x v="2"/>
    <n v="2021"/>
    <n v="2021"/>
    <b v="1"/>
  </r>
  <r>
    <x v="5"/>
    <m/>
    <x v="1"/>
    <s v="Centralized"/>
    <s v="Out"/>
    <m/>
    <m/>
    <m/>
    <m/>
    <n v="1"/>
    <s v="COMPLETE"/>
    <s v="f"/>
    <d v="2021-05-12T00:00:00"/>
    <d v="2021-05-26T00:00:00"/>
    <m/>
    <n v="3741.53"/>
    <m/>
    <m/>
    <m/>
    <m/>
    <m/>
    <m/>
    <m/>
    <s v="05. Item 05"/>
    <n v="5"/>
    <x v="11"/>
    <x v="2"/>
    <n v="2021"/>
    <n v="2021"/>
    <b v="1"/>
  </r>
  <r>
    <x v="16"/>
    <m/>
    <x v="1"/>
    <s v="Centralized"/>
    <s v="Out"/>
    <m/>
    <m/>
    <m/>
    <m/>
    <n v="1"/>
    <s v="COMPLETE"/>
    <s v="f"/>
    <d v="2021-05-13T00:00:00"/>
    <d v="2021-05-26T00:00:00"/>
    <m/>
    <n v="78820.210000000006"/>
    <m/>
    <m/>
    <m/>
    <m/>
    <m/>
    <m/>
    <m/>
    <s v="_1. Item _1"/>
    <n v="5"/>
    <x v="11"/>
    <x v="2"/>
    <n v="2021"/>
    <n v="2021"/>
    <b v="1"/>
  </r>
  <r>
    <x v="3"/>
    <m/>
    <x v="1"/>
    <s v="Centralized"/>
    <s v="Out"/>
    <m/>
    <m/>
    <m/>
    <m/>
    <n v="1"/>
    <s v="COMPLETE"/>
    <s v="f"/>
    <d v="2021-05-13T00:00:00"/>
    <d v="2021-05-21T00:00:00"/>
    <m/>
    <n v="1867590.86"/>
    <m/>
    <m/>
    <m/>
    <m/>
    <m/>
    <m/>
    <m/>
    <s v="04. Item 04"/>
    <n v="5"/>
    <x v="11"/>
    <x v="2"/>
    <n v="2021"/>
    <n v="2021"/>
    <b v="1"/>
  </r>
  <r>
    <x v="16"/>
    <m/>
    <x v="1"/>
    <s v="Centralized"/>
    <s v="Out"/>
    <m/>
    <m/>
    <m/>
    <m/>
    <m/>
    <m/>
    <s v="p"/>
    <d v="2021-05-01T00:00:00"/>
    <d v="2021-05-01T00:00:00"/>
    <n v="570499.12"/>
    <m/>
    <m/>
    <m/>
    <m/>
    <m/>
    <m/>
    <m/>
    <m/>
    <s v="_1. Item _1"/>
    <n v="5"/>
    <x v="11"/>
    <x v="2"/>
    <n v="2021"/>
    <n v="2021"/>
    <b v="1"/>
  </r>
  <r>
    <x v="22"/>
    <m/>
    <x v="1"/>
    <s v="Centralized"/>
    <s v="Out"/>
    <m/>
    <m/>
    <m/>
    <m/>
    <n v="4"/>
    <s v="COMPLETE"/>
    <s v="f"/>
    <d v="2021-04-20T00:00:00"/>
    <d v="2021-05-21T00:00:00"/>
    <m/>
    <n v="8272.86"/>
    <m/>
    <m/>
    <m/>
    <m/>
    <m/>
    <m/>
    <m/>
    <s v="04. Item 04"/>
    <n v="4"/>
    <x v="11"/>
    <x v="2"/>
    <n v="2021"/>
    <n v="2021"/>
    <b v="1"/>
  </r>
  <r>
    <x v="4"/>
    <m/>
    <x v="1"/>
    <s v="Centralized"/>
    <s v="Out"/>
    <m/>
    <m/>
    <m/>
    <s v="X"/>
    <n v="3"/>
    <s v="COMPLETE"/>
    <s v="f"/>
    <d v="2021-05-14T00:00:00"/>
    <d v="2021-05-28T00:00:00"/>
    <m/>
    <n v="545908.92000000004"/>
    <m/>
    <m/>
    <m/>
    <m/>
    <m/>
    <m/>
    <m/>
    <s v="05. Item 05"/>
    <n v="5"/>
    <x v="11"/>
    <x v="2"/>
    <n v="2021"/>
    <n v="2021"/>
    <b v="1"/>
  </r>
  <r>
    <x v="6"/>
    <m/>
    <x v="1"/>
    <s v="Centralized"/>
    <s v="Out"/>
    <m/>
    <m/>
    <m/>
    <m/>
    <n v="3"/>
    <s v="COMPLETE"/>
    <s v="f"/>
    <d v="2021-05-14T00:00:00"/>
    <d v="2021-05-27T00:00:00"/>
    <m/>
    <n v="389135.23"/>
    <m/>
    <m/>
    <m/>
    <m/>
    <m/>
    <m/>
    <m/>
    <s v="07. Item 07"/>
    <n v="5"/>
    <x v="11"/>
    <x v="2"/>
    <n v="2021"/>
    <n v="2021"/>
    <b v="1"/>
  </r>
  <r>
    <x v="7"/>
    <m/>
    <x v="1"/>
    <s v="Centralized"/>
    <s v="Out"/>
    <m/>
    <m/>
    <m/>
    <m/>
    <n v="3"/>
    <s v="COMPLETE"/>
    <s v="f"/>
    <d v="2021-05-14T00:00:00"/>
    <d v="2021-05-21T00:00:00"/>
    <m/>
    <n v="48466.61"/>
    <m/>
    <m/>
    <m/>
    <m/>
    <m/>
    <m/>
    <m/>
    <s v="08. Item 08"/>
    <n v="5"/>
    <x v="11"/>
    <x v="2"/>
    <n v="2021"/>
    <n v="2021"/>
    <b v="1"/>
  </r>
  <r>
    <x v="21"/>
    <m/>
    <x v="1"/>
    <s v="Centralized"/>
    <s v="Out"/>
    <m/>
    <m/>
    <m/>
    <m/>
    <n v="3"/>
    <s v="COMPLETE"/>
    <s v="f"/>
    <d v="2021-05-14T00:00:00"/>
    <d v="2021-05-25T00:00:00"/>
    <m/>
    <n v="131990.78"/>
    <m/>
    <m/>
    <m/>
    <m/>
    <m/>
    <m/>
    <m/>
    <s v="09. Item 09"/>
    <n v="5"/>
    <x v="11"/>
    <x v="2"/>
    <n v="2021"/>
    <n v="2021"/>
    <b v="1"/>
  </r>
  <r>
    <x v="8"/>
    <m/>
    <x v="1"/>
    <s v="Centralized"/>
    <s v="Out"/>
    <m/>
    <m/>
    <m/>
    <m/>
    <n v="3"/>
    <s v="COMPLETE"/>
    <s v="f"/>
    <d v="2021-05-14T00:00:00"/>
    <d v="2021-05-24T00:00:00"/>
    <m/>
    <n v="19004.66"/>
    <m/>
    <m/>
    <m/>
    <m/>
    <m/>
    <m/>
    <m/>
    <s v="09. Item 09"/>
    <n v="5"/>
    <x v="11"/>
    <x v="2"/>
    <n v="2021"/>
    <n v="2021"/>
    <b v="1"/>
  </r>
  <r>
    <x v="8"/>
    <m/>
    <x v="1"/>
    <s v="Centralized"/>
    <s v="Out"/>
    <m/>
    <m/>
    <m/>
    <s v="X"/>
    <n v="3"/>
    <s v="COMPLETE"/>
    <s v="f"/>
    <d v="2021-05-14T00:00:00"/>
    <d v="2021-05-28T00:00:00"/>
    <m/>
    <n v="153364.75"/>
    <m/>
    <m/>
    <m/>
    <m/>
    <m/>
    <m/>
    <m/>
    <s v="09. Item 09"/>
    <n v="5"/>
    <x v="11"/>
    <x v="2"/>
    <n v="2021"/>
    <n v="2021"/>
    <b v="1"/>
  </r>
  <r>
    <x v="9"/>
    <m/>
    <x v="1"/>
    <s v="Centralized"/>
    <s v="Out"/>
    <m/>
    <m/>
    <m/>
    <s v="X"/>
    <n v="3"/>
    <s v="COMPLETE"/>
    <s v="f"/>
    <d v="2021-05-14T00:00:00"/>
    <d v="2021-05-21T00:00:00"/>
    <m/>
    <n v="2142857.14"/>
    <m/>
    <m/>
    <m/>
    <m/>
    <m/>
    <m/>
    <m/>
    <s v="09. Item 09"/>
    <n v="5"/>
    <x v="11"/>
    <x v="2"/>
    <n v="2021"/>
    <n v="2021"/>
    <b v="1"/>
  </r>
  <r>
    <x v="29"/>
    <m/>
    <x v="1"/>
    <s v="Centralized"/>
    <s v="Out"/>
    <m/>
    <m/>
    <m/>
    <s v="X"/>
    <n v="3"/>
    <s v="COMPLETE"/>
    <s v="f"/>
    <d v="2021-05-14T00:00:00"/>
    <d v="2021-05-25T00:00:00"/>
    <m/>
    <n v="2559523.81"/>
    <m/>
    <m/>
    <m/>
    <m/>
    <m/>
    <m/>
    <m/>
    <s v="13. Item 13"/>
    <n v="5"/>
    <x v="11"/>
    <x v="2"/>
    <n v="2021"/>
    <n v="2021"/>
    <b v="1"/>
  </r>
  <r>
    <x v="11"/>
    <m/>
    <x v="1"/>
    <s v="Centralized"/>
    <s v="Out"/>
    <m/>
    <m/>
    <m/>
    <m/>
    <n v="3"/>
    <s v="COMPLETE"/>
    <s v="f"/>
    <d v="2021-05-14T00:00:00"/>
    <d v="2021-05-27T00:00:00"/>
    <m/>
    <n v="720501.55"/>
    <m/>
    <m/>
    <m/>
    <m/>
    <m/>
    <m/>
    <m/>
    <s v="13. Item 13"/>
    <n v="5"/>
    <x v="11"/>
    <x v="2"/>
    <n v="2021"/>
    <n v="2021"/>
    <b v="1"/>
  </r>
  <r>
    <x v="15"/>
    <m/>
    <x v="1"/>
    <s v="Centralized"/>
    <s v="Out"/>
    <m/>
    <m/>
    <m/>
    <m/>
    <n v="3"/>
    <s v="COMPLETE"/>
    <s v="f"/>
    <d v="2021-05-14T00:00:00"/>
    <d v="2021-05-31T00:00:00"/>
    <m/>
    <n v="8908976.9700000007"/>
    <m/>
    <m/>
    <m/>
    <m/>
    <m/>
    <m/>
    <m/>
    <s v="06. Item 06"/>
    <n v="5"/>
    <x v="11"/>
    <x v="2"/>
    <n v="2021"/>
    <n v="2021"/>
    <b v="1"/>
  </r>
  <r>
    <x v="15"/>
    <m/>
    <x v="1"/>
    <s v="Centralized"/>
    <s v="Out"/>
    <m/>
    <m/>
    <m/>
    <m/>
    <n v="3"/>
    <s v="COMPLETE"/>
    <s v="f"/>
    <d v="2021-05-14T00:00:00"/>
    <d v="2021-05-31T00:00:00"/>
    <m/>
    <n v="5556357.7300000004"/>
    <m/>
    <m/>
    <m/>
    <m/>
    <m/>
    <m/>
    <m/>
    <s v="06. Item 06"/>
    <n v="5"/>
    <x v="11"/>
    <x v="2"/>
    <n v="2021"/>
    <n v="2021"/>
    <b v="1"/>
  </r>
  <r>
    <x v="16"/>
    <m/>
    <x v="1"/>
    <s v="Centralized"/>
    <s v="Out"/>
    <m/>
    <m/>
    <m/>
    <s v="X"/>
    <n v="1"/>
    <s v="COMPLETE"/>
    <s v="f"/>
    <d v="2021-05-11T00:00:00"/>
    <d v="2021-05-21T00:00:00"/>
    <m/>
    <n v="6345.23"/>
    <m/>
    <m/>
    <m/>
    <m/>
    <m/>
    <m/>
    <m/>
    <s v="_1. Item _1"/>
    <n v="5"/>
    <x v="11"/>
    <x v="2"/>
    <n v="2021"/>
    <n v="2021"/>
    <b v="1"/>
  </r>
  <r>
    <x v="16"/>
    <m/>
    <x v="1"/>
    <s v="Centralized"/>
    <s v="Out"/>
    <m/>
    <m/>
    <m/>
    <s v="X"/>
    <n v="3"/>
    <s v="COMPLETE"/>
    <s v="f"/>
    <d v="2021-05-14T00:00:00"/>
    <d v="2021-05-24T00:00:00"/>
    <m/>
    <n v="166386.78"/>
    <m/>
    <m/>
    <m/>
    <m/>
    <m/>
    <m/>
    <m/>
    <s v="_1. Item _1"/>
    <n v="5"/>
    <x v="11"/>
    <x v="2"/>
    <n v="2021"/>
    <n v="2021"/>
    <b v="1"/>
  </r>
  <r>
    <x v="20"/>
    <m/>
    <x v="1"/>
    <s v="Centralized"/>
    <s v="Out"/>
    <m/>
    <m/>
    <m/>
    <m/>
    <n v="3"/>
    <s v="COMPLETE"/>
    <s v="f"/>
    <d v="2021-05-14T00:00:00"/>
    <d v="2021-05-21T00:00:00"/>
    <m/>
    <n v="297149.58"/>
    <m/>
    <m/>
    <m/>
    <m/>
    <m/>
    <m/>
    <m/>
    <s v="14. Item 14"/>
    <n v="5"/>
    <x v="11"/>
    <x v="2"/>
    <n v="2021"/>
    <n v="2021"/>
    <b v="1"/>
  </r>
  <r>
    <x v="16"/>
    <m/>
    <x v="1"/>
    <s v="Centralized"/>
    <s v="Out"/>
    <m/>
    <m/>
    <m/>
    <s v="X"/>
    <n v="3"/>
    <s v="COMPLETE"/>
    <s v="f"/>
    <d v="2021-05-14T00:00:00"/>
    <d v="2021-05-26T00:00:00"/>
    <m/>
    <n v="11887.24"/>
    <m/>
    <m/>
    <m/>
    <m/>
    <m/>
    <m/>
    <m/>
    <s v="_1. Item _1"/>
    <n v="5"/>
    <x v="11"/>
    <x v="2"/>
    <n v="2021"/>
    <n v="2021"/>
    <b v="1"/>
  </r>
  <r>
    <x v="24"/>
    <m/>
    <x v="1"/>
    <s v="Centralized"/>
    <s v="Out"/>
    <m/>
    <m/>
    <m/>
    <m/>
    <n v="3"/>
    <s v="COMPLETE"/>
    <s v="f"/>
    <d v="2021-05-14T00:00:00"/>
    <d v="2021-05-26T00:00:00"/>
    <m/>
    <n v="40255.879999999997"/>
    <m/>
    <m/>
    <m/>
    <m/>
    <m/>
    <m/>
    <m/>
    <s v="03. Item 03"/>
    <n v="5"/>
    <x v="11"/>
    <x v="2"/>
    <n v="2021"/>
    <n v="2021"/>
    <b v="1"/>
  </r>
  <r>
    <x v="28"/>
    <m/>
    <x v="1"/>
    <s v="Centralized"/>
    <s v="Out"/>
    <m/>
    <m/>
    <m/>
    <s v="X"/>
    <n v="3"/>
    <s v="COMPLETE"/>
    <s v="f"/>
    <d v="2021-05-15T00:00:00"/>
    <d v="2021-05-25T00:00:00"/>
    <m/>
    <n v="8582.16"/>
    <m/>
    <m/>
    <m/>
    <m/>
    <m/>
    <m/>
    <m/>
    <s v="03. Item 03"/>
    <n v="5"/>
    <x v="11"/>
    <x v="2"/>
    <n v="2021"/>
    <n v="2021"/>
    <b v="1"/>
  </r>
  <r>
    <x v="16"/>
    <m/>
    <x v="1"/>
    <s v="Centralized"/>
    <s v="Out"/>
    <m/>
    <m/>
    <m/>
    <m/>
    <n v="3"/>
    <s v="COMPLETE"/>
    <s v="f"/>
    <d v="2021-05-15T00:00:00"/>
    <d v="2021-05-25T00:00:00"/>
    <m/>
    <n v="32700.75"/>
    <m/>
    <m/>
    <m/>
    <m/>
    <m/>
    <m/>
    <m/>
    <s v="_1. Item _1"/>
    <n v="5"/>
    <x v="11"/>
    <x v="2"/>
    <n v="2021"/>
    <n v="2021"/>
    <b v="1"/>
  </r>
  <r>
    <x v="13"/>
    <m/>
    <x v="1"/>
    <s v="Centralized"/>
    <s v="Out"/>
    <m/>
    <m/>
    <m/>
    <m/>
    <n v="3"/>
    <s v="COMPLETE"/>
    <s v="f"/>
    <d v="2021-05-14T00:00:00"/>
    <d v="2021-05-21T00:00:00"/>
    <m/>
    <n v="132582.15"/>
    <m/>
    <m/>
    <m/>
    <m/>
    <m/>
    <m/>
    <m/>
    <s v="13. Item 13"/>
    <n v="5"/>
    <x v="11"/>
    <x v="2"/>
    <n v="2021"/>
    <n v="2021"/>
    <b v="1"/>
  </r>
  <r>
    <x v="16"/>
    <m/>
    <x v="1"/>
    <s v="Centralized"/>
    <s v="Out"/>
    <m/>
    <m/>
    <m/>
    <m/>
    <n v="3"/>
    <s v="COMPLETE"/>
    <s v="f"/>
    <d v="2021-05-14T00:00:00"/>
    <d v="2021-05-26T00:00:00"/>
    <m/>
    <n v="969529.93"/>
    <m/>
    <m/>
    <m/>
    <m/>
    <m/>
    <m/>
    <m/>
    <s v="_1. Item _1"/>
    <n v="5"/>
    <x v="11"/>
    <x v="2"/>
    <n v="2021"/>
    <n v="2021"/>
    <b v="1"/>
  </r>
  <r>
    <x v="13"/>
    <m/>
    <x v="1"/>
    <s v="Centralized"/>
    <s v="Out"/>
    <m/>
    <m/>
    <m/>
    <m/>
    <n v="3"/>
    <s v="COMPLETE"/>
    <s v="f"/>
    <d v="2021-05-14T00:00:00"/>
    <d v="2021-05-20T00:00:00"/>
    <m/>
    <n v="82919.34"/>
    <m/>
    <m/>
    <m/>
    <m/>
    <m/>
    <m/>
    <m/>
    <s v="13. Item 13"/>
    <n v="5"/>
    <x v="11"/>
    <x v="2"/>
    <n v="2021"/>
    <n v="2021"/>
    <b v="1"/>
  </r>
  <r>
    <x v="16"/>
    <m/>
    <x v="1"/>
    <s v="Centralized"/>
    <s v="Out"/>
    <m/>
    <m/>
    <m/>
    <m/>
    <n v="3"/>
    <s v="COMPLETE"/>
    <s v="f"/>
    <d v="2021-05-14T00:00:00"/>
    <d v="2021-05-24T00:00:00"/>
    <m/>
    <n v="90954.36"/>
    <m/>
    <m/>
    <m/>
    <m/>
    <m/>
    <m/>
    <m/>
    <s v="_1. Item _1"/>
    <n v="5"/>
    <x v="11"/>
    <x v="2"/>
    <n v="2021"/>
    <n v="2021"/>
    <b v="1"/>
  </r>
  <r>
    <x v="13"/>
    <m/>
    <x v="1"/>
    <s v="Centralized"/>
    <s v="Out"/>
    <m/>
    <m/>
    <m/>
    <m/>
    <n v="3"/>
    <s v="COMPLETE"/>
    <s v="f"/>
    <d v="2021-05-14T00:00:00"/>
    <d v="2021-05-26T00:00:00"/>
    <m/>
    <n v="37709.35"/>
    <m/>
    <m/>
    <m/>
    <m/>
    <m/>
    <m/>
    <m/>
    <s v="13. Item 13"/>
    <n v="5"/>
    <x v="11"/>
    <x v="2"/>
    <n v="2021"/>
    <n v="2021"/>
    <b v="1"/>
  </r>
  <r>
    <x v="25"/>
    <m/>
    <x v="1"/>
    <s v="Centralized"/>
    <s v="Out"/>
    <m/>
    <m/>
    <m/>
    <m/>
    <n v="3"/>
    <s v="COMPLETE"/>
    <s v="f"/>
    <d v="2021-05-14T00:00:00"/>
    <d v="2021-05-28T00:00:00"/>
    <m/>
    <n v="65515.18"/>
    <m/>
    <m/>
    <m/>
    <m/>
    <m/>
    <m/>
    <m/>
    <s v="03. Item 03"/>
    <n v="5"/>
    <x v="11"/>
    <x v="2"/>
    <n v="2021"/>
    <n v="2021"/>
    <b v="1"/>
  </r>
  <r>
    <x v="8"/>
    <m/>
    <x v="1"/>
    <s v="Centralized"/>
    <s v="Out"/>
    <m/>
    <m/>
    <m/>
    <m/>
    <n v="4"/>
    <s v="COMPLETE"/>
    <s v="f"/>
    <d v="2021-05-14T00:00:00"/>
    <d v="2021-05-28T00:00:00"/>
    <m/>
    <n v="945526.07"/>
    <m/>
    <m/>
    <m/>
    <m/>
    <m/>
    <m/>
    <m/>
    <s v="09. Item 09"/>
    <n v="5"/>
    <x v="11"/>
    <x v="2"/>
    <n v="2021"/>
    <n v="2021"/>
    <b v="1"/>
  </r>
  <r>
    <x v="29"/>
    <m/>
    <x v="1"/>
    <s v="Centralized"/>
    <s v="Out"/>
    <m/>
    <m/>
    <m/>
    <m/>
    <n v="3"/>
    <s v="COMPLETE"/>
    <s v="f"/>
    <d v="2021-05-17T00:00:00"/>
    <d v="2021-05-25T00:00:00"/>
    <m/>
    <n v="2976190.48"/>
    <m/>
    <m/>
    <m/>
    <m/>
    <m/>
    <m/>
    <m/>
    <s v="13. Item 13"/>
    <n v="5"/>
    <x v="11"/>
    <x v="2"/>
    <n v="2021"/>
    <n v="2021"/>
    <b v="1"/>
  </r>
  <r>
    <x v="15"/>
    <m/>
    <x v="2"/>
    <s v="Centralized"/>
    <s v="In"/>
    <m/>
    <m/>
    <m/>
    <m/>
    <m/>
    <m/>
    <s v="f"/>
    <d v="2021-04-30T00:00:00"/>
    <d v="2021-04-30T00:00:00"/>
    <m/>
    <n v="45304165.520000003"/>
    <m/>
    <m/>
    <m/>
    <m/>
    <m/>
    <m/>
    <m/>
    <s v="06. Item 06"/>
    <n v="4"/>
    <x v="10"/>
    <x v="2"/>
    <n v="2021"/>
    <n v="2021"/>
    <b v="1"/>
  </r>
  <r>
    <x v="39"/>
    <m/>
    <x v="1"/>
    <s v="Centralized"/>
    <s v="Out"/>
    <m/>
    <m/>
    <m/>
    <s v="X"/>
    <n v="3"/>
    <s v="COMPLETE"/>
    <s v="f"/>
    <d v="2021-05-14T00:00:00"/>
    <d v="2021-05-21T00:00:00"/>
    <m/>
    <n v="945.24"/>
    <m/>
    <m/>
    <m/>
    <m/>
    <m/>
    <m/>
    <m/>
    <s v="03. Item 03"/>
    <n v="5"/>
    <x v="11"/>
    <x v="2"/>
    <n v="2021"/>
    <n v="2021"/>
    <b v="1"/>
  </r>
  <r>
    <x v="39"/>
    <m/>
    <x v="1"/>
    <s v="Centralized"/>
    <s v="Out"/>
    <m/>
    <m/>
    <m/>
    <m/>
    <n v="3"/>
    <s v="COMPLETE"/>
    <s v="f"/>
    <d v="2021-05-14T00:00:00"/>
    <d v="2021-05-25T00:00:00"/>
    <m/>
    <n v="18148.57"/>
    <m/>
    <m/>
    <m/>
    <m/>
    <m/>
    <m/>
    <m/>
    <s v="03. Item 03"/>
    <n v="5"/>
    <x v="11"/>
    <x v="2"/>
    <n v="2021"/>
    <n v="2021"/>
    <b v="1"/>
  </r>
  <r>
    <x v="14"/>
    <m/>
    <x v="2"/>
    <s v="Centralized"/>
    <s v="Out"/>
    <m/>
    <m/>
    <m/>
    <m/>
    <m/>
    <m/>
    <s v="f"/>
    <d v="2021-05-01T00:00:00"/>
    <d v="2021-05-01T00:00:00"/>
    <m/>
    <n v="367807.83"/>
    <m/>
    <m/>
    <m/>
    <m/>
    <m/>
    <m/>
    <m/>
    <s v="19. Item 19"/>
    <n v="5"/>
    <x v="11"/>
    <x v="2"/>
    <n v="2021"/>
    <n v="2021"/>
    <b v="1"/>
  </r>
  <r>
    <x v="38"/>
    <m/>
    <x v="2"/>
    <s v="Centralized"/>
    <s v="Out"/>
    <m/>
    <m/>
    <m/>
    <m/>
    <m/>
    <m/>
    <s v="f"/>
    <d v="2021-05-01T00:00:00"/>
    <d v="2021-05-01T00:00:00"/>
    <m/>
    <n v="389135.23"/>
    <m/>
    <m/>
    <m/>
    <m/>
    <m/>
    <m/>
    <m/>
    <s v="03. Item 03"/>
    <n v="5"/>
    <x v="11"/>
    <x v="2"/>
    <n v="2021"/>
    <n v="2021"/>
    <b v="1"/>
  </r>
  <r>
    <x v="27"/>
    <m/>
    <x v="2"/>
    <s v="Centralized"/>
    <s v="Out"/>
    <m/>
    <m/>
    <m/>
    <m/>
    <m/>
    <m/>
    <s v="f"/>
    <d v="2021-05-01T00:00:00"/>
    <d v="2021-05-01T00:00:00"/>
    <m/>
    <n v="6057310.1100000003"/>
    <m/>
    <m/>
    <m/>
    <m/>
    <m/>
    <m/>
    <m/>
    <s v="03. Item 03"/>
    <n v="5"/>
    <x v="11"/>
    <x v="2"/>
    <n v="2021"/>
    <n v="2021"/>
    <b v="1"/>
  </r>
  <r>
    <x v="3"/>
    <m/>
    <x v="2"/>
    <s v="Centralized"/>
    <s v="Out"/>
    <m/>
    <m/>
    <m/>
    <m/>
    <m/>
    <m/>
    <s v="f"/>
    <d v="2021-05-01T00:00:00"/>
    <d v="2021-05-01T00:00:00"/>
    <m/>
    <n v="41945.919999999998"/>
    <m/>
    <m/>
    <m/>
    <m/>
    <m/>
    <m/>
    <m/>
    <s v="04. Item 04"/>
    <n v="5"/>
    <x v="11"/>
    <x v="2"/>
    <n v="2021"/>
    <n v="2021"/>
    <b v="1"/>
  </r>
  <r>
    <x v="16"/>
    <m/>
    <x v="2"/>
    <s v="Centralized"/>
    <s v="Out"/>
    <m/>
    <m/>
    <m/>
    <m/>
    <m/>
    <m/>
    <s v="f"/>
    <d v="2021-05-01T00:00:00"/>
    <d v="2021-05-01T00:00:00"/>
    <m/>
    <n v="16883.5"/>
    <m/>
    <m/>
    <m/>
    <m/>
    <m/>
    <m/>
    <m/>
    <s v="_1. Item _1"/>
    <n v="5"/>
    <x v="11"/>
    <x v="2"/>
    <n v="2021"/>
    <n v="2021"/>
    <b v="1"/>
  </r>
  <r>
    <x v="4"/>
    <m/>
    <x v="2"/>
    <s v="Centralized"/>
    <s v="Out"/>
    <m/>
    <m/>
    <m/>
    <m/>
    <m/>
    <m/>
    <s v="f"/>
    <d v="2021-05-01T00:00:00"/>
    <d v="2021-05-01T00:00:00"/>
    <m/>
    <n v="8908976.9700000007"/>
    <m/>
    <m/>
    <m/>
    <m/>
    <m/>
    <m/>
    <m/>
    <s v="05. Item 05"/>
    <n v="5"/>
    <x v="11"/>
    <x v="2"/>
    <n v="2021"/>
    <n v="2021"/>
    <b v="1"/>
  </r>
  <r>
    <x v="9"/>
    <m/>
    <x v="2"/>
    <s v="Centralized"/>
    <s v="Out"/>
    <m/>
    <m/>
    <m/>
    <m/>
    <m/>
    <m/>
    <s v="f"/>
    <d v="2021-05-01T00:00:00"/>
    <d v="2021-05-01T00:00:00"/>
    <m/>
    <n v="720501.55"/>
    <m/>
    <m/>
    <m/>
    <m/>
    <m/>
    <m/>
    <m/>
    <s v="09. Item 09"/>
    <n v="5"/>
    <x v="11"/>
    <x v="2"/>
    <n v="2021"/>
    <n v="2021"/>
    <b v="1"/>
  </r>
  <r>
    <x v="16"/>
    <m/>
    <x v="2"/>
    <s v="Centralized"/>
    <s v="Out"/>
    <m/>
    <m/>
    <m/>
    <m/>
    <m/>
    <m/>
    <s v="f"/>
    <d v="2021-05-01T00:00:00"/>
    <d v="2021-05-01T00:00:00"/>
    <m/>
    <n v="1032031.39"/>
    <m/>
    <m/>
    <m/>
    <m/>
    <m/>
    <m/>
    <m/>
    <s v="_1. Item _1"/>
    <n v="5"/>
    <x v="11"/>
    <x v="2"/>
    <n v="2021"/>
    <n v="2021"/>
    <b v="1"/>
  </r>
  <r>
    <x v="16"/>
    <m/>
    <x v="2"/>
    <s v="Centralized"/>
    <s v="Out"/>
    <m/>
    <m/>
    <m/>
    <m/>
    <m/>
    <m/>
    <s v="f"/>
    <d v="2021-05-01T00:00:00"/>
    <d v="2021-05-01T00:00:00"/>
    <m/>
    <n v="198097.33"/>
    <m/>
    <m/>
    <m/>
    <m/>
    <m/>
    <m/>
    <m/>
    <s v="_1. Item _1"/>
    <n v="5"/>
    <x v="11"/>
    <x v="2"/>
    <n v="2021"/>
    <n v="2021"/>
    <b v="1"/>
  </r>
  <r>
    <x v="36"/>
    <m/>
    <x v="2"/>
    <s v="Centralized"/>
    <s v="Out"/>
    <m/>
    <m/>
    <m/>
    <m/>
    <m/>
    <m/>
    <s v="f"/>
    <d v="2021-05-01T00:00:00"/>
    <d v="2021-05-01T00:00:00"/>
    <m/>
    <n v="527964.88"/>
    <m/>
    <m/>
    <m/>
    <m/>
    <m/>
    <m/>
    <m/>
    <s v="_3. Item _3"/>
    <n v="5"/>
    <x v="11"/>
    <x v="2"/>
    <n v="2021"/>
    <n v="2021"/>
    <b v="1"/>
  </r>
  <r>
    <x v="32"/>
    <m/>
    <x v="2"/>
    <s v="Centralized"/>
    <s v="Out"/>
    <m/>
    <m/>
    <m/>
    <m/>
    <m/>
    <m/>
    <s v="f"/>
    <d v="2021-05-01T00:00:00"/>
    <d v="2021-05-01T00:00:00"/>
    <m/>
    <n v="3741.53"/>
    <m/>
    <m/>
    <m/>
    <m/>
    <m/>
    <m/>
    <m/>
    <s v="12. Item 12"/>
    <n v="5"/>
    <x v="11"/>
    <x v="2"/>
    <n v="2021"/>
    <n v="2021"/>
    <b v="1"/>
  </r>
  <r>
    <x v="32"/>
    <m/>
    <x v="2"/>
    <s v="Centralized"/>
    <s v="Out"/>
    <m/>
    <m/>
    <m/>
    <m/>
    <m/>
    <m/>
    <s v="f"/>
    <d v="2021-05-01T00:00:00"/>
    <d v="2021-05-01T00:00:00"/>
    <m/>
    <n v="78820.210000000006"/>
    <m/>
    <m/>
    <m/>
    <m/>
    <m/>
    <m/>
    <m/>
    <s v="12. Item 12"/>
    <n v="5"/>
    <x v="11"/>
    <x v="2"/>
    <n v="2021"/>
    <n v="2021"/>
    <b v="1"/>
  </r>
  <r>
    <x v="31"/>
    <m/>
    <x v="2"/>
    <s v="Centralized"/>
    <s v="Out"/>
    <m/>
    <m/>
    <m/>
    <m/>
    <m/>
    <m/>
    <s v="f"/>
    <d v="2021-05-01T00:00:00"/>
    <d v="2021-05-01T00:00:00"/>
    <m/>
    <n v="32700.75"/>
    <m/>
    <m/>
    <m/>
    <m/>
    <m/>
    <m/>
    <m/>
    <s v="10. Item 10"/>
    <n v="5"/>
    <x v="11"/>
    <x v="2"/>
    <n v="2021"/>
    <n v="2021"/>
    <b v="1"/>
  </r>
  <r>
    <x v="16"/>
    <m/>
    <x v="2"/>
    <s v="Centralized"/>
    <s v="Out"/>
    <m/>
    <m/>
    <m/>
    <m/>
    <m/>
    <m/>
    <s v="f"/>
    <d v="2021-05-01T00:00:00"/>
    <d v="2021-05-01T00:00:00"/>
    <m/>
    <n v="3914313.88"/>
    <m/>
    <m/>
    <m/>
    <m/>
    <m/>
    <m/>
    <m/>
    <s v="_1. Item _1"/>
    <n v="5"/>
    <x v="11"/>
    <x v="2"/>
    <n v="2021"/>
    <n v="2021"/>
    <b v="1"/>
  </r>
  <r>
    <x v="23"/>
    <m/>
    <x v="2"/>
    <s v="Centralized"/>
    <s v="Out"/>
    <m/>
    <m/>
    <m/>
    <m/>
    <m/>
    <m/>
    <s v="f"/>
    <d v="2021-05-01T00:00:00"/>
    <d v="2021-05-01T00:00:00"/>
    <m/>
    <n v="205975.01"/>
    <m/>
    <m/>
    <m/>
    <m/>
    <m/>
    <m/>
    <m/>
    <s v="21. Item 21"/>
    <n v="5"/>
    <x v="11"/>
    <x v="2"/>
    <n v="2021"/>
    <n v="2021"/>
    <b v="1"/>
  </r>
  <r>
    <x v="36"/>
    <m/>
    <x v="2"/>
    <s v="Centralized"/>
    <s v="Out"/>
    <m/>
    <m/>
    <m/>
    <m/>
    <m/>
    <m/>
    <s v="f"/>
    <d v="2021-05-01T00:00:00"/>
    <d v="2021-05-01T00:00:00"/>
    <m/>
    <n v="67471.27"/>
    <m/>
    <m/>
    <m/>
    <m/>
    <m/>
    <m/>
    <m/>
    <s v="_3. Item _3"/>
    <n v="5"/>
    <x v="11"/>
    <x v="2"/>
    <n v="2021"/>
    <n v="2021"/>
    <b v="1"/>
  </r>
  <r>
    <x v="35"/>
    <m/>
    <x v="2"/>
    <s v="Centralized"/>
    <s v="Out"/>
    <m/>
    <m/>
    <m/>
    <m/>
    <m/>
    <m/>
    <s v="f"/>
    <d v="2021-05-01T00:00:00"/>
    <d v="2021-05-01T00:00:00"/>
    <m/>
    <n v="143.57"/>
    <m/>
    <m/>
    <m/>
    <m/>
    <m/>
    <m/>
    <m/>
    <s v="17. Item 17"/>
    <n v="5"/>
    <x v="11"/>
    <x v="2"/>
    <n v="2021"/>
    <n v="2021"/>
    <b v="1"/>
  </r>
  <r>
    <x v="30"/>
    <m/>
    <x v="2"/>
    <s v="Centralized"/>
    <s v="Out"/>
    <m/>
    <m/>
    <m/>
    <m/>
    <m/>
    <m/>
    <s v="f"/>
    <d v="2021-05-01T00:00:00"/>
    <d v="2021-05-01T00:00:00"/>
    <m/>
    <n v="18148.57"/>
    <m/>
    <m/>
    <m/>
    <m/>
    <m/>
    <m/>
    <m/>
    <s v="10. Item 10"/>
    <n v="5"/>
    <x v="11"/>
    <x v="2"/>
    <n v="2021"/>
    <n v="2021"/>
    <b v="1"/>
  </r>
  <r>
    <x v="31"/>
    <m/>
    <x v="2"/>
    <s v="Centralized"/>
    <s v="Out"/>
    <m/>
    <m/>
    <m/>
    <m/>
    <m/>
    <m/>
    <s v="f"/>
    <d v="2021-05-01T00:00:00"/>
    <d v="2021-05-01T00:00:00"/>
    <m/>
    <n v="696889.09"/>
    <m/>
    <m/>
    <m/>
    <m/>
    <m/>
    <m/>
    <m/>
    <s v="10. Item 10"/>
    <n v="5"/>
    <x v="11"/>
    <x v="2"/>
    <n v="2021"/>
    <n v="2021"/>
    <b v="1"/>
  </r>
  <r>
    <x v="32"/>
    <m/>
    <x v="2"/>
    <s v="Centralized"/>
    <s v="Out"/>
    <m/>
    <m/>
    <m/>
    <m/>
    <m/>
    <m/>
    <s v="f"/>
    <d v="2021-05-01T00:00:00"/>
    <d v="2021-05-01T00:00:00"/>
    <m/>
    <n v="10406.280000000001"/>
    <m/>
    <m/>
    <m/>
    <m/>
    <m/>
    <m/>
    <m/>
    <s v="12. Item 12"/>
    <n v="5"/>
    <x v="11"/>
    <x v="2"/>
    <n v="2021"/>
    <n v="2021"/>
    <b v="1"/>
  </r>
  <r>
    <x v="3"/>
    <m/>
    <x v="2"/>
    <s v="Centralized"/>
    <s v="Out"/>
    <m/>
    <m/>
    <m/>
    <m/>
    <m/>
    <m/>
    <s v="f"/>
    <d v="2021-05-01T00:00:00"/>
    <d v="2021-05-01T00:00:00"/>
    <m/>
    <n v="30859.43"/>
    <m/>
    <m/>
    <m/>
    <m/>
    <m/>
    <m/>
    <m/>
    <s v="04. Item 04"/>
    <n v="5"/>
    <x v="11"/>
    <x v="2"/>
    <n v="2021"/>
    <n v="2021"/>
    <b v="1"/>
  </r>
  <r>
    <x v="20"/>
    <m/>
    <x v="1"/>
    <s v="Centralized"/>
    <s v="Out"/>
    <m/>
    <m/>
    <m/>
    <m/>
    <n v="3"/>
    <s v="COMPLETE"/>
    <s v="f"/>
    <d v="2021-05-14T00:00:00"/>
    <d v="2021-05-21T00:00:00"/>
    <m/>
    <n v="8686.2900000000009"/>
    <m/>
    <m/>
    <m/>
    <m/>
    <m/>
    <m/>
    <m/>
    <s v="14. Item 14"/>
    <n v="5"/>
    <x v="11"/>
    <x v="2"/>
    <n v="2021"/>
    <n v="2021"/>
    <b v="1"/>
  </r>
  <r>
    <x v="22"/>
    <m/>
    <x v="1"/>
    <s v="Centralized"/>
    <s v="Out"/>
    <m/>
    <m/>
    <m/>
    <m/>
    <n v="3"/>
    <s v="COMPLETE"/>
    <s v="f"/>
    <d v="2021-05-14T00:00:00"/>
    <d v="2021-05-26T00:00:00"/>
    <m/>
    <n v="73984.23"/>
    <m/>
    <m/>
    <m/>
    <m/>
    <m/>
    <m/>
    <m/>
    <s v="04. Item 04"/>
    <n v="5"/>
    <x v="11"/>
    <x v="2"/>
    <n v="2021"/>
    <n v="2021"/>
    <b v="1"/>
  </r>
  <r>
    <x v="22"/>
    <m/>
    <x v="1"/>
    <s v="Centralized"/>
    <s v="Out"/>
    <m/>
    <m/>
    <m/>
    <m/>
    <n v="3"/>
    <s v="COMPLETE"/>
    <s v="f"/>
    <d v="2021-05-14T00:00:00"/>
    <d v="2021-05-25T00:00:00"/>
    <m/>
    <n v="224503.2"/>
    <m/>
    <m/>
    <m/>
    <m/>
    <m/>
    <m/>
    <m/>
    <s v="04. Item 04"/>
    <n v="5"/>
    <x v="11"/>
    <x v="2"/>
    <n v="2021"/>
    <n v="2021"/>
    <b v="1"/>
  </r>
  <r>
    <x v="11"/>
    <m/>
    <x v="1"/>
    <s v="Centralized"/>
    <s v="Out"/>
    <m/>
    <m/>
    <m/>
    <s v="X"/>
    <n v="3"/>
    <s v="COMPLETE"/>
    <s v="f"/>
    <d v="2021-05-14T00:00:00"/>
    <d v="2021-05-25T00:00:00"/>
    <m/>
    <n v="466435.19"/>
    <m/>
    <m/>
    <m/>
    <m/>
    <m/>
    <m/>
    <m/>
    <s v="13. Item 13"/>
    <n v="5"/>
    <x v="11"/>
    <x v="2"/>
    <n v="2021"/>
    <n v="2021"/>
    <b v="1"/>
  </r>
  <r>
    <x v="29"/>
    <m/>
    <x v="1"/>
    <s v="Centralized"/>
    <s v="Out"/>
    <m/>
    <m/>
    <m/>
    <m/>
    <n v="3"/>
    <s v="COMPLETE"/>
    <s v="f"/>
    <d v="2021-05-14T00:00:00"/>
    <d v="2021-05-27T00:00:00"/>
    <m/>
    <n v="219.24"/>
    <m/>
    <m/>
    <m/>
    <m/>
    <m/>
    <m/>
    <m/>
    <s v="13. Item 13"/>
    <n v="5"/>
    <x v="11"/>
    <x v="2"/>
    <n v="2021"/>
    <n v="2021"/>
    <b v="1"/>
  </r>
  <r>
    <x v="11"/>
    <m/>
    <x v="1"/>
    <s v="Centralized"/>
    <s v="Out"/>
    <m/>
    <m/>
    <m/>
    <s v="X"/>
    <n v="3"/>
    <s v="COMPLETE"/>
    <s v="f"/>
    <d v="2021-05-14T00:00:00"/>
    <d v="2021-05-27T00:00:00"/>
    <m/>
    <n v="39385.370000000003"/>
    <m/>
    <m/>
    <m/>
    <m/>
    <m/>
    <m/>
    <m/>
    <s v="13. Item 13"/>
    <n v="5"/>
    <x v="11"/>
    <x v="2"/>
    <n v="2021"/>
    <n v="2021"/>
    <b v="1"/>
  </r>
  <r>
    <x v="29"/>
    <m/>
    <x v="1"/>
    <s v="Centralized"/>
    <s v="Out"/>
    <m/>
    <m/>
    <m/>
    <m/>
    <n v="3"/>
    <s v="COMPLETE"/>
    <s v="f"/>
    <d v="2021-05-14T00:00:00"/>
    <d v="2021-05-27T00:00:00"/>
    <m/>
    <n v="67577.399999999994"/>
    <m/>
    <m/>
    <m/>
    <m/>
    <m/>
    <m/>
    <m/>
    <s v="13. Item 13"/>
    <n v="5"/>
    <x v="11"/>
    <x v="2"/>
    <n v="2021"/>
    <n v="2021"/>
    <b v="1"/>
  </r>
  <r>
    <x v="15"/>
    <m/>
    <x v="1"/>
    <s v="Centralized"/>
    <s v="Out"/>
    <m/>
    <m/>
    <m/>
    <m/>
    <n v="3"/>
    <s v="COMPLETE"/>
    <s v="f"/>
    <d v="2021-05-14T00:00:00"/>
    <d v="2021-05-24T00:00:00"/>
    <m/>
    <n v="34735.15"/>
    <m/>
    <m/>
    <m/>
    <m/>
    <m/>
    <m/>
    <m/>
    <s v="06. Item 06"/>
    <n v="5"/>
    <x v="11"/>
    <x v="2"/>
    <n v="2021"/>
    <n v="2021"/>
    <b v="1"/>
  </r>
  <r>
    <x v="15"/>
    <m/>
    <x v="1"/>
    <s v="Centralized"/>
    <s v="Out"/>
    <m/>
    <m/>
    <m/>
    <m/>
    <n v="3"/>
    <s v="COMPLETE"/>
    <s v="f"/>
    <d v="2021-05-14T00:00:00"/>
    <d v="2021-05-21T00:00:00"/>
    <m/>
    <n v="411191.41"/>
    <m/>
    <m/>
    <m/>
    <m/>
    <m/>
    <m/>
    <m/>
    <s v="06. Item 06"/>
    <n v="5"/>
    <x v="11"/>
    <x v="2"/>
    <n v="2021"/>
    <n v="2021"/>
    <b v="1"/>
  </r>
  <r>
    <x v="7"/>
    <m/>
    <x v="1"/>
    <s v="Centralized"/>
    <s v="Out"/>
    <m/>
    <m/>
    <m/>
    <s v="X"/>
    <n v="3"/>
    <s v="COMPLETE"/>
    <s v="f"/>
    <d v="2021-05-14T00:00:00"/>
    <d v="2021-05-20T00:00:00"/>
    <m/>
    <n v="2109.81"/>
    <m/>
    <m/>
    <m/>
    <m/>
    <m/>
    <m/>
    <m/>
    <s v="08. Item 08"/>
    <n v="5"/>
    <x v="11"/>
    <x v="2"/>
    <n v="2021"/>
    <n v="2021"/>
    <b v="1"/>
  </r>
  <r>
    <x v="6"/>
    <m/>
    <x v="1"/>
    <s v="Centralized"/>
    <s v="Out"/>
    <m/>
    <m/>
    <m/>
    <m/>
    <n v="3"/>
    <s v="COMPLETE"/>
    <s v="f"/>
    <d v="2021-05-14T00:00:00"/>
    <d v="2021-05-20T00:00:00"/>
    <m/>
    <n v="6388.1"/>
    <m/>
    <m/>
    <m/>
    <m/>
    <m/>
    <m/>
    <m/>
    <s v="07. Item 07"/>
    <n v="5"/>
    <x v="11"/>
    <x v="2"/>
    <n v="2021"/>
    <n v="2021"/>
    <b v="1"/>
  </r>
  <r>
    <x v="4"/>
    <m/>
    <x v="1"/>
    <s v="Centralized"/>
    <s v="Out"/>
    <m/>
    <m/>
    <m/>
    <m/>
    <n v="3"/>
    <s v="COMPLETE"/>
    <s v="f"/>
    <d v="2021-05-14T00:00:00"/>
    <d v="2021-05-19T00:00:00"/>
    <m/>
    <n v="33633.25"/>
    <m/>
    <m/>
    <m/>
    <m/>
    <m/>
    <m/>
    <m/>
    <s v="05. Item 05"/>
    <n v="5"/>
    <x v="11"/>
    <x v="2"/>
    <n v="2021"/>
    <n v="2021"/>
    <b v="1"/>
  </r>
  <r>
    <x v="17"/>
    <m/>
    <x v="1"/>
    <s v="Centralized"/>
    <s v="In"/>
    <m/>
    <m/>
    <m/>
    <m/>
    <m/>
    <s v="COMPLETE"/>
    <s v="f"/>
    <d v="2021-05-19T00:00:00"/>
    <d v="2021-05-19T00:00:00"/>
    <m/>
    <n v="33633.25"/>
    <m/>
    <m/>
    <m/>
    <m/>
    <m/>
    <m/>
    <m/>
    <s v="09. Item 09"/>
    <n v="5"/>
    <x v="11"/>
    <x v="2"/>
    <n v="2021"/>
    <n v="2021"/>
    <b v="1"/>
  </r>
  <r>
    <x v="3"/>
    <m/>
    <x v="1"/>
    <s v="Centralized"/>
    <s v="In"/>
    <m/>
    <m/>
    <m/>
    <m/>
    <m/>
    <s v="COMPLETE"/>
    <s v="f"/>
    <d v="2021-05-20T00:00:00"/>
    <d v="2021-05-20T00:00:00"/>
    <m/>
    <n v="91417.24"/>
    <m/>
    <m/>
    <m/>
    <m/>
    <m/>
    <m/>
    <m/>
    <s v="04. Item 04"/>
    <n v="5"/>
    <x v="11"/>
    <x v="2"/>
    <n v="2021"/>
    <n v="2021"/>
    <b v="1"/>
  </r>
  <r>
    <x v="3"/>
    <m/>
    <x v="1"/>
    <s v="Centralized"/>
    <s v="In"/>
    <m/>
    <m/>
    <m/>
    <m/>
    <m/>
    <s v="COMPLETE"/>
    <s v="f"/>
    <d v="2021-05-21T00:00:00"/>
    <d v="2021-05-21T00:00:00"/>
    <m/>
    <n v="4986919.5199999996"/>
    <m/>
    <m/>
    <m/>
    <m/>
    <m/>
    <m/>
    <m/>
    <s v="04. Item 04"/>
    <n v="5"/>
    <x v="11"/>
    <x v="2"/>
    <n v="2021"/>
    <n v="2021"/>
    <b v="1"/>
  </r>
  <r>
    <x v="5"/>
    <m/>
    <x v="1"/>
    <s v="Centralized"/>
    <s v="In"/>
    <m/>
    <m/>
    <m/>
    <m/>
    <m/>
    <s v="COMPLETE"/>
    <s v="f"/>
    <d v="2021-05-24T00:00:00"/>
    <d v="2021-05-24T00:00:00"/>
    <m/>
    <n v="30859.43"/>
    <m/>
    <m/>
    <m/>
    <m/>
    <m/>
    <m/>
    <m/>
    <s v="05. Item 05"/>
    <n v="5"/>
    <x v="11"/>
    <x v="2"/>
    <n v="2021"/>
    <n v="2021"/>
    <b v="1"/>
  </r>
  <r>
    <x v="5"/>
    <m/>
    <x v="1"/>
    <s v="Decentralized"/>
    <s v="Out"/>
    <m/>
    <m/>
    <m/>
    <m/>
    <n v="4"/>
    <s v="COMPLETE"/>
    <s v="f"/>
    <d v="2021-05-15T00:00:00"/>
    <d v="2021-05-24T00:00:00"/>
    <m/>
    <n v="30859.43"/>
    <m/>
    <m/>
    <m/>
    <m/>
    <m/>
    <m/>
    <m/>
    <s v="05. Item 05"/>
    <n v="5"/>
    <x v="11"/>
    <x v="2"/>
    <n v="2021"/>
    <n v="2021"/>
    <b v="1"/>
  </r>
  <r>
    <x v="10"/>
    <m/>
    <x v="1"/>
    <s v="Centralized"/>
    <s v="In"/>
    <m/>
    <m/>
    <m/>
    <m/>
    <m/>
    <s v="COMPLETE"/>
    <s v="f"/>
    <d v="2021-05-24T00:00:00"/>
    <d v="2021-05-24T00:00:00"/>
    <m/>
    <n v="311080.96000000002"/>
    <m/>
    <m/>
    <m/>
    <m/>
    <m/>
    <m/>
    <m/>
    <s v="11. Item 11"/>
    <n v="5"/>
    <x v="11"/>
    <x v="2"/>
    <n v="2021"/>
    <n v="2021"/>
    <b v="1"/>
  </r>
  <r>
    <x v="10"/>
    <m/>
    <x v="1"/>
    <s v="Centralized"/>
    <s v="In"/>
    <m/>
    <m/>
    <m/>
    <m/>
    <m/>
    <s v="COMPLETE"/>
    <s v="f"/>
    <d v="2021-05-25T00:00:00"/>
    <d v="2021-05-25T00:00:00"/>
    <m/>
    <n v="6775217.79"/>
    <m/>
    <m/>
    <m/>
    <m/>
    <m/>
    <m/>
    <m/>
    <s v="11. Item 11"/>
    <n v="5"/>
    <x v="11"/>
    <x v="2"/>
    <n v="2021"/>
    <n v="2021"/>
    <b v="1"/>
  </r>
  <r>
    <x v="9"/>
    <m/>
    <x v="1"/>
    <s v="Centralized"/>
    <s v="In"/>
    <m/>
    <m/>
    <m/>
    <m/>
    <m/>
    <s v="COMPLETE"/>
    <s v="f"/>
    <d v="2021-05-26T00:00:00"/>
    <d v="2021-05-26T00:00:00"/>
    <m/>
    <n v="1314440.82"/>
    <m/>
    <m/>
    <m/>
    <m/>
    <m/>
    <m/>
    <m/>
    <s v="09. Item 09"/>
    <n v="5"/>
    <x v="11"/>
    <x v="2"/>
    <n v="2021"/>
    <n v="2021"/>
    <b v="1"/>
  </r>
  <r>
    <x v="21"/>
    <m/>
    <x v="1"/>
    <s v="Centralized"/>
    <s v="In"/>
    <m/>
    <m/>
    <m/>
    <m/>
    <m/>
    <s v="COMPLETE"/>
    <s v="f"/>
    <d v="2021-05-27T00:00:00"/>
    <d v="2021-05-27T00:00:00"/>
    <m/>
    <n v="1216818.78"/>
    <m/>
    <m/>
    <m/>
    <m/>
    <m/>
    <m/>
    <m/>
    <s v="09. Item 09"/>
    <n v="5"/>
    <x v="11"/>
    <x v="2"/>
    <n v="2021"/>
    <n v="2021"/>
    <b v="1"/>
  </r>
  <r>
    <x v="8"/>
    <m/>
    <x v="1"/>
    <s v="Centralized"/>
    <s v="Out"/>
    <m/>
    <m/>
    <m/>
    <m/>
    <n v="3"/>
    <s v="COMPLETE"/>
    <s v="f"/>
    <d v="2021-05-27T00:00:00"/>
    <d v="2021-06-03T00:00:00"/>
    <m/>
    <n v="10310.17"/>
    <m/>
    <m/>
    <m/>
    <m/>
    <m/>
    <m/>
    <m/>
    <s v="09. Item 09"/>
    <n v="5"/>
    <x v="9"/>
    <x v="2"/>
    <n v="2021"/>
    <n v="2021"/>
    <b v="1"/>
  </r>
  <r>
    <x v="8"/>
    <m/>
    <x v="1"/>
    <s v="Centralized"/>
    <s v="In"/>
    <m/>
    <m/>
    <m/>
    <m/>
    <m/>
    <s v="COMPLETE"/>
    <s v="f"/>
    <d v="2021-05-28T00:00:00"/>
    <d v="2021-05-28T00:00:00"/>
    <m/>
    <n v="1710314.91"/>
    <m/>
    <m/>
    <m/>
    <m/>
    <m/>
    <m/>
    <m/>
    <s v="09. Item 09"/>
    <n v="5"/>
    <x v="11"/>
    <x v="2"/>
    <n v="2021"/>
    <n v="2021"/>
    <b v="1"/>
  </r>
  <r>
    <x v="8"/>
    <m/>
    <x v="1"/>
    <s v="Centralized"/>
    <s v="In"/>
    <m/>
    <m/>
    <m/>
    <m/>
    <m/>
    <s v="COMPLETE"/>
    <s v="f"/>
    <d v="2021-05-31T00:00:00"/>
    <d v="2021-05-31T00:00:00"/>
    <m/>
    <n v="14465334.699999999"/>
    <m/>
    <m/>
    <m/>
    <m/>
    <m/>
    <m/>
    <m/>
    <s v="09. Item 09"/>
    <n v="5"/>
    <x v="11"/>
    <x v="2"/>
    <n v="2021"/>
    <n v="2021"/>
    <b v="1"/>
  </r>
  <r>
    <x v="9"/>
    <m/>
    <x v="1"/>
    <s v="Centralized"/>
    <s v="In"/>
    <m/>
    <m/>
    <m/>
    <m/>
    <m/>
    <s v="COMPLETE"/>
    <s v="f"/>
    <d v="2021-06-01T00:00:00"/>
    <d v="2021-06-01T00:00:00"/>
    <m/>
    <n v="24684.21"/>
    <m/>
    <m/>
    <m/>
    <m/>
    <m/>
    <m/>
    <m/>
    <s v="09. Item 09"/>
    <n v="6"/>
    <x v="9"/>
    <x v="2"/>
    <n v="2021"/>
    <n v="2021"/>
    <b v="1"/>
  </r>
  <r>
    <x v="14"/>
    <m/>
    <x v="1"/>
    <s v="Decentralized"/>
    <s v="Out"/>
    <m/>
    <m/>
    <m/>
    <m/>
    <n v="4"/>
    <s v="COMPLETE"/>
    <s v="f"/>
    <d v="2021-05-24T00:00:00"/>
    <d v="2021-06-01T00:00:00"/>
    <m/>
    <n v="24684.21"/>
    <m/>
    <m/>
    <m/>
    <m/>
    <m/>
    <m/>
    <m/>
    <s v="19. Item 19"/>
    <n v="5"/>
    <x v="9"/>
    <x v="2"/>
    <n v="2021"/>
    <n v="2021"/>
    <b v="1"/>
  </r>
  <r>
    <x v="25"/>
    <m/>
    <x v="1"/>
    <s v="Centralized"/>
    <s v="Out"/>
    <m/>
    <m/>
    <m/>
    <m/>
    <m/>
    <m/>
    <s v="p"/>
    <d v="2021-06-01T00:00:00"/>
    <d v="2021-06-01T00:00:00"/>
    <n v="23033.34"/>
    <m/>
    <m/>
    <m/>
    <m/>
    <m/>
    <m/>
    <m/>
    <m/>
    <s v="03. Item 03"/>
    <n v="6"/>
    <x v="9"/>
    <x v="2"/>
    <n v="2021"/>
    <n v="2021"/>
    <b v="1"/>
  </r>
  <r>
    <x v="16"/>
    <m/>
    <x v="1"/>
    <s v="Centralized"/>
    <s v="In"/>
    <m/>
    <m/>
    <m/>
    <m/>
    <m/>
    <s v="COMPLETE"/>
    <s v="f"/>
    <d v="2021-06-02T00:00:00"/>
    <d v="2021-06-02T00:00:00"/>
    <m/>
    <n v="1762.04"/>
    <m/>
    <m/>
    <m/>
    <m/>
    <m/>
    <m/>
    <m/>
    <s v="_1. Item _1"/>
    <n v="6"/>
    <x v="9"/>
    <x v="2"/>
    <n v="2021"/>
    <n v="2021"/>
    <b v="1"/>
  </r>
  <r>
    <x v="34"/>
    <m/>
    <x v="1"/>
    <s v="Decentralized"/>
    <s v="Out"/>
    <m/>
    <m/>
    <m/>
    <m/>
    <n v="4"/>
    <s v="COMPLETE"/>
    <s v="f"/>
    <d v="2021-05-24T00:00:00"/>
    <d v="2021-06-02T00:00:00"/>
    <m/>
    <n v="1762.04"/>
    <m/>
    <m/>
    <m/>
    <m/>
    <m/>
    <m/>
    <m/>
    <s v="13. Item 13"/>
    <n v="5"/>
    <x v="9"/>
    <x v="2"/>
    <n v="2021"/>
    <n v="2021"/>
    <b v="1"/>
  </r>
  <r>
    <x v="34"/>
    <m/>
    <x v="1"/>
    <s v="Centralized"/>
    <s v="Out"/>
    <m/>
    <m/>
    <m/>
    <m/>
    <n v="1"/>
    <s v="COMPLETE"/>
    <s v="f"/>
    <d v="2021-06-03T00:00:00"/>
    <d v="2021-06-17T00:00:00"/>
    <m/>
    <n v="943.05"/>
    <m/>
    <m/>
    <m/>
    <m/>
    <m/>
    <m/>
    <m/>
    <s v="13. Item 13"/>
    <n v="6"/>
    <x v="9"/>
    <x v="2"/>
    <n v="2021"/>
    <n v="2021"/>
    <b v="1"/>
  </r>
  <r>
    <x v="3"/>
    <m/>
    <x v="1"/>
    <s v="Centralized"/>
    <s v="Out"/>
    <m/>
    <m/>
    <m/>
    <s v="X"/>
    <n v="1"/>
    <s v="COMPLETE"/>
    <s v="f"/>
    <d v="2021-06-03T00:00:00"/>
    <d v="2021-06-17T00:00:00"/>
    <m/>
    <n v="118522.8"/>
    <m/>
    <m/>
    <m/>
    <m/>
    <m/>
    <m/>
    <m/>
    <s v="04. Item 04"/>
    <n v="6"/>
    <x v="9"/>
    <x v="2"/>
    <n v="2021"/>
    <n v="2021"/>
    <b v="1"/>
  </r>
  <r>
    <x v="22"/>
    <m/>
    <x v="1"/>
    <s v="Centralized"/>
    <s v="Out"/>
    <m/>
    <m/>
    <m/>
    <s v="X"/>
    <n v="1"/>
    <s v="COMPLETE"/>
    <s v="f"/>
    <d v="2021-06-03T00:00:00"/>
    <d v="2021-06-15T00:00:00"/>
    <m/>
    <n v="2142857.14"/>
    <m/>
    <m/>
    <m/>
    <m/>
    <m/>
    <m/>
    <m/>
    <s v="04. Item 04"/>
    <n v="6"/>
    <x v="9"/>
    <x v="2"/>
    <n v="2021"/>
    <n v="2021"/>
    <b v="1"/>
  </r>
  <r>
    <x v="4"/>
    <m/>
    <x v="1"/>
    <s v="Centralized"/>
    <s v="In"/>
    <m/>
    <m/>
    <m/>
    <m/>
    <m/>
    <s v="COMPLETE"/>
    <s v="f"/>
    <d v="2021-06-03T00:00:00"/>
    <d v="2021-06-03T00:00:00"/>
    <m/>
    <n v="10310.17"/>
    <m/>
    <m/>
    <m/>
    <m/>
    <m/>
    <m/>
    <m/>
    <s v="05. Item 05"/>
    <n v="6"/>
    <x v="9"/>
    <x v="2"/>
    <n v="2021"/>
    <n v="2021"/>
    <b v="1"/>
  </r>
  <r>
    <x v="5"/>
    <m/>
    <x v="1"/>
    <s v="Centralized"/>
    <s v="Out"/>
    <m/>
    <m/>
    <m/>
    <m/>
    <n v="3"/>
    <s v="COMPLETE"/>
    <s v="f"/>
    <d v="2021-06-04T00:00:00"/>
    <d v="2021-06-16T00:00:00"/>
    <m/>
    <n v="199602.63"/>
    <m/>
    <m/>
    <m/>
    <m/>
    <m/>
    <m/>
    <m/>
    <s v="05. Item 05"/>
    <n v="6"/>
    <x v="9"/>
    <x v="2"/>
    <n v="2021"/>
    <n v="2021"/>
    <b v="1"/>
  </r>
  <r>
    <x v="15"/>
    <m/>
    <x v="1"/>
    <s v="Centralized"/>
    <s v="Out"/>
    <m/>
    <m/>
    <m/>
    <s v="X"/>
    <n v="1"/>
    <s v="COMPLETE"/>
    <s v="f"/>
    <d v="2021-06-05T00:00:00"/>
    <d v="2021-07-07T00:00:00"/>
    <m/>
    <n v="989285.71"/>
    <m/>
    <m/>
    <m/>
    <m/>
    <m/>
    <m/>
    <m/>
    <s v="06. Item 06"/>
    <n v="6"/>
    <x v="7"/>
    <x v="2"/>
    <n v="2021"/>
    <n v="2021"/>
    <b v="1"/>
  </r>
  <r>
    <x v="6"/>
    <m/>
    <x v="1"/>
    <s v="Centralized"/>
    <s v="Out"/>
    <m/>
    <m/>
    <m/>
    <m/>
    <n v="4"/>
    <s v="COMPLETE"/>
    <s v="f"/>
    <d v="2021-05-20T00:00:00"/>
    <d v="2021-06-16T00:00:00"/>
    <m/>
    <n v="2576.2800000000002"/>
    <m/>
    <m/>
    <m/>
    <m/>
    <m/>
    <m/>
    <m/>
    <s v="07. Item 07"/>
    <n v="5"/>
    <x v="9"/>
    <x v="2"/>
    <n v="2021"/>
    <n v="2021"/>
    <b v="1"/>
  </r>
  <r>
    <x v="7"/>
    <m/>
    <x v="1"/>
    <s v="Centralized"/>
    <s v="Out"/>
    <m/>
    <m/>
    <m/>
    <s v="X"/>
    <n v="1"/>
    <s v="COMPLETE"/>
    <s v="f"/>
    <d v="2021-06-03T00:00:00"/>
    <d v="2021-06-18T00:00:00"/>
    <m/>
    <n v="17675.080000000002"/>
    <m/>
    <m/>
    <m/>
    <m/>
    <m/>
    <m/>
    <m/>
    <s v="08. Item 08"/>
    <n v="6"/>
    <x v="9"/>
    <x v="2"/>
    <n v="2021"/>
    <n v="2021"/>
    <b v="1"/>
  </r>
  <r>
    <x v="21"/>
    <m/>
    <x v="1"/>
    <s v="Centralized"/>
    <s v="Out"/>
    <m/>
    <m/>
    <m/>
    <m/>
    <n v="1"/>
    <s v="COMPLETE"/>
    <s v="f"/>
    <d v="2021-06-03T00:00:00"/>
    <d v="2021-06-18T00:00:00"/>
    <m/>
    <n v="34755.54"/>
    <m/>
    <m/>
    <m/>
    <m/>
    <m/>
    <m/>
    <m/>
    <s v="09. Item 09"/>
    <n v="6"/>
    <x v="9"/>
    <x v="2"/>
    <n v="2021"/>
    <n v="2021"/>
    <b v="1"/>
  </r>
  <r>
    <x v="9"/>
    <m/>
    <x v="1"/>
    <s v="Centralized"/>
    <s v="Out"/>
    <m/>
    <m/>
    <m/>
    <m/>
    <n v="3"/>
    <s v="COMPLETE"/>
    <s v="f"/>
    <d v="2021-06-08T00:00:00"/>
    <d v="2021-06-18T00:00:00"/>
    <m/>
    <n v="27.31"/>
    <m/>
    <m/>
    <m/>
    <m/>
    <m/>
    <m/>
    <m/>
    <s v="09. Item 09"/>
    <n v="6"/>
    <x v="9"/>
    <x v="2"/>
    <n v="2021"/>
    <n v="2021"/>
    <b v="1"/>
  </r>
  <r>
    <x v="8"/>
    <m/>
    <x v="1"/>
    <s v="Centralized"/>
    <s v="Out"/>
    <m/>
    <m/>
    <m/>
    <s v="X"/>
    <n v="1"/>
    <s v="COMPLETE"/>
    <s v="f"/>
    <d v="2021-06-03T00:00:00"/>
    <d v="2021-06-15T00:00:00"/>
    <m/>
    <n v="9296.44"/>
    <m/>
    <m/>
    <m/>
    <m/>
    <m/>
    <m/>
    <m/>
    <s v="09. Item 09"/>
    <n v="6"/>
    <x v="9"/>
    <x v="2"/>
    <n v="2021"/>
    <n v="2021"/>
    <b v="1"/>
  </r>
  <r>
    <x v="30"/>
    <m/>
    <x v="1"/>
    <s v="Centralized"/>
    <s v="Out"/>
    <m/>
    <m/>
    <m/>
    <s v="X"/>
    <n v="1"/>
    <s v="COMPLETE"/>
    <s v="f"/>
    <d v="2021-06-03T00:00:00"/>
    <d v="2021-06-16T00:00:00"/>
    <m/>
    <n v="3701.97"/>
    <m/>
    <m/>
    <m/>
    <m/>
    <m/>
    <m/>
    <m/>
    <s v="10. Item 10"/>
    <n v="6"/>
    <x v="9"/>
    <x v="2"/>
    <n v="2021"/>
    <n v="2021"/>
    <b v="1"/>
  </r>
  <r>
    <x v="31"/>
    <m/>
    <x v="1"/>
    <s v="Centralized"/>
    <s v="Out"/>
    <m/>
    <m/>
    <m/>
    <m/>
    <n v="1"/>
    <s v="COMPLETE"/>
    <s v="f"/>
    <d v="2021-06-03T00:00:00"/>
    <d v="2021-06-16T00:00:00"/>
    <m/>
    <n v="19308.68"/>
    <m/>
    <m/>
    <m/>
    <m/>
    <m/>
    <m/>
    <m/>
    <s v="10. Item 10"/>
    <n v="6"/>
    <x v="9"/>
    <x v="2"/>
    <n v="2021"/>
    <n v="2021"/>
    <b v="1"/>
  </r>
  <r>
    <x v="10"/>
    <m/>
    <x v="1"/>
    <s v="Centralized"/>
    <s v="Out"/>
    <m/>
    <m/>
    <m/>
    <s v="X"/>
    <n v="1"/>
    <s v="COMPLETE"/>
    <s v="f"/>
    <d v="2021-06-03T00:00:00"/>
    <d v="2021-06-10T00:00:00"/>
    <m/>
    <n v="35355.24"/>
    <m/>
    <m/>
    <m/>
    <m/>
    <m/>
    <m/>
    <m/>
    <s v="11. Item 11"/>
    <n v="6"/>
    <x v="9"/>
    <x v="2"/>
    <n v="2021"/>
    <n v="2021"/>
    <b v="1"/>
  </r>
  <r>
    <x v="32"/>
    <m/>
    <x v="1"/>
    <s v="Centralized"/>
    <s v="Out"/>
    <m/>
    <m/>
    <m/>
    <s v="X"/>
    <n v="1"/>
    <s v="COMPLETE"/>
    <s v="f"/>
    <d v="2021-06-03T00:00:00"/>
    <d v="2021-06-18T00:00:00"/>
    <m/>
    <n v="41205.629999999997"/>
    <m/>
    <m/>
    <m/>
    <m/>
    <m/>
    <m/>
    <m/>
    <s v="12. Item 12"/>
    <n v="6"/>
    <x v="9"/>
    <x v="2"/>
    <n v="2021"/>
    <n v="2021"/>
    <b v="1"/>
  </r>
  <r>
    <x v="29"/>
    <m/>
    <x v="1"/>
    <s v="Centralized"/>
    <s v="Out"/>
    <m/>
    <m/>
    <m/>
    <m/>
    <n v="3"/>
    <s v="COMPLETE"/>
    <s v="f"/>
    <d v="2021-06-08T00:00:00"/>
    <d v="2021-06-16T00:00:00"/>
    <m/>
    <n v="4026.78"/>
    <m/>
    <m/>
    <m/>
    <m/>
    <m/>
    <m/>
    <m/>
    <s v="13. Item 13"/>
    <n v="6"/>
    <x v="9"/>
    <x v="2"/>
    <n v="2021"/>
    <n v="2021"/>
    <b v="1"/>
  </r>
  <r>
    <x v="11"/>
    <m/>
    <x v="1"/>
    <s v="Centralized"/>
    <s v="Out"/>
    <m/>
    <m/>
    <m/>
    <m/>
    <n v="3"/>
    <s v="COMPLETE"/>
    <s v="f"/>
    <d v="2021-06-10T00:00:00"/>
    <d v="2021-06-18T00:00:00"/>
    <m/>
    <n v="705.54"/>
    <m/>
    <m/>
    <m/>
    <m/>
    <m/>
    <m/>
    <m/>
    <s v="13. Item 13"/>
    <n v="6"/>
    <x v="9"/>
    <x v="2"/>
    <n v="2021"/>
    <n v="2021"/>
    <b v="1"/>
  </r>
  <r>
    <x v="33"/>
    <m/>
    <x v="1"/>
    <s v="Centralized"/>
    <s v="Out"/>
    <m/>
    <m/>
    <m/>
    <m/>
    <n v="1"/>
    <s v="COMPLETE"/>
    <s v="f"/>
    <d v="2021-06-03T00:00:00"/>
    <d v="2021-06-09T00:00:00"/>
    <m/>
    <n v="11348.3"/>
    <m/>
    <m/>
    <m/>
    <m/>
    <m/>
    <m/>
    <m/>
    <s v="13. Item 13"/>
    <n v="6"/>
    <x v="9"/>
    <x v="2"/>
    <n v="2021"/>
    <n v="2021"/>
    <b v="1"/>
  </r>
  <r>
    <x v="34"/>
    <m/>
    <x v="1"/>
    <s v="Centralized"/>
    <s v="Out"/>
    <m/>
    <m/>
    <m/>
    <m/>
    <n v="1"/>
    <s v="COMPLETE"/>
    <s v="f"/>
    <d v="2021-06-03T00:00:00"/>
    <d v="2021-06-10T00:00:00"/>
    <m/>
    <n v="8089.54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1"/>
    <s v="COMPLETE"/>
    <s v="f"/>
    <d v="2021-06-03T00:00:00"/>
    <d v="2021-06-11T00:00:00"/>
    <m/>
    <n v="9221.6200000000008"/>
    <m/>
    <m/>
    <m/>
    <m/>
    <m/>
    <m/>
    <m/>
    <s v="13. Item 13"/>
    <n v="6"/>
    <x v="9"/>
    <x v="2"/>
    <n v="2021"/>
    <n v="2021"/>
    <b v="1"/>
  </r>
  <r>
    <x v="20"/>
    <m/>
    <x v="1"/>
    <s v="Centralized"/>
    <s v="Out"/>
    <m/>
    <m/>
    <m/>
    <m/>
    <n v="1"/>
    <s v="COMPLETE"/>
    <s v="f"/>
    <d v="2021-06-03T00:00:00"/>
    <d v="2021-06-15T00:00:00"/>
    <m/>
    <n v="33331.26"/>
    <m/>
    <m/>
    <m/>
    <m/>
    <m/>
    <m/>
    <m/>
    <s v="14. Item 14"/>
    <n v="6"/>
    <x v="9"/>
    <x v="2"/>
    <n v="2021"/>
    <n v="2021"/>
    <b v="1"/>
  </r>
  <r>
    <x v="35"/>
    <m/>
    <x v="1"/>
    <s v="Centralized"/>
    <s v="Out"/>
    <m/>
    <m/>
    <m/>
    <m/>
    <n v="1"/>
    <s v="COMPLETE"/>
    <s v="f"/>
    <d v="2021-06-03T00:00:00"/>
    <d v="2021-06-18T00:00:00"/>
    <m/>
    <n v="421944.58"/>
    <m/>
    <m/>
    <m/>
    <m/>
    <m/>
    <m/>
    <m/>
    <s v="17. Item 17"/>
    <n v="6"/>
    <x v="9"/>
    <x v="2"/>
    <n v="2021"/>
    <n v="2021"/>
    <b v="1"/>
  </r>
  <r>
    <x v="8"/>
    <m/>
    <x v="1"/>
    <s v="Centralized"/>
    <s v="Out"/>
    <m/>
    <m/>
    <m/>
    <s v="X"/>
    <n v="1"/>
    <s v="COMPLETE"/>
    <s v="f"/>
    <d v="2021-06-03T00:00:00"/>
    <d v="2021-06-18T00:00:00"/>
    <m/>
    <n v="428.57"/>
    <m/>
    <m/>
    <m/>
    <m/>
    <m/>
    <m/>
    <m/>
    <s v="09. Item 09"/>
    <n v="6"/>
    <x v="9"/>
    <x v="2"/>
    <n v="2021"/>
    <n v="2021"/>
    <b v="1"/>
  </r>
  <r>
    <x v="29"/>
    <m/>
    <x v="1"/>
    <s v="Centralized"/>
    <s v="Out"/>
    <m/>
    <m/>
    <m/>
    <s v="X"/>
    <n v="2"/>
    <s v="COMPLETE"/>
    <s v="f"/>
    <d v="2021-06-10T00:00:00"/>
    <d v="2021-06-23T00:00:00"/>
    <m/>
    <n v="1180.95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2"/>
    <s v="COMPLETE"/>
    <s v="f"/>
    <d v="2021-06-10T00:00:00"/>
    <d v="2021-06-23T00:00:00"/>
    <m/>
    <n v="374305.96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s v="X"/>
    <n v="2"/>
    <s v="COMPLETE"/>
    <s v="f"/>
    <d v="2021-06-10T00:00:00"/>
    <d v="2021-06-18T00:00:00"/>
    <m/>
    <n v="62350.22"/>
    <m/>
    <m/>
    <m/>
    <m/>
    <m/>
    <m/>
    <m/>
    <s v="13. Item 13"/>
    <n v="6"/>
    <x v="9"/>
    <x v="2"/>
    <n v="2021"/>
    <n v="2021"/>
    <b v="1"/>
  </r>
  <r>
    <x v="8"/>
    <m/>
    <x v="1"/>
    <s v="Centralized"/>
    <s v="Out"/>
    <m/>
    <m/>
    <m/>
    <s v="X"/>
    <n v="3"/>
    <s v="COMPLETE"/>
    <s v="f"/>
    <d v="2021-06-11T00:00:00"/>
    <d v="2021-06-24T00:00:00"/>
    <m/>
    <n v="32873.599999999999"/>
    <m/>
    <m/>
    <m/>
    <m/>
    <m/>
    <m/>
    <m/>
    <s v="09. Item 09"/>
    <n v="6"/>
    <x v="9"/>
    <x v="2"/>
    <n v="2021"/>
    <n v="2021"/>
    <b v="1"/>
  </r>
  <r>
    <x v="3"/>
    <m/>
    <x v="1"/>
    <s v="Centralized"/>
    <s v="In"/>
    <m/>
    <m/>
    <m/>
    <m/>
    <m/>
    <s v="COMPLETE"/>
    <s v="f"/>
    <d v="2021-06-09T00:00:00"/>
    <d v="2021-06-09T00:00:00"/>
    <m/>
    <n v="11348.3"/>
    <m/>
    <m/>
    <m/>
    <m/>
    <m/>
    <m/>
    <m/>
    <s v="04. Item 04"/>
    <n v="6"/>
    <x v="9"/>
    <x v="2"/>
    <n v="2021"/>
    <n v="2021"/>
    <b v="1"/>
  </r>
  <r>
    <x v="3"/>
    <m/>
    <x v="1"/>
    <s v="Centralized"/>
    <s v="In"/>
    <m/>
    <m/>
    <m/>
    <m/>
    <m/>
    <s v="COMPLETE"/>
    <s v="f"/>
    <d v="2021-06-10T00:00:00"/>
    <d v="2021-06-10T00:00:00"/>
    <m/>
    <n v="69592.39"/>
    <m/>
    <m/>
    <m/>
    <m/>
    <m/>
    <m/>
    <m/>
    <s v="04. Item 04"/>
    <n v="6"/>
    <x v="9"/>
    <x v="2"/>
    <n v="2021"/>
    <n v="2021"/>
    <b v="1"/>
  </r>
  <r>
    <x v="13"/>
    <m/>
    <x v="1"/>
    <s v="Centralized"/>
    <s v="In"/>
    <m/>
    <m/>
    <m/>
    <m/>
    <m/>
    <s v="COMPLETE"/>
    <s v="f"/>
    <d v="2021-06-11T00:00:00"/>
    <d v="2021-06-11T00:00:00"/>
    <m/>
    <n v="41729.58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1"/>
    <s v="COMPLETE"/>
    <s v="f"/>
    <d v="2021-06-03T00:00:00"/>
    <d v="2021-06-10T00:00:00"/>
    <m/>
    <n v="26147.61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1"/>
    <s v="COMPLETE"/>
    <s v="f"/>
    <d v="2021-06-03T00:00:00"/>
    <d v="2021-06-11T00:00:00"/>
    <m/>
    <n v="32507.96"/>
    <m/>
    <m/>
    <m/>
    <m/>
    <m/>
    <m/>
    <m/>
    <s v="13. Item 13"/>
    <n v="6"/>
    <x v="9"/>
    <x v="2"/>
    <n v="2021"/>
    <n v="2021"/>
    <b v="1"/>
  </r>
  <r>
    <x v="13"/>
    <m/>
    <x v="2"/>
    <s v="Centralized"/>
    <s v="Out"/>
    <m/>
    <m/>
    <m/>
    <m/>
    <m/>
    <m/>
    <s v="f"/>
    <d v="2021-06-01T00:00:00"/>
    <d v="2021-06-01T00:00:00"/>
    <m/>
    <n v="19308.68"/>
    <m/>
    <m/>
    <m/>
    <m/>
    <m/>
    <m/>
    <m/>
    <s v="13. Item 13"/>
    <n v="6"/>
    <x v="9"/>
    <x v="2"/>
    <n v="2021"/>
    <n v="2021"/>
    <b v="1"/>
  </r>
  <r>
    <x v="13"/>
    <m/>
    <x v="2"/>
    <s v="Centralized"/>
    <s v="Out"/>
    <m/>
    <m/>
    <m/>
    <m/>
    <m/>
    <m/>
    <s v="f"/>
    <d v="2021-06-01T00:00:00"/>
    <d v="2021-06-01T00:00:00"/>
    <m/>
    <n v="1005162.71"/>
    <m/>
    <m/>
    <m/>
    <m/>
    <m/>
    <m/>
    <m/>
    <s v="13. Item 13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10018245.4"/>
    <m/>
    <m/>
    <m/>
    <m/>
    <m/>
    <m/>
    <m/>
    <s v="_1. Item _1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48242.39"/>
    <m/>
    <m/>
    <m/>
    <m/>
    <m/>
    <m/>
    <m/>
    <s v="_1. Item _1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59891.33"/>
    <m/>
    <m/>
    <m/>
    <m/>
    <m/>
    <m/>
    <m/>
    <s v="_1. Item _1"/>
    <n v="6"/>
    <x v="9"/>
    <x v="2"/>
    <n v="2021"/>
    <n v="2021"/>
    <b v="1"/>
  </r>
  <r>
    <x v="36"/>
    <m/>
    <x v="2"/>
    <s v="Centralized"/>
    <s v="Out"/>
    <m/>
    <m/>
    <m/>
    <m/>
    <m/>
    <m/>
    <s v="f"/>
    <d v="2021-06-01T00:00:00"/>
    <d v="2021-06-01T00:00:00"/>
    <m/>
    <n v="9865711.9100000001"/>
    <m/>
    <m/>
    <m/>
    <m/>
    <m/>
    <m/>
    <m/>
    <s v="_3. Item _3"/>
    <n v="6"/>
    <x v="9"/>
    <x v="2"/>
    <n v="2021"/>
    <n v="2021"/>
    <b v="1"/>
  </r>
  <r>
    <x v="35"/>
    <m/>
    <x v="2"/>
    <s v="Centralized"/>
    <s v="Out"/>
    <m/>
    <m/>
    <m/>
    <m/>
    <m/>
    <m/>
    <s v="f"/>
    <d v="2021-06-01T00:00:00"/>
    <d v="2021-06-01T00:00:00"/>
    <m/>
    <n v="167844.45"/>
    <m/>
    <m/>
    <m/>
    <m/>
    <m/>
    <m/>
    <m/>
    <s v="17. Item 17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1505288.45"/>
    <m/>
    <m/>
    <m/>
    <m/>
    <m/>
    <m/>
    <m/>
    <s v="_1. Item _1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264081.51"/>
    <m/>
    <m/>
    <m/>
    <m/>
    <m/>
    <m/>
    <m/>
    <s v="_1. Item _1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513397.49"/>
    <m/>
    <m/>
    <m/>
    <m/>
    <m/>
    <m/>
    <m/>
    <s v="_1. Item _1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9323.76"/>
    <m/>
    <m/>
    <m/>
    <m/>
    <m/>
    <m/>
    <m/>
    <s v="_1. Item _1"/>
    <n v="6"/>
    <x v="9"/>
    <x v="2"/>
    <n v="2021"/>
    <n v="2021"/>
    <b v="1"/>
  </r>
  <r>
    <x v="8"/>
    <m/>
    <x v="2"/>
    <s v="Centralized"/>
    <s v="Out"/>
    <m/>
    <m/>
    <m/>
    <m/>
    <m/>
    <m/>
    <s v="f"/>
    <d v="2021-06-01T00:00:00"/>
    <d v="2021-06-01T00:00:00"/>
    <m/>
    <n v="61721.36"/>
    <m/>
    <m/>
    <m/>
    <m/>
    <m/>
    <m/>
    <m/>
    <s v="09. Item 09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32552.98"/>
    <m/>
    <m/>
    <m/>
    <m/>
    <m/>
    <m/>
    <m/>
    <s v="_1. Item _1"/>
    <n v="6"/>
    <x v="9"/>
    <x v="2"/>
    <n v="2021"/>
    <n v="2021"/>
    <b v="1"/>
  </r>
  <r>
    <x v="16"/>
    <m/>
    <x v="2"/>
    <s v="Centralized"/>
    <s v="Out"/>
    <m/>
    <m/>
    <m/>
    <m/>
    <m/>
    <m/>
    <s v="f"/>
    <d v="2021-06-01T00:00:00"/>
    <d v="2021-06-01T00:00:00"/>
    <m/>
    <n v="1693919.79"/>
    <m/>
    <m/>
    <m/>
    <m/>
    <m/>
    <m/>
    <m/>
    <s v="_1. Item _1"/>
    <n v="6"/>
    <x v="9"/>
    <x v="2"/>
    <n v="2021"/>
    <n v="2021"/>
    <b v="1"/>
  </r>
  <r>
    <x v="36"/>
    <m/>
    <x v="2"/>
    <s v="Centralized"/>
    <s v="Out"/>
    <m/>
    <m/>
    <m/>
    <m/>
    <m/>
    <m/>
    <s v="f"/>
    <d v="2021-06-01T00:00:00"/>
    <d v="2021-06-01T00:00:00"/>
    <m/>
    <n v="246090.42"/>
    <m/>
    <m/>
    <m/>
    <m/>
    <m/>
    <m/>
    <m/>
    <s v="_3. Item _3"/>
    <n v="6"/>
    <x v="9"/>
    <x v="2"/>
    <n v="2021"/>
    <n v="2021"/>
    <b v="1"/>
  </r>
  <r>
    <x v="35"/>
    <m/>
    <x v="2"/>
    <s v="Centralized"/>
    <s v="Out"/>
    <m/>
    <m/>
    <m/>
    <m/>
    <m/>
    <m/>
    <s v="f"/>
    <d v="2021-06-01T00:00:00"/>
    <d v="2021-06-01T00:00:00"/>
    <m/>
    <n v="118797.4"/>
    <m/>
    <m/>
    <m/>
    <m/>
    <m/>
    <m/>
    <m/>
    <s v="17. Item 17"/>
    <n v="6"/>
    <x v="9"/>
    <x v="2"/>
    <n v="2021"/>
    <n v="2021"/>
    <b v="1"/>
  </r>
  <r>
    <x v="3"/>
    <m/>
    <x v="2"/>
    <s v="Centralized"/>
    <s v="Out"/>
    <m/>
    <m/>
    <m/>
    <m/>
    <m/>
    <m/>
    <s v="f"/>
    <d v="2021-06-01T00:00:00"/>
    <d v="2021-06-01T00:00:00"/>
    <m/>
    <n v="141.9"/>
    <m/>
    <m/>
    <m/>
    <m/>
    <m/>
    <m/>
    <m/>
    <s v="04. Item 04"/>
    <n v="6"/>
    <x v="9"/>
    <x v="2"/>
    <n v="2021"/>
    <n v="2021"/>
    <b v="1"/>
  </r>
  <r>
    <x v="36"/>
    <m/>
    <x v="2"/>
    <s v="Centralized"/>
    <s v="Out"/>
    <m/>
    <m/>
    <m/>
    <m/>
    <m/>
    <m/>
    <s v="f"/>
    <d v="2021-06-01T00:00:00"/>
    <d v="2021-06-01T00:00:00"/>
    <m/>
    <n v="18087.14"/>
    <m/>
    <m/>
    <m/>
    <m/>
    <m/>
    <m/>
    <m/>
    <s v="_3. Item _3"/>
    <n v="6"/>
    <x v="9"/>
    <x v="2"/>
    <n v="2021"/>
    <n v="2021"/>
    <b v="1"/>
  </r>
  <r>
    <x v="35"/>
    <m/>
    <x v="2"/>
    <s v="Centralized"/>
    <s v="Out"/>
    <m/>
    <m/>
    <m/>
    <m/>
    <m/>
    <m/>
    <s v="f"/>
    <d v="2021-06-01T00:00:00"/>
    <d v="2021-06-01T00:00:00"/>
    <m/>
    <n v="612940.18999999994"/>
    <m/>
    <m/>
    <m/>
    <m/>
    <m/>
    <m/>
    <m/>
    <s v="17. Item 17"/>
    <n v="6"/>
    <x v="9"/>
    <x v="2"/>
    <n v="2021"/>
    <n v="2021"/>
    <b v="1"/>
  </r>
  <r>
    <x v="30"/>
    <m/>
    <x v="2"/>
    <s v="Centralized"/>
    <s v="Out"/>
    <m/>
    <m/>
    <m/>
    <m/>
    <m/>
    <m/>
    <s v="f"/>
    <d v="2021-06-01T00:00:00"/>
    <d v="2021-06-01T00:00:00"/>
    <m/>
    <n v="2464.37"/>
    <m/>
    <m/>
    <m/>
    <m/>
    <m/>
    <m/>
    <m/>
    <s v="10. Item 10"/>
    <n v="6"/>
    <x v="9"/>
    <x v="2"/>
    <n v="2021"/>
    <n v="2021"/>
    <b v="1"/>
  </r>
  <r>
    <x v="31"/>
    <m/>
    <x v="1"/>
    <s v="Centralized"/>
    <s v="Out"/>
    <m/>
    <m/>
    <m/>
    <m/>
    <n v="3"/>
    <s v="COMPLETE"/>
    <s v="f"/>
    <d v="2021-06-15T00:00:00"/>
    <d v="2021-06-24T00:00:00"/>
    <m/>
    <n v="1005162.71"/>
    <m/>
    <m/>
    <m/>
    <m/>
    <m/>
    <m/>
    <m/>
    <s v="10. Item 10"/>
    <n v="6"/>
    <x v="9"/>
    <x v="2"/>
    <n v="2021"/>
    <n v="2021"/>
    <b v="1"/>
  </r>
  <r>
    <x v="15"/>
    <m/>
    <x v="1"/>
    <s v="Centralized"/>
    <s v="Out"/>
    <m/>
    <m/>
    <m/>
    <m/>
    <n v="3"/>
    <s v="COMPLETE"/>
    <s v="f"/>
    <d v="2021-06-15T00:00:00"/>
    <d v="2021-06-30T00:00:00"/>
    <m/>
    <n v="9517531.1099999994"/>
    <m/>
    <m/>
    <m/>
    <m/>
    <m/>
    <m/>
    <m/>
    <s v="06. Item 06"/>
    <n v="6"/>
    <x v="9"/>
    <x v="2"/>
    <n v="2021"/>
    <n v="2021"/>
    <b v="1"/>
  </r>
  <r>
    <x v="16"/>
    <m/>
    <x v="1"/>
    <s v="Centralized"/>
    <s v="Out"/>
    <m/>
    <m/>
    <m/>
    <m/>
    <n v="3"/>
    <s v="COMPLETE"/>
    <s v="f"/>
    <d v="2021-06-15T00:00:00"/>
    <d v="2021-06-30T00:00:00"/>
    <m/>
    <n v="9865711.9100000001"/>
    <m/>
    <m/>
    <m/>
    <m/>
    <m/>
    <m/>
    <m/>
    <s v="_1. Item _1"/>
    <n v="6"/>
    <x v="9"/>
    <x v="2"/>
    <n v="2021"/>
    <n v="2021"/>
    <b v="1"/>
  </r>
  <r>
    <x v="8"/>
    <m/>
    <x v="1"/>
    <s v="Centralized"/>
    <s v="Out"/>
    <m/>
    <m/>
    <m/>
    <m/>
    <n v="3"/>
    <s v="COMPLETE"/>
    <s v="f"/>
    <d v="2021-06-15T00:00:00"/>
    <d v="2021-06-25T00:00:00"/>
    <m/>
    <n v="167844.45"/>
    <m/>
    <m/>
    <m/>
    <m/>
    <m/>
    <m/>
    <m/>
    <s v="09. Item 09"/>
    <n v="6"/>
    <x v="9"/>
    <x v="2"/>
    <n v="2021"/>
    <n v="2021"/>
    <b v="1"/>
  </r>
  <r>
    <x v="21"/>
    <m/>
    <x v="1"/>
    <s v="Centralized"/>
    <s v="Out"/>
    <m/>
    <m/>
    <m/>
    <m/>
    <n v="3"/>
    <s v="COMPLETE"/>
    <s v="f"/>
    <d v="2021-06-15T00:00:00"/>
    <d v="2021-06-23T00:00:00"/>
    <m/>
    <n v="121124.34"/>
    <m/>
    <m/>
    <m/>
    <m/>
    <m/>
    <m/>
    <m/>
    <s v="09. Item 09"/>
    <n v="6"/>
    <x v="9"/>
    <x v="2"/>
    <n v="2021"/>
    <n v="2021"/>
    <b v="1"/>
  </r>
  <r>
    <x v="20"/>
    <m/>
    <x v="1"/>
    <s v="Centralized"/>
    <s v="Out"/>
    <m/>
    <m/>
    <m/>
    <m/>
    <n v="3"/>
    <s v="COMPLETE"/>
    <s v="f"/>
    <d v="2021-06-05T00:00:00"/>
    <d v="2021-06-17T00:00:00"/>
    <m/>
    <n v="309660.49"/>
    <m/>
    <m/>
    <m/>
    <m/>
    <m/>
    <m/>
    <m/>
    <s v="14. Item 14"/>
    <n v="6"/>
    <x v="9"/>
    <x v="2"/>
    <n v="2021"/>
    <n v="2021"/>
    <b v="1"/>
  </r>
  <r>
    <x v="5"/>
    <m/>
    <x v="1"/>
    <s v="Centralized"/>
    <s v="Out"/>
    <m/>
    <m/>
    <m/>
    <m/>
    <n v="3"/>
    <s v="COMPLETE"/>
    <s v="f"/>
    <d v="2021-06-05T00:00:00"/>
    <d v="2021-06-29T00:00:00"/>
    <m/>
    <n v="483288.12"/>
    <m/>
    <m/>
    <m/>
    <m/>
    <m/>
    <m/>
    <m/>
    <s v="05. Item 05"/>
    <n v="6"/>
    <x v="9"/>
    <x v="2"/>
    <n v="2021"/>
    <n v="2021"/>
    <b v="1"/>
  </r>
  <r>
    <x v="5"/>
    <m/>
    <x v="1"/>
    <s v="Centralized"/>
    <s v="Out"/>
    <m/>
    <m/>
    <m/>
    <m/>
    <n v="3"/>
    <s v="COMPLETE"/>
    <s v="f"/>
    <d v="2021-06-05T00:00:00"/>
    <d v="2021-06-29T00:00:00"/>
    <m/>
    <n v="869905.79"/>
    <m/>
    <m/>
    <m/>
    <m/>
    <m/>
    <m/>
    <m/>
    <s v="05. Item 05"/>
    <n v="6"/>
    <x v="9"/>
    <x v="2"/>
    <n v="2021"/>
    <n v="2021"/>
    <b v="1"/>
  </r>
  <r>
    <x v="5"/>
    <m/>
    <x v="1"/>
    <s v="Centralized"/>
    <s v="Out"/>
    <m/>
    <m/>
    <m/>
    <m/>
    <n v="3"/>
    <s v="COMPLETE"/>
    <s v="f"/>
    <d v="2021-06-04T00:00:00"/>
    <d v="2021-06-18T00:00:00"/>
    <m/>
    <n v="9791.24"/>
    <m/>
    <m/>
    <m/>
    <m/>
    <m/>
    <m/>
    <m/>
    <s v="05. Item 05"/>
    <n v="6"/>
    <x v="9"/>
    <x v="2"/>
    <n v="2021"/>
    <n v="2021"/>
    <b v="1"/>
  </r>
  <r>
    <x v="10"/>
    <m/>
    <x v="1"/>
    <s v="Centralized"/>
    <s v="Out"/>
    <m/>
    <m/>
    <m/>
    <m/>
    <n v="3"/>
    <s v="COMPLETE"/>
    <s v="f"/>
    <d v="2021-06-04T00:00:00"/>
    <d v="2021-06-22T00:00:00"/>
    <m/>
    <n v="45179.72"/>
    <m/>
    <m/>
    <m/>
    <m/>
    <m/>
    <m/>
    <m/>
    <s v="11. Item 11"/>
    <n v="6"/>
    <x v="9"/>
    <x v="2"/>
    <n v="2021"/>
    <n v="2021"/>
    <b v="1"/>
  </r>
  <r>
    <x v="3"/>
    <m/>
    <x v="1"/>
    <s v="Centralized"/>
    <s v="Out"/>
    <m/>
    <m/>
    <m/>
    <m/>
    <n v="3"/>
    <s v="COMPLETE"/>
    <s v="f"/>
    <d v="2021-06-04T00:00:00"/>
    <d v="2021-06-24T00:00:00"/>
    <m/>
    <n v="21724.98"/>
    <m/>
    <m/>
    <m/>
    <m/>
    <m/>
    <m/>
    <m/>
    <s v="04. Item 04"/>
    <n v="6"/>
    <x v="9"/>
    <x v="2"/>
    <n v="2021"/>
    <n v="2021"/>
    <b v="1"/>
  </r>
  <r>
    <x v="3"/>
    <m/>
    <x v="1"/>
    <s v="Centralized"/>
    <s v="Out"/>
    <m/>
    <m/>
    <m/>
    <m/>
    <n v="1"/>
    <s v="COMPLETE"/>
    <s v="f"/>
    <d v="2021-06-03T00:00:00"/>
    <d v="2021-06-15T00:00:00"/>
    <m/>
    <n v="16783.830000000002"/>
    <m/>
    <m/>
    <m/>
    <m/>
    <m/>
    <m/>
    <m/>
    <s v="04. Item 04"/>
    <n v="6"/>
    <x v="9"/>
    <x v="2"/>
    <n v="2021"/>
    <n v="2021"/>
    <b v="1"/>
  </r>
  <r>
    <x v="13"/>
    <m/>
    <x v="1"/>
    <s v="Centralized"/>
    <s v="Out"/>
    <m/>
    <m/>
    <m/>
    <m/>
    <n v="1"/>
    <s v="COMPLETE"/>
    <s v="f"/>
    <d v="2021-06-03T00:00:00"/>
    <d v="2021-06-18T00:00:00"/>
    <m/>
    <n v="35533.18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3"/>
    <s v="COMPLETE"/>
    <s v="f"/>
    <d v="2021-06-03T00:00:00"/>
    <d v="2021-06-24T00:00:00"/>
    <m/>
    <n v="22.69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3"/>
    <s v="COMPLETE"/>
    <s v="f"/>
    <d v="2021-06-15T00:00:00"/>
    <d v="2021-06-24T00:00:00"/>
    <m/>
    <n v="241441.62"/>
    <m/>
    <m/>
    <m/>
    <m/>
    <m/>
    <m/>
    <m/>
    <s v="13. Item 13"/>
    <n v="6"/>
    <x v="9"/>
    <x v="2"/>
    <n v="2021"/>
    <n v="2021"/>
    <b v="1"/>
  </r>
  <r>
    <x v="13"/>
    <m/>
    <x v="1"/>
    <s v="Centralized"/>
    <s v="In"/>
    <m/>
    <m/>
    <m/>
    <m/>
    <m/>
    <s v="COMPLETE"/>
    <s v="f"/>
    <d v="2021-06-15T00:00:00"/>
    <d v="2021-06-15T00:00:00"/>
    <m/>
    <n v="2202268.67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3"/>
    <s v="COMPLETE"/>
    <s v="f"/>
    <d v="2021-06-15T00:00:00"/>
    <d v="2021-06-29T00:00:00"/>
    <m/>
    <n v="142957.17000000001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3"/>
    <s v="COMPLETE"/>
    <s v="f"/>
    <d v="2021-06-15T00:00:00"/>
    <d v="2021-06-25T00:00:00"/>
    <m/>
    <n v="4648.8100000000004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4"/>
    <s v="COMPLETE"/>
    <s v="f"/>
    <d v="2021-06-15T00:00:00"/>
    <d v="2021-06-28T00:00:00"/>
    <m/>
    <n v="945526.07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3"/>
    <s v="COMPLETE"/>
    <s v="f"/>
    <d v="2021-06-15T00:00:00"/>
    <d v="2021-06-25T00:00:00"/>
    <m/>
    <n v="13174.24"/>
    <m/>
    <m/>
    <m/>
    <m/>
    <m/>
    <m/>
    <m/>
    <s v="13. Item 13"/>
    <n v="6"/>
    <x v="9"/>
    <x v="2"/>
    <n v="2021"/>
    <n v="2021"/>
    <b v="1"/>
  </r>
  <r>
    <x v="13"/>
    <m/>
    <x v="1"/>
    <s v="Centralized"/>
    <s v="Out"/>
    <m/>
    <m/>
    <m/>
    <m/>
    <n v="3"/>
    <s v="COMPLETE"/>
    <s v="f"/>
    <d v="2021-06-15T00:00:00"/>
    <d v="2021-06-24T00:00:00"/>
    <m/>
    <n v="32528.959999999999"/>
    <m/>
    <m/>
    <m/>
    <m/>
    <m/>
    <m/>
    <m/>
    <s v="13. Item 13"/>
    <n v="6"/>
    <x v="9"/>
    <x v="2"/>
    <n v="2021"/>
    <n v="2021"/>
    <b v="1"/>
  </r>
  <r>
    <x v="34"/>
    <m/>
    <x v="1"/>
    <s v="Centralized"/>
    <s v="Out"/>
    <m/>
    <m/>
    <m/>
    <m/>
    <n v="3"/>
    <s v="COMPLETE"/>
    <s v="f"/>
    <d v="2021-06-15T00:00:00"/>
    <d v="2021-06-24T00:00:00"/>
    <m/>
    <n v="99762.55"/>
    <m/>
    <m/>
    <m/>
    <m/>
    <m/>
    <m/>
    <m/>
    <s v="13. Item 13"/>
    <n v="6"/>
    <x v="9"/>
    <x v="2"/>
    <n v="2021"/>
    <n v="2021"/>
    <b v="1"/>
  </r>
  <r>
    <x v="32"/>
    <m/>
    <x v="1"/>
    <s v="Centralized"/>
    <s v="Out"/>
    <m/>
    <m/>
    <m/>
    <s v="X"/>
    <n v="3"/>
    <s v="COMPLETE"/>
    <s v="f"/>
    <d v="2021-06-15T00:00:00"/>
    <d v="2021-06-24T00:00:00"/>
    <m/>
    <n v="168935.48"/>
    <m/>
    <m/>
    <m/>
    <m/>
    <m/>
    <m/>
    <m/>
    <s v="12. Item 12"/>
    <n v="6"/>
    <x v="9"/>
    <x v="2"/>
    <n v="2021"/>
    <n v="2021"/>
    <b v="1"/>
  </r>
  <r>
    <x v="32"/>
    <m/>
    <x v="1"/>
    <s v="Centralized"/>
    <s v="Out"/>
    <m/>
    <m/>
    <m/>
    <m/>
    <n v="3"/>
    <s v="COMPLETE"/>
    <s v="f"/>
    <d v="2021-06-15T00:00:00"/>
    <d v="2021-06-24T00:00:00"/>
    <m/>
    <n v="18087.14"/>
    <m/>
    <m/>
    <m/>
    <m/>
    <m/>
    <m/>
    <m/>
    <s v="12. Item 12"/>
    <n v="6"/>
    <x v="9"/>
    <x v="2"/>
    <n v="2021"/>
    <n v="2021"/>
    <b v="1"/>
  </r>
  <r>
    <x v="23"/>
    <m/>
    <x v="1"/>
    <s v="Centralized"/>
    <s v="In"/>
    <m/>
    <m/>
    <m/>
    <m/>
    <m/>
    <s v="COMPLETE"/>
    <s v="f"/>
    <d v="2021-06-16T00:00:00"/>
    <d v="2021-06-16T00:00:00"/>
    <m/>
    <n v="229216.33"/>
    <m/>
    <m/>
    <m/>
    <m/>
    <m/>
    <m/>
    <m/>
    <s v="21. Item 21"/>
    <n v="6"/>
    <x v="9"/>
    <x v="2"/>
    <n v="2021"/>
    <n v="2021"/>
    <b v="1"/>
  </r>
  <r>
    <x v="13"/>
    <m/>
    <x v="2"/>
    <s v="Centralized"/>
    <s v="In"/>
    <m/>
    <m/>
    <m/>
    <m/>
    <m/>
    <m/>
    <s v="f"/>
    <d v="2021-05-31T00:00:00"/>
    <d v="2021-05-31T00:00:00"/>
    <m/>
    <n v="44811905.659999996"/>
    <m/>
    <m/>
    <m/>
    <m/>
    <m/>
    <m/>
    <m/>
    <s v="13. Item 13"/>
    <n v="5"/>
    <x v="11"/>
    <x v="2"/>
    <n v="2021"/>
    <n v="2021"/>
    <b v="1"/>
  </r>
  <r>
    <x v="16"/>
    <m/>
    <x v="1"/>
    <s v="Centralized"/>
    <s v="In"/>
    <m/>
    <m/>
    <m/>
    <m/>
    <m/>
    <s v="COMPLETE"/>
    <s v="f"/>
    <d v="2021-06-17T00:00:00"/>
    <d v="2021-06-17T00:00:00"/>
    <m/>
    <n v="429126.34"/>
    <m/>
    <m/>
    <m/>
    <m/>
    <m/>
    <m/>
    <m/>
    <s v="_1. Item _1"/>
    <n v="6"/>
    <x v="9"/>
    <x v="2"/>
    <n v="2021"/>
    <n v="2021"/>
    <b v="1"/>
  </r>
  <r>
    <x v="16"/>
    <m/>
    <x v="1"/>
    <s v="Centralized"/>
    <s v="Out"/>
    <m/>
    <m/>
    <m/>
    <m/>
    <n v="4"/>
    <s v="COMPLETE"/>
    <s v="f"/>
    <d v="2021-06-17T00:00:00"/>
    <d v="2021-06-29T00:00:00"/>
    <m/>
    <n v="8367.86"/>
    <m/>
    <m/>
    <m/>
    <m/>
    <m/>
    <m/>
    <m/>
    <s v="_1. Item _1"/>
    <n v="6"/>
    <x v="9"/>
    <x v="2"/>
    <n v="2021"/>
    <n v="2021"/>
    <b v="1"/>
  </r>
  <r>
    <x v="16"/>
    <m/>
    <x v="1"/>
    <s v="Centralized"/>
    <s v="Out"/>
    <m/>
    <m/>
    <m/>
    <m/>
    <n v="4"/>
    <s v="COMPLETE"/>
    <s v="f"/>
    <d v="2021-06-18T00:00:00"/>
    <d v="2021-06-29T00:00:00"/>
    <m/>
    <n v="61721.36"/>
    <m/>
    <m/>
    <m/>
    <m/>
    <m/>
    <m/>
    <m/>
    <s v="_1. Item _1"/>
    <n v="6"/>
    <x v="9"/>
    <x v="2"/>
    <n v="2021"/>
    <n v="2021"/>
    <b v="1"/>
  </r>
  <r>
    <x v="11"/>
    <m/>
    <x v="1"/>
    <s v="Centralized"/>
    <s v="Out"/>
    <m/>
    <m/>
    <m/>
    <s v="X"/>
    <n v="4"/>
    <s v="COMPLETE"/>
    <s v="f"/>
    <d v="2021-06-18T00:00:00"/>
    <d v="2021-06-29T00:00:00"/>
    <m/>
    <n v="1798520.2"/>
    <m/>
    <m/>
    <m/>
    <m/>
    <m/>
    <m/>
    <m/>
    <s v="13. Item 13"/>
    <n v="6"/>
    <x v="9"/>
    <x v="2"/>
    <n v="2021"/>
    <n v="2021"/>
    <b v="1"/>
  </r>
  <r>
    <x v="11"/>
    <m/>
    <x v="1"/>
    <s v="Centralized"/>
    <s v="Out"/>
    <m/>
    <m/>
    <m/>
    <m/>
    <n v="4"/>
    <s v="COMPLETE"/>
    <s v="f"/>
    <d v="2021-06-18T00:00:00"/>
    <d v="2021-06-29T00:00:00"/>
    <m/>
    <n v="141529.04"/>
    <m/>
    <m/>
    <m/>
    <m/>
    <m/>
    <m/>
    <m/>
    <s v="13. Item 13"/>
    <n v="6"/>
    <x v="9"/>
    <x v="2"/>
    <n v="2021"/>
    <n v="2021"/>
    <b v="1"/>
  </r>
  <r>
    <x v="3"/>
    <m/>
    <x v="1"/>
    <s v="Centralized"/>
    <s v="Out"/>
    <m/>
    <m/>
    <m/>
    <m/>
    <n v="3"/>
    <s v="COMPLETE"/>
    <s v="f"/>
    <d v="2021-06-17T00:00:00"/>
    <d v="2021-06-25T00:00:00"/>
    <m/>
    <n v="2976190.48"/>
    <m/>
    <m/>
    <m/>
    <m/>
    <m/>
    <m/>
    <m/>
    <s v="04. Item 04"/>
    <n v="6"/>
    <x v="9"/>
    <x v="2"/>
    <n v="2021"/>
    <n v="2021"/>
    <b v="1"/>
  </r>
  <r>
    <x v="22"/>
    <m/>
    <x v="1"/>
    <s v="Centralized"/>
    <s v="Out"/>
    <m/>
    <m/>
    <m/>
    <m/>
    <n v="4"/>
    <s v="COMPLETE"/>
    <s v="f"/>
    <d v="2021-07-01T00:00:00"/>
    <d v="2021-07-13T00:00:00"/>
    <m/>
    <n v="307.14"/>
    <m/>
    <m/>
    <m/>
    <m/>
    <m/>
    <m/>
    <m/>
    <s v="04. Item 04"/>
    <n v="7"/>
    <x v="7"/>
    <x v="2"/>
    <n v="2021"/>
    <n v="2021"/>
    <b v="1"/>
  </r>
  <r>
    <x v="4"/>
    <m/>
    <x v="1"/>
    <s v="Centralized"/>
    <s v="Out"/>
    <m/>
    <m/>
    <m/>
    <m/>
    <n v="3"/>
    <s v="COMPLETE"/>
    <s v="f"/>
    <d v="2021-06-18T00:00:00"/>
    <d v="2021-06-29T00:00:00"/>
    <m/>
    <n v="306.99"/>
    <m/>
    <m/>
    <m/>
    <m/>
    <m/>
    <m/>
    <m/>
    <s v="05. Item 05"/>
    <n v="6"/>
    <x v="9"/>
    <x v="2"/>
    <n v="2021"/>
    <n v="2021"/>
    <b v="1"/>
  </r>
  <r>
    <x v="5"/>
    <m/>
    <x v="1"/>
    <s v="Centralized"/>
    <s v="Out"/>
    <m/>
    <m/>
    <m/>
    <m/>
    <n v="3"/>
    <s v="COMPLETE"/>
    <s v="f"/>
    <d v="2021-07-01T00:00:00"/>
    <d v="2021-07-14T00:00:00"/>
    <m/>
    <n v="25211.87"/>
    <m/>
    <m/>
    <m/>
    <m/>
    <m/>
    <m/>
    <m/>
    <s v="05. Item 05"/>
    <n v="7"/>
    <x v="7"/>
    <x v="2"/>
    <n v="2021"/>
    <n v="2021"/>
    <b v="1"/>
  </r>
  <r>
    <x v="15"/>
    <m/>
    <x v="1"/>
    <s v="Centralized"/>
    <s v="In"/>
    <m/>
    <m/>
    <m/>
    <m/>
    <m/>
    <s v="COMPLETE"/>
    <s v="f"/>
    <d v="2021-06-18T00:00:00"/>
    <d v="2021-06-18T00:00:00"/>
    <m/>
    <n v="624416.89"/>
    <m/>
    <m/>
    <m/>
    <m/>
    <m/>
    <m/>
    <m/>
    <s v="06. Item 06"/>
    <n v="6"/>
    <x v="9"/>
    <x v="2"/>
    <n v="2021"/>
    <n v="2021"/>
    <b v="1"/>
  </r>
  <r>
    <x v="6"/>
    <m/>
    <x v="1"/>
    <s v="Centralized"/>
    <s v="In"/>
    <m/>
    <m/>
    <m/>
    <m/>
    <m/>
    <s v="COMPLETE"/>
    <s v="f"/>
    <d v="2021-06-22T00:00:00"/>
    <d v="2021-06-22T00:00:00"/>
    <m/>
    <n v="45179.72"/>
    <m/>
    <m/>
    <m/>
    <m/>
    <m/>
    <m/>
    <m/>
    <s v="07. Item 07"/>
    <n v="6"/>
    <x v="9"/>
    <x v="2"/>
    <n v="2021"/>
    <n v="2021"/>
    <b v="1"/>
  </r>
  <r>
    <x v="7"/>
    <m/>
    <x v="1"/>
    <s v="Centralized"/>
    <s v="In"/>
    <m/>
    <m/>
    <m/>
    <m/>
    <m/>
    <s v="COMPLETE"/>
    <s v="f"/>
    <d v="2021-06-23T00:00:00"/>
    <d v="2021-06-23T00:00:00"/>
    <m/>
    <n v="496611.24"/>
    <m/>
    <m/>
    <m/>
    <m/>
    <m/>
    <m/>
    <m/>
    <s v="08. Item 08"/>
    <n v="6"/>
    <x v="9"/>
    <x v="2"/>
    <n v="2021"/>
    <n v="2021"/>
    <b v="1"/>
  </r>
  <r>
    <x v="21"/>
    <m/>
    <x v="1"/>
    <s v="Centralized"/>
    <s v="Out"/>
    <m/>
    <m/>
    <m/>
    <m/>
    <n v="3"/>
    <s v="COMPLETE"/>
    <s v="f"/>
    <d v="2021-06-23T00:00:00"/>
    <d v="2021-06-30T00:00:00"/>
    <m/>
    <n v="7418.03"/>
    <m/>
    <m/>
    <m/>
    <m/>
    <m/>
    <m/>
    <m/>
    <s v="09. Item 09"/>
    <n v="6"/>
    <x v="9"/>
    <x v="2"/>
    <n v="2021"/>
    <n v="2021"/>
    <b v="1"/>
  </r>
  <r>
    <x v="9"/>
    <m/>
    <x v="1"/>
    <s v="Centralized"/>
    <s v="Out"/>
    <m/>
    <m/>
    <m/>
    <m/>
    <n v="4"/>
    <s v="COMPLETE"/>
    <s v="f"/>
    <d v="2021-06-18T00:00:00"/>
    <d v="2021-06-25T00:00:00"/>
    <m/>
    <n v="207093.61"/>
    <m/>
    <m/>
    <m/>
    <m/>
    <m/>
    <m/>
    <m/>
    <s v="09. Item 09"/>
    <n v="6"/>
    <x v="9"/>
    <x v="2"/>
    <n v="2021"/>
    <n v="2021"/>
    <b v="1"/>
  </r>
  <r>
    <x v="8"/>
    <m/>
    <x v="1"/>
    <s v="Centralized"/>
    <s v="Out"/>
    <m/>
    <m/>
    <m/>
    <s v="X"/>
    <n v="1"/>
    <s v="COMPLETE"/>
    <s v="f"/>
    <d v="2021-06-05T00:00:00"/>
    <d v="2021-06-29T00:00:00"/>
    <m/>
    <n v="73773.710000000006"/>
    <m/>
    <m/>
    <m/>
    <m/>
    <m/>
    <m/>
    <m/>
    <s v="09. Item 09"/>
    <n v="6"/>
    <x v="9"/>
    <x v="2"/>
    <n v="2021"/>
    <n v="2021"/>
    <b v="1"/>
  </r>
  <r>
    <x v="30"/>
    <m/>
    <x v="1"/>
    <s v="Centralized"/>
    <s v="In"/>
    <m/>
    <m/>
    <m/>
    <m/>
    <m/>
    <s v="COMPLETE"/>
    <s v="f"/>
    <d v="2021-06-24T00:00:00"/>
    <d v="2021-06-24T00:00:00"/>
    <m/>
    <n v="1620539.72"/>
    <m/>
    <m/>
    <m/>
    <m/>
    <m/>
    <m/>
    <m/>
    <s v="10. Item 10"/>
    <n v="6"/>
    <x v="9"/>
    <x v="2"/>
    <n v="2021"/>
    <n v="2021"/>
    <b v="1"/>
  </r>
  <r>
    <x v="31"/>
    <m/>
    <x v="1"/>
    <s v="Centralized"/>
    <s v="Out"/>
    <m/>
    <m/>
    <m/>
    <m/>
    <n v="3"/>
    <s v="COMPLETE"/>
    <s v="f"/>
    <d v="2021-06-03T00:00:00"/>
    <d v="2021-06-30T00:00:00"/>
    <m/>
    <n v="4571.43"/>
    <m/>
    <m/>
    <m/>
    <m/>
    <m/>
    <m/>
    <m/>
    <s v="10. Item 10"/>
    <n v="6"/>
    <x v="9"/>
    <x v="2"/>
    <n v="2021"/>
    <n v="2021"/>
    <b v="1"/>
  </r>
  <r>
    <x v="10"/>
    <m/>
    <x v="1"/>
    <s v="Centralized"/>
    <s v="Out"/>
    <m/>
    <m/>
    <m/>
    <m/>
    <n v="3"/>
    <s v="COMPLETE"/>
    <s v="f"/>
    <d v="2021-06-24T00:00:00"/>
    <d v="2021-07-02T00:00:00"/>
    <m/>
    <n v="35631.81"/>
    <m/>
    <m/>
    <m/>
    <m/>
    <m/>
    <m/>
    <m/>
    <s v="11. Item 11"/>
    <n v="6"/>
    <x v="7"/>
    <x v="2"/>
    <n v="2021"/>
    <n v="2021"/>
    <b v="1"/>
  </r>
  <r>
    <x v="32"/>
    <m/>
    <x v="1"/>
    <s v="Centralized"/>
    <s v="Out"/>
    <m/>
    <m/>
    <m/>
    <m/>
    <n v="4"/>
    <s v="COMPLETE"/>
    <s v="f"/>
    <d v="2021-06-18T00:00:00"/>
    <d v="2021-06-30T00:00:00"/>
    <m/>
    <n v="22.7"/>
    <m/>
    <m/>
    <m/>
    <m/>
    <m/>
    <m/>
    <m/>
    <s v="12. Item 12"/>
    <n v="6"/>
    <x v="9"/>
    <x v="2"/>
    <n v="2021"/>
    <n v="2021"/>
    <b v="1"/>
  </r>
  <r>
    <x v="29"/>
    <m/>
    <x v="1"/>
    <s v="Centralized"/>
    <s v="In"/>
    <m/>
    <m/>
    <m/>
    <m/>
    <m/>
    <s v="COMPLETE"/>
    <s v="f"/>
    <d v="2021-06-25T00:00:00"/>
    <d v="2021-06-25T00:00:00"/>
    <m/>
    <n v="3368951.59"/>
    <m/>
    <m/>
    <m/>
    <m/>
    <m/>
    <m/>
    <m/>
    <s v="13. Item 13"/>
    <n v="6"/>
    <x v="9"/>
    <x v="2"/>
    <n v="2021"/>
    <n v="2021"/>
    <b v="1"/>
  </r>
  <r>
    <x v="11"/>
    <m/>
    <x v="1"/>
    <s v="Centralized"/>
    <s v="In"/>
    <m/>
    <m/>
    <m/>
    <m/>
    <m/>
    <s v="COMPLETE"/>
    <s v="f"/>
    <d v="2021-06-28T00:00:00"/>
    <d v="2021-06-28T00:00:00"/>
    <m/>
    <n v="945526.07"/>
    <m/>
    <m/>
    <m/>
    <m/>
    <m/>
    <m/>
    <m/>
    <s v="13. Item 13"/>
    <n v="6"/>
    <x v="9"/>
    <x v="2"/>
    <n v="2021"/>
    <n v="2021"/>
    <b v="1"/>
  </r>
  <r>
    <x v="33"/>
    <m/>
    <x v="1"/>
    <s v="Centralized"/>
    <s v="In"/>
    <m/>
    <m/>
    <m/>
    <m/>
    <m/>
    <s v="COMPLETE"/>
    <s v="f"/>
    <d v="2021-06-29T00:00:00"/>
    <d v="2021-06-29T00:00:00"/>
    <m/>
    <n v="3580370.25"/>
    <m/>
    <m/>
    <m/>
    <m/>
    <m/>
    <m/>
    <m/>
    <s v="13. Item 13"/>
    <n v="6"/>
    <x v="9"/>
    <x v="2"/>
    <n v="2021"/>
    <n v="2021"/>
    <b v="1"/>
  </r>
  <r>
    <x v="34"/>
    <m/>
    <x v="1"/>
    <s v="Centralized"/>
    <s v="In"/>
    <m/>
    <m/>
    <m/>
    <m/>
    <m/>
    <s v="COMPLETE"/>
    <s v="f"/>
    <d v="2021-06-30T00:00:00"/>
    <d v="2021-06-30T00:00:00"/>
    <m/>
    <n v="19395255.18"/>
    <m/>
    <m/>
    <m/>
    <m/>
    <m/>
    <m/>
    <m/>
    <s v="13. Item 13"/>
    <n v="6"/>
    <x v="9"/>
    <x v="2"/>
    <n v="2021"/>
    <n v="2021"/>
    <b v="1"/>
  </r>
  <r>
    <x v="13"/>
    <m/>
    <x v="1"/>
    <s v="Decentralized"/>
    <s v="Out"/>
    <m/>
    <m/>
    <m/>
    <m/>
    <m/>
    <m/>
    <s v="p"/>
    <d v="2021-07-01T00:00:00"/>
    <d v="2021-07-01T00:00:00"/>
    <n v="500714.29"/>
    <m/>
    <m/>
    <m/>
    <m/>
    <m/>
    <m/>
    <m/>
    <m/>
    <s v="13. Item 13"/>
    <n v="7"/>
    <x v="7"/>
    <x v="2"/>
    <n v="2021"/>
    <n v="2021"/>
    <b v="1"/>
  </r>
  <r>
    <x v="20"/>
    <m/>
    <x v="1"/>
    <s v="Decentralized"/>
    <s v="Out"/>
    <m/>
    <m/>
    <m/>
    <m/>
    <m/>
    <m/>
    <s v="p"/>
    <d v="2021-08-01T00:00:00"/>
    <d v="2021-08-01T00:00:00"/>
    <n v="606428.56999999995"/>
    <m/>
    <m/>
    <m/>
    <m/>
    <m/>
    <m/>
    <m/>
    <m/>
    <s v="14. Item 14"/>
    <n v="8"/>
    <x v="5"/>
    <x v="2"/>
    <n v="2021"/>
    <n v="2021"/>
    <b v="1"/>
  </r>
  <r>
    <x v="22"/>
    <m/>
    <x v="1"/>
    <s v="Decentralized"/>
    <s v="Out"/>
    <m/>
    <m/>
    <m/>
    <m/>
    <m/>
    <m/>
    <s v="p"/>
    <d v="2021-09-01T00:00:00"/>
    <d v="2021-09-01T00:00:00"/>
    <n v="3056205.81"/>
    <m/>
    <m/>
    <m/>
    <m/>
    <m/>
    <m/>
    <m/>
    <m/>
    <s v="04. Item 04"/>
    <n v="9"/>
    <x v="4"/>
    <x v="2"/>
    <n v="2021"/>
    <n v="2021"/>
    <b v="1"/>
  </r>
  <r>
    <x v="4"/>
    <m/>
    <x v="1"/>
    <s v="Centralized"/>
    <s v="Out"/>
    <m/>
    <m/>
    <m/>
    <m/>
    <m/>
    <m/>
    <s v="p"/>
    <d v="2021-07-01T00:00:00"/>
    <d v="2021-07-01T00:00:00"/>
    <n v="9208333.3300000001"/>
    <m/>
    <m/>
    <m/>
    <m/>
    <m/>
    <m/>
    <m/>
    <m/>
    <s v="05. Item 05"/>
    <n v="7"/>
    <x v="7"/>
    <x v="2"/>
    <n v="2021"/>
    <n v="2021"/>
    <b v="1"/>
  </r>
  <r>
    <x v="6"/>
    <m/>
    <x v="1"/>
    <s v="Centralized"/>
    <s v="Out"/>
    <m/>
    <m/>
    <m/>
    <m/>
    <m/>
    <m/>
    <s v="p"/>
    <d v="2021-08-01T00:00:00"/>
    <d v="2021-08-01T00:00:00"/>
    <n v="12380952.380000001"/>
    <m/>
    <m/>
    <m/>
    <m/>
    <m/>
    <m/>
    <m/>
    <m/>
    <s v="07. Item 07"/>
    <n v="8"/>
    <x v="5"/>
    <x v="2"/>
    <n v="2021"/>
    <n v="2021"/>
    <b v="1"/>
  </r>
  <r>
    <x v="7"/>
    <m/>
    <x v="1"/>
    <s v="Centralized"/>
    <s v="Out"/>
    <m/>
    <m/>
    <m/>
    <m/>
    <m/>
    <m/>
    <s v="p"/>
    <d v="2021-09-01T00:00:00"/>
    <d v="2021-09-01T00:00:00"/>
    <n v="6904761.9000000004"/>
    <m/>
    <m/>
    <m/>
    <m/>
    <m/>
    <m/>
    <m/>
    <m/>
    <s v="08. Item 08"/>
    <n v="9"/>
    <x v="4"/>
    <x v="2"/>
    <n v="2021"/>
    <n v="2021"/>
    <b v="1"/>
  </r>
  <r>
    <x v="9"/>
    <m/>
    <x v="1"/>
    <s v="Centralized"/>
    <s v="Out"/>
    <m/>
    <m/>
    <m/>
    <m/>
    <m/>
    <m/>
    <s v="p"/>
    <d v="2021-07-01T00:00:00"/>
    <d v="2021-07-01T00:00:00"/>
    <n v="2261904.7599999998"/>
    <m/>
    <m/>
    <m/>
    <m/>
    <m/>
    <m/>
    <m/>
    <m/>
    <s v="09. Item 09"/>
    <n v="7"/>
    <x v="7"/>
    <x v="2"/>
    <n v="2021"/>
    <n v="2021"/>
    <b v="1"/>
  </r>
  <r>
    <x v="21"/>
    <m/>
    <x v="1"/>
    <s v="Centralized"/>
    <s v="Out"/>
    <m/>
    <m/>
    <m/>
    <m/>
    <m/>
    <m/>
    <s v="p"/>
    <d v="2021-08-01T00:00:00"/>
    <d v="2021-08-01T00:00:00"/>
    <n v="2142857.14"/>
    <m/>
    <m/>
    <m/>
    <m/>
    <m/>
    <m/>
    <m/>
    <m/>
    <s v="09. Item 09"/>
    <n v="8"/>
    <x v="5"/>
    <x v="2"/>
    <n v="2021"/>
    <n v="2021"/>
    <b v="1"/>
  </r>
  <r>
    <x v="21"/>
    <m/>
    <x v="1"/>
    <s v="Centralized"/>
    <s v="Out"/>
    <m/>
    <m/>
    <m/>
    <m/>
    <m/>
    <m/>
    <s v="p"/>
    <d v="2021-09-01T00:00:00"/>
    <d v="2021-09-01T00:00:00"/>
    <n v="1904761.9"/>
    <m/>
    <m/>
    <m/>
    <m/>
    <m/>
    <m/>
    <m/>
    <m/>
    <s v="09. Item 09"/>
    <n v="9"/>
    <x v="4"/>
    <x v="2"/>
    <n v="2021"/>
    <n v="2021"/>
    <b v="1"/>
  </r>
  <r>
    <x v="21"/>
    <s v="03. Item 03"/>
    <x v="1"/>
    <s v="Centralized"/>
    <s v="Out"/>
    <m/>
    <m/>
    <m/>
    <m/>
    <m/>
    <m/>
    <s v="p"/>
    <d v="2021-07-01T00:00:00"/>
    <d v="2021-07-01T00:00:00"/>
    <n v="2971151.13"/>
    <m/>
    <m/>
    <m/>
    <m/>
    <m/>
    <m/>
    <m/>
    <m/>
    <s v="03. Item 03"/>
    <n v="7"/>
    <x v="7"/>
    <x v="2"/>
    <n v="2021"/>
    <n v="2021"/>
    <b v="1"/>
  </r>
  <r>
    <x v="8"/>
    <s v="03. Item 03"/>
    <x v="1"/>
    <s v="Centralized"/>
    <s v="Out"/>
    <m/>
    <m/>
    <m/>
    <m/>
    <m/>
    <m/>
    <s v="p"/>
    <d v="2021-08-01T00:00:00"/>
    <d v="2021-08-01T00:00:00"/>
    <n v="2583333.33"/>
    <m/>
    <m/>
    <m/>
    <m/>
    <m/>
    <m/>
    <m/>
    <m/>
    <s v="03. Item 03"/>
    <n v="8"/>
    <x v="5"/>
    <x v="2"/>
    <n v="2021"/>
    <n v="2021"/>
    <b v="1"/>
  </r>
  <r>
    <x v="8"/>
    <s v="03. Item 03"/>
    <x v="1"/>
    <s v="Centralized"/>
    <s v="Out"/>
    <m/>
    <m/>
    <m/>
    <m/>
    <m/>
    <m/>
    <s v="p"/>
    <d v="2021-09-01T00:00:00"/>
    <d v="2021-09-01T00:00:00"/>
    <n v="2590476.19"/>
    <m/>
    <m/>
    <m/>
    <m/>
    <m/>
    <m/>
    <m/>
    <m/>
    <s v="03. Item 03"/>
    <n v="9"/>
    <x v="4"/>
    <x v="2"/>
    <n v="2021"/>
    <n v="2021"/>
    <b v="1"/>
  </r>
  <r>
    <x v="8"/>
    <m/>
    <x v="1"/>
    <s v="Centralized"/>
    <s v="Out"/>
    <m/>
    <m/>
    <m/>
    <m/>
    <m/>
    <m/>
    <s v="p"/>
    <d v="2021-07-01T00:00:00"/>
    <d v="2021-07-01T00:00:00"/>
    <n v="2845336.19"/>
    <m/>
    <m/>
    <m/>
    <m/>
    <m/>
    <m/>
    <m/>
    <m/>
    <s v="09. Item 09"/>
    <n v="7"/>
    <x v="7"/>
    <x v="2"/>
    <n v="2021"/>
    <n v="2021"/>
    <b v="1"/>
  </r>
  <r>
    <x v="11"/>
    <m/>
    <x v="1"/>
    <s v="Centralized"/>
    <s v="Out"/>
    <m/>
    <m/>
    <m/>
    <m/>
    <m/>
    <m/>
    <s v="p"/>
    <d v="2021-08-01T00:00:00"/>
    <d v="2021-08-01T00:00:00"/>
    <n v="2211219.17"/>
    <m/>
    <m/>
    <m/>
    <m/>
    <m/>
    <m/>
    <m/>
    <m/>
    <s v="13. Item 13"/>
    <n v="8"/>
    <x v="5"/>
    <x v="2"/>
    <n v="2021"/>
    <n v="2021"/>
    <b v="1"/>
  </r>
  <r>
    <x v="11"/>
    <m/>
    <x v="1"/>
    <s v="Centralized"/>
    <s v="Out"/>
    <m/>
    <m/>
    <m/>
    <m/>
    <m/>
    <m/>
    <s v="p"/>
    <d v="2021-09-01T00:00:00"/>
    <d v="2021-09-01T00:00:00"/>
    <n v="5656474.3600000003"/>
    <m/>
    <m/>
    <m/>
    <m/>
    <m/>
    <m/>
    <m/>
    <m/>
    <s v="13. Item 13"/>
    <n v="9"/>
    <x v="4"/>
    <x v="2"/>
    <n v="2021"/>
    <n v="2021"/>
    <b v="1"/>
  </r>
  <r>
    <x v="11"/>
    <m/>
    <x v="1"/>
    <s v="Centralized"/>
    <s v="Out"/>
    <m/>
    <m/>
    <m/>
    <m/>
    <m/>
    <m/>
    <s v="p"/>
    <d v="2021-07-01T00:00:00"/>
    <d v="2021-07-01T00:00:00"/>
    <n v="123473.33"/>
    <m/>
    <m/>
    <m/>
    <m/>
    <m/>
    <m/>
    <m/>
    <m/>
    <s v="13. Item 13"/>
    <n v="7"/>
    <x v="7"/>
    <x v="2"/>
    <n v="2021"/>
    <n v="2021"/>
    <b v="1"/>
  </r>
  <r>
    <x v="29"/>
    <m/>
    <x v="1"/>
    <s v="Centralized"/>
    <s v="Out"/>
    <m/>
    <m/>
    <m/>
    <m/>
    <m/>
    <m/>
    <s v="p"/>
    <d v="2021-08-01T00:00:00"/>
    <d v="2021-08-01T00:00:00"/>
    <n v="53066.55"/>
    <m/>
    <m/>
    <m/>
    <m/>
    <m/>
    <m/>
    <m/>
    <m/>
    <s v="13. Item 13"/>
    <n v="8"/>
    <x v="5"/>
    <x v="2"/>
    <n v="2021"/>
    <n v="2021"/>
    <b v="1"/>
  </r>
  <r>
    <x v="16"/>
    <m/>
    <x v="1"/>
    <s v="Centralized"/>
    <s v="Out"/>
    <m/>
    <m/>
    <m/>
    <m/>
    <m/>
    <m/>
    <s v="p"/>
    <d v="2021-09-01T00:00:00"/>
    <d v="2021-09-01T00:00:00"/>
    <n v="105430.39999999999"/>
    <m/>
    <m/>
    <m/>
    <m/>
    <m/>
    <m/>
    <m/>
    <m/>
    <s v="_1. Item _1"/>
    <n v="9"/>
    <x v="4"/>
    <x v="2"/>
    <n v="2021"/>
    <n v="2021"/>
    <b v="1"/>
  </r>
  <r>
    <x v="9"/>
    <m/>
    <x v="1"/>
    <s v="Centralized"/>
    <s v="Out"/>
    <m/>
    <m/>
    <m/>
    <m/>
    <m/>
    <m/>
    <s v="p"/>
    <d v="2021-07-01T00:00:00"/>
    <d v="2021-07-01T00:00:00"/>
    <n v="6268333.3300000001"/>
    <m/>
    <m/>
    <m/>
    <m/>
    <m/>
    <m/>
    <m/>
    <m/>
    <s v="09. Item 09"/>
    <n v="7"/>
    <x v="7"/>
    <x v="2"/>
    <n v="2021"/>
    <n v="2021"/>
    <b v="1"/>
  </r>
  <r>
    <x v="29"/>
    <m/>
    <x v="1"/>
    <s v="Centralized"/>
    <s v="Out"/>
    <m/>
    <m/>
    <m/>
    <m/>
    <m/>
    <m/>
    <s v="p"/>
    <d v="2021-08-01T00:00:00"/>
    <d v="2021-08-01T00:00:00"/>
    <n v="6254285.71"/>
    <m/>
    <m/>
    <m/>
    <m/>
    <m/>
    <m/>
    <m/>
    <m/>
    <s v="13. Item 13"/>
    <n v="8"/>
    <x v="5"/>
    <x v="2"/>
    <n v="2021"/>
    <n v="2021"/>
    <b v="1"/>
  </r>
  <r>
    <x v="14"/>
    <m/>
    <x v="1"/>
    <s v="Centralized"/>
    <s v="Out"/>
    <m/>
    <m/>
    <m/>
    <m/>
    <m/>
    <m/>
    <s v="p"/>
    <d v="2021-09-01T00:00:00"/>
    <d v="2021-09-01T00:00:00"/>
    <n v="3804508.48"/>
    <m/>
    <m/>
    <m/>
    <m/>
    <m/>
    <m/>
    <m/>
    <m/>
    <s v="19. Item 19"/>
    <n v="9"/>
    <x v="4"/>
    <x v="2"/>
    <n v="2021"/>
    <n v="2021"/>
    <b v="1"/>
  </r>
  <r>
    <x v="5"/>
    <m/>
    <x v="1"/>
    <s v="Centralized"/>
    <s v="Out"/>
    <m/>
    <m/>
    <m/>
    <m/>
    <m/>
    <m/>
    <s v="p"/>
    <d v="2021-07-01T00:00:00"/>
    <d v="2021-07-01T00:00:00"/>
    <n v="54761.9"/>
    <m/>
    <m/>
    <m/>
    <m/>
    <m/>
    <m/>
    <m/>
    <m/>
    <s v="05. Item 05"/>
    <n v="7"/>
    <x v="7"/>
    <x v="2"/>
    <n v="2021"/>
    <n v="2021"/>
    <b v="1"/>
  </r>
  <r>
    <x v="10"/>
    <m/>
    <x v="1"/>
    <s v="Centralized"/>
    <s v="Out"/>
    <m/>
    <m/>
    <m/>
    <m/>
    <m/>
    <m/>
    <s v="p"/>
    <d v="2021-08-01T00:00:00"/>
    <d v="2021-08-01T00:00:00"/>
    <n v="52380.95"/>
    <m/>
    <m/>
    <m/>
    <m/>
    <m/>
    <m/>
    <m/>
    <m/>
    <s v="11. Item 11"/>
    <n v="8"/>
    <x v="5"/>
    <x v="2"/>
    <n v="2021"/>
    <n v="2021"/>
    <b v="1"/>
  </r>
  <r>
    <x v="13"/>
    <m/>
    <x v="1"/>
    <s v="Centralized"/>
    <s v="Out"/>
    <m/>
    <m/>
    <m/>
    <m/>
    <m/>
    <m/>
    <s v="p"/>
    <d v="2021-07-01T00:00:00"/>
    <d v="2021-07-01T00:00:00"/>
    <n v="10238095.24"/>
    <m/>
    <m/>
    <m/>
    <m/>
    <m/>
    <m/>
    <m/>
    <m/>
    <s v="13. Item 13"/>
    <n v="7"/>
    <x v="7"/>
    <x v="2"/>
    <n v="2021"/>
    <n v="2021"/>
    <b v="1"/>
  </r>
  <r>
    <x v="13"/>
    <m/>
    <x v="1"/>
    <s v="Centralized"/>
    <s v="Out"/>
    <m/>
    <m/>
    <m/>
    <m/>
    <m/>
    <m/>
    <s v="p"/>
    <d v="2021-08-01T00:00:00"/>
    <d v="2021-08-01T00:00:00"/>
    <n v="6666666.6699999999"/>
    <m/>
    <m/>
    <m/>
    <m/>
    <m/>
    <m/>
    <m/>
    <m/>
    <s v="13. Item 13"/>
    <n v="8"/>
    <x v="5"/>
    <x v="2"/>
    <n v="2021"/>
    <n v="2021"/>
    <b v="1"/>
  </r>
  <r>
    <x v="34"/>
    <m/>
    <x v="1"/>
    <s v="Centralized"/>
    <s v="Out"/>
    <m/>
    <m/>
    <m/>
    <m/>
    <m/>
    <m/>
    <s v="p"/>
    <d v="2021-09-01T00:00:00"/>
    <d v="2021-09-01T00:00:00"/>
    <n v="5673095.2400000002"/>
    <m/>
    <m/>
    <m/>
    <m/>
    <m/>
    <m/>
    <m/>
    <m/>
    <s v="13. Item 13"/>
    <n v="9"/>
    <x v="4"/>
    <x v="2"/>
    <n v="2021"/>
    <n v="2021"/>
    <b v="1"/>
  </r>
  <r>
    <x v="16"/>
    <m/>
    <x v="1"/>
    <s v="Centralized"/>
    <s v="Out"/>
    <m/>
    <m/>
    <m/>
    <m/>
    <m/>
    <m/>
    <s v="p"/>
    <d v="2021-07-01T00:00:00"/>
    <d v="2021-07-01T00:00:00"/>
    <n v="10447142.859999999"/>
    <m/>
    <m/>
    <m/>
    <m/>
    <m/>
    <m/>
    <m/>
    <m/>
    <s v="_1. Item _1"/>
    <n v="7"/>
    <x v="7"/>
    <x v="2"/>
    <n v="2021"/>
    <n v="2021"/>
    <b v="1"/>
  </r>
  <r>
    <x v="16"/>
    <m/>
    <x v="1"/>
    <s v="Centralized"/>
    <s v="Out"/>
    <m/>
    <m/>
    <m/>
    <m/>
    <m/>
    <m/>
    <s v="p"/>
    <d v="2021-08-01T00:00:00"/>
    <d v="2021-08-01T00:00:00"/>
    <n v="12207142.859999999"/>
    <m/>
    <m/>
    <m/>
    <m/>
    <m/>
    <m/>
    <m/>
    <m/>
    <s v="_1. Item _1"/>
    <n v="8"/>
    <x v="5"/>
    <x v="2"/>
    <n v="2021"/>
    <n v="2021"/>
    <b v="1"/>
  </r>
  <r>
    <x v="16"/>
    <m/>
    <x v="1"/>
    <s v="Centralized"/>
    <s v="Out"/>
    <m/>
    <m/>
    <m/>
    <m/>
    <m/>
    <m/>
    <s v="p"/>
    <d v="2021-09-01T00:00:00"/>
    <d v="2021-09-01T00:00:00"/>
    <n v="13842380.949999999"/>
    <m/>
    <m/>
    <m/>
    <m/>
    <m/>
    <m/>
    <m/>
    <m/>
    <s v="_1. Item _1"/>
    <n v="9"/>
    <x v="4"/>
    <x v="2"/>
    <n v="2021"/>
    <n v="2021"/>
    <b v="1"/>
  </r>
  <r>
    <x v="30"/>
    <m/>
    <x v="1"/>
    <s v="Centralized"/>
    <s v="Out"/>
    <m/>
    <m/>
    <m/>
    <m/>
    <m/>
    <m/>
    <s v="p"/>
    <d v="2021-07-01T00:00:00"/>
    <d v="2021-07-01T00:00:00"/>
    <n v="859523.81"/>
    <m/>
    <m/>
    <m/>
    <m/>
    <m/>
    <m/>
    <m/>
    <m/>
    <s v="10. Item 10"/>
    <n v="7"/>
    <x v="7"/>
    <x v="2"/>
    <n v="2021"/>
    <n v="2021"/>
    <b v="1"/>
  </r>
  <r>
    <x v="31"/>
    <m/>
    <x v="1"/>
    <s v="Centralized"/>
    <s v="Out"/>
    <m/>
    <m/>
    <m/>
    <m/>
    <m/>
    <m/>
    <s v="p"/>
    <d v="2021-08-01T00:00:00"/>
    <d v="2021-08-01T00:00:00"/>
    <n v="463571.43"/>
    <m/>
    <m/>
    <m/>
    <m/>
    <m/>
    <m/>
    <m/>
    <m/>
    <s v="10. Item 10"/>
    <n v="8"/>
    <x v="5"/>
    <x v="2"/>
    <n v="2021"/>
    <n v="2021"/>
    <b v="1"/>
  </r>
  <r>
    <x v="15"/>
    <m/>
    <x v="1"/>
    <s v="Centralized"/>
    <s v="Out"/>
    <m/>
    <m/>
    <m/>
    <m/>
    <m/>
    <m/>
    <s v="p"/>
    <d v="2021-09-01T00:00:00"/>
    <d v="2021-09-01T00:00:00"/>
    <n v="426190.48"/>
    <m/>
    <m/>
    <m/>
    <m/>
    <m/>
    <m/>
    <m/>
    <m/>
    <s v="06. Item 06"/>
    <n v="9"/>
    <x v="4"/>
    <x v="2"/>
    <n v="2021"/>
    <n v="2021"/>
    <b v="1"/>
  </r>
  <r>
    <x v="15"/>
    <s v="10. Item 10"/>
    <x v="1"/>
    <s v="Centralized"/>
    <s v="Out"/>
    <m/>
    <m/>
    <m/>
    <m/>
    <m/>
    <m/>
    <s v="p"/>
    <d v="2021-07-01T00:00:00"/>
    <d v="2021-07-01T00:00:00"/>
    <n v="76428.570000000007"/>
    <m/>
    <m/>
    <m/>
    <m/>
    <m/>
    <m/>
    <m/>
    <m/>
    <s v="10. Item 10"/>
    <n v="7"/>
    <x v="7"/>
    <x v="2"/>
    <n v="2021"/>
    <n v="2021"/>
    <b v="1"/>
  </r>
  <r>
    <x v="25"/>
    <s v="10. Item 10"/>
    <x v="1"/>
    <s v="Centralized"/>
    <s v="Out"/>
    <m/>
    <m/>
    <m/>
    <m/>
    <m/>
    <m/>
    <s v="p"/>
    <d v="2021-08-01T00:00:00"/>
    <d v="2021-08-01T00:00:00"/>
    <n v="52380.95"/>
    <m/>
    <m/>
    <m/>
    <m/>
    <m/>
    <m/>
    <m/>
    <m/>
    <s v="10. Item 10"/>
    <n v="8"/>
    <x v="5"/>
    <x v="2"/>
    <n v="2021"/>
    <n v="2021"/>
    <b v="1"/>
  </r>
  <r>
    <x v="20"/>
    <s v="10. Item 10"/>
    <x v="1"/>
    <s v="Centralized"/>
    <s v="Out"/>
    <m/>
    <m/>
    <m/>
    <m/>
    <m/>
    <m/>
    <s v="p"/>
    <d v="2021-09-01T00:00:00"/>
    <d v="2021-09-01T00:00:00"/>
    <n v="59523.81"/>
    <m/>
    <m/>
    <m/>
    <m/>
    <m/>
    <m/>
    <m/>
    <m/>
    <s v="10. Item 10"/>
    <n v="9"/>
    <x v="4"/>
    <x v="2"/>
    <n v="2021"/>
    <n v="2021"/>
    <b v="1"/>
  </r>
  <r>
    <x v="8"/>
    <m/>
    <x v="1"/>
    <s v="Centralized"/>
    <s v="Out"/>
    <m/>
    <m/>
    <m/>
    <m/>
    <m/>
    <m/>
    <s v="p"/>
    <d v="2021-07-01T00:00:00"/>
    <d v="2021-07-01T00:00:00"/>
    <n v="54761.9"/>
    <m/>
    <m/>
    <m/>
    <m/>
    <m/>
    <m/>
    <m/>
    <m/>
    <s v="09. Item 09"/>
    <n v="7"/>
    <x v="7"/>
    <x v="2"/>
    <n v="2021"/>
    <n v="2021"/>
    <b v="1"/>
  </r>
  <r>
    <x v="8"/>
    <m/>
    <x v="1"/>
    <s v="Centralized"/>
    <s v="Out"/>
    <m/>
    <m/>
    <m/>
    <m/>
    <m/>
    <m/>
    <s v="p"/>
    <d v="2021-08-01T00:00:00"/>
    <d v="2021-08-01T00:00:00"/>
    <n v="45238.1"/>
    <m/>
    <m/>
    <m/>
    <m/>
    <m/>
    <m/>
    <m/>
    <m/>
    <s v="09. Item 09"/>
    <n v="8"/>
    <x v="5"/>
    <x v="2"/>
    <n v="2021"/>
    <n v="2021"/>
    <b v="1"/>
  </r>
  <r>
    <x v="16"/>
    <m/>
    <x v="1"/>
    <s v="Centralized"/>
    <s v="Out"/>
    <m/>
    <m/>
    <m/>
    <m/>
    <m/>
    <m/>
    <s v="p"/>
    <d v="2021-09-01T00:00:00"/>
    <d v="2021-09-01T00:00:00"/>
    <n v="44285.71"/>
    <m/>
    <m/>
    <m/>
    <m/>
    <m/>
    <m/>
    <m/>
    <m/>
    <s v="_1. Item _1"/>
    <n v="9"/>
    <x v="4"/>
    <x v="2"/>
    <n v="2021"/>
    <n v="2021"/>
    <b v="1"/>
  </r>
  <r>
    <x v="16"/>
    <m/>
    <x v="1"/>
    <s v="Centralized"/>
    <s v="Out"/>
    <m/>
    <m/>
    <m/>
    <m/>
    <m/>
    <m/>
    <s v="p"/>
    <d v="2021-07-01T00:00:00"/>
    <d v="2021-07-01T00:00:00"/>
    <n v="62380.95"/>
    <m/>
    <m/>
    <m/>
    <m/>
    <m/>
    <m/>
    <m/>
    <m/>
    <s v="_1. Item _1"/>
    <n v="7"/>
    <x v="7"/>
    <x v="2"/>
    <n v="2021"/>
    <n v="2021"/>
    <b v="1"/>
  </r>
  <r>
    <x v="16"/>
    <m/>
    <x v="1"/>
    <s v="Centralized"/>
    <s v="Out"/>
    <m/>
    <m/>
    <m/>
    <m/>
    <m/>
    <m/>
    <s v="p"/>
    <d v="2021-08-01T00:00:00"/>
    <d v="2021-08-01T00:00:00"/>
    <n v="62142.86"/>
    <m/>
    <m/>
    <m/>
    <m/>
    <m/>
    <m/>
    <m/>
    <m/>
    <s v="_1. Item _1"/>
    <n v="8"/>
    <x v="5"/>
    <x v="2"/>
    <n v="2021"/>
    <n v="2021"/>
    <b v="1"/>
  </r>
  <r>
    <x v="8"/>
    <m/>
    <x v="1"/>
    <s v="Centralized"/>
    <s v="Out"/>
    <m/>
    <m/>
    <m/>
    <m/>
    <m/>
    <m/>
    <s v="p"/>
    <d v="2021-09-01T00:00:00"/>
    <d v="2021-09-01T00:00:00"/>
    <n v="63333.33"/>
    <m/>
    <m/>
    <m/>
    <m/>
    <m/>
    <m/>
    <m/>
    <m/>
    <s v="09. Item 09"/>
    <n v="9"/>
    <x v="4"/>
    <x v="2"/>
    <n v="2021"/>
    <n v="2021"/>
    <b v="1"/>
  </r>
  <r>
    <x v="15"/>
    <s v="12. Item 12"/>
    <x v="1"/>
    <s v="Centralized"/>
    <s v="Out"/>
    <m/>
    <m/>
    <m/>
    <m/>
    <m/>
    <m/>
    <s v="p"/>
    <d v="2021-07-01T00:00:00"/>
    <d v="2021-07-01T00:00:00"/>
    <n v="369285.71"/>
    <m/>
    <m/>
    <m/>
    <m/>
    <m/>
    <m/>
    <m/>
    <m/>
    <s v="12. Item 12"/>
    <n v="7"/>
    <x v="7"/>
    <x v="2"/>
    <n v="2021"/>
    <n v="2021"/>
    <b v="1"/>
  </r>
  <r>
    <x v="21"/>
    <s v="12. Item 12"/>
    <x v="1"/>
    <s v="Centralized"/>
    <s v="Out"/>
    <m/>
    <m/>
    <m/>
    <m/>
    <m/>
    <m/>
    <s v="p"/>
    <d v="2021-08-01T00:00:00"/>
    <d v="2021-08-01T00:00:00"/>
    <n v="1967142.86"/>
    <m/>
    <m/>
    <m/>
    <m/>
    <m/>
    <m/>
    <m/>
    <m/>
    <s v="12. Item 12"/>
    <n v="8"/>
    <x v="5"/>
    <x v="2"/>
    <n v="2021"/>
    <n v="2021"/>
    <b v="1"/>
  </r>
  <r>
    <x v="16"/>
    <s v="12. Item 12"/>
    <x v="1"/>
    <s v="Centralized"/>
    <s v="Out"/>
    <m/>
    <m/>
    <m/>
    <m/>
    <m/>
    <m/>
    <s v="p"/>
    <d v="2021-09-01T00:00:00"/>
    <d v="2021-09-01T00:00:00"/>
    <n v="330238.09999999998"/>
    <m/>
    <m/>
    <m/>
    <m/>
    <m/>
    <m/>
    <m/>
    <m/>
    <s v="12. Item 12"/>
    <n v="9"/>
    <x v="4"/>
    <x v="2"/>
    <n v="2021"/>
    <n v="2021"/>
    <b v="1"/>
  </r>
  <r>
    <x v="11"/>
    <s v="13. Item 13"/>
    <x v="1"/>
    <s v="Centralized"/>
    <s v="Out"/>
    <m/>
    <m/>
    <m/>
    <m/>
    <m/>
    <m/>
    <s v="p"/>
    <d v="2021-07-01T00:00:00"/>
    <d v="2021-07-01T00:00:00"/>
    <n v="2190476.19"/>
    <m/>
    <m/>
    <m/>
    <m/>
    <m/>
    <m/>
    <m/>
    <m/>
    <s v="13. Item 13"/>
    <n v="7"/>
    <x v="7"/>
    <x v="2"/>
    <n v="2021"/>
    <n v="2021"/>
    <b v="1"/>
  </r>
  <r>
    <x v="8"/>
    <s v="13. Item 13"/>
    <x v="1"/>
    <s v="Centralized"/>
    <s v="Out"/>
    <m/>
    <m/>
    <m/>
    <m/>
    <m/>
    <m/>
    <s v="p"/>
    <d v="2021-08-01T00:00:00"/>
    <d v="2021-08-01T00:00:00"/>
    <n v="1428571.43"/>
    <m/>
    <m/>
    <m/>
    <m/>
    <m/>
    <m/>
    <m/>
    <m/>
    <s v="13. Item 13"/>
    <n v="8"/>
    <x v="5"/>
    <x v="2"/>
    <n v="2021"/>
    <n v="2021"/>
    <b v="1"/>
  </r>
  <r>
    <x v="3"/>
    <s v="13. Item 13"/>
    <x v="1"/>
    <s v="Centralized"/>
    <s v="Out"/>
    <m/>
    <m/>
    <m/>
    <m/>
    <m/>
    <m/>
    <s v="p"/>
    <d v="2021-09-01T00:00:00"/>
    <d v="2021-09-01T00:00:00"/>
    <n v="1452380.95"/>
    <m/>
    <m/>
    <m/>
    <m/>
    <m/>
    <m/>
    <m/>
    <m/>
    <s v="13. Item 13"/>
    <n v="9"/>
    <x v="4"/>
    <x v="2"/>
    <n v="2021"/>
    <n v="2021"/>
    <b v="1"/>
  </r>
  <r>
    <x v="16"/>
    <m/>
    <x v="1"/>
    <s v="Centralized"/>
    <s v="Out"/>
    <m/>
    <m/>
    <m/>
    <m/>
    <m/>
    <m/>
    <s v="p"/>
    <d v="2021-07-01T00:00:00"/>
    <d v="2021-07-01T00:00:00"/>
    <n v="34285.71"/>
    <m/>
    <m/>
    <m/>
    <m/>
    <m/>
    <m/>
    <m/>
    <m/>
    <s v="_1. Item _1"/>
    <n v="7"/>
    <x v="7"/>
    <x v="2"/>
    <n v="2021"/>
    <n v="2021"/>
    <b v="1"/>
  </r>
  <r>
    <x v="16"/>
    <m/>
    <x v="1"/>
    <s v="Centralized"/>
    <s v="Out"/>
    <m/>
    <m/>
    <m/>
    <m/>
    <m/>
    <m/>
    <s v="p"/>
    <d v="2021-08-01T00:00:00"/>
    <d v="2021-08-01T00:00:00"/>
    <n v="380952.38"/>
    <m/>
    <m/>
    <m/>
    <m/>
    <m/>
    <m/>
    <m/>
    <m/>
    <s v="_1. Item _1"/>
    <n v="8"/>
    <x v="5"/>
    <x v="2"/>
    <n v="2021"/>
    <n v="2021"/>
    <b v="1"/>
  </r>
  <r>
    <x v="16"/>
    <m/>
    <x v="1"/>
    <s v="Centralized"/>
    <s v="Out"/>
    <m/>
    <m/>
    <m/>
    <m/>
    <m/>
    <m/>
    <s v="p"/>
    <d v="2021-09-01T00:00:00"/>
    <d v="2021-09-01T00:00:00"/>
    <n v="157142.85999999999"/>
    <m/>
    <m/>
    <m/>
    <m/>
    <m/>
    <m/>
    <m/>
    <m/>
    <s v="_1. Item _1"/>
    <n v="9"/>
    <x v="4"/>
    <x v="2"/>
    <n v="2021"/>
    <n v="2021"/>
    <b v="1"/>
  </r>
  <r>
    <x v="16"/>
    <m/>
    <x v="1"/>
    <s v="Centralized"/>
    <s v="Out"/>
    <m/>
    <m/>
    <m/>
    <m/>
    <m/>
    <m/>
    <s v="p"/>
    <d v="2021-07-01T00:00:00"/>
    <d v="2021-07-01T00:00:00"/>
    <n v="369047.62"/>
    <m/>
    <m/>
    <m/>
    <m/>
    <m/>
    <m/>
    <m/>
    <m/>
    <s v="_1. Item _1"/>
    <n v="7"/>
    <x v="7"/>
    <x v="2"/>
    <n v="2021"/>
    <n v="2021"/>
    <b v="1"/>
  </r>
  <r>
    <x v="4"/>
    <m/>
    <x v="1"/>
    <s v="Centralized"/>
    <s v="Out"/>
    <m/>
    <m/>
    <m/>
    <m/>
    <m/>
    <m/>
    <s v="p"/>
    <d v="2021-08-01T00:00:00"/>
    <d v="2021-08-01T00:00:00"/>
    <n v="510238.1"/>
    <m/>
    <m/>
    <m/>
    <m/>
    <m/>
    <m/>
    <m/>
    <m/>
    <s v="05. Item 05"/>
    <n v="8"/>
    <x v="5"/>
    <x v="2"/>
    <n v="2021"/>
    <n v="2021"/>
    <b v="1"/>
  </r>
  <r>
    <x v="4"/>
    <m/>
    <x v="1"/>
    <s v="Centralized"/>
    <s v="Out"/>
    <m/>
    <m/>
    <m/>
    <m/>
    <m/>
    <m/>
    <s v="p"/>
    <d v="2021-09-01T00:00:00"/>
    <d v="2021-09-01T00:00:00"/>
    <n v="557380.94999999995"/>
    <m/>
    <m/>
    <m/>
    <m/>
    <m/>
    <m/>
    <m/>
    <m/>
    <s v="05. Item 05"/>
    <n v="9"/>
    <x v="4"/>
    <x v="2"/>
    <n v="2021"/>
    <n v="2021"/>
    <b v="1"/>
  </r>
  <r>
    <x v="4"/>
    <m/>
    <x v="1"/>
    <s v="Centralized"/>
    <s v="Out"/>
    <m/>
    <m/>
    <m/>
    <m/>
    <m/>
    <m/>
    <s v="p"/>
    <d v="2021-07-01T00:00:00"/>
    <d v="2021-07-01T00:00:00"/>
    <n v="5656428.5700000003"/>
    <m/>
    <m/>
    <m/>
    <m/>
    <m/>
    <m/>
    <m/>
    <m/>
    <s v="05. Item 05"/>
    <n v="7"/>
    <x v="7"/>
    <x v="2"/>
    <n v="2021"/>
    <n v="2021"/>
    <b v="1"/>
  </r>
  <r>
    <x v="0"/>
    <m/>
    <x v="1"/>
    <s v="Centralized"/>
    <s v="Out"/>
    <m/>
    <m/>
    <m/>
    <m/>
    <m/>
    <m/>
    <s v="p"/>
    <d v="2021-08-01T00:00:00"/>
    <d v="2021-08-01T00:00:00"/>
    <n v="533333.32999999996"/>
    <m/>
    <m/>
    <m/>
    <m/>
    <m/>
    <m/>
    <m/>
    <m/>
    <s v="01. Item 01"/>
    <n v="8"/>
    <x v="5"/>
    <x v="2"/>
    <n v="2021"/>
    <n v="2021"/>
    <b v="1"/>
  </r>
  <r>
    <x v="0"/>
    <m/>
    <x v="1"/>
    <s v="Centralized"/>
    <s v="Out"/>
    <m/>
    <m/>
    <m/>
    <m/>
    <m/>
    <m/>
    <s v="p"/>
    <d v="2021-09-01T00:00:00"/>
    <d v="2021-09-01T00:00:00"/>
    <n v="507857.14"/>
    <m/>
    <m/>
    <m/>
    <m/>
    <m/>
    <m/>
    <m/>
    <m/>
    <s v="01. Item 01"/>
    <n v="9"/>
    <x v="4"/>
    <x v="2"/>
    <n v="2021"/>
    <n v="2021"/>
    <b v="1"/>
  </r>
  <r>
    <x v="0"/>
    <m/>
    <x v="1"/>
    <s v="Centralized"/>
    <s v="Out"/>
    <m/>
    <m/>
    <m/>
    <m/>
    <m/>
    <m/>
    <s v="p"/>
    <d v="2021-07-01T00:00:00"/>
    <d v="2021-07-01T00:00:00"/>
    <n v="372706.2"/>
    <m/>
    <m/>
    <m/>
    <m/>
    <m/>
    <m/>
    <m/>
    <m/>
    <s v="01. Item 01"/>
    <n v="7"/>
    <x v="7"/>
    <x v="2"/>
    <n v="2021"/>
    <n v="2021"/>
    <b v="1"/>
  </r>
  <r>
    <x v="1"/>
    <m/>
    <x v="1"/>
    <s v="Centralized"/>
    <s v="Out"/>
    <m/>
    <m/>
    <m/>
    <m/>
    <m/>
    <m/>
    <s v="p"/>
    <d v="2021-08-01T00:00:00"/>
    <d v="2021-08-01T00:00:00"/>
    <n v="666666.67000000004"/>
    <m/>
    <m/>
    <m/>
    <m/>
    <m/>
    <m/>
    <m/>
    <m/>
    <s v="02. Item 02"/>
    <n v="8"/>
    <x v="5"/>
    <x v="2"/>
    <n v="2021"/>
    <n v="2021"/>
    <b v="1"/>
  </r>
  <r>
    <x v="1"/>
    <m/>
    <x v="1"/>
    <s v="Centralized"/>
    <s v="Out"/>
    <m/>
    <m/>
    <m/>
    <m/>
    <m/>
    <m/>
    <s v="p"/>
    <d v="2021-09-01T00:00:00"/>
    <d v="2021-09-01T00:00:00"/>
    <n v="23809.52"/>
    <m/>
    <m/>
    <m/>
    <m/>
    <m/>
    <m/>
    <m/>
    <m/>
    <s v="02. Item 02"/>
    <n v="9"/>
    <x v="4"/>
    <x v="2"/>
    <n v="2021"/>
    <n v="2021"/>
    <b v="1"/>
  </r>
  <r>
    <x v="1"/>
    <m/>
    <x v="1"/>
    <s v="Centralized"/>
    <s v="In"/>
    <m/>
    <m/>
    <m/>
    <m/>
    <m/>
    <m/>
    <s v="p"/>
    <d v="2021-07-01T00:00:00"/>
    <d v="2021-07-01T00:00:00"/>
    <n v="42771190.479999997"/>
    <m/>
    <m/>
    <m/>
    <m/>
    <m/>
    <m/>
    <m/>
    <m/>
    <s v="02. Item 02"/>
    <n v="7"/>
    <x v="7"/>
    <x v="2"/>
    <n v="2021"/>
    <n v="2021"/>
    <b v="1"/>
  </r>
  <r>
    <x v="22"/>
    <m/>
    <x v="1"/>
    <s v="Decentralized"/>
    <s v="In"/>
    <m/>
    <m/>
    <m/>
    <m/>
    <m/>
    <m/>
    <s v="p"/>
    <d v="2021-08-01T00:00:00"/>
    <d v="2021-08-01T00:00:00"/>
    <n v="52619.05"/>
    <m/>
    <m/>
    <m/>
    <m/>
    <m/>
    <m/>
    <m/>
    <m/>
    <s v="04. Item 04"/>
    <n v="8"/>
    <x v="5"/>
    <x v="2"/>
    <n v="2021"/>
    <n v="2021"/>
    <b v="1"/>
  </r>
  <r>
    <x v="22"/>
    <m/>
    <x v="1"/>
    <s v="Decentralized"/>
    <s v="In"/>
    <m/>
    <m/>
    <m/>
    <m/>
    <m/>
    <m/>
    <s v="p"/>
    <d v="2021-08-01T00:00:00"/>
    <d v="2021-08-01T00:00:00"/>
    <n v="553809.52"/>
    <m/>
    <m/>
    <m/>
    <m/>
    <m/>
    <m/>
    <m/>
    <m/>
    <s v="04. Item 04"/>
    <n v="8"/>
    <x v="5"/>
    <x v="2"/>
    <n v="2021"/>
    <n v="2021"/>
    <b v="1"/>
  </r>
  <r>
    <x v="22"/>
    <m/>
    <x v="1"/>
    <s v="Centralized"/>
    <s v="In"/>
    <m/>
    <m/>
    <m/>
    <m/>
    <m/>
    <m/>
    <s v="p"/>
    <d v="2021-09-01T00:00:00"/>
    <d v="2021-09-01T00:00:00"/>
    <n v="58548095.240000002"/>
    <m/>
    <m/>
    <m/>
    <m/>
    <m/>
    <m/>
    <m/>
    <m/>
    <s v="04. Item 04"/>
    <n v="9"/>
    <x v="4"/>
    <x v="2"/>
    <n v="2021"/>
    <n v="2021"/>
    <b v="1"/>
  </r>
  <r>
    <x v="3"/>
    <m/>
    <x v="1"/>
    <s v="Decentralized"/>
    <s v="In"/>
    <m/>
    <m/>
    <m/>
    <m/>
    <m/>
    <m/>
    <s v="p"/>
    <d v="2021-09-01T00:00:00"/>
    <d v="2021-09-01T00:00:00"/>
    <n v="55238.1"/>
    <m/>
    <m/>
    <m/>
    <m/>
    <m/>
    <m/>
    <m/>
    <m/>
    <s v="04. Item 04"/>
    <n v="9"/>
    <x v="4"/>
    <x v="2"/>
    <n v="2021"/>
    <n v="2021"/>
    <b v="1"/>
  </r>
  <r>
    <x v="3"/>
    <m/>
    <x v="1"/>
    <s v="Decentralized"/>
    <s v="In"/>
    <m/>
    <m/>
    <m/>
    <m/>
    <m/>
    <m/>
    <s v="p"/>
    <d v="2021-09-01T00:00:00"/>
    <d v="2021-09-01T00:00:00"/>
    <n v="553571.43000000005"/>
    <m/>
    <m/>
    <m/>
    <m/>
    <m/>
    <m/>
    <m/>
    <m/>
    <s v="04. Item 04"/>
    <n v="9"/>
    <x v="4"/>
    <x v="2"/>
    <n v="2021"/>
    <n v="2021"/>
    <b v="1"/>
  </r>
  <r>
    <x v="3"/>
    <m/>
    <x v="1"/>
    <s v="Centralized"/>
    <s v="Out"/>
    <m/>
    <m/>
    <m/>
    <m/>
    <n v="3"/>
    <s v="COMPLETE"/>
    <s v="f"/>
    <d v="2021-06-24T00:00:00"/>
    <d v="2021-07-06T00:00:00"/>
    <m/>
    <n v="4.71"/>
    <m/>
    <m/>
    <m/>
    <m/>
    <m/>
    <m/>
    <m/>
    <s v="04. Item 04"/>
    <n v="6"/>
    <x v="7"/>
    <x v="2"/>
    <n v="2021"/>
    <n v="2021"/>
    <b v="1"/>
  </r>
  <r>
    <x v="4"/>
    <m/>
    <x v="1"/>
    <s v="Centralized"/>
    <s v="Out"/>
    <m/>
    <m/>
    <m/>
    <m/>
    <n v="3"/>
    <s v="COMPLETE"/>
    <s v="f"/>
    <d v="2021-06-24T00:00:00"/>
    <d v="2021-07-08T00:00:00"/>
    <m/>
    <n v="7783.95"/>
    <m/>
    <m/>
    <m/>
    <m/>
    <m/>
    <m/>
    <m/>
    <s v="05. Item 05"/>
    <n v="6"/>
    <x v="7"/>
    <x v="2"/>
    <n v="2021"/>
    <n v="2021"/>
    <b v="1"/>
  </r>
  <r>
    <x v="4"/>
    <m/>
    <x v="1"/>
    <s v="Centralized"/>
    <s v="Out"/>
    <m/>
    <m/>
    <m/>
    <m/>
    <n v="3"/>
    <s v="COMPLETE"/>
    <s v="f"/>
    <d v="2021-07-01T00:00:00"/>
    <d v="2021-07-09T00:00:00"/>
    <m/>
    <n v="3445.91"/>
    <m/>
    <m/>
    <m/>
    <m/>
    <m/>
    <m/>
    <m/>
    <s v="05. Item 05"/>
    <n v="7"/>
    <x v="7"/>
    <x v="2"/>
    <n v="2021"/>
    <n v="2021"/>
    <b v="1"/>
  </r>
  <r>
    <x v="4"/>
    <m/>
    <x v="1"/>
    <s v="Centralized"/>
    <s v="In"/>
    <m/>
    <m/>
    <m/>
    <m/>
    <m/>
    <s v="COMPLETE"/>
    <s v="f"/>
    <d v="2021-07-01T00:00:00"/>
    <d v="2021-07-01T00:00:00"/>
    <m/>
    <n v="2082.34"/>
    <m/>
    <m/>
    <m/>
    <m/>
    <m/>
    <m/>
    <m/>
    <s v="05. Item 05"/>
    <n v="7"/>
    <x v="7"/>
    <x v="2"/>
    <n v="2021"/>
    <n v="2021"/>
    <b v="1"/>
  </r>
  <r>
    <x v="5"/>
    <m/>
    <x v="1"/>
    <s v="Decentralized"/>
    <s v="Out"/>
    <m/>
    <m/>
    <m/>
    <m/>
    <n v="4"/>
    <s v="COMPLETE"/>
    <s v="f"/>
    <d v="2021-06-24T00:00:00"/>
    <d v="2021-07-01T00:00:00"/>
    <m/>
    <n v="2082.34"/>
    <m/>
    <m/>
    <m/>
    <m/>
    <m/>
    <m/>
    <m/>
    <s v="05. Item 05"/>
    <n v="6"/>
    <x v="7"/>
    <x v="2"/>
    <n v="2021"/>
    <n v="2021"/>
    <b v="1"/>
  </r>
  <r>
    <x v="5"/>
    <m/>
    <x v="1"/>
    <s v="Centralized"/>
    <s v="Out"/>
    <m/>
    <m/>
    <m/>
    <m/>
    <n v="1"/>
    <s v="COMPLETE"/>
    <s v="f"/>
    <d v="2021-07-02T00:00:00"/>
    <d v="2021-07-13T00:00:00"/>
    <m/>
    <n v="67137.320000000007"/>
    <m/>
    <m/>
    <m/>
    <m/>
    <m/>
    <m/>
    <m/>
    <s v="05. Item 05"/>
    <n v="7"/>
    <x v="7"/>
    <x v="2"/>
    <n v="2021"/>
    <n v="2021"/>
    <b v="1"/>
  </r>
  <r>
    <x v="15"/>
    <m/>
    <x v="1"/>
    <s v="Centralized"/>
    <s v="Out"/>
    <m/>
    <m/>
    <m/>
    <m/>
    <n v="1"/>
    <s v="COMPLETE"/>
    <s v="f"/>
    <d v="2021-07-02T00:00:00"/>
    <d v="2021-07-14T00:00:00"/>
    <m/>
    <n v="3095238.1"/>
    <m/>
    <m/>
    <m/>
    <m/>
    <m/>
    <m/>
    <m/>
    <s v="06. Item 06"/>
    <n v="7"/>
    <x v="7"/>
    <x v="2"/>
    <n v="2021"/>
    <n v="2021"/>
    <b v="1"/>
  </r>
  <r>
    <x v="15"/>
    <m/>
    <x v="1"/>
    <s v="Centralized"/>
    <s v="Out"/>
    <m/>
    <m/>
    <m/>
    <m/>
    <n v="1"/>
    <s v="COMPLETE"/>
    <s v="f"/>
    <d v="2021-07-02T00:00:00"/>
    <d v="2021-07-16T00:00:00"/>
    <m/>
    <n v="163969.01999999999"/>
    <m/>
    <m/>
    <m/>
    <m/>
    <m/>
    <m/>
    <m/>
    <s v="06. Item 06"/>
    <n v="7"/>
    <x v="7"/>
    <x v="2"/>
    <n v="2021"/>
    <n v="2021"/>
    <b v="1"/>
  </r>
  <r>
    <x v="15"/>
    <m/>
    <x v="1"/>
    <s v="Centralized"/>
    <s v="In"/>
    <m/>
    <m/>
    <m/>
    <m/>
    <m/>
    <s v="COMPLETE"/>
    <s v="f"/>
    <d v="2021-07-02T00:00:00"/>
    <d v="2021-07-02T00:00:00"/>
    <m/>
    <n v="35631.81"/>
    <m/>
    <m/>
    <m/>
    <m/>
    <m/>
    <m/>
    <m/>
    <s v="06. Item 06"/>
    <n v="7"/>
    <x v="7"/>
    <x v="2"/>
    <n v="2021"/>
    <n v="2021"/>
    <b v="1"/>
  </r>
  <r>
    <x v="6"/>
    <m/>
    <x v="1"/>
    <s v="Centralized"/>
    <s v="Out"/>
    <m/>
    <m/>
    <m/>
    <s v="X"/>
    <n v="1"/>
    <s v="COMPLETE"/>
    <s v="f"/>
    <d v="2021-07-02T00:00:00"/>
    <d v="2021-07-16T00:00:00"/>
    <m/>
    <n v="15140.28"/>
    <m/>
    <m/>
    <m/>
    <m/>
    <m/>
    <m/>
    <m/>
    <s v="07. Item 07"/>
    <n v="7"/>
    <x v="7"/>
    <x v="2"/>
    <n v="2021"/>
    <n v="2021"/>
    <b v="1"/>
  </r>
  <r>
    <x v="6"/>
    <m/>
    <x v="1"/>
    <s v="Centralized"/>
    <s v="Out"/>
    <m/>
    <m/>
    <m/>
    <m/>
    <n v="1"/>
    <s v="COMPLETE"/>
    <s v="f"/>
    <d v="2021-07-02T00:00:00"/>
    <d v="2021-07-16T00:00:00"/>
    <m/>
    <n v="1189.6400000000001"/>
    <m/>
    <m/>
    <m/>
    <m/>
    <m/>
    <m/>
    <m/>
    <s v="07. Item 07"/>
    <n v="7"/>
    <x v="7"/>
    <x v="2"/>
    <n v="2021"/>
    <n v="2021"/>
    <b v="1"/>
  </r>
  <r>
    <x v="6"/>
    <m/>
    <x v="1"/>
    <s v="Centralized"/>
    <s v="Out"/>
    <m/>
    <m/>
    <m/>
    <s v="X"/>
    <n v="1"/>
    <s v="COMPLETE"/>
    <s v="f"/>
    <d v="2021-07-02T00:00:00"/>
    <d v="2021-07-14T00:00:00"/>
    <m/>
    <n v="11439.3"/>
    <m/>
    <m/>
    <m/>
    <m/>
    <m/>
    <m/>
    <m/>
    <s v="07. Item 07"/>
    <n v="7"/>
    <x v="7"/>
    <x v="2"/>
    <n v="2021"/>
    <n v="2021"/>
    <b v="1"/>
  </r>
  <r>
    <x v="7"/>
    <m/>
    <x v="1"/>
    <s v="Centralized"/>
    <s v="Out"/>
    <m/>
    <m/>
    <m/>
    <m/>
    <n v="1"/>
    <s v="COMPLETE"/>
    <s v="f"/>
    <d v="2021-07-02T00:00:00"/>
    <d v="2021-07-09T00:00:00"/>
    <m/>
    <n v="5693.97"/>
    <m/>
    <m/>
    <m/>
    <m/>
    <m/>
    <m/>
    <m/>
    <s v="08. Item 08"/>
    <n v="7"/>
    <x v="7"/>
    <x v="2"/>
    <n v="2021"/>
    <n v="2021"/>
    <b v="1"/>
  </r>
  <r>
    <x v="7"/>
    <m/>
    <x v="1"/>
    <s v="Centralized"/>
    <s v="Out"/>
    <m/>
    <m/>
    <m/>
    <m/>
    <n v="1"/>
    <s v="COMPLETE"/>
    <s v="f"/>
    <d v="2021-07-02T00:00:00"/>
    <d v="2021-07-12T00:00:00"/>
    <m/>
    <n v="25092.95"/>
    <m/>
    <m/>
    <m/>
    <m/>
    <m/>
    <m/>
    <m/>
    <s v="08. Item 08"/>
    <n v="7"/>
    <x v="7"/>
    <x v="2"/>
    <n v="2021"/>
    <n v="2021"/>
    <b v="1"/>
  </r>
  <r>
    <x v="7"/>
    <m/>
    <x v="1"/>
    <s v="Centralized"/>
    <s v="Out"/>
    <m/>
    <m/>
    <m/>
    <m/>
    <n v="1"/>
    <s v="COMPLETE"/>
    <s v="f"/>
    <d v="2021-07-02T00:00:00"/>
    <d v="2021-07-13T00:00:00"/>
    <m/>
    <n v="27049.01"/>
    <m/>
    <m/>
    <m/>
    <m/>
    <m/>
    <m/>
    <m/>
    <s v="08. Item 08"/>
    <n v="7"/>
    <x v="7"/>
    <x v="2"/>
    <n v="2021"/>
    <n v="2021"/>
    <b v="1"/>
  </r>
  <r>
    <x v="10"/>
    <m/>
    <x v="1"/>
    <s v="Centralized"/>
    <s v="Out"/>
    <m/>
    <m/>
    <m/>
    <s v="X"/>
    <n v="1"/>
    <s v="COMPLETE"/>
    <s v="f"/>
    <d v="2021-07-02T00:00:00"/>
    <d v="2021-07-14T00:00:00"/>
    <m/>
    <n v="1114.06"/>
    <m/>
    <m/>
    <m/>
    <m/>
    <m/>
    <m/>
    <m/>
    <s v="11. Item 11"/>
    <n v="7"/>
    <x v="7"/>
    <x v="2"/>
    <n v="2021"/>
    <n v="2021"/>
    <b v="1"/>
  </r>
  <r>
    <x v="10"/>
    <m/>
    <x v="1"/>
    <s v="Centralized"/>
    <s v="Out"/>
    <m/>
    <m/>
    <m/>
    <m/>
    <n v="1"/>
    <s v="COMPLETE"/>
    <s v="f"/>
    <d v="2021-07-02T00:00:00"/>
    <d v="2021-07-14T00:00:00"/>
    <m/>
    <n v="119246.87"/>
    <m/>
    <m/>
    <m/>
    <m/>
    <m/>
    <m/>
    <m/>
    <s v="11. Item 11"/>
    <n v="7"/>
    <x v="7"/>
    <x v="2"/>
    <n v="2021"/>
    <n v="2021"/>
    <b v="1"/>
  </r>
  <r>
    <x v="10"/>
    <m/>
    <x v="1"/>
    <s v="Centralized"/>
    <s v="Out"/>
    <m/>
    <m/>
    <m/>
    <m/>
    <m/>
    <s v="COMPLETE"/>
    <s v="f"/>
    <d v="2021-07-06T00:00:00"/>
    <d v="2021-07-21T00:00:00"/>
    <m/>
    <n v="230.95"/>
    <m/>
    <m/>
    <m/>
    <m/>
    <m/>
    <m/>
    <m/>
    <s v="11. Item 11"/>
    <n v="7"/>
    <x v="7"/>
    <x v="2"/>
    <n v="2021"/>
    <n v="2021"/>
    <b v="1"/>
  </r>
  <r>
    <x v="23"/>
    <m/>
    <x v="1"/>
    <s v="Centralized"/>
    <s v="In"/>
    <m/>
    <m/>
    <m/>
    <m/>
    <m/>
    <s v="COMPLETE"/>
    <s v="f"/>
    <d v="2021-07-06T00:00:00"/>
    <d v="2021-07-06T00:00:00"/>
    <m/>
    <n v="4.71"/>
    <m/>
    <m/>
    <m/>
    <m/>
    <m/>
    <m/>
    <m/>
    <s v="21. Item 21"/>
    <n v="7"/>
    <x v="7"/>
    <x v="2"/>
    <n v="2021"/>
    <n v="2021"/>
    <b v="1"/>
  </r>
  <r>
    <x v="23"/>
    <m/>
    <x v="1"/>
    <s v="Centralized"/>
    <s v="Out"/>
    <m/>
    <m/>
    <m/>
    <m/>
    <n v="1"/>
    <s v="COMPLETE"/>
    <s v="f"/>
    <d v="2021-07-05T00:00:00"/>
    <d v="2021-07-15T00:00:00"/>
    <m/>
    <n v="7417.45"/>
    <m/>
    <m/>
    <m/>
    <m/>
    <m/>
    <m/>
    <m/>
    <s v="21. Item 21"/>
    <n v="7"/>
    <x v="7"/>
    <x v="2"/>
    <n v="2021"/>
    <n v="2021"/>
    <b v="1"/>
  </r>
  <r>
    <x v="23"/>
    <m/>
    <x v="1"/>
    <s v="Centralized"/>
    <s v="In"/>
    <m/>
    <m/>
    <m/>
    <m/>
    <m/>
    <s v="COMPLETE"/>
    <s v="f"/>
    <d v="2021-07-07T00:00:00"/>
    <d v="2021-07-07T00:00:00"/>
    <m/>
    <n v="989285.71"/>
    <m/>
    <m/>
    <m/>
    <m/>
    <m/>
    <m/>
    <m/>
    <s v="21. Item 21"/>
    <n v="7"/>
    <x v="7"/>
    <x v="2"/>
    <n v="2021"/>
    <n v="2021"/>
    <b v="1"/>
  </r>
  <r>
    <x v="20"/>
    <m/>
    <x v="1"/>
    <s v="Centralized"/>
    <s v="Out"/>
    <m/>
    <m/>
    <m/>
    <m/>
    <m/>
    <m/>
    <s v="p"/>
    <d v="2021-07-01T00:00:00"/>
    <d v="2021-07-01T00:00:00"/>
    <n v="23.81"/>
    <m/>
    <m/>
    <m/>
    <m/>
    <m/>
    <m/>
    <m/>
    <m/>
    <s v="14. Item 14"/>
    <n v="7"/>
    <x v="7"/>
    <x v="2"/>
    <n v="2021"/>
    <n v="2021"/>
    <b v="1"/>
  </r>
  <r>
    <x v="20"/>
    <m/>
    <x v="1"/>
    <s v="Centralized"/>
    <s v="Out"/>
    <m/>
    <m/>
    <m/>
    <m/>
    <n v="3"/>
    <s v="COMPLETE"/>
    <s v="f"/>
    <d v="2021-07-01T00:00:00"/>
    <d v="2021-07-16T00:00:00"/>
    <m/>
    <n v="6941.46"/>
    <m/>
    <m/>
    <m/>
    <m/>
    <m/>
    <m/>
    <m/>
    <s v="14. Item 14"/>
    <n v="7"/>
    <x v="7"/>
    <x v="2"/>
    <n v="2021"/>
    <n v="2021"/>
    <b v="1"/>
  </r>
  <r>
    <x v="20"/>
    <m/>
    <x v="1"/>
    <s v="Centralized"/>
    <s v="Out"/>
    <m/>
    <m/>
    <m/>
    <m/>
    <n v="3"/>
    <s v="COMPLETE"/>
    <s v="f"/>
    <d v="2021-07-01T00:00:00"/>
    <d v="2021-07-20T00:00:00"/>
    <m/>
    <n v="49567.85"/>
    <m/>
    <m/>
    <m/>
    <m/>
    <m/>
    <m/>
    <m/>
    <s v="14. Item 14"/>
    <n v="7"/>
    <x v="7"/>
    <x v="2"/>
    <n v="2021"/>
    <n v="2021"/>
    <b v="1"/>
  </r>
  <r>
    <x v="9"/>
    <m/>
    <x v="1"/>
    <s v="Centralized"/>
    <s v="Out"/>
    <m/>
    <m/>
    <m/>
    <m/>
    <n v="4"/>
    <s v="COMPLETE"/>
    <s v="f"/>
    <d v="2021-07-01T00:00:00"/>
    <d v="2021-07-28T00:00:00"/>
    <m/>
    <n v="3551.99"/>
    <m/>
    <m/>
    <m/>
    <m/>
    <m/>
    <m/>
    <m/>
    <s v="09. Item 09"/>
    <n v="7"/>
    <x v="7"/>
    <x v="2"/>
    <n v="2021"/>
    <n v="2021"/>
    <b v="1"/>
  </r>
  <r>
    <x v="9"/>
    <m/>
    <x v="1"/>
    <s v="Centralized"/>
    <s v="Out"/>
    <m/>
    <m/>
    <m/>
    <m/>
    <n v="4"/>
    <s v="COMPLETE"/>
    <s v="f"/>
    <d v="2021-07-12T00:00:00"/>
    <d v="2021-07-22T00:00:00"/>
    <m/>
    <n v="21110.15"/>
    <m/>
    <m/>
    <m/>
    <m/>
    <m/>
    <m/>
    <m/>
    <s v="09. Item 09"/>
    <n v="7"/>
    <x v="7"/>
    <x v="2"/>
    <n v="2021"/>
    <n v="2021"/>
    <b v="1"/>
  </r>
  <r>
    <x v="9"/>
    <m/>
    <x v="1"/>
    <s v="Centralized"/>
    <s v="In"/>
    <m/>
    <m/>
    <m/>
    <m/>
    <m/>
    <s v="COMPLETE"/>
    <s v="f"/>
    <d v="2021-07-12T00:00:00"/>
    <d v="2021-07-12T00:00:00"/>
    <m/>
    <n v="25092.95"/>
    <m/>
    <m/>
    <m/>
    <m/>
    <m/>
    <m/>
    <m/>
    <s v="09. Item 09"/>
    <n v="7"/>
    <x v="7"/>
    <x v="2"/>
    <n v="2021"/>
    <n v="2021"/>
    <b v="1"/>
  </r>
  <r>
    <x v="21"/>
    <m/>
    <x v="2"/>
    <s v="Centralized"/>
    <s v="In"/>
    <m/>
    <m/>
    <m/>
    <m/>
    <m/>
    <m/>
    <s v="f"/>
    <d v="2021-06-30T00:00:00"/>
    <d v="2021-06-30T00:00:00"/>
    <m/>
    <n v="42615113.75"/>
    <m/>
    <m/>
    <m/>
    <m/>
    <m/>
    <m/>
    <m/>
    <s v="09. Item 09"/>
    <n v="6"/>
    <x v="9"/>
    <x v="2"/>
    <n v="2021"/>
    <n v="2021"/>
    <b v="1"/>
  </r>
  <r>
    <x v="21"/>
    <m/>
    <x v="1"/>
    <s v="Centralized"/>
    <s v="In"/>
    <m/>
    <m/>
    <m/>
    <m/>
    <m/>
    <s v="COMPLETE"/>
    <s v="f"/>
    <d v="2021-07-13T00:00:00"/>
    <d v="2021-07-13T00:00:00"/>
    <m/>
    <n v="97043.47"/>
    <m/>
    <m/>
    <m/>
    <m/>
    <m/>
    <m/>
    <m/>
    <s v="09. Item 09"/>
    <n v="7"/>
    <x v="7"/>
    <x v="2"/>
    <n v="2021"/>
    <n v="2021"/>
    <b v="1"/>
  </r>
  <r>
    <x v="21"/>
    <m/>
    <x v="1"/>
    <s v="Centralized"/>
    <s v="In"/>
    <m/>
    <m/>
    <m/>
    <m/>
    <m/>
    <s v="COMPLETE"/>
    <s v="f"/>
    <d v="2021-07-14T00:00:00"/>
    <d v="2021-07-14T00:00:00"/>
    <m/>
    <n v="3371449.98"/>
    <m/>
    <m/>
    <m/>
    <m/>
    <m/>
    <m/>
    <m/>
    <s v="09. Item 09"/>
    <n v="7"/>
    <x v="7"/>
    <x v="2"/>
    <n v="2021"/>
    <n v="2021"/>
    <b v="1"/>
  </r>
  <r>
    <x v="8"/>
    <m/>
    <x v="1"/>
    <s v="Centralized"/>
    <s v="Out"/>
    <m/>
    <m/>
    <m/>
    <m/>
    <n v="3"/>
    <s v="COMPLETE"/>
    <s v="f"/>
    <d v="2021-07-15T00:00:00"/>
    <d v="2021-07-30T00:00:00"/>
    <m/>
    <n v="9822136.75"/>
    <m/>
    <m/>
    <m/>
    <m/>
    <m/>
    <m/>
    <m/>
    <s v="09. Item 09"/>
    <n v="7"/>
    <x v="7"/>
    <x v="2"/>
    <n v="2021"/>
    <n v="2021"/>
    <b v="1"/>
  </r>
  <r>
    <x v="8"/>
    <m/>
    <x v="1"/>
    <s v="Centralized"/>
    <s v="Out"/>
    <m/>
    <m/>
    <m/>
    <m/>
    <n v="3"/>
    <s v="COMPLETE"/>
    <s v="f"/>
    <d v="2021-07-15T00:00:00"/>
    <d v="2021-07-30T00:00:00"/>
    <m/>
    <n v="6268148.2000000002"/>
    <m/>
    <m/>
    <m/>
    <m/>
    <m/>
    <m/>
    <m/>
    <s v="09. Item 09"/>
    <n v="7"/>
    <x v="7"/>
    <x v="2"/>
    <n v="2021"/>
    <n v="2021"/>
    <b v="1"/>
  </r>
  <r>
    <x v="8"/>
    <m/>
    <x v="1"/>
    <s v="Centralized"/>
    <s v="Out"/>
    <m/>
    <m/>
    <m/>
    <m/>
    <n v="3"/>
    <s v="COMPLETE"/>
    <s v="f"/>
    <d v="2021-07-15T00:00:00"/>
    <d v="2021-07-27T00:00:00"/>
    <m/>
    <n v="857281.19"/>
    <m/>
    <m/>
    <m/>
    <m/>
    <m/>
    <m/>
    <m/>
    <s v="09. Item 09"/>
    <n v="7"/>
    <x v="7"/>
    <x v="2"/>
    <n v="2021"/>
    <n v="2021"/>
    <b v="1"/>
  </r>
  <r>
    <x v="16"/>
    <m/>
    <x v="1"/>
    <s v="Centralized"/>
    <s v="Out"/>
    <m/>
    <m/>
    <m/>
    <m/>
    <n v="3"/>
    <s v="COMPLETE"/>
    <s v="f"/>
    <d v="2021-07-15T00:00:00"/>
    <d v="2021-07-27T00:00:00"/>
    <m/>
    <n v="2845179.14"/>
    <m/>
    <m/>
    <m/>
    <m/>
    <m/>
    <m/>
    <m/>
    <s v="_1. Item _1"/>
    <n v="7"/>
    <x v="7"/>
    <x v="2"/>
    <n v="2021"/>
    <n v="2021"/>
    <b v="1"/>
  </r>
  <r>
    <x v="16"/>
    <m/>
    <x v="1"/>
    <s v="Centralized"/>
    <s v="Out"/>
    <m/>
    <m/>
    <m/>
    <m/>
    <n v="3"/>
    <s v="COMPLETE"/>
    <s v="f"/>
    <d v="2021-07-15T00:00:00"/>
    <d v="2021-07-27T00:00:00"/>
    <m/>
    <n v="2362.15"/>
    <m/>
    <m/>
    <m/>
    <m/>
    <m/>
    <m/>
    <m/>
    <s v="_1. Item _1"/>
    <n v="7"/>
    <x v="7"/>
    <x v="2"/>
    <n v="2021"/>
    <n v="2021"/>
    <b v="1"/>
  </r>
  <r>
    <x v="19"/>
    <m/>
    <x v="1"/>
    <s v="Centralized"/>
    <s v="Out"/>
    <m/>
    <m/>
    <m/>
    <m/>
    <n v="3"/>
    <s v="COMPLETE"/>
    <s v="f"/>
    <d v="2021-07-15T00:00:00"/>
    <d v="2021-07-26T00:00:00"/>
    <m/>
    <n v="50873.43"/>
    <m/>
    <m/>
    <m/>
    <m/>
    <m/>
    <m/>
    <m/>
    <s v="_2. Item _2"/>
    <n v="7"/>
    <x v="7"/>
    <x v="2"/>
    <n v="2021"/>
    <n v="2021"/>
    <b v="1"/>
  </r>
  <r>
    <x v="16"/>
    <m/>
    <x v="1"/>
    <s v="Centralized"/>
    <s v="Out"/>
    <m/>
    <m/>
    <m/>
    <m/>
    <n v="3"/>
    <s v="COMPLETE"/>
    <s v="f"/>
    <d v="2021-07-15T00:00:00"/>
    <d v="2021-07-27T00:00:00"/>
    <m/>
    <n v="1004424.04"/>
    <m/>
    <m/>
    <m/>
    <m/>
    <m/>
    <m/>
    <m/>
    <s v="_1. Item _1"/>
    <n v="7"/>
    <x v="7"/>
    <x v="2"/>
    <n v="2021"/>
    <n v="2021"/>
    <b v="1"/>
  </r>
  <r>
    <x v="16"/>
    <m/>
    <x v="1"/>
    <s v="Centralized"/>
    <s v="Out"/>
    <m/>
    <m/>
    <m/>
    <m/>
    <n v="3"/>
    <s v="COMPLETE"/>
    <s v="f"/>
    <d v="2021-07-15T00:00:00"/>
    <d v="2021-07-27T00:00:00"/>
    <m/>
    <n v="148823.53"/>
    <m/>
    <m/>
    <m/>
    <m/>
    <m/>
    <m/>
    <m/>
    <s v="_1. Item _1"/>
    <n v="7"/>
    <x v="7"/>
    <x v="2"/>
    <n v="2021"/>
    <n v="2021"/>
    <b v="1"/>
  </r>
  <r>
    <x v="19"/>
    <m/>
    <x v="1"/>
    <s v="Centralized"/>
    <s v="Out"/>
    <m/>
    <m/>
    <m/>
    <s v="X"/>
    <n v="3"/>
    <s v="COMPLETE"/>
    <s v="f"/>
    <d v="2021-07-15T00:00:00"/>
    <d v="2021-07-29T00:00:00"/>
    <m/>
    <n v="463342.86"/>
    <m/>
    <m/>
    <m/>
    <m/>
    <m/>
    <m/>
    <m/>
    <s v="_2. Item _2"/>
    <n v="7"/>
    <x v="7"/>
    <x v="2"/>
    <n v="2021"/>
    <n v="2021"/>
    <b v="1"/>
  </r>
  <r>
    <x v="16"/>
    <m/>
    <x v="1"/>
    <s v="Centralized"/>
    <s v="Out"/>
    <m/>
    <m/>
    <m/>
    <m/>
    <n v="1"/>
    <s v="COMPLETE"/>
    <s v="f"/>
    <d v="2021-07-15T00:00:00"/>
    <d v="2021-07-30T00:00:00"/>
    <m/>
    <n v="1995499.69"/>
    <m/>
    <m/>
    <m/>
    <m/>
    <m/>
    <m/>
    <m/>
    <s v="_1. Item _1"/>
    <n v="7"/>
    <x v="7"/>
    <x v="2"/>
    <n v="2021"/>
    <n v="2021"/>
    <b v="1"/>
  </r>
  <r>
    <x v="16"/>
    <m/>
    <x v="1"/>
    <s v="Centralized"/>
    <s v="Out"/>
    <m/>
    <m/>
    <m/>
    <m/>
    <n v="3"/>
    <s v="COMPLETE"/>
    <s v="f"/>
    <d v="2021-07-15T00:00:00"/>
    <d v="2021-07-30T00:00:00"/>
    <m/>
    <n v="846055.61"/>
    <m/>
    <m/>
    <m/>
    <m/>
    <m/>
    <m/>
    <m/>
    <s v="_1. Item _1"/>
    <n v="7"/>
    <x v="7"/>
    <x v="2"/>
    <n v="2021"/>
    <n v="2021"/>
    <b v="1"/>
  </r>
  <r>
    <x v="19"/>
    <m/>
    <x v="1"/>
    <s v="Centralized"/>
    <s v="Out"/>
    <m/>
    <m/>
    <m/>
    <m/>
    <n v="3"/>
    <s v="COMPLETE"/>
    <s v="f"/>
    <d v="2021-07-15T00:00:00"/>
    <d v="2021-07-21T00:00:00"/>
    <m/>
    <n v="10021.18"/>
    <m/>
    <m/>
    <m/>
    <m/>
    <m/>
    <m/>
    <m/>
    <s v="_2. Item _2"/>
    <n v="7"/>
    <x v="7"/>
    <x v="2"/>
    <n v="2021"/>
    <n v="2021"/>
    <b v="1"/>
  </r>
  <r>
    <x v="8"/>
    <m/>
    <x v="1"/>
    <s v="Centralized"/>
    <s v="Out"/>
    <m/>
    <m/>
    <m/>
    <m/>
    <n v="3"/>
    <s v="COMPLETE"/>
    <s v="f"/>
    <d v="2021-07-15T00:00:00"/>
    <d v="2021-07-26T00:00:00"/>
    <m/>
    <n v="1864.95"/>
    <m/>
    <m/>
    <m/>
    <m/>
    <m/>
    <m/>
    <m/>
    <s v="09. Item 09"/>
    <n v="7"/>
    <x v="7"/>
    <x v="2"/>
    <n v="2021"/>
    <n v="2021"/>
    <b v="1"/>
  </r>
  <r>
    <x v="8"/>
    <m/>
    <x v="1"/>
    <s v="Centralized"/>
    <s v="Out"/>
    <m/>
    <m/>
    <m/>
    <m/>
    <n v="3"/>
    <s v="COMPLETE"/>
    <s v="f"/>
    <d v="2021-07-15T00:00:00"/>
    <d v="2021-07-26T00:00:00"/>
    <m/>
    <n v="2583333.33"/>
    <m/>
    <m/>
    <m/>
    <m/>
    <m/>
    <m/>
    <m/>
    <s v="09. Item 09"/>
    <n v="7"/>
    <x v="7"/>
    <x v="2"/>
    <n v="2021"/>
    <n v="2021"/>
    <b v="1"/>
  </r>
  <r>
    <x v="8"/>
    <m/>
    <x v="1"/>
    <s v="Centralized"/>
    <s v="Out"/>
    <m/>
    <m/>
    <m/>
    <m/>
    <n v="3"/>
    <s v="COMPLETE"/>
    <s v="f"/>
    <d v="2021-07-12T00:00:00"/>
    <d v="2021-07-20T00:00:00"/>
    <m/>
    <n v="313.39999999999998"/>
    <m/>
    <m/>
    <m/>
    <m/>
    <m/>
    <m/>
    <m/>
    <s v="09. Item 09"/>
    <n v="7"/>
    <x v="7"/>
    <x v="2"/>
    <n v="2021"/>
    <n v="2021"/>
    <b v="1"/>
  </r>
  <r>
    <x v="36"/>
    <m/>
    <x v="1"/>
    <s v="Centralized"/>
    <s v="Out"/>
    <m/>
    <m/>
    <m/>
    <m/>
    <n v="3"/>
    <s v="COMPLETE"/>
    <s v="f"/>
    <d v="2021-07-12T00:00:00"/>
    <d v="2021-07-20T00:00:00"/>
    <m/>
    <n v="19799.25"/>
    <m/>
    <m/>
    <m/>
    <m/>
    <m/>
    <m/>
    <m/>
    <s v="_3. Item _3"/>
    <n v="7"/>
    <x v="7"/>
    <x v="2"/>
    <n v="2021"/>
    <n v="2021"/>
    <b v="1"/>
  </r>
  <r>
    <x v="35"/>
    <m/>
    <x v="1"/>
    <s v="Centralized"/>
    <s v="Out"/>
    <m/>
    <m/>
    <m/>
    <m/>
    <n v="3"/>
    <s v="COMPLETE"/>
    <s v="f"/>
    <d v="2021-07-14T00:00:00"/>
    <d v="2021-07-30T00:00:00"/>
    <m/>
    <n v="19324.88"/>
    <m/>
    <m/>
    <m/>
    <m/>
    <m/>
    <m/>
    <m/>
    <s v="17. Item 17"/>
    <n v="7"/>
    <x v="7"/>
    <x v="2"/>
    <n v="2021"/>
    <n v="2021"/>
    <b v="1"/>
  </r>
  <r>
    <x v="11"/>
    <m/>
    <x v="1"/>
    <s v="Centralized"/>
    <s v="Out"/>
    <m/>
    <m/>
    <m/>
    <m/>
    <n v="3"/>
    <s v="COMPLETE"/>
    <s v="f"/>
    <d v="2021-07-15T00:00:00"/>
    <d v="2021-07-27T00:00:00"/>
    <m/>
    <n v="37965.019999999997"/>
    <m/>
    <m/>
    <m/>
    <m/>
    <m/>
    <m/>
    <m/>
    <s v="13. Item 13"/>
    <n v="7"/>
    <x v="7"/>
    <x v="2"/>
    <n v="2021"/>
    <n v="2021"/>
    <b v="1"/>
  </r>
  <r>
    <x v="15"/>
    <m/>
    <x v="1"/>
    <s v="Centralized"/>
    <s v="Out"/>
    <m/>
    <m/>
    <m/>
    <m/>
    <n v="3"/>
    <s v="COMPLETE"/>
    <s v="f"/>
    <d v="2021-07-15T00:00:00"/>
    <d v="2021-07-26T00:00:00"/>
    <m/>
    <n v="41701.379999999997"/>
    <m/>
    <m/>
    <m/>
    <m/>
    <m/>
    <m/>
    <m/>
    <s v="06. Item 06"/>
    <n v="7"/>
    <x v="7"/>
    <x v="2"/>
    <n v="2021"/>
    <n v="2021"/>
    <b v="1"/>
  </r>
  <r>
    <x v="21"/>
    <m/>
    <x v="1"/>
    <s v="Centralized"/>
    <s v="Out"/>
    <m/>
    <m/>
    <m/>
    <s v="X"/>
    <n v="3"/>
    <s v="COMPLETE"/>
    <s v="f"/>
    <d v="2021-07-15T00:00:00"/>
    <d v="2021-07-26T00:00:00"/>
    <m/>
    <n v="1119.05"/>
    <m/>
    <m/>
    <m/>
    <m/>
    <m/>
    <m/>
    <m/>
    <s v="09. Item 09"/>
    <n v="7"/>
    <x v="7"/>
    <x v="2"/>
    <n v="2021"/>
    <n v="2021"/>
    <b v="1"/>
  </r>
  <r>
    <x v="16"/>
    <m/>
    <x v="1"/>
    <s v="Centralized"/>
    <s v="Out"/>
    <m/>
    <m/>
    <m/>
    <s v="X"/>
    <n v="3"/>
    <s v="COMPLETE"/>
    <s v="f"/>
    <d v="2021-07-15T00:00:00"/>
    <d v="2021-07-26T00:00:00"/>
    <m/>
    <n v="189769.36"/>
    <m/>
    <m/>
    <m/>
    <m/>
    <m/>
    <m/>
    <m/>
    <s v="_1. Item _1"/>
    <n v="7"/>
    <x v="7"/>
    <x v="2"/>
    <n v="2021"/>
    <n v="2021"/>
    <b v="1"/>
  </r>
  <r>
    <x v="5"/>
    <m/>
    <x v="1"/>
    <s v="Centralized"/>
    <s v="Out"/>
    <m/>
    <m/>
    <m/>
    <m/>
    <n v="3"/>
    <s v="COMPLETE"/>
    <s v="f"/>
    <d v="2021-07-15T00:00:00"/>
    <d v="2021-07-23T00:00:00"/>
    <m/>
    <n v="1190.48"/>
    <m/>
    <m/>
    <m/>
    <m/>
    <m/>
    <m/>
    <m/>
    <s v="05. Item 05"/>
    <n v="7"/>
    <x v="7"/>
    <x v="2"/>
    <n v="2021"/>
    <n v="2021"/>
    <b v="1"/>
  </r>
  <r>
    <x v="5"/>
    <m/>
    <x v="1"/>
    <s v="Centralized"/>
    <s v="Out"/>
    <m/>
    <m/>
    <m/>
    <m/>
    <n v="3"/>
    <s v="COMPLETE"/>
    <s v="f"/>
    <d v="2021-07-15T00:00:00"/>
    <d v="2021-07-26T00:00:00"/>
    <m/>
    <n v="453635.94"/>
    <m/>
    <m/>
    <m/>
    <m/>
    <m/>
    <m/>
    <m/>
    <s v="05. Item 05"/>
    <n v="7"/>
    <x v="7"/>
    <x v="2"/>
    <n v="2021"/>
    <n v="2021"/>
    <b v="1"/>
  </r>
  <r>
    <x v="10"/>
    <m/>
    <x v="1"/>
    <s v="Centralized"/>
    <s v="Out"/>
    <m/>
    <m/>
    <m/>
    <m/>
    <n v="3"/>
    <s v="COMPLETE"/>
    <s v="f"/>
    <d v="2021-07-15T00:00:00"/>
    <d v="2021-07-26T00:00:00"/>
    <m/>
    <n v="17529.52"/>
    <m/>
    <m/>
    <m/>
    <m/>
    <m/>
    <m/>
    <m/>
    <s v="11. Item 11"/>
    <n v="7"/>
    <x v="7"/>
    <x v="2"/>
    <n v="2021"/>
    <n v="2021"/>
    <b v="1"/>
  </r>
  <r>
    <x v="13"/>
    <m/>
    <x v="1"/>
    <s v="Centralized"/>
    <s v="Out"/>
    <m/>
    <m/>
    <m/>
    <m/>
    <n v="4"/>
    <s v="COMPLETE"/>
    <s v="f"/>
    <d v="2021-07-16T00:00:00"/>
    <d v="2021-07-27T00:00:00"/>
    <m/>
    <n v="68279.179999999993"/>
    <m/>
    <m/>
    <m/>
    <m/>
    <m/>
    <m/>
    <m/>
    <s v="13. Item 13"/>
    <n v="7"/>
    <x v="7"/>
    <x v="2"/>
    <n v="2021"/>
    <n v="2021"/>
    <b v="1"/>
  </r>
  <r>
    <x v="13"/>
    <m/>
    <x v="1"/>
    <s v="Centralized"/>
    <s v="In"/>
    <m/>
    <m/>
    <m/>
    <m/>
    <m/>
    <s v="COMPLETE"/>
    <s v="f"/>
    <d v="2021-07-15T00:00:00"/>
    <d v="2021-07-15T00:00:00"/>
    <m/>
    <n v="7417.45"/>
    <m/>
    <m/>
    <m/>
    <m/>
    <m/>
    <m/>
    <m/>
    <s v="13. Item 13"/>
    <n v="7"/>
    <x v="7"/>
    <x v="2"/>
    <n v="2021"/>
    <n v="2021"/>
    <b v="1"/>
  </r>
  <r>
    <x v="13"/>
    <m/>
    <x v="2"/>
    <s v="Centralized"/>
    <s v="Out"/>
    <m/>
    <m/>
    <m/>
    <m/>
    <m/>
    <m/>
    <s v="f"/>
    <d v="2021-07-01T00:00:00"/>
    <d v="2021-07-01T00:00:00"/>
    <m/>
    <n v="121815.33"/>
    <m/>
    <m/>
    <m/>
    <m/>
    <m/>
    <m/>
    <m/>
    <s v="13. Item 13"/>
    <n v="7"/>
    <x v="7"/>
    <x v="2"/>
    <n v="2021"/>
    <n v="2021"/>
    <b v="1"/>
  </r>
  <r>
    <x v="13"/>
    <m/>
    <x v="2"/>
    <s v="Centralized"/>
    <s v="Out"/>
    <m/>
    <m/>
    <m/>
    <m/>
    <m/>
    <m/>
    <s v="f"/>
    <d v="2021-07-01T00:00:00"/>
    <d v="2021-07-01T00:00:00"/>
    <m/>
    <n v="2845179.14"/>
    <m/>
    <m/>
    <m/>
    <m/>
    <m/>
    <m/>
    <m/>
    <s v="13. Item 13"/>
    <n v="7"/>
    <x v="7"/>
    <x v="2"/>
    <n v="2021"/>
    <n v="2021"/>
    <b v="1"/>
  </r>
  <r>
    <x v="13"/>
    <m/>
    <x v="2"/>
    <s v="Centralized"/>
    <s v="Out"/>
    <m/>
    <m/>
    <m/>
    <m/>
    <m/>
    <m/>
    <s v="f"/>
    <d v="2021-07-01T00:00:00"/>
    <d v="2021-07-01T00:00:00"/>
    <m/>
    <n v="6768862.4900000002"/>
    <m/>
    <m/>
    <m/>
    <m/>
    <m/>
    <m/>
    <m/>
    <s v="13. Item 13"/>
    <n v="7"/>
    <x v="7"/>
    <x v="2"/>
    <n v="2021"/>
    <n v="2021"/>
    <b v="1"/>
  </r>
  <r>
    <x v="34"/>
    <m/>
    <x v="2"/>
    <s v="Centralized"/>
    <s v="Out"/>
    <m/>
    <m/>
    <m/>
    <m/>
    <m/>
    <m/>
    <s v="f"/>
    <d v="2021-07-01T00:00:00"/>
    <d v="2021-07-01T00:00:00"/>
    <m/>
    <n v="39362.92"/>
    <m/>
    <m/>
    <m/>
    <m/>
    <m/>
    <m/>
    <m/>
    <s v="13. Item 13"/>
    <n v="7"/>
    <x v="7"/>
    <x v="2"/>
    <n v="2021"/>
    <n v="2021"/>
    <b v="1"/>
  </r>
  <r>
    <x v="3"/>
    <m/>
    <x v="2"/>
    <s v="Centralized"/>
    <s v="Out"/>
    <m/>
    <m/>
    <m/>
    <m/>
    <m/>
    <m/>
    <s v="f"/>
    <d v="2021-07-01T00:00:00"/>
    <d v="2021-07-01T00:00:00"/>
    <m/>
    <n v="2233627.11"/>
    <m/>
    <m/>
    <m/>
    <m/>
    <m/>
    <m/>
    <m/>
    <s v="04. Item 04"/>
    <n v="7"/>
    <x v="7"/>
    <x v="2"/>
    <n v="2021"/>
    <n v="2021"/>
    <b v="1"/>
  </r>
  <r>
    <x v="3"/>
    <m/>
    <x v="2"/>
    <s v="Centralized"/>
    <s v="Out"/>
    <m/>
    <m/>
    <m/>
    <m/>
    <m/>
    <m/>
    <s v="f"/>
    <d v="2021-07-01T00:00:00"/>
    <d v="2021-07-01T00:00:00"/>
    <m/>
    <n v="9822136.75"/>
    <m/>
    <m/>
    <m/>
    <m/>
    <m/>
    <m/>
    <m/>
    <s v="04. Item 04"/>
    <n v="7"/>
    <x v="7"/>
    <x v="2"/>
    <n v="2021"/>
    <n v="2021"/>
    <b v="1"/>
  </r>
  <r>
    <x v="13"/>
    <m/>
    <x v="2"/>
    <s v="Centralized"/>
    <s v="Out"/>
    <m/>
    <m/>
    <m/>
    <m/>
    <m/>
    <m/>
    <s v="f"/>
    <d v="2021-07-01T00:00:00"/>
    <d v="2021-07-01T00:00:00"/>
    <m/>
    <n v="870335.79"/>
    <m/>
    <m/>
    <m/>
    <m/>
    <m/>
    <m/>
    <m/>
    <s v="13. Item 13"/>
    <n v="7"/>
    <x v="7"/>
    <x v="2"/>
    <n v="2021"/>
    <n v="2021"/>
    <b v="1"/>
  </r>
  <r>
    <x v="16"/>
    <m/>
    <x v="2"/>
    <s v="Centralized"/>
    <s v="Out"/>
    <m/>
    <m/>
    <m/>
    <m/>
    <m/>
    <m/>
    <s v="f"/>
    <d v="2021-07-01T00:00:00"/>
    <d v="2021-07-01T00:00:00"/>
    <m/>
    <n v="2225767.59"/>
    <m/>
    <m/>
    <m/>
    <m/>
    <m/>
    <m/>
    <m/>
    <s v="_1. Item _1"/>
    <n v="7"/>
    <x v="7"/>
    <x v="2"/>
    <n v="2021"/>
    <n v="2021"/>
    <b v="1"/>
  </r>
  <r>
    <x v="30"/>
    <m/>
    <x v="2"/>
    <s v="Centralized"/>
    <s v="Out"/>
    <m/>
    <m/>
    <m/>
    <m/>
    <m/>
    <m/>
    <s v="f"/>
    <d v="2021-07-01T00:00:00"/>
    <d v="2021-07-01T00:00:00"/>
    <m/>
    <n v="377892.33"/>
    <m/>
    <m/>
    <m/>
    <m/>
    <m/>
    <m/>
    <m/>
    <s v="10. Item 10"/>
    <n v="7"/>
    <x v="7"/>
    <x v="2"/>
    <n v="2021"/>
    <n v="2021"/>
    <b v="1"/>
  </r>
  <r>
    <x v="16"/>
    <m/>
    <x v="2"/>
    <s v="Centralized"/>
    <s v="Out"/>
    <m/>
    <m/>
    <m/>
    <m/>
    <m/>
    <m/>
    <s v="f"/>
    <d v="2021-07-01T00:00:00"/>
    <d v="2021-07-01T00:00:00"/>
    <m/>
    <n v="349345.9"/>
    <m/>
    <m/>
    <m/>
    <m/>
    <m/>
    <m/>
    <m/>
    <s v="_1. Item _1"/>
    <n v="7"/>
    <x v="7"/>
    <x v="2"/>
    <n v="2021"/>
    <n v="2021"/>
    <b v="1"/>
  </r>
  <r>
    <x v="16"/>
    <m/>
    <x v="2"/>
    <s v="Centralized"/>
    <s v="Out"/>
    <m/>
    <m/>
    <m/>
    <m/>
    <m/>
    <m/>
    <s v="f"/>
    <d v="2021-07-01T00:00:00"/>
    <d v="2021-07-01T00:00:00"/>
    <m/>
    <n v="7417.45"/>
    <m/>
    <m/>
    <m/>
    <m/>
    <m/>
    <m/>
    <m/>
    <s v="_1. Item _1"/>
    <n v="7"/>
    <x v="7"/>
    <x v="2"/>
    <n v="2021"/>
    <n v="2021"/>
    <b v="1"/>
  </r>
  <r>
    <x v="16"/>
    <m/>
    <x v="2"/>
    <s v="Centralized"/>
    <s v="Out"/>
    <m/>
    <m/>
    <m/>
    <m/>
    <m/>
    <m/>
    <s v="f"/>
    <d v="2021-07-01T00:00:00"/>
    <d v="2021-07-01T00:00:00"/>
    <m/>
    <n v="68279.179999999993"/>
    <m/>
    <m/>
    <m/>
    <m/>
    <m/>
    <m/>
    <m/>
    <s v="_1. Item _1"/>
    <n v="7"/>
    <x v="7"/>
    <x v="2"/>
    <n v="2021"/>
    <n v="2021"/>
    <b v="1"/>
  </r>
  <r>
    <x v="23"/>
    <m/>
    <x v="2"/>
    <s v="Centralized"/>
    <s v="Out"/>
    <m/>
    <m/>
    <m/>
    <m/>
    <m/>
    <m/>
    <s v="f"/>
    <d v="2021-07-01T00:00:00"/>
    <d v="2021-07-01T00:00:00"/>
    <m/>
    <n v="33066.21"/>
    <m/>
    <m/>
    <m/>
    <m/>
    <m/>
    <m/>
    <m/>
    <s v="21. Item 21"/>
    <n v="7"/>
    <x v="7"/>
    <x v="2"/>
    <n v="2021"/>
    <n v="2021"/>
    <b v="1"/>
  </r>
  <r>
    <x v="32"/>
    <m/>
    <x v="2"/>
    <s v="Centralized"/>
    <s v="Out"/>
    <m/>
    <m/>
    <m/>
    <m/>
    <m/>
    <m/>
    <s v="f"/>
    <d v="2021-07-01T00:00:00"/>
    <d v="2021-07-01T00:00:00"/>
    <m/>
    <n v="1321823.78"/>
    <m/>
    <m/>
    <m/>
    <m/>
    <m/>
    <m/>
    <m/>
    <s v="12. Item 12"/>
    <n v="7"/>
    <x v="7"/>
    <x v="2"/>
    <n v="2021"/>
    <n v="2021"/>
    <b v="1"/>
  </r>
  <r>
    <x v="32"/>
    <m/>
    <x v="2"/>
    <s v="Centralized"/>
    <s v="Out"/>
    <m/>
    <m/>
    <m/>
    <m/>
    <m/>
    <m/>
    <s v="f"/>
    <d v="2021-07-01T00:00:00"/>
    <d v="2021-07-01T00:00:00"/>
    <m/>
    <n v="1004424.04"/>
    <m/>
    <m/>
    <m/>
    <m/>
    <m/>
    <m/>
    <m/>
    <s v="12. Item 12"/>
    <n v="7"/>
    <x v="7"/>
    <x v="2"/>
    <n v="2021"/>
    <n v="2021"/>
    <b v="1"/>
  </r>
  <r>
    <x v="32"/>
    <m/>
    <x v="2"/>
    <s v="Centralized"/>
    <s v="Out"/>
    <m/>
    <m/>
    <m/>
    <m/>
    <m/>
    <m/>
    <s v="f"/>
    <d v="2021-07-01T00:00:00"/>
    <d v="2021-07-01T00:00:00"/>
    <m/>
    <n v="118033.41"/>
    <m/>
    <m/>
    <m/>
    <m/>
    <m/>
    <m/>
    <m/>
    <s v="12. Item 12"/>
    <n v="7"/>
    <x v="7"/>
    <x v="2"/>
    <n v="2021"/>
    <n v="2021"/>
    <b v="1"/>
  </r>
  <r>
    <x v="14"/>
    <m/>
    <x v="2"/>
    <s v="Centralized"/>
    <s v="Out"/>
    <m/>
    <m/>
    <m/>
    <m/>
    <m/>
    <m/>
    <s v="f"/>
    <d v="2021-07-01T00:00:00"/>
    <d v="2021-07-01T00:00:00"/>
    <m/>
    <n v="129.29"/>
    <m/>
    <m/>
    <m/>
    <m/>
    <m/>
    <m/>
    <m/>
    <s v="19. Item 19"/>
    <n v="7"/>
    <x v="7"/>
    <x v="2"/>
    <n v="2021"/>
    <n v="2021"/>
    <b v="1"/>
  </r>
  <r>
    <x v="8"/>
    <m/>
    <x v="2"/>
    <s v="Centralized"/>
    <s v="Out"/>
    <m/>
    <m/>
    <m/>
    <m/>
    <m/>
    <m/>
    <s v="f"/>
    <d v="2021-07-01T00:00:00"/>
    <d v="2021-07-01T00:00:00"/>
    <m/>
    <n v="18622.38"/>
    <m/>
    <m/>
    <m/>
    <m/>
    <m/>
    <m/>
    <m/>
    <s v="09. Item 09"/>
    <n v="7"/>
    <x v="7"/>
    <x v="2"/>
    <n v="2021"/>
    <n v="2021"/>
    <b v="1"/>
  </r>
  <r>
    <x v="8"/>
    <m/>
    <x v="2"/>
    <s v="Centralized"/>
    <s v="Out"/>
    <m/>
    <m/>
    <m/>
    <m/>
    <m/>
    <m/>
    <s v="f"/>
    <d v="2021-07-01T00:00:00"/>
    <d v="2021-07-01T00:00:00"/>
    <m/>
    <n v="609486.74"/>
    <m/>
    <m/>
    <m/>
    <m/>
    <m/>
    <m/>
    <m/>
    <s v="09. Item 09"/>
    <n v="7"/>
    <x v="7"/>
    <x v="2"/>
    <n v="2021"/>
    <n v="2021"/>
    <b v="1"/>
  </r>
  <r>
    <x v="20"/>
    <m/>
    <x v="2"/>
    <s v="Centralized"/>
    <s v="Out"/>
    <m/>
    <m/>
    <m/>
    <m/>
    <m/>
    <m/>
    <s v="f"/>
    <d v="2021-08-01T00:00:00"/>
    <d v="2021-08-01T00:00:00"/>
    <m/>
    <n v="191721.74"/>
    <m/>
    <m/>
    <m/>
    <m/>
    <m/>
    <m/>
    <m/>
    <s v="14. Item 14"/>
    <n v="8"/>
    <x v="5"/>
    <x v="2"/>
    <n v="2021"/>
    <n v="2021"/>
    <b v="1"/>
  </r>
  <r>
    <x v="20"/>
    <m/>
    <x v="1"/>
    <s v="Centralized"/>
    <s v="Out"/>
    <m/>
    <m/>
    <m/>
    <s v="X"/>
    <n v="4"/>
    <s v="COMPLETE"/>
    <s v="f"/>
    <d v="2021-07-16T00:00:00"/>
    <d v="2021-07-27T00:00:00"/>
    <m/>
    <n v="4866356.4000000004"/>
    <m/>
    <m/>
    <m/>
    <m/>
    <m/>
    <m/>
    <m/>
    <s v="14. Item 14"/>
    <n v="7"/>
    <x v="7"/>
    <x v="2"/>
    <n v="2021"/>
    <n v="2021"/>
    <b v="1"/>
  </r>
  <r>
    <x v="16"/>
    <m/>
    <x v="1"/>
    <s v="Centralized"/>
    <s v="Out"/>
    <m/>
    <m/>
    <m/>
    <m/>
    <n v="4"/>
    <s v="COMPLETE"/>
    <s v="f"/>
    <d v="2021-07-16T00:00:00"/>
    <d v="2021-07-27T00:00:00"/>
    <m/>
    <n v="2231262.65"/>
    <m/>
    <m/>
    <m/>
    <m/>
    <m/>
    <m/>
    <m/>
    <s v="_1. Item _1"/>
    <n v="7"/>
    <x v="7"/>
    <x v="2"/>
    <n v="2021"/>
    <n v="2021"/>
    <b v="1"/>
  </r>
  <r>
    <x v="16"/>
    <m/>
    <x v="1"/>
    <s v="Centralized"/>
    <s v="In"/>
    <m/>
    <m/>
    <m/>
    <m/>
    <m/>
    <s v="COMPLETE"/>
    <s v="f"/>
    <d v="2021-07-16T00:00:00"/>
    <d v="2021-07-16T00:00:00"/>
    <m/>
    <n v="187240.4"/>
    <m/>
    <m/>
    <m/>
    <m/>
    <m/>
    <m/>
    <m/>
    <s v="_1. Item _1"/>
    <n v="7"/>
    <x v="7"/>
    <x v="2"/>
    <n v="2021"/>
    <n v="2021"/>
    <b v="1"/>
  </r>
  <r>
    <x v="16"/>
    <m/>
    <x v="1"/>
    <s v="Centralized"/>
    <s v="In"/>
    <m/>
    <m/>
    <m/>
    <m/>
    <m/>
    <s v="COMPLETE"/>
    <s v="f"/>
    <d v="2021-07-20T00:00:00"/>
    <d v="2021-07-20T00:00:00"/>
    <m/>
    <n v="181945.41"/>
    <m/>
    <m/>
    <m/>
    <m/>
    <m/>
    <m/>
    <m/>
    <s v="_1. Item _1"/>
    <n v="7"/>
    <x v="7"/>
    <x v="2"/>
    <n v="2021"/>
    <n v="2021"/>
    <b v="1"/>
  </r>
  <r>
    <x v="16"/>
    <m/>
    <x v="1"/>
    <s v="Centralized"/>
    <s v="Out"/>
    <m/>
    <m/>
    <m/>
    <m/>
    <m/>
    <s v="COMPLETE"/>
    <s v="f"/>
    <d v="2021-07-06T00:00:00"/>
    <d v="2021-07-22T00:00:00"/>
    <m/>
    <n v="567.86"/>
    <m/>
    <m/>
    <m/>
    <m/>
    <m/>
    <m/>
    <m/>
    <s v="_1. Item _1"/>
    <n v="7"/>
    <x v="7"/>
    <x v="2"/>
    <n v="2021"/>
    <n v="2021"/>
    <b v="1"/>
  </r>
  <r>
    <x v="6"/>
    <m/>
    <x v="1"/>
    <s v="Centralized"/>
    <s v="Out"/>
    <m/>
    <m/>
    <m/>
    <m/>
    <m/>
    <s v="COMPLETE"/>
    <s v="f"/>
    <d v="2021-07-06T00:00:00"/>
    <d v="2021-07-23T00:00:00"/>
    <m/>
    <n v="3616.67"/>
    <m/>
    <m/>
    <m/>
    <m/>
    <m/>
    <m/>
    <m/>
    <s v="07. Item 07"/>
    <n v="7"/>
    <x v="7"/>
    <x v="2"/>
    <n v="2021"/>
    <n v="2021"/>
    <b v="1"/>
  </r>
  <r>
    <x v="4"/>
    <m/>
    <x v="1"/>
    <s v="Centralized"/>
    <s v="In"/>
    <m/>
    <m/>
    <m/>
    <m/>
    <m/>
    <s v="COMPLETE"/>
    <s v="f"/>
    <d v="2021-07-21T00:00:00"/>
    <d v="2021-07-21T00:00:00"/>
    <m/>
    <n v="319775.94"/>
    <m/>
    <m/>
    <m/>
    <m/>
    <m/>
    <m/>
    <m/>
    <s v="05. Item 05"/>
    <n v="7"/>
    <x v="7"/>
    <x v="2"/>
    <n v="2021"/>
    <n v="2021"/>
    <b v="1"/>
  </r>
  <r>
    <x v="7"/>
    <m/>
    <x v="1"/>
    <s v="Centralized"/>
    <s v="In"/>
    <m/>
    <m/>
    <m/>
    <m/>
    <m/>
    <s v="COMPLETE"/>
    <s v="f"/>
    <d v="2021-07-22T00:00:00"/>
    <d v="2021-07-22T00:00:00"/>
    <m/>
    <n v="21678.01"/>
    <m/>
    <m/>
    <m/>
    <m/>
    <m/>
    <m/>
    <m/>
    <s v="08. Item 08"/>
    <n v="7"/>
    <x v="7"/>
    <x v="2"/>
    <n v="2021"/>
    <n v="2021"/>
    <b v="1"/>
  </r>
  <r>
    <x v="22"/>
    <m/>
    <x v="1"/>
    <s v="Centralized"/>
    <s v="In"/>
    <m/>
    <m/>
    <m/>
    <m/>
    <m/>
    <s v="COMPLETE"/>
    <s v="f"/>
    <d v="2021-07-23T00:00:00"/>
    <d v="2021-07-23T00:00:00"/>
    <m/>
    <n v="4807.1400000000003"/>
    <m/>
    <m/>
    <m/>
    <m/>
    <m/>
    <m/>
    <m/>
    <s v="04. Item 04"/>
    <n v="7"/>
    <x v="7"/>
    <x v="2"/>
    <n v="2021"/>
    <n v="2021"/>
    <b v="1"/>
  </r>
  <r>
    <x v="3"/>
    <m/>
    <x v="1"/>
    <s v="Centralized"/>
    <s v="Out"/>
    <m/>
    <m/>
    <m/>
    <m/>
    <n v="3"/>
    <s v="COMPLETE"/>
    <s v="f"/>
    <d v="2021-07-15T00:00:00"/>
    <d v="2021-07-27T00:00:00"/>
    <m/>
    <n v="22.69"/>
    <m/>
    <m/>
    <m/>
    <m/>
    <m/>
    <m/>
    <m/>
    <s v="04. Item 04"/>
    <n v="7"/>
    <x v="7"/>
    <x v="2"/>
    <n v="2021"/>
    <n v="2021"/>
    <b v="1"/>
  </r>
  <r>
    <x v="11"/>
    <m/>
    <x v="1"/>
    <s v="Centralized"/>
    <s v="Out"/>
    <m/>
    <m/>
    <m/>
    <m/>
    <n v="3"/>
    <s v="COMPLETE"/>
    <s v="f"/>
    <d v="2021-07-15T00:00:00"/>
    <d v="2021-07-28T00:00:00"/>
    <m/>
    <n v="220224.09"/>
    <m/>
    <m/>
    <m/>
    <m/>
    <m/>
    <m/>
    <m/>
    <s v="13. Item 13"/>
    <n v="7"/>
    <x v="7"/>
    <x v="2"/>
    <n v="2021"/>
    <n v="2021"/>
    <b v="1"/>
  </r>
  <r>
    <x v="29"/>
    <m/>
    <x v="1"/>
    <s v="Centralized"/>
    <s v="Out"/>
    <m/>
    <m/>
    <m/>
    <m/>
    <n v="1"/>
    <s v="COMPLETE"/>
    <s v="f"/>
    <d v="2021-08-01T00:00:00"/>
    <d v="2021-08-18T00:00:00"/>
    <m/>
    <n v="148306.67000000001"/>
    <m/>
    <m/>
    <m/>
    <m/>
    <m/>
    <m/>
    <m/>
    <s v="13. Item 13"/>
    <n v="8"/>
    <x v="5"/>
    <x v="2"/>
    <n v="2021"/>
    <n v="2021"/>
    <b v="1"/>
  </r>
  <r>
    <x v="9"/>
    <m/>
    <x v="1"/>
    <s v="Centralized"/>
    <s v="Out"/>
    <m/>
    <m/>
    <m/>
    <m/>
    <n v="3"/>
    <s v="COMPLETE"/>
    <s v="f"/>
    <d v="2021-07-15T00:00:00"/>
    <d v="2021-07-27T00:00:00"/>
    <m/>
    <n v="236.24"/>
    <m/>
    <m/>
    <m/>
    <m/>
    <m/>
    <m/>
    <m/>
    <s v="09. Item 09"/>
    <n v="7"/>
    <x v="7"/>
    <x v="2"/>
    <n v="2021"/>
    <n v="2021"/>
    <b v="1"/>
  </r>
  <r>
    <x v="21"/>
    <m/>
    <x v="1"/>
    <s v="Centralized"/>
    <s v="Out"/>
    <m/>
    <m/>
    <m/>
    <m/>
    <n v="3"/>
    <s v="COMPLETE"/>
    <s v="f"/>
    <d v="2021-07-15T00:00:00"/>
    <d v="2021-07-29T00:00:00"/>
    <m/>
    <n v="136296.51"/>
    <m/>
    <m/>
    <m/>
    <m/>
    <m/>
    <m/>
    <m/>
    <s v="09. Item 09"/>
    <n v="7"/>
    <x v="7"/>
    <x v="2"/>
    <n v="2021"/>
    <n v="2021"/>
    <b v="1"/>
  </r>
  <r>
    <x v="21"/>
    <m/>
    <x v="1"/>
    <s v="Centralized"/>
    <s v="Out"/>
    <m/>
    <m/>
    <m/>
    <m/>
    <n v="3"/>
    <s v="COMPLETE"/>
    <s v="f"/>
    <d v="2021-07-20T00:00:00"/>
    <d v="2021-07-30T00:00:00"/>
    <m/>
    <n v="44319.57"/>
    <m/>
    <m/>
    <m/>
    <m/>
    <m/>
    <m/>
    <m/>
    <s v="09. Item 09"/>
    <n v="7"/>
    <x v="7"/>
    <x v="2"/>
    <n v="2021"/>
    <n v="2021"/>
    <b v="1"/>
  </r>
  <r>
    <x v="21"/>
    <m/>
    <x v="1"/>
    <s v="Centralized"/>
    <s v="Out"/>
    <m/>
    <m/>
    <m/>
    <m/>
    <n v="4"/>
    <s v="COMPLETE"/>
    <s v="f"/>
    <d v="2021-07-19T00:00:00"/>
    <d v="2021-07-28T00:00:00"/>
    <m/>
    <n v="191.64"/>
    <m/>
    <m/>
    <m/>
    <m/>
    <m/>
    <m/>
    <m/>
    <s v="09. Item 09"/>
    <n v="7"/>
    <x v="7"/>
    <x v="2"/>
    <n v="2021"/>
    <n v="2021"/>
    <b v="1"/>
  </r>
  <r>
    <x v="8"/>
    <m/>
    <x v="1"/>
    <s v="Centralized"/>
    <s v="Out"/>
    <m/>
    <m/>
    <m/>
    <m/>
    <n v="4"/>
    <s v="COMPLETE"/>
    <s v="f"/>
    <d v="2021-07-19T00:00:00"/>
    <d v="2021-07-30T00:00:00"/>
    <m/>
    <n v="303869.05"/>
    <m/>
    <m/>
    <m/>
    <m/>
    <m/>
    <m/>
    <m/>
    <s v="09. Item 09"/>
    <n v="7"/>
    <x v="7"/>
    <x v="2"/>
    <n v="2021"/>
    <n v="2021"/>
    <b v="1"/>
  </r>
  <r>
    <x v="8"/>
    <m/>
    <x v="1"/>
    <s v="Decentralized"/>
    <s v="Out"/>
    <m/>
    <m/>
    <m/>
    <m/>
    <n v="4"/>
    <s v="COMPLETE"/>
    <s v="f"/>
    <d v="2021-07-15T00:00:00"/>
    <d v="2021-07-28T00:00:00"/>
    <m/>
    <n v="529.05999999999995"/>
    <m/>
    <m/>
    <m/>
    <m/>
    <m/>
    <m/>
    <m/>
    <s v="09. Item 09"/>
    <n v="7"/>
    <x v="7"/>
    <x v="2"/>
    <n v="2021"/>
    <n v="2021"/>
    <b v="1"/>
  </r>
  <r>
    <x v="25"/>
    <m/>
    <x v="1"/>
    <s v="Centralized"/>
    <s v="Out"/>
    <m/>
    <m/>
    <m/>
    <m/>
    <n v="4"/>
    <s v="COMPLETE"/>
    <s v="f"/>
    <d v="2021-08-01T00:00:00"/>
    <d v="2021-08-13T00:00:00"/>
    <m/>
    <n v="35623.760000000002"/>
    <m/>
    <m/>
    <m/>
    <m/>
    <m/>
    <m/>
    <m/>
    <s v="03. Item 03"/>
    <n v="8"/>
    <x v="5"/>
    <x v="2"/>
    <n v="2021"/>
    <n v="2021"/>
    <b v="1"/>
  </r>
  <r>
    <x v="24"/>
    <m/>
    <x v="1"/>
    <s v="Centralized"/>
    <s v="In"/>
    <m/>
    <m/>
    <m/>
    <m/>
    <m/>
    <s v="COMPLETE"/>
    <s v="f"/>
    <d v="2021-07-26T00:00:00"/>
    <d v="2021-07-26T00:00:00"/>
    <m/>
    <n v="3339826.96"/>
    <m/>
    <m/>
    <m/>
    <m/>
    <m/>
    <m/>
    <m/>
    <s v="03. Item 03"/>
    <n v="7"/>
    <x v="7"/>
    <x v="2"/>
    <n v="2021"/>
    <n v="2021"/>
    <b v="1"/>
  </r>
  <r>
    <x v="28"/>
    <m/>
    <x v="1"/>
    <s v="Centralized"/>
    <s v="Out"/>
    <m/>
    <m/>
    <m/>
    <m/>
    <n v="3"/>
    <s v="COMPLETE"/>
    <s v="f"/>
    <d v="2021-07-26T00:00:00"/>
    <d v="2021-07-30T00:00:00"/>
    <m/>
    <n v="25195.05"/>
    <m/>
    <m/>
    <m/>
    <m/>
    <m/>
    <m/>
    <m/>
    <s v="03. Item 03"/>
    <n v="7"/>
    <x v="7"/>
    <x v="2"/>
    <n v="2021"/>
    <n v="2021"/>
    <b v="1"/>
  </r>
  <r>
    <x v="38"/>
    <m/>
    <x v="1"/>
    <s v="Centralized"/>
    <s v="In"/>
    <m/>
    <m/>
    <m/>
    <m/>
    <m/>
    <s v="COMPLETE"/>
    <s v="f"/>
    <d v="2021-07-27T00:00:00"/>
    <d v="2021-07-27T00:00:00"/>
    <m/>
    <n v="12062287.470000001"/>
    <m/>
    <m/>
    <m/>
    <m/>
    <m/>
    <m/>
    <m/>
    <s v="03. Item 03"/>
    <n v="7"/>
    <x v="7"/>
    <x v="2"/>
    <n v="2021"/>
    <n v="2021"/>
    <b v="1"/>
  </r>
  <r>
    <x v="5"/>
    <m/>
    <x v="1"/>
    <s v="Centralized"/>
    <s v="In"/>
    <m/>
    <m/>
    <m/>
    <m/>
    <m/>
    <s v="COMPLETE"/>
    <s v="f"/>
    <d v="2021-07-28T00:00:00"/>
    <d v="2021-07-28T00:00:00"/>
    <m/>
    <n v="223967.72"/>
    <m/>
    <m/>
    <m/>
    <m/>
    <m/>
    <m/>
    <m/>
    <s v="05. Item 05"/>
    <n v="7"/>
    <x v="7"/>
    <x v="2"/>
    <n v="2021"/>
    <n v="2021"/>
    <b v="1"/>
  </r>
  <r>
    <x v="10"/>
    <m/>
    <x v="1"/>
    <s v="Centralized"/>
    <s v="In"/>
    <m/>
    <m/>
    <m/>
    <m/>
    <m/>
    <s v="COMPLETE"/>
    <s v="f"/>
    <d v="2021-07-28T00:00:00"/>
    <d v="2021-07-28T00:00:00"/>
    <m/>
    <n v="529.05999999999995"/>
    <m/>
    <m/>
    <m/>
    <m/>
    <m/>
    <m/>
    <m/>
    <s v="11. Item 11"/>
    <n v="7"/>
    <x v="7"/>
    <x v="2"/>
    <n v="2021"/>
    <n v="2021"/>
    <b v="1"/>
  </r>
  <r>
    <x v="10"/>
    <m/>
    <x v="1"/>
    <s v="Centralized"/>
    <s v="In"/>
    <m/>
    <m/>
    <m/>
    <m/>
    <m/>
    <s v="COMPLETE"/>
    <s v="f"/>
    <d v="2021-07-29T00:00:00"/>
    <d v="2021-07-29T00:00:00"/>
    <m/>
    <n v="599639.37"/>
    <m/>
    <m/>
    <m/>
    <m/>
    <m/>
    <m/>
    <m/>
    <s v="11. Item 11"/>
    <n v="7"/>
    <x v="7"/>
    <x v="2"/>
    <n v="2021"/>
    <n v="2021"/>
    <b v="1"/>
  </r>
  <r>
    <x v="13"/>
    <m/>
    <x v="1"/>
    <s v="Centralized"/>
    <s v="In"/>
    <m/>
    <m/>
    <m/>
    <m/>
    <m/>
    <s v="COMPLETE"/>
    <s v="f"/>
    <d v="2021-07-30T00:00:00"/>
    <d v="2021-07-30T00:00:00"/>
    <m/>
    <n v="19324548.789999999"/>
    <m/>
    <m/>
    <m/>
    <m/>
    <m/>
    <m/>
    <m/>
    <s v="13. Item 13"/>
    <n v="7"/>
    <x v="7"/>
    <x v="2"/>
    <n v="2021"/>
    <n v="2021"/>
    <b v="1"/>
  </r>
  <r>
    <x v="13"/>
    <m/>
    <x v="1"/>
    <s v="Centralized"/>
    <s v="Out"/>
    <m/>
    <m/>
    <m/>
    <m/>
    <m/>
    <m/>
    <s v="p"/>
    <d v="2021-08-01T00:00:00"/>
    <d v="2021-08-01T00:00:00"/>
    <n v="19047619.050000001"/>
    <m/>
    <m/>
    <m/>
    <m/>
    <m/>
    <m/>
    <m/>
    <m/>
    <s v="13. Item 13"/>
    <n v="8"/>
    <x v="5"/>
    <x v="2"/>
    <n v="2021"/>
    <n v="2021"/>
    <b v="1"/>
  </r>
  <r>
    <x v="13"/>
    <m/>
    <x v="1"/>
    <s v="Centralized"/>
    <s v="Out"/>
    <m/>
    <m/>
    <m/>
    <m/>
    <n v="1"/>
    <s v="COMPLETE"/>
    <s v="f"/>
    <d v="2021-08-01T00:00:00"/>
    <d v="2021-08-31T00:00:00"/>
    <m/>
    <n v="19047619.050000001"/>
    <m/>
    <m/>
    <m/>
    <m/>
    <m/>
    <m/>
    <m/>
    <s v="13. Item 13"/>
    <n v="8"/>
    <x v="5"/>
    <x v="2"/>
    <n v="2021"/>
    <n v="2021"/>
    <b v="1"/>
  </r>
  <r>
    <x v="34"/>
    <m/>
    <x v="1"/>
    <s v="Centralized"/>
    <s v="In"/>
    <m/>
    <m/>
    <m/>
    <m/>
    <m/>
    <s v="COMPLETE"/>
    <s v="f"/>
    <d v="2021-08-02T00:00:00"/>
    <d v="2021-08-02T00:00:00"/>
    <m/>
    <n v="145354.09"/>
    <m/>
    <m/>
    <m/>
    <m/>
    <m/>
    <m/>
    <m/>
    <s v="13. Item 13"/>
    <n v="8"/>
    <x v="5"/>
    <x v="2"/>
    <n v="2021"/>
    <n v="2021"/>
    <b v="1"/>
  </r>
  <r>
    <x v="31"/>
    <m/>
    <x v="1"/>
    <s v="Decentralized"/>
    <s v="Out"/>
    <m/>
    <m/>
    <m/>
    <m/>
    <n v="4"/>
    <s v="COMPLETE"/>
    <s v="f"/>
    <d v="2021-07-26T00:00:00"/>
    <d v="2021-08-02T00:00:00"/>
    <m/>
    <n v="145354.09"/>
    <m/>
    <m/>
    <m/>
    <m/>
    <m/>
    <m/>
    <m/>
    <s v="10. Item 10"/>
    <n v="7"/>
    <x v="5"/>
    <x v="2"/>
    <n v="2021"/>
    <n v="2021"/>
    <b v="1"/>
  </r>
  <r>
    <x v="16"/>
    <m/>
    <x v="1"/>
    <s v="Centralized"/>
    <s v="Out"/>
    <m/>
    <m/>
    <m/>
    <s v="X"/>
    <n v="1"/>
    <s v="COMPLETE"/>
    <s v="f"/>
    <d v="2021-08-04T00:00:00"/>
    <d v="2021-08-13T00:00:00"/>
    <m/>
    <n v="3214285.71"/>
    <m/>
    <m/>
    <m/>
    <m/>
    <m/>
    <m/>
    <m/>
    <s v="_1. Item _1"/>
    <n v="8"/>
    <x v="5"/>
    <x v="2"/>
    <n v="2021"/>
    <n v="2021"/>
    <b v="1"/>
  </r>
  <r>
    <x v="3"/>
    <m/>
    <x v="1"/>
    <s v="Centralized"/>
    <s v="Out"/>
    <m/>
    <m/>
    <m/>
    <m/>
    <n v="1"/>
    <s v="COMPLETE"/>
    <s v="f"/>
    <d v="2021-08-01T00:00:00"/>
    <d v="2021-08-10T00:00:00"/>
    <m/>
    <n v="3387.57"/>
    <m/>
    <m/>
    <m/>
    <m/>
    <m/>
    <m/>
    <m/>
    <s v="04. Item 04"/>
    <n v="8"/>
    <x v="5"/>
    <x v="2"/>
    <n v="2021"/>
    <n v="2021"/>
    <b v="1"/>
  </r>
  <r>
    <x v="22"/>
    <m/>
    <x v="1"/>
    <s v="Centralized"/>
    <s v="Out"/>
    <m/>
    <m/>
    <m/>
    <m/>
    <n v="1"/>
    <s v="COMPLETE"/>
    <s v="f"/>
    <d v="2021-08-04T00:00:00"/>
    <d v="2021-08-17T00:00:00"/>
    <m/>
    <n v="14043.51"/>
    <m/>
    <m/>
    <m/>
    <m/>
    <m/>
    <m/>
    <m/>
    <s v="04. Item 04"/>
    <n v="8"/>
    <x v="5"/>
    <x v="2"/>
    <n v="2021"/>
    <n v="2021"/>
    <b v="1"/>
  </r>
  <r>
    <x v="4"/>
    <m/>
    <x v="1"/>
    <s v="Centralized"/>
    <s v="Out"/>
    <m/>
    <m/>
    <m/>
    <m/>
    <n v="1"/>
    <s v="COMPLETE"/>
    <s v="f"/>
    <d v="2021-08-04T00:00:00"/>
    <d v="2021-08-16T00:00:00"/>
    <m/>
    <n v="1650202.29"/>
    <m/>
    <m/>
    <m/>
    <m/>
    <m/>
    <m/>
    <m/>
    <s v="05. Item 05"/>
    <n v="8"/>
    <x v="5"/>
    <x v="2"/>
    <n v="2021"/>
    <n v="2021"/>
    <b v="1"/>
  </r>
  <r>
    <x v="5"/>
    <m/>
    <x v="1"/>
    <s v="Centralized"/>
    <s v="Out"/>
    <m/>
    <m/>
    <m/>
    <s v="X"/>
    <n v="2"/>
    <s v="COMPLETE"/>
    <s v="f"/>
    <d v="2021-08-04T00:00:00"/>
    <d v="2021-08-20T00:00:00"/>
    <m/>
    <n v="4386.13"/>
    <m/>
    <m/>
    <m/>
    <m/>
    <m/>
    <m/>
    <m/>
    <s v="05. Item 05"/>
    <n v="8"/>
    <x v="5"/>
    <x v="2"/>
    <n v="2021"/>
    <n v="2021"/>
    <b v="1"/>
  </r>
  <r>
    <x v="15"/>
    <m/>
    <x v="1"/>
    <s v="Centralized"/>
    <s v="Out"/>
    <m/>
    <m/>
    <m/>
    <m/>
    <n v="2"/>
    <s v="COMPLETE"/>
    <s v="f"/>
    <d v="2021-08-04T00:00:00"/>
    <d v="2021-08-20T00:00:00"/>
    <m/>
    <n v="305137.68"/>
    <m/>
    <m/>
    <m/>
    <m/>
    <m/>
    <m/>
    <m/>
    <s v="06. Item 06"/>
    <n v="8"/>
    <x v="5"/>
    <x v="2"/>
    <n v="2021"/>
    <n v="2021"/>
    <b v="1"/>
  </r>
  <r>
    <x v="6"/>
    <m/>
    <x v="1"/>
    <s v="Centralized"/>
    <s v="Out"/>
    <m/>
    <m/>
    <m/>
    <s v="X"/>
    <n v="3"/>
    <s v="COMPLETE"/>
    <s v="f"/>
    <d v="2021-07-01T00:00:00"/>
    <d v="2021-07-14T00:00:00"/>
    <m/>
    <n v="7142.86"/>
    <m/>
    <m/>
    <m/>
    <m/>
    <m/>
    <m/>
    <m/>
    <s v="07. Item 07"/>
    <n v="7"/>
    <x v="7"/>
    <x v="2"/>
    <n v="2021"/>
    <n v="2021"/>
    <b v="1"/>
  </r>
  <r>
    <x v="7"/>
    <m/>
    <x v="1"/>
    <s v="Centralized"/>
    <s v="Out"/>
    <m/>
    <m/>
    <m/>
    <s v="X"/>
    <n v="3"/>
    <s v="COMPLETE"/>
    <s v="f"/>
    <d v="2021-07-15T00:00:00"/>
    <d v="2021-07-27T00:00:00"/>
    <m/>
    <n v="95.24"/>
    <m/>
    <m/>
    <m/>
    <m/>
    <m/>
    <m/>
    <m/>
    <s v="08. Item 08"/>
    <n v="7"/>
    <x v="7"/>
    <x v="2"/>
    <n v="2021"/>
    <n v="2021"/>
    <b v="1"/>
  </r>
  <r>
    <x v="21"/>
    <m/>
    <x v="1"/>
    <s v="Centralized"/>
    <s v="Out"/>
    <m/>
    <m/>
    <m/>
    <s v="X"/>
    <n v="1"/>
    <s v="COMPLETE"/>
    <s v="f"/>
    <d v="2021-08-04T00:00:00"/>
    <d v="2021-08-17T00:00:00"/>
    <m/>
    <n v="15159.65"/>
    <m/>
    <m/>
    <m/>
    <m/>
    <m/>
    <m/>
    <m/>
    <s v="09. Item 09"/>
    <n v="8"/>
    <x v="5"/>
    <x v="2"/>
    <n v="2021"/>
    <n v="2021"/>
    <b v="1"/>
  </r>
  <r>
    <x v="9"/>
    <m/>
    <x v="1"/>
    <s v="Centralized"/>
    <s v="Out"/>
    <m/>
    <m/>
    <m/>
    <s v="X"/>
    <n v="1"/>
    <s v="COMPLETE"/>
    <s v="f"/>
    <d v="2021-08-04T00:00:00"/>
    <d v="2021-08-17T00:00:00"/>
    <m/>
    <n v="8820.25"/>
    <m/>
    <m/>
    <m/>
    <m/>
    <m/>
    <m/>
    <m/>
    <s v="09. Item 09"/>
    <n v="8"/>
    <x v="5"/>
    <x v="2"/>
    <n v="2021"/>
    <n v="2021"/>
    <b v="1"/>
  </r>
  <r>
    <x v="8"/>
    <m/>
    <x v="1"/>
    <s v="Centralized"/>
    <s v="Out"/>
    <m/>
    <m/>
    <m/>
    <s v="X"/>
    <n v="1"/>
    <s v="COMPLETE"/>
    <s v="f"/>
    <d v="2021-08-04T00:00:00"/>
    <d v="2021-08-16T00:00:00"/>
    <m/>
    <n v="41330.870000000003"/>
    <m/>
    <m/>
    <m/>
    <m/>
    <m/>
    <m/>
    <m/>
    <s v="09. Item 09"/>
    <n v="8"/>
    <x v="5"/>
    <x v="2"/>
    <n v="2021"/>
    <n v="2021"/>
    <b v="1"/>
  </r>
  <r>
    <x v="30"/>
    <m/>
    <x v="1"/>
    <s v="Centralized"/>
    <s v="Out"/>
    <m/>
    <m/>
    <m/>
    <m/>
    <n v="1"/>
    <s v="COMPLETE"/>
    <s v="f"/>
    <d v="2021-08-04T00:00:00"/>
    <d v="2021-08-16T00:00:00"/>
    <m/>
    <n v="598059.51"/>
    <m/>
    <m/>
    <m/>
    <m/>
    <m/>
    <m/>
    <m/>
    <s v="10. Item 10"/>
    <n v="8"/>
    <x v="5"/>
    <x v="2"/>
    <n v="2021"/>
    <n v="2021"/>
    <b v="1"/>
  </r>
  <r>
    <x v="31"/>
    <m/>
    <x v="1"/>
    <s v="Centralized"/>
    <s v="Out"/>
    <m/>
    <m/>
    <m/>
    <m/>
    <n v="1"/>
    <s v="COMPLETE"/>
    <s v="f"/>
    <d v="2021-08-04T00:00:00"/>
    <d v="2021-08-16T00:00:00"/>
    <m/>
    <n v="2050"/>
    <m/>
    <m/>
    <m/>
    <m/>
    <m/>
    <m/>
    <m/>
    <s v="10. Item 10"/>
    <n v="8"/>
    <x v="5"/>
    <x v="2"/>
    <n v="2021"/>
    <n v="2021"/>
    <b v="1"/>
  </r>
  <r>
    <x v="10"/>
    <m/>
    <x v="1"/>
    <s v="Decentralized"/>
    <s v="Out"/>
    <m/>
    <m/>
    <m/>
    <m/>
    <n v="4"/>
    <s v="COMPLETE"/>
    <s v="f"/>
    <d v="2021-07-29T00:00:00"/>
    <d v="2021-08-06T00:00:00"/>
    <m/>
    <n v="92848.73"/>
    <m/>
    <m/>
    <m/>
    <m/>
    <m/>
    <m/>
    <m/>
    <s v="11. Item 11"/>
    <n v="7"/>
    <x v="5"/>
    <x v="2"/>
    <n v="2021"/>
    <n v="2021"/>
    <b v="1"/>
  </r>
  <r>
    <x v="32"/>
    <m/>
    <x v="1"/>
    <s v="Centralized"/>
    <s v="Out"/>
    <m/>
    <m/>
    <m/>
    <m/>
    <m/>
    <m/>
    <s v="p"/>
    <d v="2021-08-01T00:00:00"/>
    <d v="2021-08-01T00:00:00"/>
    <n v="23.81"/>
    <m/>
    <m/>
    <m/>
    <m/>
    <m/>
    <m/>
    <m/>
    <m/>
    <s v="12. Item 12"/>
    <n v="8"/>
    <x v="5"/>
    <x v="2"/>
    <n v="2021"/>
    <n v="2021"/>
    <b v="1"/>
  </r>
  <r>
    <x v="29"/>
    <m/>
    <x v="1"/>
    <s v="Centralized"/>
    <s v="Out"/>
    <m/>
    <m/>
    <m/>
    <m/>
    <n v="1"/>
    <s v="COMPLETE"/>
    <s v="f"/>
    <d v="2021-08-03T00:00:00"/>
    <d v="2021-08-13T00:00:00"/>
    <m/>
    <n v="12098.3"/>
    <m/>
    <m/>
    <m/>
    <m/>
    <m/>
    <m/>
    <m/>
    <s v="13. Item 13"/>
    <n v="8"/>
    <x v="5"/>
    <x v="2"/>
    <n v="2021"/>
    <n v="2021"/>
    <b v="1"/>
  </r>
  <r>
    <x v="11"/>
    <m/>
    <x v="1"/>
    <s v="Centralized"/>
    <s v="Out"/>
    <m/>
    <m/>
    <m/>
    <m/>
    <n v="1"/>
    <s v="COMPLETE"/>
    <s v="f"/>
    <d v="2021-08-03T00:00:00"/>
    <d v="2021-08-16T00:00:00"/>
    <m/>
    <n v="92855.43"/>
    <m/>
    <m/>
    <m/>
    <m/>
    <m/>
    <m/>
    <m/>
    <s v="13. Item 13"/>
    <n v="8"/>
    <x v="5"/>
    <x v="2"/>
    <n v="2021"/>
    <n v="2021"/>
    <b v="1"/>
  </r>
  <r>
    <x v="33"/>
    <m/>
    <x v="1"/>
    <s v="Centralized"/>
    <s v="Out"/>
    <m/>
    <m/>
    <m/>
    <m/>
    <n v="4"/>
    <s v="COMPLETE"/>
    <s v="f"/>
    <d v="2021-08-01T00:00:00"/>
    <d v="2021-08-18T00:00:00"/>
    <m/>
    <n v="187806.53"/>
    <m/>
    <m/>
    <m/>
    <m/>
    <m/>
    <m/>
    <m/>
    <s v="13. Item 13"/>
    <n v="8"/>
    <x v="5"/>
    <x v="2"/>
    <n v="2021"/>
    <n v="2021"/>
    <b v="1"/>
  </r>
  <r>
    <x v="34"/>
    <m/>
    <x v="1"/>
    <s v="Centralized"/>
    <s v="Out"/>
    <m/>
    <m/>
    <m/>
    <s v="X"/>
    <n v="1"/>
    <s v="COMPLETE"/>
    <s v="f"/>
    <d v="2021-08-02T00:00:00"/>
    <d v="2021-08-18T00:00:00"/>
    <m/>
    <n v="14672.51"/>
    <m/>
    <m/>
    <m/>
    <m/>
    <m/>
    <m/>
    <m/>
    <s v="13. Item 13"/>
    <n v="8"/>
    <x v="5"/>
    <x v="2"/>
    <n v="2021"/>
    <n v="2021"/>
    <b v="1"/>
  </r>
  <r>
    <x v="13"/>
    <m/>
    <x v="1"/>
    <s v="Centralized"/>
    <s v="Out"/>
    <m/>
    <m/>
    <m/>
    <m/>
    <n v="1"/>
    <s v="COMPLETE"/>
    <s v="f"/>
    <d v="2021-08-02T00:00:00"/>
    <d v="2021-08-18T00:00:00"/>
    <m/>
    <n v="36980.589999999997"/>
    <m/>
    <m/>
    <m/>
    <m/>
    <m/>
    <m/>
    <m/>
    <s v="13. Item 13"/>
    <n v="8"/>
    <x v="5"/>
    <x v="2"/>
    <n v="2021"/>
    <n v="2021"/>
    <b v="1"/>
  </r>
  <r>
    <x v="20"/>
    <m/>
    <x v="1"/>
    <s v="Centralized"/>
    <s v="Out"/>
    <m/>
    <m/>
    <m/>
    <m/>
    <n v="3"/>
    <s v="COMPLETE"/>
    <s v="f"/>
    <d v="2021-08-02T00:00:00"/>
    <d v="2021-08-13T00:00:00"/>
    <m/>
    <n v="27618.19"/>
    <m/>
    <m/>
    <m/>
    <m/>
    <m/>
    <m/>
    <m/>
    <s v="14. Item 14"/>
    <n v="8"/>
    <x v="5"/>
    <x v="2"/>
    <n v="2021"/>
    <n v="2021"/>
    <b v="1"/>
  </r>
  <r>
    <x v="15"/>
    <m/>
    <x v="1"/>
    <s v="Centralized"/>
    <s v="Out"/>
    <m/>
    <m/>
    <m/>
    <m/>
    <n v="1"/>
    <s v="COMPLETE"/>
    <s v="f"/>
    <d v="2021-08-01T00:00:00"/>
    <d v="2021-08-25T00:00:00"/>
    <m/>
    <n v="3115.29"/>
    <m/>
    <m/>
    <m/>
    <m/>
    <m/>
    <m/>
    <m/>
    <s v="06. Item 06"/>
    <n v="8"/>
    <x v="5"/>
    <x v="2"/>
    <n v="2021"/>
    <n v="2021"/>
    <b v="1"/>
  </r>
  <r>
    <x v="15"/>
    <m/>
    <x v="1"/>
    <s v="Centralized"/>
    <s v="Out"/>
    <m/>
    <m/>
    <m/>
    <s v="X"/>
    <n v="2"/>
    <s v="COMPLETE"/>
    <s v="f"/>
    <d v="2021-08-10T00:00:00"/>
    <d v="2021-08-20T00:00:00"/>
    <m/>
    <n v="61958.54"/>
    <m/>
    <m/>
    <m/>
    <m/>
    <m/>
    <m/>
    <m/>
    <s v="06. Item 06"/>
    <n v="8"/>
    <x v="5"/>
    <x v="2"/>
    <n v="2021"/>
    <n v="2021"/>
    <b v="1"/>
  </r>
  <r>
    <x v="16"/>
    <m/>
    <x v="1"/>
    <s v="Centralized"/>
    <s v="Out"/>
    <m/>
    <m/>
    <m/>
    <m/>
    <n v="1"/>
    <s v="COMPLETE"/>
    <s v="f"/>
    <d v="2021-08-10T00:00:00"/>
    <d v="2021-08-20T00:00:00"/>
    <m/>
    <n v="60632"/>
    <m/>
    <m/>
    <m/>
    <m/>
    <m/>
    <m/>
    <m/>
    <s v="_1. Item _1"/>
    <n v="8"/>
    <x v="5"/>
    <x v="2"/>
    <n v="2021"/>
    <n v="2021"/>
    <b v="1"/>
  </r>
  <r>
    <x v="16"/>
    <m/>
    <x v="1"/>
    <s v="Centralized"/>
    <s v="In"/>
    <m/>
    <m/>
    <m/>
    <m/>
    <m/>
    <s v="COMPLETE"/>
    <s v="f"/>
    <d v="2021-08-10T00:00:00"/>
    <d v="2021-08-10T00:00:00"/>
    <m/>
    <n v="3387.57"/>
    <m/>
    <m/>
    <m/>
    <m/>
    <m/>
    <m/>
    <m/>
    <s v="_1. Item _1"/>
    <n v="8"/>
    <x v="5"/>
    <x v="2"/>
    <n v="2021"/>
    <n v="2021"/>
    <b v="1"/>
  </r>
  <r>
    <x v="13"/>
    <m/>
    <x v="1"/>
    <s v="Centralized"/>
    <s v="In"/>
    <m/>
    <m/>
    <m/>
    <m/>
    <m/>
    <s v="COMPLETE"/>
    <s v="f"/>
    <d v="2021-08-06T00:00:00"/>
    <d v="2021-08-06T00:00:00"/>
    <m/>
    <n v="92848.73"/>
    <m/>
    <m/>
    <m/>
    <m/>
    <m/>
    <m/>
    <m/>
    <s v="13. Item 13"/>
    <n v="8"/>
    <x v="5"/>
    <x v="2"/>
    <n v="2021"/>
    <n v="2021"/>
    <b v="1"/>
  </r>
  <r>
    <x v="13"/>
    <m/>
    <x v="2"/>
    <s v="Centralized"/>
    <s v="Out"/>
    <m/>
    <m/>
    <m/>
    <m/>
    <m/>
    <m/>
    <s v="f"/>
    <d v="2021-08-01T00:00:00"/>
    <d v="2021-08-01T00:00:00"/>
    <m/>
    <n v="39206.83"/>
    <m/>
    <m/>
    <m/>
    <m/>
    <m/>
    <m/>
    <m/>
    <s v="13. Item 13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m/>
    <n v="2211192.56"/>
    <m/>
    <m/>
    <m/>
    <m/>
    <m/>
    <m/>
    <m/>
    <s v="_1. Item _1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m/>
    <n v="6860616"/>
    <m/>
    <m/>
    <m/>
    <m/>
    <m/>
    <m/>
    <m/>
    <s v="_1. Item _1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n v="405.78"/>
    <n v="34265.620000000003"/>
    <m/>
    <m/>
    <m/>
    <m/>
    <m/>
    <m/>
    <m/>
    <s v="_1. Item _1"/>
    <n v="8"/>
    <x v="5"/>
    <x v="2"/>
    <n v="2021"/>
    <n v="2021"/>
    <b v="1"/>
  </r>
  <r>
    <x v="11"/>
    <m/>
    <x v="2"/>
    <s v="Centralized"/>
    <s v="Out"/>
    <m/>
    <m/>
    <m/>
    <m/>
    <m/>
    <m/>
    <s v="f"/>
    <d v="2021-08-01T00:00:00"/>
    <d v="2021-08-01T00:00:00"/>
    <m/>
    <n v="5380.46"/>
    <m/>
    <m/>
    <m/>
    <m/>
    <m/>
    <m/>
    <m/>
    <s v="13. Item 13"/>
    <n v="8"/>
    <x v="5"/>
    <x v="2"/>
    <n v="2021"/>
    <n v="2021"/>
    <b v="1"/>
  </r>
  <r>
    <x v="9"/>
    <m/>
    <x v="2"/>
    <s v="Centralized"/>
    <s v="Out"/>
    <m/>
    <m/>
    <m/>
    <m/>
    <m/>
    <m/>
    <s v="f"/>
    <d v="2021-08-01T00:00:00"/>
    <d v="2021-08-01T00:00:00"/>
    <m/>
    <n v="13041454"/>
    <m/>
    <m/>
    <m/>
    <m/>
    <m/>
    <m/>
    <m/>
    <s v="09. Item 09"/>
    <n v="8"/>
    <x v="5"/>
    <x v="2"/>
    <n v="2021"/>
    <n v="2021"/>
    <b v="1"/>
  </r>
  <r>
    <x v="21"/>
    <m/>
    <x v="2"/>
    <s v="Centralized"/>
    <s v="Out"/>
    <m/>
    <m/>
    <m/>
    <m/>
    <m/>
    <m/>
    <s v="f"/>
    <d v="2021-08-01T00:00:00"/>
    <d v="2021-08-01T00:00:00"/>
    <m/>
    <n v="468145.51"/>
    <m/>
    <m/>
    <m/>
    <m/>
    <m/>
    <m/>
    <m/>
    <s v="09. Item 09"/>
    <n v="8"/>
    <x v="5"/>
    <x v="2"/>
    <n v="2021"/>
    <n v="2021"/>
    <b v="1"/>
  </r>
  <r>
    <x v="8"/>
    <m/>
    <x v="2"/>
    <s v="Centralized"/>
    <s v="Out"/>
    <m/>
    <m/>
    <m/>
    <m/>
    <m/>
    <m/>
    <s v="f"/>
    <d v="2021-08-01T00:00:00"/>
    <d v="2021-08-01T00:00:00"/>
    <m/>
    <n v="294038.09999999998"/>
    <m/>
    <m/>
    <m/>
    <m/>
    <m/>
    <m/>
    <m/>
    <s v="09. Item 09"/>
    <n v="8"/>
    <x v="5"/>
    <x v="2"/>
    <n v="2021"/>
    <n v="2021"/>
    <b v="1"/>
  </r>
  <r>
    <x v="8"/>
    <m/>
    <x v="2"/>
    <s v="Centralized"/>
    <s v="Out"/>
    <m/>
    <m/>
    <m/>
    <m/>
    <m/>
    <m/>
    <s v="f"/>
    <d v="2021-08-01T00:00:00"/>
    <d v="2021-08-01T00:00:00"/>
    <m/>
    <n v="477033.75"/>
    <m/>
    <m/>
    <m/>
    <m/>
    <m/>
    <m/>
    <m/>
    <s v="09. Item 09"/>
    <n v="8"/>
    <x v="5"/>
    <x v="2"/>
    <n v="2021"/>
    <n v="2021"/>
    <b v="1"/>
  </r>
  <r>
    <x v="27"/>
    <m/>
    <x v="2"/>
    <s v="Centralized"/>
    <s v="Out"/>
    <m/>
    <m/>
    <m/>
    <m/>
    <m/>
    <m/>
    <s v="f"/>
    <d v="2021-08-01T00:00:00"/>
    <d v="2021-08-01T00:00:00"/>
    <n v="265607.84999999998"/>
    <n v="299894.82"/>
    <m/>
    <m/>
    <m/>
    <m/>
    <m/>
    <m/>
    <m/>
    <s v="03. Item 03"/>
    <n v="8"/>
    <x v="5"/>
    <x v="2"/>
    <n v="2021"/>
    <n v="2021"/>
    <b v="1"/>
  </r>
  <r>
    <x v="39"/>
    <m/>
    <x v="2"/>
    <s v="Centralized"/>
    <s v="Out"/>
    <m/>
    <m/>
    <m/>
    <m/>
    <m/>
    <m/>
    <s v="f"/>
    <d v="2021-08-01T00:00:00"/>
    <d v="2021-08-01T00:00:00"/>
    <m/>
    <n v="16096.08"/>
    <m/>
    <m/>
    <m/>
    <m/>
    <m/>
    <m/>
    <m/>
    <s v="03. Item 03"/>
    <n v="8"/>
    <x v="5"/>
    <x v="2"/>
    <n v="2021"/>
    <n v="2021"/>
    <b v="1"/>
  </r>
  <r>
    <x v="39"/>
    <m/>
    <x v="2"/>
    <s v="Centralized"/>
    <s v="Out"/>
    <m/>
    <m/>
    <m/>
    <m/>
    <m/>
    <m/>
    <s v="f"/>
    <d v="2021-08-01T00:00:00"/>
    <d v="2021-08-01T00:00:00"/>
    <m/>
    <n v="34798.480000000003"/>
    <m/>
    <m/>
    <m/>
    <m/>
    <m/>
    <m/>
    <m/>
    <s v="03. Item 03"/>
    <n v="8"/>
    <x v="5"/>
    <x v="2"/>
    <n v="2021"/>
    <n v="2021"/>
    <b v="1"/>
  </r>
  <r>
    <x v="4"/>
    <m/>
    <x v="2"/>
    <s v="Centralized"/>
    <s v="Out"/>
    <m/>
    <m/>
    <m/>
    <m/>
    <m/>
    <m/>
    <s v="f"/>
    <d v="2021-08-01T00:00:00"/>
    <d v="2021-08-01T00:00:00"/>
    <m/>
    <n v="32652.33"/>
    <m/>
    <m/>
    <m/>
    <m/>
    <m/>
    <m/>
    <m/>
    <s v="05. Item 05"/>
    <n v="8"/>
    <x v="5"/>
    <x v="2"/>
    <n v="2021"/>
    <n v="2021"/>
    <b v="1"/>
  </r>
  <r>
    <x v="20"/>
    <m/>
    <x v="2"/>
    <s v="Centralized"/>
    <s v="Out"/>
    <m/>
    <m/>
    <m/>
    <m/>
    <m/>
    <m/>
    <s v="f"/>
    <d v="2021-08-01T00:00:00"/>
    <d v="2021-08-01T00:00:00"/>
    <m/>
    <n v="2664682.66"/>
    <m/>
    <m/>
    <m/>
    <m/>
    <m/>
    <m/>
    <m/>
    <s v="14. Item 14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m/>
    <n v="296081.67"/>
    <m/>
    <m/>
    <m/>
    <m/>
    <m/>
    <m/>
    <m/>
    <s v="_1. Item _1"/>
    <n v="8"/>
    <x v="5"/>
    <x v="2"/>
    <n v="2021"/>
    <n v="2021"/>
    <b v="1"/>
  </r>
  <r>
    <x v="8"/>
    <m/>
    <x v="2"/>
    <s v="Centralized"/>
    <s v="Out"/>
    <m/>
    <m/>
    <m/>
    <m/>
    <m/>
    <m/>
    <s v="f"/>
    <d v="2021-08-01T00:00:00"/>
    <d v="2021-08-01T00:00:00"/>
    <m/>
    <n v="117270.98"/>
    <m/>
    <m/>
    <m/>
    <m/>
    <m/>
    <m/>
    <m/>
    <s v="09. Item 09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m/>
    <n v="112000000"/>
    <m/>
    <m/>
    <m/>
    <m/>
    <m/>
    <m/>
    <m/>
    <s v="_1. Item _1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m/>
    <n v="12538.57"/>
    <m/>
    <m/>
    <m/>
    <m/>
    <m/>
    <m/>
    <m/>
    <s v="_1. Item _1"/>
    <n v="8"/>
    <x v="5"/>
    <x v="2"/>
    <n v="2021"/>
    <n v="2021"/>
    <b v="1"/>
  </r>
  <r>
    <x v="36"/>
    <m/>
    <x v="2"/>
    <s v="Centralized"/>
    <s v="Out"/>
    <m/>
    <m/>
    <m/>
    <m/>
    <m/>
    <m/>
    <s v="f"/>
    <d v="2021-08-01T00:00:00"/>
    <d v="2021-08-01T00:00:00"/>
    <m/>
    <n v="491749.71"/>
    <m/>
    <m/>
    <m/>
    <m/>
    <m/>
    <m/>
    <m/>
    <s v="_3. Item _3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n v="23878.799999999999"/>
    <n v="818107.11"/>
    <m/>
    <m/>
    <m/>
    <m/>
    <m/>
    <m/>
    <m/>
    <s v="_1. Item _1"/>
    <n v="8"/>
    <x v="5"/>
    <x v="2"/>
    <n v="2021"/>
    <n v="2021"/>
    <b v="1"/>
  </r>
  <r>
    <x v="16"/>
    <m/>
    <x v="2"/>
    <s v="Centralized"/>
    <s v="Out"/>
    <m/>
    <m/>
    <m/>
    <m/>
    <m/>
    <m/>
    <s v="f"/>
    <d v="2021-08-01T00:00:00"/>
    <d v="2021-08-01T00:00:00"/>
    <m/>
    <n v="223430.29"/>
    <m/>
    <m/>
    <m/>
    <m/>
    <m/>
    <m/>
    <m/>
    <s v="_1. Item _1"/>
    <n v="8"/>
    <x v="5"/>
    <x v="2"/>
    <n v="2021"/>
    <n v="2021"/>
    <b v="1"/>
  </r>
  <r>
    <x v="18"/>
    <m/>
    <x v="2"/>
    <s v="Centralized"/>
    <s v="Out"/>
    <m/>
    <m/>
    <m/>
    <m/>
    <m/>
    <m/>
    <s v="f"/>
    <d v="2021-08-01T00:00:00"/>
    <d v="2021-08-01T00:00:00"/>
    <m/>
    <n v="238202.82"/>
    <m/>
    <m/>
    <m/>
    <m/>
    <m/>
    <m/>
    <m/>
    <s v="15. Item 15"/>
    <n v="8"/>
    <x v="5"/>
    <x v="2"/>
    <n v="2021"/>
    <n v="2021"/>
    <b v="1"/>
  </r>
  <r>
    <x v="18"/>
    <m/>
    <x v="2"/>
    <s v="Centralized"/>
    <s v="In"/>
    <m/>
    <m/>
    <m/>
    <m/>
    <m/>
    <m/>
    <s v="f"/>
    <d v="2021-07-31T00:00:00"/>
    <d v="2021-07-31T00:00:00"/>
    <m/>
    <n v="58058310.359999999"/>
    <m/>
    <m/>
    <m/>
    <m/>
    <m/>
    <m/>
    <m/>
    <s v="15. Item 15"/>
    <n v="7"/>
    <x v="7"/>
    <x v="2"/>
    <n v="2021"/>
    <n v="2021"/>
    <b v="1"/>
  </r>
  <r>
    <x v="36"/>
    <m/>
    <x v="1"/>
    <s v="Centralized"/>
    <s v="Out"/>
    <m/>
    <m/>
    <m/>
    <m/>
    <n v="3"/>
    <s v="COMPLETE"/>
    <s v="f"/>
    <d v="2021-08-13T00:00:00"/>
    <d v="2021-08-24T00:00:00"/>
    <m/>
    <n v="2183574.37"/>
    <m/>
    <m/>
    <m/>
    <m/>
    <m/>
    <m/>
    <m/>
    <s v="_3. Item _3"/>
    <n v="8"/>
    <x v="5"/>
    <x v="2"/>
    <n v="2021"/>
    <n v="2021"/>
    <b v="1"/>
  </r>
  <r>
    <x v="35"/>
    <m/>
    <x v="1"/>
    <s v="Centralized"/>
    <s v="Out"/>
    <m/>
    <m/>
    <m/>
    <m/>
    <n v="3"/>
    <s v="COMPLETE"/>
    <s v="f"/>
    <d v="2021-08-13T00:00:00"/>
    <d v="2021-08-31T00:00:00"/>
    <m/>
    <n v="6254187.4299999997"/>
    <m/>
    <m/>
    <m/>
    <m/>
    <m/>
    <m/>
    <m/>
    <s v="17. Item 17"/>
    <n v="8"/>
    <x v="5"/>
    <x v="2"/>
    <n v="2021"/>
    <n v="2021"/>
    <b v="1"/>
  </r>
  <r>
    <x v="15"/>
    <m/>
    <x v="1"/>
    <s v="Centralized"/>
    <s v="Out"/>
    <m/>
    <m/>
    <m/>
    <m/>
    <n v="1"/>
    <s v="COMPLETE"/>
    <s v="f"/>
    <d v="2021-08-13T00:00:00"/>
    <d v="2021-08-25T00:00:00"/>
    <m/>
    <n v="8737.5499999999993"/>
    <m/>
    <m/>
    <m/>
    <m/>
    <m/>
    <m/>
    <m/>
    <s v="06. Item 06"/>
    <n v="8"/>
    <x v="5"/>
    <x v="2"/>
    <n v="2021"/>
    <n v="2021"/>
    <b v="1"/>
  </r>
  <r>
    <x v="8"/>
    <m/>
    <x v="1"/>
    <s v="Centralized"/>
    <s v="Out"/>
    <m/>
    <m/>
    <m/>
    <m/>
    <n v="3"/>
    <s v="COMPLETE"/>
    <s v="f"/>
    <d v="2021-08-13T00:00:00"/>
    <d v="2021-08-25T00:00:00"/>
    <m/>
    <n v="32652.33"/>
    <m/>
    <m/>
    <m/>
    <m/>
    <m/>
    <m/>
    <m/>
    <s v="09. Item 09"/>
    <n v="8"/>
    <x v="5"/>
    <x v="2"/>
    <n v="2021"/>
    <n v="2021"/>
    <b v="1"/>
  </r>
  <r>
    <x v="30"/>
    <m/>
    <x v="1"/>
    <s v="Centralized"/>
    <s v="Out"/>
    <m/>
    <m/>
    <m/>
    <m/>
    <n v="3"/>
    <s v="COMPLETE"/>
    <s v="f"/>
    <d v="2021-08-13T00:00:00"/>
    <d v="2021-08-27T00:00:00"/>
    <m/>
    <n v="2052.5700000000002"/>
    <m/>
    <m/>
    <m/>
    <m/>
    <m/>
    <m/>
    <m/>
    <s v="10. Item 10"/>
    <n v="8"/>
    <x v="5"/>
    <x v="2"/>
    <n v="2021"/>
    <n v="2021"/>
    <b v="1"/>
  </r>
  <r>
    <x v="32"/>
    <m/>
    <x v="1"/>
    <s v="Centralized"/>
    <s v="Out"/>
    <m/>
    <m/>
    <m/>
    <m/>
    <n v="3"/>
    <s v="COMPLETE"/>
    <s v="f"/>
    <d v="2021-08-13T00:00:00"/>
    <d v="2021-08-27T00:00:00"/>
    <m/>
    <n v="34798.480000000003"/>
    <m/>
    <m/>
    <m/>
    <m/>
    <m/>
    <m/>
    <m/>
    <s v="12. Item 12"/>
    <n v="8"/>
    <x v="5"/>
    <x v="2"/>
    <n v="2021"/>
    <n v="2021"/>
    <b v="1"/>
  </r>
  <r>
    <x v="32"/>
    <m/>
    <x v="1"/>
    <s v="Centralized"/>
    <s v="Out"/>
    <m/>
    <m/>
    <m/>
    <m/>
    <n v="3"/>
    <s v="COMPLETE"/>
    <s v="f"/>
    <d v="2021-08-13T00:00:00"/>
    <d v="2021-08-31T00:00:00"/>
    <m/>
    <n v="12832148.960000001"/>
    <m/>
    <m/>
    <m/>
    <m/>
    <m/>
    <m/>
    <m/>
    <s v="12. Item 12"/>
    <n v="8"/>
    <x v="5"/>
    <x v="2"/>
    <n v="2021"/>
    <n v="2021"/>
    <b v="1"/>
  </r>
  <r>
    <x v="32"/>
    <m/>
    <x v="1"/>
    <s v="Centralized"/>
    <s v="Out"/>
    <m/>
    <m/>
    <m/>
    <m/>
    <n v="3"/>
    <s v="COMPLETE"/>
    <s v="f"/>
    <d v="2021-08-13T00:00:00"/>
    <d v="2021-08-24T00:00:00"/>
    <m/>
    <n v="463159.48"/>
    <m/>
    <m/>
    <m/>
    <m/>
    <m/>
    <m/>
    <m/>
    <s v="12. Item 12"/>
    <n v="8"/>
    <x v="5"/>
    <x v="2"/>
    <n v="2021"/>
    <n v="2021"/>
    <b v="1"/>
  </r>
  <r>
    <x v="8"/>
    <m/>
    <x v="1"/>
    <s v="Centralized"/>
    <s v="In"/>
    <m/>
    <m/>
    <m/>
    <m/>
    <m/>
    <s v="COMPLETE"/>
    <s v="f"/>
    <d v="2021-08-13T00:00:00"/>
    <d v="2021-08-13T00:00:00"/>
    <m/>
    <n v="3289625.97"/>
    <m/>
    <m/>
    <m/>
    <m/>
    <m/>
    <m/>
    <m/>
    <s v="09. Item 09"/>
    <n v="8"/>
    <x v="5"/>
    <x v="2"/>
    <n v="2021"/>
    <n v="2021"/>
    <b v="1"/>
  </r>
  <r>
    <x v="8"/>
    <m/>
    <x v="1"/>
    <s v="Centralized"/>
    <s v="In"/>
    <m/>
    <m/>
    <m/>
    <m/>
    <m/>
    <s v="COMPLETE"/>
    <s v="f"/>
    <d v="2021-08-16T00:00:00"/>
    <d v="2021-08-16T00:00:00"/>
    <m/>
    <n v="2389133.06"/>
    <m/>
    <m/>
    <m/>
    <m/>
    <m/>
    <m/>
    <m/>
    <s v="09. Item 09"/>
    <n v="8"/>
    <x v="5"/>
    <x v="2"/>
    <n v="2021"/>
    <n v="2021"/>
    <b v="1"/>
  </r>
  <r>
    <x v="5"/>
    <m/>
    <x v="1"/>
    <s v="Centralized"/>
    <s v="Out"/>
    <m/>
    <m/>
    <m/>
    <m/>
    <n v="1"/>
    <s v="COMPLETE"/>
    <s v="f"/>
    <d v="2021-08-01T00:00:00"/>
    <d v="2021-08-16T00:00:00"/>
    <m/>
    <n v="4634.97"/>
    <m/>
    <m/>
    <m/>
    <m/>
    <m/>
    <m/>
    <m/>
    <s v="05. Item 05"/>
    <n v="8"/>
    <x v="5"/>
    <x v="2"/>
    <n v="2021"/>
    <n v="2021"/>
    <b v="1"/>
  </r>
  <r>
    <x v="10"/>
    <m/>
    <x v="1"/>
    <s v="Centralized"/>
    <s v="Out"/>
    <m/>
    <m/>
    <m/>
    <s v="X"/>
    <n v="1"/>
    <s v="COMPLETE"/>
    <s v="f"/>
    <d v="2021-08-01T00:00:00"/>
    <d v="2021-08-17T00:00:00"/>
    <m/>
    <n v="4382.45"/>
    <m/>
    <m/>
    <m/>
    <m/>
    <m/>
    <m/>
    <m/>
    <s v="11. Item 11"/>
    <n v="8"/>
    <x v="5"/>
    <x v="2"/>
    <n v="2021"/>
    <n v="2021"/>
    <b v="1"/>
  </r>
  <r>
    <x v="13"/>
    <m/>
    <x v="1"/>
    <s v="Centralized"/>
    <s v="Out"/>
    <m/>
    <m/>
    <m/>
    <m/>
    <n v="2"/>
    <s v="COMPLETE"/>
    <s v="f"/>
    <d v="2021-08-01T00:00:00"/>
    <d v="2021-08-20T00:00:00"/>
    <m/>
    <n v="25275.98"/>
    <m/>
    <m/>
    <m/>
    <m/>
    <m/>
    <m/>
    <m/>
    <s v="13. Item 13"/>
    <n v="8"/>
    <x v="5"/>
    <x v="2"/>
    <n v="2021"/>
    <n v="2021"/>
    <b v="1"/>
  </r>
  <r>
    <x v="13"/>
    <m/>
    <x v="1"/>
    <s v="Centralized"/>
    <s v="Out"/>
    <m/>
    <m/>
    <m/>
    <m/>
    <n v="2"/>
    <s v="COMPLETE"/>
    <s v="f"/>
    <d v="2021-08-13T00:00:00"/>
    <d v="2021-08-26T00:00:00"/>
    <m/>
    <n v="13893.9"/>
    <m/>
    <m/>
    <m/>
    <m/>
    <m/>
    <m/>
    <m/>
    <s v="13. Item 13"/>
    <n v="8"/>
    <x v="5"/>
    <x v="2"/>
    <n v="2021"/>
    <n v="2021"/>
    <b v="1"/>
  </r>
  <r>
    <x v="34"/>
    <m/>
    <x v="1"/>
    <s v="Centralized"/>
    <s v="Out"/>
    <m/>
    <m/>
    <m/>
    <s v="X"/>
    <n v="3"/>
    <s v="COMPLETE"/>
    <s v="f"/>
    <d v="2021-08-13T00:00:00"/>
    <d v="2021-08-25T00:00:00"/>
    <m/>
    <n v="3547.62"/>
    <m/>
    <m/>
    <m/>
    <m/>
    <m/>
    <m/>
    <m/>
    <s v="13. Item 13"/>
    <n v="8"/>
    <x v="5"/>
    <x v="2"/>
    <n v="2021"/>
    <n v="2021"/>
    <b v="1"/>
  </r>
  <r>
    <x v="35"/>
    <m/>
    <x v="1"/>
    <s v="Centralized"/>
    <s v="Out"/>
    <m/>
    <m/>
    <m/>
    <m/>
    <n v="1"/>
    <s v="COMPLETE"/>
    <s v="f"/>
    <d v="2021-08-13T00:00:00"/>
    <d v="2021-08-25T00:00:00"/>
    <m/>
    <n v="283983.37"/>
    <m/>
    <m/>
    <m/>
    <m/>
    <m/>
    <m/>
    <m/>
    <s v="17. Item 17"/>
    <n v="8"/>
    <x v="5"/>
    <x v="2"/>
    <n v="2021"/>
    <n v="2021"/>
    <b v="1"/>
  </r>
  <r>
    <x v="14"/>
    <m/>
    <x v="1"/>
    <s v="Centralized"/>
    <s v="Out"/>
    <m/>
    <m/>
    <m/>
    <m/>
    <n v="3"/>
    <s v="COMPLETE"/>
    <s v="f"/>
    <d v="2021-08-13T00:00:00"/>
    <d v="2021-08-26T00:00:00"/>
    <m/>
    <n v="24415.55"/>
    <m/>
    <m/>
    <m/>
    <m/>
    <m/>
    <m/>
    <m/>
    <s v="19. Item 19"/>
    <n v="8"/>
    <x v="5"/>
    <x v="2"/>
    <n v="2021"/>
    <n v="2021"/>
    <b v="1"/>
  </r>
  <r>
    <x v="29"/>
    <m/>
    <x v="1"/>
    <s v="Centralized"/>
    <s v="Out"/>
    <m/>
    <m/>
    <m/>
    <m/>
    <n v="3"/>
    <s v="COMPLETE"/>
    <s v="f"/>
    <d v="2021-08-13T00:00:00"/>
    <d v="2021-08-26T00:00:00"/>
    <m/>
    <n v="10488.57"/>
    <m/>
    <m/>
    <m/>
    <m/>
    <m/>
    <m/>
    <m/>
    <s v="13. Item 13"/>
    <n v="8"/>
    <x v="5"/>
    <x v="2"/>
    <n v="2021"/>
    <n v="2021"/>
    <b v="1"/>
  </r>
  <r>
    <x v="11"/>
    <m/>
    <x v="1"/>
    <s v="Centralized"/>
    <s v="Out"/>
    <m/>
    <m/>
    <m/>
    <m/>
    <n v="3"/>
    <s v="COMPLETE"/>
    <s v="f"/>
    <d v="2021-08-13T00:00:00"/>
    <d v="2021-08-26T00:00:00"/>
    <m/>
    <n v="23393.26"/>
    <m/>
    <m/>
    <m/>
    <m/>
    <m/>
    <m/>
    <m/>
    <s v="13. Item 13"/>
    <n v="8"/>
    <x v="5"/>
    <x v="2"/>
    <n v="2021"/>
    <n v="2021"/>
    <b v="1"/>
  </r>
  <r>
    <x v="20"/>
    <m/>
    <x v="1"/>
    <s v="Centralized"/>
    <s v="Out"/>
    <m/>
    <m/>
    <m/>
    <m/>
    <n v="3"/>
    <s v="COMPLETE"/>
    <s v="f"/>
    <d v="2021-08-13T00:00:00"/>
    <d v="2021-08-31T00:00:00"/>
    <m/>
    <n v="411.95"/>
    <m/>
    <m/>
    <m/>
    <m/>
    <m/>
    <m/>
    <m/>
    <s v="14. Item 14"/>
    <n v="8"/>
    <x v="5"/>
    <x v="2"/>
    <n v="2021"/>
    <n v="2021"/>
    <b v="1"/>
  </r>
  <r>
    <x v="3"/>
    <m/>
    <x v="1"/>
    <s v="Centralized"/>
    <s v="Out"/>
    <m/>
    <m/>
    <m/>
    <m/>
    <n v="3"/>
    <s v="COMPLETE"/>
    <s v="f"/>
    <d v="2021-08-13T00:00:00"/>
    <d v="2021-08-24T00:00:00"/>
    <m/>
    <n v="182616.2"/>
    <m/>
    <m/>
    <m/>
    <m/>
    <m/>
    <m/>
    <m/>
    <s v="04. Item 04"/>
    <n v="8"/>
    <x v="5"/>
    <x v="2"/>
    <n v="2021"/>
    <n v="2021"/>
    <b v="1"/>
  </r>
  <r>
    <x v="3"/>
    <m/>
    <x v="1"/>
    <s v="Centralized"/>
    <s v="Out"/>
    <m/>
    <m/>
    <m/>
    <m/>
    <n v="3"/>
    <s v="COMPLETE"/>
    <s v="f"/>
    <d v="2021-08-13T00:00:00"/>
    <d v="2021-08-27T00:00:00"/>
    <m/>
    <n v="294417.53999999998"/>
    <m/>
    <m/>
    <m/>
    <m/>
    <m/>
    <m/>
    <m/>
    <s v="04. Item 04"/>
    <n v="8"/>
    <x v="5"/>
    <x v="2"/>
    <n v="2021"/>
    <n v="2021"/>
    <b v="1"/>
  </r>
  <r>
    <x v="22"/>
    <m/>
    <x v="1"/>
    <s v="Centralized"/>
    <s v="In"/>
    <m/>
    <m/>
    <m/>
    <m/>
    <m/>
    <s v="COMPLETE"/>
    <s v="f"/>
    <d v="2021-08-17T00:00:00"/>
    <d v="2021-08-17T00:00:00"/>
    <m/>
    <n v="42405.86"/>
    <m/>
    <m/>
    <m/>
    <m/>
    <m/>
    <m/>
    <m/>
    <s v="04. Item 04"/>
    <n v="8"/>
    <x v="5"/>
    <x v="2"/>
    <n v="2021"/>
    <n v="2021"/>
    <b v="1"/>
  </r>
  <r>
    <x v="8"/>
    <m/>
    <x v="1"/>
    <s v="Centralized"/>
    <s v="Out"/>
    <m/>
    <m/>
    <m/>
    <m/>
    <n v="3"/>
    <s v="COMPLETE"/>
    <s v="f"/>
    <d v="2021-08-13T00:00:00"/>
    <d v="2021-08-24T00:00:00"/>
    <m/>
    <n v="5722.46"/>
    <m/>
    <m/>
    <m/>
    <m/>
    <m/>
    <m/>
    <m/>
    <s v="09. Item 09"/>
    <n v="8"/>
    <x v="5"/>
    <x v="2"/>
    <n v="2021"/>
    <n v="2021"/>
    <b v="1"/>
  </r>
  <r>
    <x v="23"/>
    <m/>
    <x v="1"/>
    <s v="Centralized"/>
    <s v="Out"/>
    <m/>
    <m/>
    <m/>
    <m/>
    <n v="3"/>
    <s v="COMPLETE"/>
    <s v="f"/>
    <d v="2021-08-13T00:00:00"/>
    <d v="2021-08-24T00:00:00"/>
    <m/>
    <n v="36467.199999999997"/>
    <m/>
    <m/>
    <m/>
    <m/>
    <m/>
    <m/>
    <m/>
    <s v="21. Item 21"/>
    <n v="8"/>
    <x v="5"/>
    <x v="2"/>
    <n v="2021"/>
    <n v="2021"/>
    <b v="1"/>
  </r>
  <r>
    <x v="13"/>
    <m/>
    <x v="1"/>
    <s v="Centralized"/>
    <s v="Out"/>
    <m/>
    <m/>
    <m/>
    <m/>
    <n v="3"/>
    <s v="COMPLETE"/>
    <s v="f"/>
    <d v="2021-08-13T00:00:00"/>
    <d v="2021-08-24T00:00:00"/>
    <m/>
    <n v="477.14"/>
    <m/>
    <m/>
    <m/>
    <m/>
    <m/>
    <m/>
    <m/>
    <s v="13. Item 13"/>
    <n v="8"/>
    <x v="5"/>
    <x v="2"/>
    <n v="2021"/>
    <n v="2021"/>
    <b v="1"/>
  </r>
  <r>
    <x v="16"/>
    <m/>
    <x v="1"/>
    <s v="Centralized"/>
    <s v="Out"/>
    <m/>
    <m/>
    <m/>
    <m/>
    <n v="1"/>
    <s v="COMPLETE"/>
    <s v="f"/>
    <d v="2021-08-01T00:00:00"/>
    <d v="2021-08-31T00:00:00"/>
    <m/>
    <n v="478599"/>
    <m/>
    <m/>
    <m/>
    <m/>
    <m/>
    <m/>
    <m/>
    <s v="_1. Item _1"/>
    <n v="8"/>
    <x v="5"/>
    <x v="2"/>
    <n v="2021"/>
    <n v="2021"/>
    <b v="1"/>
  </r>
  <r>
    <x v="36"/>
    <m/>
    <x v="1"/>
    <s v="Centralized"/>
    <s v="Out"/>
    <m/>
    <m/>
    <m/>
    <m/>
    <n v="3"/>
    <s v="COMPLETE"/>
    <s v="f"/>
    <d v="2021-08-15T00:00:00"/>
    <d v="2021-08-25T00:00:00"/>
    <m/>
    <n v="2583333.33"/>
    <m/>
    <m/>
    <m/>
    <m/>
    <m/>
    <m/>
    <m/>
    <s v="_3. Item _3"/>
    <n v="8"/>
    <x v="5"/>
    <x v="2"/>
    <n v="2021"/>
    <n v="2021"/>
    <b v="1"/>
  </r>
  <r>
    <x v="3"/>
    <m/>
    <x v="1"/>
    <s v="Centralized"/>
    <s v="Out"/>
    <m/>
    <m/>
    <m/>
    <s v="X"/>
    <n v="3"/>
    <s v="COMPLETE"/>
    <s v="f"/>
    <d v="2021-08-18T00:00:00"/>
    <d v="2021-08-26T00:00:00"/>
    <m/>
    <n v="3404761.9"/>
    <m/>
    <m/>
    <m/>
    <m/>
    <m/>
    <m/>
    <m/>
    <s v="04. Item 04"/>
    <n v="8"/>
    <x v="5"/>
    <x v="2"/>
    <n v="2021"/>
    <n v="2021"/>
    <b v="1"/>
  </r>
  <r>
    <x v="22"/>
    <m/>
    <x v="1"/>
    <s v="Centralized"/>
    <s v="Out"/>
    <m/>
    <m/>
    <m/>
    <m/>
    <n v="3"/>
    <s v="COMPLETE"/>
    <s v="f"/>
    <d v="2021-08-16T00:00:00"/>
    <d v="2021-08-27T00:00:00"/>
    <m/>
    <n v="187830.91"/>
    <m/>
    <m/>
    <m/>
    <m/>
    <m/>
    <m/>
    <m/>
    <s v="04. Item 04"/>
    <n v="8"/>
    <x v="5"/>
    <x v="2"/>
    <n v="2021"/>
    <n v="2021"/>
    <b v="1"/>
  </r>
  <r>
    <x v="4"/>
    <m/>
    <x v="1"/>
    <s v="Centralized"/>
    <s v="Out"/>
    <m/>
    <m/>
    <m/>
    <m/>
    <n v="4"/>
    <s v="COMPLETE"/>
    <s v="f"/>
    <d v="2021-08-13T00:00:00"/>
    <d v="2021-08-30T00:00:00"/>
    <m/>
    <n v="18916.669999999998"/>
    <m/>
    <m/>
    <m/>
    <m/>
    <m/>
    <m/>
    <m/>
    <s v="05. Item 05"/>
    <n v="8"/>
    <x v="5"/>
    <x v="2"/>
    <n v="2021"/>
    <n v="2021"/>
    <b v="1"/>
  </r>
  <r>
    <x v="5"/>
    <m/>
    <x v="1"/>
    <s v="Centralized"/>
    <s v="Out"/>
    <m/>
    <m/>
    <m/>
    <s v="X"/>
    <n v="3"/>
    <s v="COMPLETE"/>
    <s v="f"/>
    <d v="2021-08-13T00:00:00"/>
    <d v="2021-08-24T00:00:00"/>
    <m/>
    <n v="3560.28"/>
    <m/>
    <m/>
    <m/>
    <m/>
    <m/>
    <m/>
    <m/>
    <s v="05. Item 05"/>
    <n v="8"/>
    <x v="5"/>
    <x v="2"/>
    <n v="2021"/>
    <n v="2021"/>
    <b v="1"/>
  </r>
  <r>
    <x v="15"/>
    <m/>
    <x v="1"/>
    <s v="Centralized"/>
    <s v="Out"/>
    <m/>
    <m/>
    <m/>
    <s v="X"/>
    <n v="3"/>
    <s v="COMPLETE"/>
    <s v="f"/>
    <d v="2021-08-13T00:00:00"/>
    <d v="2021-08-24T00:00:00"/>
    <m/>
    <n v="164521.39000000001"/>
    <m/>
    <m/>
    <m/>
    <m/>
    <m/>
    <m/>
    <m/>
    <s v="06. Item 06"/>
    <n v="8"/>
    <x v="5"/>
    <x v="2"/>
    <n v="2021"/>
    <n v="2021"/>
    <b v="1"/>
  </r>
  <r>
    <x v="6"/>
    <m/>
    <x v="1"/>
    <s v="Centralized"/>
    <s v="Out"/>
    <m/>
    <m/>
    <m/>
    <s v="X"/>
    <n v="3"/>
    <s v="COMPLETE"/>
    <s v="f"/>
    <d v="2021-08-13T00:00:00"/>
    <d v="2021-08-26T00:00:00"/>
    <m/>
    <n v="49346.39"/>
    <m/>
    <m/>
    <m/>
    <m/>
    <m/>
    <m/>
    <m/>
    <s v="07. Item 07"/>
    <n v="8"/>
    <x v="5"/>
    <x v="2"/>
    <n v="2021"/>
    <n v="2021"/>
    <b v="1"/>
  </r>
  <r>
    <x v="7"/>
    <m/>
    <x v="1"/>
    <s v="Centralized"/>
    <s v="In"/>
    <m/>
    <m/>
    <m/>
    <m/>
    <m/>
    <s v="COMPLETE"/>
    <s v="f"/>
    <d v="2021-08-18T00:00:00"/>
    <d v="2021-08-18T00:00:00"/>
    <m/>
    <n v="387766.3"/>
    <m/>
    <m/>
    <m/>
    <m/>
    <m/>
    <m/>
    <m/>
    <s v="08. Item 08"/>
    <n v="8"/>
    <x v="5"/>
    <x v="2"/>
    <n v="2021"/>
    <n v="2021"/>
    <b v="1"/>
  </r>
  <r>
    <x v="21"/>
    <m/>
    <x v="1"/>
    <s v="Centralized"/>
    <s v="In"/>
    <m/>
    <m/>
    <m/>
    <m/>
    <m/>
    <s v="COMPLETE"/>
    <s v="f"/>
    <d v="2021-08-20T00:00:00"/>
    <d v="2021-08-20T00:00:00"/>
    <m/>
    <n v="457390.33"/>
    <m/>
    <m/>
    <m/>
    <m/>
    <m/>
    <m/>
    <m/>
    <s v="09. Item 09"/>
    <n v="8"/>
    <x v="5"/>
    <x v="2"/>
    <n v="2021"/>
    <n v="2021"/>
    <b v="1"/>
  </r>
  <r>
    <x v="9"/>
    <m/>
    <x v="1"/>
    <s v="Centralized"/>
    <s v="In"/>
    <m/>
    <m/>
    <m/>
    <m/>
    <m/>
    <s v="COMPLETE"/>
    <s v="f"/>
    <d v="2021-08-24T00:00:00"/>
    <d v="2021-08-24T00:00:00"/>
    <m/>
    <n v="3040098.52"/>
    <m/>
    <m/>
    <m/>
    <m/>
    <m/>
    <m/>
    <m/>
    <s v="09. Item 09"/>
    <n v="8"/>
    <x v="5"/>
    <x v="2"/>
    <n v="2021"/>
    <n v="2021"/>
    <b v="1"/>
  </r>
  <r>
    <x v="8"/>
    <m/>
    <x v="1"/>
    <s v="Centralized"/>
    <s v="In"/>
    <m/>
    <m/>
    <m/>
    <m/>
    <m/>
    <s v="COMPLETE"/>
    <s v="f"/>
    <d v="2021-08-25T00:00:00"/>
    <d v="2021-08-25T00:00:00"/>
    <m/>
    <n v="2915369.49"/>
    <m/>
    <m/>
    <m/>
    <m/>
    <m/>
    <m/>
    <m/>
    <s v="09. Item 09"/>
    <n v="8"/>
    <x v="5"/>
    <x v="2"/>
    <n v="2021"/>
    <n v="2021"/>
    <b v="1"/>
  </r>
  <r>
    <x v="30"/>
    <m/>
    <x v="1"/>
    <s v="Centralized"/>
    <s v="In"/>
    <m/>
    <m/>
    <m/>
    <m/>
    <m/>
    <s v="COMPLETE"/>
    <s v="f"/>
    <d v="2021-08-26T00:00:00"/>
    <d v="2021-08-26T00:00:00"/>
    <m/>
    <n v="3526299.58"/>
    <m/>
    <m/>
    <m/>
    <m/>
    <m/>
    <m/>
    <m/>
    <s v="10. Item 10"/>
    <n v="8"/>
    <x v="5"/>
    <x v="2"/>
    <n v="2021"/>
    <n v="2021"/>
    <b v="1"/>
  </r>
  <r>
    <x v="31"/>
    <m/>
    <x v="1"/>
    <s v="Centralized"/>
    <s v="In"/>
    <m/>
    <m/>
    <m/>
    <m/>
    <m/>
    <s v="COMPLETE"/>
    <s v="f"/>
    <d v="2021-08-27T00:00:00"/>
    <d v="2021-08-27T00:00:00"/>
    <m/>
    <n v="519099.5"/>
    <m/>
    <m/>
    <m/>
    <m/>
    <m/>
    <m/>
    <m/>
    <s v="10. Item 10"/>
    <n v="8"/>
    <x v="5"/>
    <x v="2"/>
    <n v="2021"/>
    <n v="2021"/>
    <b v="1"/>
  </r>
  <r>
    <x v="10"/>
    <m/>
    <x v="1"/>
    <s v="Centralized"/>
    <s v="In"/>
    <m/>
    <m/>
    <m/>
    <m/>
    <m/>
    <s v="COMPLETE"/>
    <s v="f"/>
    <d v="2021-08-30T00:00:00"/>
    <d v="2021-08-30T00:00:00"/>
    <m/>
    <n v="18916.669999999998"/>
    <m/>
    <m/>
    <m/>
    <m/>
    <m/>
    <m/>
    <m/>
    <s v="11. Item 11"/>
    <n v="8"/>
    <x v="5"/>
    <x v="2"/>
    <n v="2021"/>
    <n v="2021"/>
    <b v="1"/>
  </r>
  <r>
    <x v="32"/>
    <m/>
    <x v="1"/>
    <s v="Centralized"/>
    <s v="In"/>
    <m/>
    <m/>
    <m/>
    <m/>
    <m/>
    <s v="COMPLETE"/>
    <s v="f"/>
    <d v="2021-08-31T00:00:00"/>
    <d v="2021-08-31T00:00:00"/>
    <m/>
    <n v="38612966.390000001"/>
    <m/>
    <m/>
    <m/>
    <m/>
    <m/>
    <m/>
    <m/>
    <s v="12. Item 12"/>
    <n v="8"/>
    <x v="5"/>
    <x v="2"/>
    <n v="2021"/>
    <n v="2021"/>
    <b v="1"/>
  </r>
  <r>
    <x v="29"/>
    <m/>
    <x v="1"/>
    <s v="Centralized"/>
    <s v="Out"/>
    <m/>
    <m/>
    <m/>
    <s v="X"/>
    <n v="1"/>
    <s v="COMPLETE"/>
    <s v="f"/>
    <d v="2021-09-03T00:00:00"/>
    <d v="2021-09-14T00:00:00"/>
    <m/>
    <n v="2619047.62"/>
    <m/>
    <m/>
    <m/>
    <m/>
    <m/>
    <m/>
    <m/>
    <s v="13. Item 13"/>
    <n v="9"/>
    <x v="4"/>
    <x v="2"/>
    <n v="2021"/>
    <n v="2021"/>
    <b v="1"/>
  </r>
  <r>
    <x v="11"/>
    <m/>
    <x v="1"/>
    <s v="Centralized"/>
    <s v="Out"/>
    <m/>
    <m/>
    <m/>
    <m/>
    <n v="1"/>
    <s v="COMPLETE"/>
    <s v="f"/>
    <d v="2021-09-03T00:00:00"/>
    <d v="2021-09-17T00:00:00"/>
    <m/>
    <n v="18613.849999999999"/>
    <m/>
    <m/>
    <m/>
    <m/>
    <m/>
    <m/>
    <m/>
    <s v="13. Item 13"/>
    <n v="9"/>
    <x v="4"/>
    <x v="2"/>
    <n v="2021"/>
    <n v="2021"/>
    <b v="1"/>
  </r>
  <r>
    <x v="33"/>
    <m/>
    <x v="1"/>
    <s v="Centralized"/>
    <s v="Out"/>
    <m/>
    <m/>
    <m/>
    <s v="X"/>
    <n v="1"/>
    <s v="COMPLETE"/>
    <s v="f"/>
    <d v="2021-09-13T00:00:00"/>
    <d v="2021-09-17T00:00:00"/>
    <m/>
    <n v="9534.5400000000009"/>
    <m/>
    <m/>
    <m/>
    <m/>
    <m/>
    <m/>
    <m/>
    <s v="13. Item 13"/>
    <n v="9"/>
    <x v="4"/>
    <x v="2"/>
    <n v="2021"/>
    <n v="2021"/>
    <b v="1"/>
  </r>
  <r>
    <x v="34"/>
    <m/>
    <x v="1"/>
    <s v="Centralized"/>
    <s v="Out"/>
    <m/>
    <m/>
    <m/>
    <m/>
    <n v="1"/>
    <s v="COMPLETE"/>
    <s v="f"/>
    <d v="2021-09-13T00:00:00"/>
    <d v="2021-09-17T00:00:00"/>
    <m/>
    <n v="304"/>
    <m/>
    <m/>
    <m/>
    <m/>
    <m/>
    <m/>
    <m/>
    <s v="13. Item 13"/>
    <n v="9"/>
    <x v="4"/>
    <x v="2"/>
    <n v="2021"/>
    <n v="2021"/>
    <b v="1"/>
  </r>
  <r>
    <x v="40"/>
    <m/>
    <x v="1"/>
    <s v="Centralized"/>
    <s v="Out"/>
    <m/>
    <m/>
    <m/>
    <s v="X"/>
    <n v="1"/>
    <s v="COMPLETE"/>
    <s v="f"/>
    <d v="2021-09-13T00:00:00"/>
    <d v="2021-09-14T00:00:00"/>
    <m/>
    <n v="8861.9"/>
    <m/>
    <m/>
    <m/>
    <m/>
    <m/>
    <m/>
    <m/>
    <s v="18. Item 18"/>
    <n v="9"/>
    <x v="4"/>
    <x v="2"/>
    <n v="2021"/>
    <n v="2021"/>
    <b v="1"/>
  </r>
  <r>
    <x v="13"/>
    <m/>
    <x v="1"/>
    <s v="Centralized"/>
    <s v="Out"/>
    <m/>
    <m/>
    <m/>
    <s v="X"/>
    <n v="1"/>
    <s v="COMPLETE"/>
    <s v="f"/>
    <d v="2021-09-13T00:00:00"/>
    <d v="2021-09-14T00:00:00"/>
    <m/>
    <n v="48284.61"/>
    <m/>
    <m/>
    <m/>
    <m/>
    <m/>
    <m/>
    <m/>
    <s v="13. Item 13"/>
    <n v="9"/>
    <x v="4"/>
    <x v="2"/>
    <n v="2021"/>
    <n v="2021"/>
    <b v="1"/>
  </r>
  <r>
    <x v="20"/>
    <m/>
    <x v="1"/>
    <s v="Centralized"/>
    <s v="Out"/>
    <m/>
    <m/>
    <m/>
    <m/>
    <n v="1"/>
    <s v="COMPLETE"/>
    <s v="f"/>
    <d v="2021-09-13T00:00:00"/>
    <d v="2021-09-14T00:00:00"/>
    <m/>
    <n v="83223.45"/>
    <m/>
    <m/>
    <m/>
    <m/>
    <m/>
    <m/>
    <m/>
    <s v="14. Item 14"/>
    <n v="9"/>
    <x v="4"/>
    <x v="2"/>
    <n v="2021"/>
    <n v="2021"/>
    <b v="1"/>
  </r>
  <r>
    <x v="35"/>
    <m/>
    <x v="1"/>
    <s v="Centralized"/>
    <s v="Out"/>
    <m/>
    <m/>
    <m/>
    <m/>
    <n v="1"/>
    <s v="COMPLETE"/>
    <s v="f"/>
    <d v="2021-09-13T00:00:00"/>
    <d v="2021-09-17T00:00:00"/>
    <m/>
    <n v="17101.09"/>
    <m/>
    <m/>
    <m/>
    <m/>
    <m/>
    <m/>
    <m/>
    <s v="17. Item 17"/>
    <n v="9"/>
    <x v="4"/>
    <x v="2"/>
    <n v="2021"/>
    <n v="2021"/>
    <b v="1"/>
  </r>
  <r>
    <x v="16"/>
    <m/>
    <x v="1"/>
    <s v="Centralized"/>
    <s v="Out"/>
    <m/>
    <m/>
    <m/>
    <s v="X"/>
    <n v="1"/>
    <s v="COMPLETE"/>
    <s v="f"/>
    <d v="2021-09-13T00:00:00"/>
    <d v="2021-09-14T00:00:00"/>
    <m/>
    <n v="9114.2199999999993"/>
    <m/>
    <m/>
    <m/>
    <m/>
    <m/>
    <m/>
    <m/>
    <s v="_1. Item _1"/>
    <n v="9"/>
    <x v="4"/>
    <x v="2"/>
    <n v="2021"/>
    <n v="2021"/>
    <b v="1"/>
  </r>
  <r>
    <x v="22"/>
    <m/>
    <x v="1"/>
    <s v="Centralized"/>
    <s v="Out"/>
    <m/>
    <m/>
    <m/>
    <m/>
    <n v="1"/>
    <s v="COMPLETE"/>
    <s v="f"/>
    <d v="2021-09-13T00:00:00"/>
    <d v="2021-09-14T00:00:00"/>
    <m/>
    <n v="98479.88"/>
    <m/>
    <m/>
    <m/>
    <m/>
    <m/>
    <m/>
    <m/>
    <s v="04. Item 04"/>
    <n v="9"/>
    <x v="4"/>
    <x v="2"/>
    <n v="2021"/>
    <n v="2021"/>
    <b v="1"/>
  </r>
  <r>
    <x v="4"/>
    <m/>
    <x v="1"/>
    <s v="Centralized"/>
    <s v="In"/>
    <m/>
    <m/>
    <m/>
    <m/>
    <m/>
    <s v="COMPLETE"/>
    <s v="f"/>
    <d v="2021-09-06T00:00:00"/>
    <d v="2021-09-06T00:00:00"/>
    <m/>
    <n v="3916.57"/>
    <m/>
    <m/>
    <m/>
    <m/>
    <m/>
    <m/>
    <m/>
    <s v="05. Item 05"/>
    <n v="9"/>
    <x v="4"/>
    <x v="2"/>
    <n v="2021"/>
    <n v="2021"/>
    <b v="1"/>
  </r>
  <r>
    <x v="5"/>
    <m/>
    <x v="1"/>
    <s v="Centralized"/>
    <s v="Out"/>
    <m/>
    <m/>
    <m/>
    <m/>
    <n v="4"/>
    <s v="COMPLETE"/>
    <s v="f"/>
    <d v="2021-08-25T00:00:00"/>
    <d v="2021-09-06T00:00:00"/>
    <m/>
    <n v="3916.57"/>
    <m/>
    <m/>
    <m/>
    <m/>
    <m/>
    <m/>
    <m/>
    <s v="05. Item 05"/>
    <n v="8"/>
    <x v="4"/>
    <x v="2"/>
    <n v="2021"/>
    <n v="2021"/>
    <b v="1"/>
  </r>
  <r>
    <x v="10"/>
    <m/>
    <x v="1"/>
    <s v="Centralized"/>
    <s v="Out"/>
    <m/>
    <m/>
    <m/>
    <m/>
    <n v="4"/>
    <s v="COMPLETE"/>
    <s v="f"/>
    <d v="2021-08-25T00:00:00"/>
    <d v="2021-09-08T00:00:00"/>
    <m/>
    <n v="3799.01"/>
    <m/>
    <m/>
    <m/>
    <m/>
    <m/>
    <m/>
    <m/>
    <s v="11. Item 11"/>
    <n v="8"/>
    <x v="4"/>
    <x v="2"/>
    <n v="2021"/>
    <n v="2021"/>
    <b v="1"/>
  </r>
  <r>
    <x v="30"/>
    <m/>
    <x v="1"/>
    <s v="Centralized"/>
    <s v="Out"/>
    <m/>
    <m/>
    <m/>
    <m/>
    <n v="3"/>
    <s v="COMPLETE"/>
    <s v="f"/>
    <d v="2021-09-03T00:00:00"/>
    <d v="2021-09-14T00:00:00"/>
    <m/>
    <n v="7361.38"/>
    <m/>
    <m/>
    <m/>
    <m/>
    <m/>
    <m/>
    <m/>
    <s v="10. Item 10"/>
    <n v="9"/>
    <x v="4"/>
    <x v="2"/>
    <n v="2021"/>
    <n v="2021"/>
    <b v="1"/>
  </r>
  <r>
    <x v="31"/>
    <m/>
    <x v="1"/>
    <s v="Centralized"/>
    <s v="Out"/>
    <m/>
    <m/>
    <m/>
    <m/>
    <n v="1"/>
    <s v="COMPLETE"/>
    <s v="f"/>
    <d v="2021-09-03T00:00:00"/>
    <d v="2021-09-16T00:00:00"/>
    <m/>
    <n v="52497.17"/>
    <m/>
    <m/>
    <m/>
    <m/>
    <m/>
    <m/>
    <m/>
    <s v="10. Item 10"/>
    <n v="9"/>
    <x v="4"/>
    <x v="2"/>
    <n v="2021"/>
    <n v="2021"/>
    <b v="1"/>
  </r>
  <r>
    <x v="6"/>
    <m/>
    <x v="1"/>
    <s v="Centralized"/>
    <s v="Out"/>
    <m/>
    <m/>
    <m/>
    <m/>
    <n v="1"/>
    <s v="COMPLETE"/>
    <s v="f"/>
    <d v="2021-09-03T00:00:00"/>
    <d v="2021-09-30T00:00:00"/>
    <m/>
    <n v="259647.38"/>
    <m/>
    <m/>
    <m/>
    <m/>
    <m/>
    <m/>
    <m/>
    <s v="07. Item 07"/>
    <n v="9"/>
    <x v="4"/>
    <x v="2"/>
    <n v="2021"/>
    <n v="2021"/>
    <b v="1"/>
  </r>
  <r>
    <x v="7"/>
    <m/>
    <x v="1"/>
    <s v="Centralized"/>
    <s v="Out"/>
    <m/>
    <m/>
    <m/>
    <m/>
    <n v="1"/>
    <s v="COMPLETE"/>
    <s v="f"/>
    <d v="2021-09-03T00:00:00"/>
    <d v="2021-09-16T00:00:00"/>
    <m/>
    <n v="70187.990000000005"/>
    <m/>
    <m/>
    <m/>
    <m/>
    <m/>
    <m/>
    <m/>
    <s v="08. Item 08"/>
    <n v="9"/>
    <x v="4"/>
    <x v="2"/>
    <n v="2021"/>
    <n v="2021"/>
    <b v="1"/>
  </r>
  <r>
    <x v="16"/>
    <m/>
    <x v="1"/>
    <s v="Centralized"/>
    <s v="Out"/>
    <m/>
    <m/>
    <m/>
    <m/>
    <n v="1"/>
    <s v="COMPLETE"/>
    <s v="f"/>
    <d v="2021-09-01T00:00:00"/>
    <d v="2021-09-15T00:00:00"/>
    <m/>
    <n v="2111.9"/>
    <m/>
    <m/>
    <m/>
    <m/>
    <m/>
    <m/>
    <m/>
    <s v="_1. Item _1"/>
    <n v="9"/>
    <x v="4"/>
    <x v="2"/>
    <n v="2021"/>
    <n v="2021"/>
    <b v="1"/>
  </r>
  <r>
    <x v="16"/>
    <m/>
    <x v="1"/>
    <s v="Centralized"/>
    <s v="Out"/>
    <m/>
    <m/>
    <m/>
    <m/>
    <n v="4"/>
    <s v="COMPLETE"/>
    <s v="f"/>
    <d v="2021-09-01T00:00:00"/>
    <d v="2021-09-13T00:00:00"/>
    <m/>
    <n v="165676.48000000001"/>
    <m/>
    <m/>
    <m/>
    <m/>
    <m/>
    <m/>
    <m/>
    <s v="_1. Item _1"/>
    <n v="9"/>
    <x v="4"/>
    <x v="2"/>
    <n v="2021"/>
    <n v="2021"/>
    <b v="1"/>
  </r>
  <r>
    <x v="8"/>
    <m/>
    <x v="1"/>
    <s v="Centralized"/>
    <s v="Out"/>
    <m/>
    <m/>
    <m/>
    <m/>
    <n v="1"/>
    <s v="COMPLETE"/>
    <s v="f"/>
    <d v="2021-09-03T00:00:00"/>
    <d v="2021-09-14T00:00:00"/>
    <m/>
    <n v="57094.84"/>
    <m/>
    <m/>
    <m/>
    <m/>
    <m/>
    <m/>
    <m/>
    <s v="09. Item 09"/>
    <n v="9"/>
    <x v="4"/>
    <x v="2"/>
    <n v="2021"/>
    <n v="2021"/>
    <b v="1"/>
  </r>
  <r>
    <x v="8"/>
    <m/>
    <x v="1"/>
    <s v="Centralized"/>
    <s v="In"/>
    <m/>
    <m/>
    <m/>
    <m/>
    <m/>
    <s v="COMPLETE"/>
    <s v="f"/>
    <d v="2021-09-08T00:00:00"/>
    <d v="2021-09-08T00:00:00"/>
    <m/>
    <n v="3799.01"/>
    <m/>
    <m/>
    <m/>
    <m/>
    <m/>
    <m/>
    <m/>
    <s v="09. Item 09"/>
    <n v="9"/>
    <x v="4"/>
    <x v="2"/>
    <n v="2021"/>
    <n v="2021"/>
    <b v="1"/>
  </r>
  <r>
    <x v="8"/>
    <m/>
    <x v="1"/>
    <s v="Centralized"/>
    <s v="In"/>
    <m/>
    <m/>
    <m/>
    <m/>
    <m/>
    <s v="COMPLETE"/>
    <s v="f"/>
    <d v="2021-09-13T00:00:00"/>
    <d v="2021-09-13T00:00:00"/>
    <m/>
    <n v="165676.48000000001"/>
    <m/>
    <m/>
    <m/>
    <m/>
    <m/>
    <m/>
    <m/>
    <s v="09. Item 09"/>
    <n v="9"/>
    <x v="4"/>
    <x v="2"/>
    <n v="2021"/>
    <n v="2021"/>
    <b v="1"/>
  </r>
  <r>
    <x v="8"/>
    <m/>
    <x v="1"/>
    <s v="Centralized"/>
    <s v="In"/>
    <m/>
    <m/>
    <m/>
    <m/>
    <m/>
    <s v="COMPLETE"/>
    <s v="f"/>
    <d v="2021-09-14T00:00:00"/>
    <d v="2021-09-14T00:00:00"/>
    <m/>
    <n v="2931467.91"/>
    <m/>
    <m/>
    <m/>
    <m/>
    <m/>
    <m/>
    <m/>
    <s v="09. Item 09"/>
    <n v="9"/>
    <x v="4"/>
    <x v="2"/>
    <n v="2021"/>
    <n v="2021"/>
    <b v="1"/>
  </r>
  <r>
    <x v="10"/>
    <m/>
    <x v="2"/>
    <s v="Centralized"/>
    <s v="Out"/>
    <m/>
    <m/>
    <m/>
    <m/>
    <m/>
    <m/>
    <s v="f"/>
    <d v="2021-09-01T00:00:00"/>
    <d v="2021-09-01T00:00:00"/>
    <m/>
    <n v="98509.11"/>
    <m/>
    <m/>
    <m/>
    <m/>
    <m/>
    <m/>
    <m/>
    <s v="11. Item 11"/>
    <n v="9"/>
    <x v="4"/>
    <x v="2"/>
    <n v="2021"/>
    <n v="2021"/>
    <b v="1"/>
  </r>
  <r>
    <x v="29"/>
    <m/>
    <x v="2"/>
    <s v="Centralized"/>
    <s v="Out"/>
    <m/>
    <m/>
    <m/>
    <m/>
    <m/>
    <m/>
    <s v="f"/>
    <d v="2021-09-01T00:00:00"/>
    <d v="2021-09-01T00:00:00"/>
    <m/>
    <n v="5552934.3899999997"/>
    <m/>
    <m/>
    <m/>
    <m/>
    <m/>
    <m/>
    <m/>
    <s v="13. Item 13"/>
    <n v="9"/>
    <x v="4"/>
    <x v="2"/>
    <n v="2021"/>
    <n v="2021"/>
    <b v="1"/>
  </r>
  <r>
    <x v="11"/>
    <m/>
    <x v="2"/>
    <s v="Centralized"/>
    <s v="Out"/>
    <m/>
    <m/>
    <m/>
    <m/>
    <m/>
    <m/>
    <s v="f"/>
    <d v="2021-09-01T00:00:00"/>
    <d v="2021-09-01T00:00:00"/>
    <m/>
    <n v="6860616"/>
    <m/>
    <m/>
    <m/>
    <m/>
    <m/>
    <m/>
    <m/>
    <s v="13. Item 13"/>
    <n v="9"/>
    <x v="4"/>
    <x v="2"/>
    <n v="2021"/>
    <n v="2021"/>
    <b v="1"/>
  </r>
  <r>
    <x v="34"/>
    <m/>
    <x v="2"/>
    <s v="Centralized"/>
    <s v="Out"/>
    <m/>
    <m/>
    <m/>
    <m/>
    <m/>
    <m/>
    <s v="f"/>
    <d v="2021-09-01T00:00:00"/>
    <d v="2021-09-01T00:00:00"/>
    <n v="404.38"/>
    <n v="34621.53"/>
    <m/>
    <m/>
    <m/>
    <m/>
    <m/>
    <m/>
    <m/>
    <s v="13. Item 13"/>
    <n v="9"/>
    <x v="4"/>
    <x v="2"/>
    <n v="2021"/>
    <n v="2021"/>
    <b v="1"/>
  </r>
  <r>
    <x v="13"/>
    <m/>
    <x v="2"/>
    <s v="Centralized"/>
    <s v="Out"/>
    <m/>
    <m/>
    <m/>
    <m/>
    <m/>
    <m/>
    <s v="f"/>
    <d v="2021-09-01T00:00:00"/>
    <d v="2021-09-01T00:00:00"/>
    <m/>
    <n v="288288.31"/>
    <m/>
    <m/>
    <m/>
    <m/>
    <m/>
    <m/>
    <m/>
    <s v="13. Item 13"/>
    <n v="9"/>
    <x v="4"/>
    <x v="2"/>
    <n v="2021"/>
    <n v="2021"/>
    <b v="1"/>
  </r>
  <r>
    <x v="7"/>
    <m/>
    <x v="2"/>
    <s v="Centralized"/>
    <s v="Out"/>
    <m/>
    <m/>
    <m/>
    <m/>
    <m/>
    <m/>
    <s v="f"/>
    <d v="2021-09-01T00:00:00"/>
    <d v="2021-09-01T00:00:00"/>
    <m/>
    <n v="13584109.699999999"/>
    <m/>
    <m/>
    <m/>
    <m/>
    <m/>
    <m/>
    <m/>
    <s v="08. Item 08"/>
    <n v="9"/>
    <x v="4"/>
    <x v="2"/>
    <n v="2021"/>
    <n v="2021"/>
    <b v="1"/>
  </r>
  <r>
    <x v="9"/>
    <m/>
    <x v="2"/>
    <s v="Centralized"/>
    <s v="Out"/>
    <m/>
    <m/>
    <m/>
    <m/>
    <m/>
    <m/>
    <s v="f"/>
    <d v="2021-09-01T00:00:00"/>
    <d v="2021-09-01T00:00:00"/>
    <m/>
    <n v="426319.74"/>
    <m/>
    <m/>
    <m/>
    <m/>
    <m/>
    <m/>
    <m/>
    <s v="09. Item 09"/>
    <n v="9"/>
    <x v="4"/>
    <x v="2"/>
    <n v="2021"/>
    <n v="2021"/>
    <b v="1"/>
  </r>
  <r>
    <x v="9"/>
    <m/>
    <x v="2"/>
    <s v="Centralized"/>
    <s v="Out"/>
    <m/>
    <m/>
    <m/>
    <m/>
    <m/>
    <m/>
    <s v="f"/>
    <d v="2021-09-01T00:00:00"/>
    <d v="2021-09-01T00:00:00"/>
    <m/>
    <n v="874371.4"/>
    <m/>
    <m/>
    <m/>
    <m/>
    <m/>
    <m/>
    <m/>
    <s v="09. Item 09"/>
    <n v="9"/>
    <x v="4"/>
    <x v="2"/>
    <n v="2021"/>
    <n v="2021"/>
    <b v="1"/>
  </r>
  <r>
    <x v="16"/>
    <m/>
    <x v="2"/>
    <s v="Centralized"/>
    <s v="Out"/>
    <m/>
    <m/>
    <m/>
    <m/>
    <m/>
    <m/>
    <s v="f"/>
    <d v="2021-09-01T00:00:00"/>
    <d v="2021-09-01T00:00:00"/>
    <m/>
    <n v="589322.18000000005"/>
    <m/>
    <m/>
    <m/>
    <m/>
    <m/>
    <m/>
    <m/>
    <s v="_1. Item _1"/>
    <n v="9"/>
    <x v="4"/>
    <x v="2"/>
    <n v="2021"/>
    <n v="2021"/>
    <b v="1"/>
  </r>
  <r>
    <x v="13"/>
    <m/>
    <x v="2"/>
    <s v="Centralized"/>
    <s v="Out"/>
    <m/>
    <m/>
    <m/>
    <m/>
    <m/>
    <m/>
    <s v="f"/>
    <d v="2021-09-01T00:00:00"/>
    <d v="2021-09-01T00:00:00"/>
    <n v="265607.84999999998"/>
    <n v="352663.35"/>
    <m/>
    <m/>
    <m/>
    <m/>
    <m/>
    <m/>
    <m/>
    <s v="13. Item 13"/>
    <n v="9"/>
    <x v="4"/>
    <x v="2"/>
    <n v="2021"/>
    <n v="2021"/>
    <b v="1"/>
  </r>
  <r>
    <x v="13"/>
    <m/>
    <x v="2"/>
    <s v="Centralized"/>
    <s v="Out"/>
    <m/>
    <m/>
    <m/>
    <m/>
    <m/>
    <m/>
    <s v="f"/>
    <d v="2021-09-01T00:00:00"/>
    <d v="2021-09-01T00:00:00"/>
    <m/>
    <n v="22738.85"/>
    <m/>
    <m/>
    <m/>
    <m/>
    <m/>
    <m/>
    <m/>
    <s v="13. Item 13"/>
    <n v="9"/>
    <x v="4"/>
    <x v="2"/>
    <n v="2021"/>
    <n v="2021"/>
    <b v="1"/>
  </r>
  <r>
    <x v="13"/>
    <m/>
    <x v="2"/>
    <s v="Centralized"/>
    <s v="Out"/>
    <m/>
    <m/>
    <m/>
    <m/>
    <m/>
    <m/>
    <s v="f"/>
    <d v="2021-09-01T00:00:00"/>
    <d v="2021-09-01T00:00:00"/>
    <m/>
    <n v="35040.089999999997"/>
    <m/>
    <m/>
    <m/>
    <m/>
    <m/>
    <m/>
    <m/>
    <s v="13. Item 13"/>
    <n v="9"/>
    <x v="4"/>
    <x v="2"/>
    <n v="2021"/>
    <n v="2021"/>
    <b v="1"/>
  </r>
  <r>
    <x v="21"/>
    <m/>
    <x v="2"/>
    <s v="Centralized"/>
    <s v="Out"/>
    <m/>
    <m/>
    <m/>
    <m/>
    <m/>
    <m/>
    <s v="f"/>
    <d v="2021-09-01T00:00:00"/>
    <d v="2021-09-01T00:00:00"/>
    <m/>
    <n v="32544.63"/>
    <m/>
    <m/>
    <m/>
    <m/>
    <m/>
    <m/>
    <m/>
    <s v="09. Item 09"/>
    <n v="9"/>
    <x v="4"/>
    <x v="2"/>
    <n v="2021"/>
    <n v="2021"/>
    <b v="1"/>
  </r>
  <r>
    <x v="25"/>
    <m/>
    <x v="2"/>
    <s v="Centralized"/>
    <s v="Out"/>
    <m/>
    <m/>
    <m/>
    <m/>
    <m/>
    <m/>
    <s v="f"/>
    <d v="2021-09-01T00:00:00"/>
    <d v="2021-09-01T00:00:00"/>
    <m/>
    <n v="710947.73"/>
    <m/>
    <m/>
    <m/>
    <m/>
    <m/>
    <m/>
    <m/>
    <s v="03. Item 03"/>
    <n v="9"/>
    <x v="4"/>
    <x v="2"/>
    <n v="2021"/>
    <n v="2021"/>
    <b v="1"/>
  </r>
  <r>
    <x v="15"/>
    <m/>
    <x v="2"/>
    <s v="Centralized"/>
    <s v="Out"/>
    <m/>
    <m/>
    <m/>
    <m/>
    <m/>
    <m/>
    <s v="f"/>
    <d v="2021-09-01T00:00:00"/>
    <d v="2021-09-01T00:00:00"/>
    <m/>
    <n v="301690.01"/>
    <m/>
    <m/>
    <m/>
    <m/>
    <m/>
    <m/>
    <m/>
    <s v="06. Item 06"/>
    <n v="9"/>
    <x v="4"/>
    <x v="2"/>
    <n v="2021"/>
    <n v="2021"/>
    <b v="1"/>
  </r>
  <r>
    <x v="21"/>
    <m/>
    <x v="2"/>
    <s v="Centralized"/>
    <s v="Out"/>
    <m/>
    <m/>
    <m/>
    <m/>
    <m/>
    <m/>
    <s v="f"/>
    <d v="2021-09-01T00:00:00"/>
    <d v="2021-09-01T00:00:00"/>
    <m/>
    <n v="99441.76"/>
    <m/>
    <m/>
    <m/>
    <m/>
    <m/>
    <m/>
    <m/>
    <s v="09. Item 09"/>
    <n v="9"/>
    <x v="4"/>
    <x v="2"/>
    <n v="2021"/>
    <n v="2021"/>
    <b v="1"/>
  </r>
  <r>
    <x v="8"/>
    <m/>
    <x v="2"/>
    <s v="Centralized"/>
    <s v="Out"/>
    <m/>
    <m/>
    <m/>
    <m/>
    <m/>
    <m/>
    <s v="f"/>
    <d v="2021-09-01T00:00:00"/>
    <d v="2021-09-01T00:00:00"/>
    <m/>
    <n v="143.57"/>
    <m/>
    <m/>
    <m/>
    <m/>
    <m/>
    <m/>
    <m/>
    <s v="09. Item 09"/>
    <n v="9"/>
    <x v="4"/>
    <x v="2"/>
    <n v="2021"/>
    <n v="2021"/>
    <b v="1"/>
  </r>
  <r>
    <x v="13"/>
    <m/>
    <x v="2"/>
    <s v="Centralized"/>
    <s v="Out"/>
    <m/>
    <m/>
    <m/>
    <m/>
    <m/>
    <m/>
    <s v="f"/>
    <d v="2021-09-01T00:00:00"/>
    <d v="2021-09-01T00:00:00"/>
    <m/>
    <n v="15405.71"/>
    <m/>
    <m/>
    <m/>
    <m/>
    <m/>
    <m/>
    <m/>
    <s v="13. Item 13"/>
    <n v="9"/>
    <x v="4"/>
    <x v="2"/>
    <n v="2021"/>
    <n v="2021"/>
    <b v="1"/>
  </r>
  <r>
    <x v="13"/>
    <m/>
    <x v="2"/>
    <s v="Centralized"/>
    <s v="Out"/>
    <m/>
    <m/>
    <m/>
    <m/>
    <m/>
    <m/>
    <s v="f"/>
    <d v="2021-09-01T00:00:00"/>
    <d v="2021-09-01T00:00:00"/>
    <n v="23878.799999999999"/>
    <n v="719217.7"/>
    <m/>
    <m/>
    <m/>
    <m/>
    <m/>
    <m/>
    <m/>
    <s v="13. Item 13"/>
    <n v="9"/>
    <x v="4"/>
    <x v="2"/>
    <n v="2021"/>
    <n v="2021"/>
    <b v="1"/>
  </r>
  <r>
    <x v="13"/>
    <m/>
    <x v="2"/>
    <s v="Centralized"/>
    <s v="Out"/>
    <m/>
    <m/>
    <m/>
    <m/>
    <m/>
    <m/>
    <s v="f"/>
    <d v="2021-09-01T00:00:00"/>
    <d v="2021-09-01T00:00:00"/>
    <m/>
    <n v="491749.71"/>
    <m/>
    <m/>
    <m/>
    <m/>
    <m/>
    <m/>
    <m/>
    <s v="13. Item 13"/>
    <n v="9"/>
    <x v="4"/>
    <x v="2"/>
    <n v="2021"/>
    <n v="2021"/>
    <b v="1"/>
  </r>
  <r>
    <x v="16"/>
    <m/>
    <x v="2"/>
    <s v="Centralized"/>
    <s v="Out"/>
    <m/>
    <m/>
    <m/>
    <m/>
    <m/>
    <m/>
    <s v="f"/>
    <d v="2021-09-01T00:00:00"/>
    <d v="2021-09-01T00:00:00"/>
    <m/>
    <n v="178219.56"/>
    <m/>
    <m/>
    <m/>
    <m/>
    <m/>
    <m/>
    <m/>
    <s v="_1. Item _1"/>
    <n v="9"/>
    <x v="4"/>
    <x v="2"/>
    <n v="2021"/>
    <n v="2021"/>
    <b v="1"/>
  </r>
  <r>
    <x v="16"/>
    <m/>
    <x v="2"/>
    <s v="Centralized"/>
    <s v="Out"/>
    <m/>
    <m/>
    <m/>
    <m/>
    <m/>
    <m/>
    <s v="f"/>
    <d v="2021-09-01T00:00:00"/>
    <d v="2021-09-01T00:00:00"/>
    <m/>
    <n v="219642.63"/>
    <m/>
    <m/>
    <m/>
    <m/>
    <m/>
    <m/>
    <m/>
    <s v="_1. Item _1"/>
    <n v="9"/>
    <x v="4"/>
    <x v="2"/>
    <n v="2021"/>
    <n v="2021"/>
    <b v="1"/>
  </r>
  <r>
    <x v="16"/>
    <m/>
    <x v="2"/>
    <s v="Centralized"/>
    <s v="In"/>
    <m/>
    <m/>
    <m/>
    <m/>
    <m/>
    <m/>
    <s v="f"/>
    <d v="2021-08-31T00:00:00"/>
    <d v="2021-08-31T00:00:00"/>
    <m/>
    <n v="58450194.43"/>
    <m/>
    <m/>
    <m/>
    <m/>
    <m/>
    <m/>
    <m/>
    <s v="_1. Item _1"/>
    <n v="8"/>
    <x v="5"/>
    <x v="2"/>
    <n v="2021"/>
    <n v="2021"/>
    <b v="1"/>
  </r>
  <r>
    <x v="16"/>
    <m/>
    <x v="1"/>
    <s v="Centralized"/>
    <s v="In"/>
    <m/>
    <m/>
    <m/>
    <m/>
    <m/>
    <s v="COMPLETE"/>
    <s v="f"/>
    <d v="2021-09-15T00:00:00"/>
    <d v="2021-09-15T00:00:00"/>
    <m/>
    <n v="219642.63"/>
    <m/>
    <m/>
    <m/>
    <m/>
    <m/>
    <m/>
    <m/>
    <s v="_1. Item _1"/>
    <n v="9"/>
    <x v="4"/>
    <x v="2"/>
    <n v="2021"/>
    <n v="2021"/>
    <b v="1"/>
  </r>
  <r>
    <x v="16"/>
    <m/>
    <x v="1"/>
    <s v="Decentralized"/>
    <s v="Out"/>
    <m/>
    <m/>
    <m/>
    <m/>
    <n v="1"/>
    <s v="COMPLETE"/>
    <s v="f"/>
    <d v="2021-09-06T00:00:00"/>
    <d v="2021-09-15T00:00:00"/>
    <m/>
    <n v="219642.63"/>
    <m/>
    <m/>
    <m/>
    <m/>
    <m/>
    <m/>
    <m/>
    <s v="_1. Item _1"/>
    <n v="9"/>
    <x v="4"/>
    <x v="2"/>
    <n v="2021"/>
    <n v="2021"/>
    <b v="1"/>
  </r>
  <r>
    <x v="16"/>
    <m/>
    <x v="1"/>
    <s v="Centralized"/>
    <s v="In"/>
    <m/>
    <m/>
    <m/>
    <m/>
    <m/>
    <s v="COMPLETE"/>
    <s v="f"/>
    <d v="2021-09-15T00:00:00"/>
    <d v="2021-09-15T00:00:00"/>
    <m/>
    <n v="2111.9"/>
    <m/>
    <m/>
    <m/>
    <m/>
    <m/>
    <m/>
    <m/>
    <s v="_1. Item _1"/>
    <n v="9"/>
    <x v="4"/>
    <x v="2"/>
    <n v="2021"/>
    <n v="2021"/>
    <b v="1"/>
  </r>
  <r>
    <x v="16"/>
    <m/>
    <x v="1"/>
    <s v="Centralized"/>
    <s v="Out"/>
    <m/>
    <m/>
    <m/>
    <m/>
    <n v="3"/>
    <s v="COMPLETE"/>
    <s v="f"/>
    <d v="2021-09-15T00:00:00"/>
    <d v="2021-09-27T00:00:00"/>
    <m/>
    <n v="5545573.0099999998"/>
    <m/>
    <m/>
    <m/>
    <m/>
    <m/>
    <m/>
    <m/>
    <s v="_1. Item _1"/>
    <n v="9"/>
    <x v="4"/>
    <x v="2"/>
    <n v="2021"/>
    <n v="2021"/>
    <b v="1"/>
  </r>
  <r>
    <x v="16"/>
    <m/>
    <x v="1"/>
    <s v="Centralized"/>
    <s v="Out"/>
    <m/>
    <m/>
    <m/>
    <m/>
    <n v="3"/>
    <s v="COMPLETE"/>
    <s v="f"/>
    <d v="2021-09-15T00:00:00"/>
    <d v="2021-09-30T00:00:00"/>
    <m/>
    <n v="13584109.699999999"/>
    <m/>
    <m/>
    <m/>
    <m/>
    <m/>
    <m/>
    <m/>
    <s v="_1. Item _1"/>
    <n v="9"/>
    <x v="4"/>
    <x v="2"/>
    <n v="2021"/>
    <n v="2021"/>
    <b v="1"/>
  </r>
  <r>
    <x v="15"/>
    <m/>
    <x v="1"/>
    <s v="Centralized"/>
    <s v="Out"/>
    <m/>
    <m/>
    <m/>
    <m/>
    <n v="3"/>
    <s v="COMPLETE"/>
    <s v="f"/>
    <d v="2021-09-15T00:00:00"/>
    <d v="2021-09-27T00:00:00"/>
    <m/>
    <n v="426319.74"/>
    <m/>
    <m/>
    <m/>
    <m/>
    <m/>
    <m/>
    <m/>
    <s v="06. Item 06"/>
    <n v="9"/>
    <x v="4"/>
    <x v="2"/>
    <n v="2021"/>
    <n v="2021"/>
    <b v="1"/>
  </r>
  <r>
    <x v="30"/>
    <m/>
    <x v="1"/>
    <s v="Centralized"/>
    <s v="Out"/>
    <m/>
    <m/>
    <m/>
    <m/>
    <n v="3"/>
    <s v="COMPLETE"/>
    <s v="f"/>
    <d v="2021-09-15T00:00:00"/>
    <d v="2021-09-17T00:00:00"/>
    <m/>
    <n v="68365.27"/>
    <m/>
    <m/>
    <m/>
    <m/>
    <m/>
    <m/>
    <m/>
    <s v="10. Item 10"/>
    <n v="9"/>
    <x v="4"/>
    <x v="2"/>
    <n v="2021"/>
    <n v="2021"/>
    <b v="1"/>
  </r>
  <r>
    <x v="10"/>
    <m/>
    <x v="1"/>
    <s v="Centralized"/>
    <s v="Out"/>
    <m/>
    <m/>
    <m/>
    <m/>
    <n v="3"/>
    <s v="COMPLETE"/>
    <s v="f"/>
    <d v="2021-09-15T00:00:00"/>
    <d v="2021-09-17T00:00:00"/>
    <m/>
    <n v="25308.06"/>
    <m/>
    <m/>
    <m/>
    <m/>
    <m/>
    <m/>
    <m/>
    <s v="11. Item 11"/>
    <n v="9"/>
    <x v="4"/>
    <x v="2"/>
    <n v="2021"/>
    <n v="2021"/>
    <b v="1"/>
  </r>
  <r>
    <x v="10"/>
    <m/>
    <x v="1"/>
    <s v="Centralized"/>
    <s v="Out"/>
    <m/>
    <m/>
    <m/>
    <m/>
    <n v="3"/>
    <s v="COMPLETE"/>
    <s v="f"/>
    <d v="2021-09-15T00:00:00"/>
    <d v="2021-09-28T00:00:00"/>
    <m/>
    <n v="296264.83"/>
    <m/>
    <m/>
    <m/>
    <m/>
    <m/>
    <m/>
    <m/>
    <s v="11. Item 11"/>
    <n v="9"/>
    <x v="4"/>
    <x v="2"/>
    <n v="2021"/>
    <n v="2021"/>
    <b v="1"/>
  </r>
  <r>
    <x v="34"/>
    <m/>
    <x v="1"/>
    <s v="Centralized"/>
    <s v="Out"/>
    <m/>
    <m/>
    <m/>
    <m/>
    <n v="1"/>
    <s v="COMPLETE"/>
    <s v="f"/>
    <d v="2021-09-03T00:00:00"/>
    <d v="2021-09-21T00:00:00"/>
    <m/>
    <n v="6442.98"/>
    <m/>
    <m/>
    <m/>
    <m/>
    <m/>
    <m/>
    <m/>
    <s v="13. Item 13"/>
    <n v="9"/>
    <x v="4"/>
    <x v="2"/>
    <n v="2021"/>
    <n v="2021"/>
    <b v="1"/>
  </r>
  <r>
    <x v="13"/>
    <m/>
    <x v="1"/>
    <s v="Centralized"/>
    <s v="Out"/>
    <m/>
    <m/>
    <m/>
    <m/>
    <n v="1"/>
    <s v="COMPLETE"/>
    <s v="f"/>
    <d v="2021-09-03T00:00:00"/>
    <d v="2021-09-24T00:00:00"/>
    <m/>
    <n v="17202.52"/>
    <m/>
    <m/>
    <m/>
    <m/>
    <m/>
    <m/>
    <m/>
    <s v="13. Item 13"/>
    <n v="9"/>
    <x v="4"/>
    <x v="2"/>
    <n v="2021"/>
    <n v="2021"/>
    <b v="1"/>
  </r>
  <r>
    <x v="13"/>
    <m/>
    <x v="1"/>
    <s v="Centralized"/>
    <s v="Out"/>
    <m/>
    <m/>
    <m/>
    <m/>
    <n v="3"/>
    <s v="COMPLETE"/>
    <s v="f"/>
    <d v="2021-09-13T00:00:00"/>
    <d v="2021-09-24T00:00:00"/>
    <m/>
    <n v="301690.01"/>
    <m/>
    <m/>
    <m/>
    <m/>
    <m/>
    <m/>
    <m/>
    <s v="13. Item 13"/>
    <n v="9"/>
    <x v="4"/>
    <x v="2"/>
    <n v="2021"/>
    <n v="2021"/>
    <b v="1"/>
  </r>
  <r>
    <x v="5"/>
    <m/>
    <x v="1"/>
    <s v="Centralized"/>
    <s v="Out"/>
    <m/>
    <m/>
    <m/>
    <m/>
    <n v="2"/>
    <s v="COMPLETE"/>
    <s v="f"/>
    <d v="2021-09-03T00:00:00"/>
    <d v="2021-09-22T00:00:00"/>
    <m/>
    <n v="35533.18"/>
    <m/>
    <m/>
    <m/>
    <m/>
    <m/>
    <m/>
    <m/>
    <s v="05. Item 05"/>
    <n v="9"/>
    <x v="4"/>
    <x v="2"/>
    <n v="2021"/>
    <n v="2021"/>
    <b v="1"/>
  </r>
  <r>
    <x v="3"/>
    <m/>
    <x v="1"/>
    <s v="Centralized"/>
    <s v="Out"/>
    <m/>
    <m/>
    <m/>
    <m/>
    <n v="3"/>
    <s v="COMPLETE"/>
    <s v="f"/>
    <d v="2021-09-13T00:00:00"/>
    <d v="2021-09-27T00:00:00"/>
    <m/>
    <n v="6813.75"/>
    <m/>
    <m/>
    <m/>
    <m/>
    <m/>
    <m/>
    <m/>
    <s v="04. Item 04"/>
    <n v="9"/>
    <x v="4"/>
    <x v="2"/>
    <n v="2021"/>
    <n v="2021"/>
    <b v="1"/>
  </r>
  <r>
    <x v="3"/>
    <m/>
    <x v="1"/>
    <s v="Centralized"/>
    <s v="Out"/>
    <m/>
    <m/>
    <m/>
    <m/>
    <n v="3"/>
    <s v="COMPLETE"/>
    <s v="f"/>
    <d v="2021-09-15T00:00:00"/>
    <d v="2021-09-28T00:00:00"/>
    <m/>
    <n v="728200.9"/>
    <m/>
    <m/>
    <m/>
    <m/>
    <m/>
    <m/>
    <m/>
    <s v="04. Item 04"/>
    <n v="9"/>
    <x v="4"/>
    <x v="2"/>
    <n v="2021"/>
    <n v="2021"/>
    <b v="1"/>
  </r>
  <r>
    <x v="16"/>
    <m/>
    <x v="1"/>
    <s v="Centralized"/>
    <s v="Out"/>
    <m/>
    <m/>
    <m/>
    <s v="X"/>
    <n v="2"/>
    <s v="COMPLETE"/>
    <s v="f"/>
    <d v="2021-09-10T00:00:00"/>
    <d v="2021-09-21T00:00:00"/>
    <m/>
    <n v="7568.68"/>
    <m/>
    <m/>
    <m/>
    <m/>
    <m/>
    <m/>
    <m/>
    <s v="_1. Item _1"/>
    <n v="9"/>
    <x v="4"/>
    <x v="2"/>
    <n v="2021"/>
    <n v="2021"/>
    <b v="1"/>
  </r>
  <r>
    <x v="8"/>
    <m/>
    <x v="1"/>
    <s v="Centralized"/>
    <s v="Out"/>
    <m/>
    <m/>
    <m/>
    <s v="X"/>
    <n v="2"/>
    <s v="COMPLETE"/>
    <s v="f"/>
    <d v="2021-09-10T00:00:00"/>
    <d v="2021-09-21T00:00:00"/>
    <m/>
    <n v="63155.37"/>
    <m/>
    <m/>
    <m/>
    <m/>
    <m/>
    <m/>
    <m/>
    <s v="09. Item 09"/>
    <n v="9"/>
    <x v="4"/>
    <x v="2"/>
    <n v="2021"/>
    <n v="2021"/>
    <b v="1"/>
  </r>
  <r>
    <x v="8"/>
    <m/>
    <x v="1"/>
    <s v="Centralized"/>
    <s v="Out"/>
    <m/>
    <m/>
    <m/>
    <m/>
    <n v="2"/>
    <s v="COMPLETE"/>
    <s v="f"/>
    <d v="2021-09-10T00:00:00"/>
    <d v="2021-09-21T00:00:00"/>
    <m/>
    <n v="314145.59999999998"/>
    <m/>
    <m/>
    <m/>
    <m/>
    <m/>
    <m/>
    <m/>
    <s v="09. Item 09"/>
    <n v="9"/>
    <x v="4"/>
    <x v="2"/>
    <n v="2021"/>
    <n v="2021"/>
    <b v="1"/>
  </r>
  <r>
    <x v="22"/>
    <m/>
    <x v="1"/>
    <s v="Centralized"/>
    <s v="Out"/>
    <m/>
    <m/>
    <m/>
    <s v="X"/>
    <n v="3"/>
    <s v="COMPLETE"/>
    <s v="f"/>
    <d v="2021-09-15T00:00:00"/>
    <d v="2021-09-24T00:00:00"/>
    <m/>
    <n v="2928.57"/>
    <m/>
    <m/>
    <m/>
    <m/>
    <m/>
    <m/>
    <m/>
    <s v="04. Item 04"/>
    <n v="9"/>
    <x v="4"/>
    <x v="2"/>
    <n v="2021"/>
    <n v="2021"/>
    <b v="1"/>
  </r>
  <r>
    <x v="21"/>
    <m/>
    <x v="1"/>
    <s v="Centralized"/>
    <s v="Out"/>
    <m/>
    <m/>
    <m/>
    <m/>
    <n v="3"/>
    <s v="COMPLETE"/>
    <s v="f"/>
    <d v="2021-09-15T00:00:00"/>
    <d v="2021-09-24T00:00:00"/>
    <m/>
    <n v="32216.14"/>
    <m/>
    <m/>
    <m/>
    <m/>
    <m/>
    <m/>
    <m/>
    <s v="09. Item 09"/>
    <n v="9"/>
    <x v="4"/>
    <x v="2"/>
    <n v="2021"/>
    <n v="2021"/>
    <b v="1"/>
  </r>
  <r>
    <x v="8"/>
    <m/>
    <x v="1"/>
    <s v="Centralized"/>
    <s v="Out"/>
    <m/>
    <m/>
    <m/>
    <s v="X"/>
    <n v="3"/>
    <s v="COMPLETE"/>
    <s v="f"/>
    <d v="2021-09-15T00:00:00"/>
    <d v="2021-09-27T00:00:00"/>
    <m/>
    <n v="179396.53"/>
    <m/>
    <m/>
    <m/>
    <m/>
    <m/>
    <m/>
    <m/>
    <s v="09. Item 09"/>
    <n v="9"/>
    <x v="4"/>
    <x v="2"/>
    <n v="2021"/>
    <n v="2021"/>
    <b v="1"/>
  </r>
  <r>
    <x v="8"/>
    <m/>
    <x v="1"/>
    <s v="Centralized"/>
    <s v="Out"/>
    <m/>
    <m/>
    <m/>
    <m/>
    <n v="3"/>
    <s v="COMPLETE"/>
    <s v="f"/>
    <d v="2021-09-15T00:00:00"/>
    <d v="2021-09-27T00:00:00"/>
    <m/>
    <n v="230252.99"/>
    <m/>
    <m/>
    <m/>
    <m/>
    <m/>
    <m/>
    <m/>
    <s v="09. Item 09"/>
    <n v="9"/>
    <x v="4"/>
    <x v="2"/>
    <n v="2021"/>
    <n v="2021"/>
    <b v="1"/>
  </r>
  <r>
    <x v="20"/>
    <m/>
    <x v="1"/>
    <s v="Centralized"/>
    <s v="Out"/>
    <m/>
    <m/>
    <m/>
    <m/>
    <n v="3"/>
    <s v="COMPLETE"/>
    <s v="f"/>
    <d v="2021-09-15T00:00:00"/>
    <d v="2021-09-23T00:00:00"/>
    <m/>
    <n v="78059.570000000007"/>
    <m/>
    <m/>
    <m/>
    <m/>
    <m/>
    <m/>
    <m/>
    <s v="14. Item 14"/>
    <n v="9"/>
    <x v="4"/>
    <x v="2"/>
    <n v="2021"/>
    <n v="2021"/>
    <b v="1"/>
  </r>
  <r>
    <x v="20"/>
    <m/>
    <x v="1"/>
    <s v="Centralized"/>
    <s v="Out"/>
    <m/>
    <m/>
    <m/>
    <m/>
    <n v="3"/>
    <s v="COMPLETE"/>
    <s v="f"/>
    <d v="2021-09-15T00:00:00"/>
    <d v="2021-09-22T00:00:00"/>
    <m/>
    <n v="299922.90999999997"/>
    <m/>
    <m/>
    <m/>
    <m/>
    <m/>
    <m/>
    <m/>
    <s v="14. Item 14"/>
    <n v="9"/>
    <x v="4"/>
    <x v="2"/>
    <n v="2021"/>
    <n v="2021"/>
    <b v="1"/>
  </r>
  <r>
    <x v="11"/>
    <m/>
    <x v="1"/>
    <s v="Centralized"/>
    <s v="Out"/>
    <m/>
    <m/>
    <m/>
    <m/>
    <n v="3"/>
    <s v="COMPLETE"/>
    <s v="f"/>
    <d v="2021-09-15T00:00:00"/>
    <d v="2021-09-20T00:00:00"/>
    <m/>
    <n v="11.57"/>
    <m/>
    <m/>
    <m/>
    <m/>
    <m/>
    <m/>
    <m/>
    <s v="13. Item 13"/>
    <n v="9"/>
    <x v="4"/>
    <x v="2"/>
    <n v="2021"/>
    <n v="2021"/>
    <b v="1"/>
  </r>
  <r>
    <x v="16"/>
    <m/>
    <x v="1"/>
    <s v="Centralized"/>
    <s v="Out"/>
    <m/>
    <m/>
    <m/>
    <m/>
    <n v="3"/>
    <s v="COMPLETE"/>
    <s v="f"/>
    <d v="2021-09-15T00:00:00"/>
    <d v="2021-09-27T00:00:00"/>
    <m/>
    <n v="15405.71"/>
    <m/>
    <m/>
    <m/>
    <m/>
    <m/>
    <m/>
    <m/>
    <s v="_1. Item _1"/>
    <n v="9"/>
    <x v="4"/>
    <x v="2"/>
    <n v="2021"/>
    <n v="2021"/>
    <b v="1"/>
  </r>
  <r>
    <x v="16"/>
    <m/>
    <x v="1"/>
    <s v="Centralized"/>
    <s v="Out"/>
    <m/>
    <m/>
    <m/>
    <m/>
    <n v="3"/>
    <s v="COMPLETE"/>
    <s v="f"/>
    <d v="2021-09-15T00:00:00"/>
    <d v="2021-09-24T00:00:00"/>
    <m/>
    <n v="8721.66"/>
    <m/>
    <m/>
    <m/>
    <m/>
    <m/>
    <m/>
    <m/>
    <s v="_1. Item _1"/>
    <n v="9"/>
    <x v="4"/>
    <x v="2"/>
    <n v="2021"/>
    <n v="2021"/>
    <b v="1"/>
  </r>
  <r>
    <x v="16"/>
    <m/>
    <x v="1"/>
    <s v="Centralized"/>
    <s v="Out"/>
    <m/>
    <m/>
    <m/>
    <m/>
    <n v="3"/>
    <s v="COMPLETE"/>
    <s v="f"/>
    <d v="2021-09-16T00:00:00"/>
    <d v="2021-09-30T00:00:00"/>
    <m/>
    <n v="3804410.19"/>
    <m/>
    <m/>
    <m/>
    <m/>
    <m/>
    <m/>
    <m/>
    <s v="_1. Item _1"/>
    <n v="9"/>
    <x v="4"/>
    <x v="2"/>
    <n v="2021"/>
    <n v="2021"/>
    <b v="1"/>
  </r>
  <r>
    <x v="3"/>
    <m/>
    <x v="1"/>
    <s v="Centralized"/>
    <s v="Out"/>
    <m/>
    <m/>
    <m/>
    <m/>
    <n v="3"/>
    <s v="COMPLETE"/>
    <s v="f"/>
    <d v="2021-09-15T00:00:00"/>
    <d v="2021-09-27T00:00:00"/>
    <m/>
    <n v="2583333.33"/>
    <m/>
    <m/>
    <m/>
    <m/>
    <m/>
    <m/>
    <m/>
    <s v="04. Item 04"/>
    <n v="9"/>
    <x v="4"/>
    <x v="2"/>
    <n v="2021"/>
    <n v="2021"/>
    <b v="1"/>
  </r>
  <r>
    <x v="22"/>
    <m/>
    <x v="1"/>
    <s v="Centralized"/>
    <s v="Out"/>
    <m/>
    <m/>
    <m/>
    <m/>
    <m/>
    <m/>
    <s v="p"/>
    <d v="2021-09-01T00:00:00"/>
    <d v="2021-09-01T00:00:00"/>
    <n v="23.81"/>
    <m/>
    <m/>
    <m/>
    <m/>
    <m/>
    <m/>
    <m/>
    <m/>
    <s v="04. Item 04"/>
    <n v="9"/>
    <x v="4"/>
    <x v="2"/>
    <n v="2021"/>
    <n v="2021"/>
    <b v="1"/>
  </r>
  <r>
    <x v="4"/>
    <m/>
    <x v="1"/>
    <s v="Centralized"/>
    <s v="Out"/>
    <m/>
    <m/>
    <m/>
    <m/>
    <n v="3"/>
    <s v="COMPLETE"/>
    <s v="f"/>
    <d v="2021-09-16T00:00:00"/>
    <d v="2021-09-28T00:00:00"/>
    <m/>
    <n v="35040.089999999997"/>
    <m/>
    <m/>
    <m/>
    <m/>
    <m/>
    <m/>
    <m/>
    <s v="05. Item 05"/>
    <n v="9"/>
    <x v="4"/>
    <x v="2"/>
    <n v="2021"/>
    <n v="2021"/>
    <b v="1"/>
  </r>
  <r>
    <x v="5"/>
    <m/>
    <x v="1"/>
    <s v="Centralized"/>
    <s v="In"/>
    <m/>
    <m/>
    <m/>
    <m/>
    <m/>
    <s v="COMPLETE"/>
    <s v="f"/>
    <d v="2021-09-16T00:00:00"/>
    <d v="2021-09-16T00:00:00"/>
    <m/>
    <n v="122685.16"/>
    <m/>
    <m/>
    <m/>
    <m/>
    <m/>
    <m/>
    <m/>
    <s v="05. Item 05"/>
    <n v="9"/>
    <x v="4"/>
    <x v="2"/>
    <n v="2021"/>
    <n v="2021"/>
    <b v="1"/>
  </r>
  <r>
    <x v="15"/>
    <m/>
    <x v="1"/>
    <s v="Centralized"/>
    <s v="Out"/>
    <m/>
    <m/>
    <m/>
    <m/>
    <n v="1"/>
    <s v="COMPLETE"/>
    <s v="f"/>
    <d v="2021-09-03T00:00:00"/>
    <d v="2021-09-28T00:00:00"/>
    <m/>
    <n v="4125"/>
    <m/>
    <m/>
    <m/>
    <m/>
    <m/>
    <m/>
    <m/>
    <s v="06. Item 06"/>
    <n v="9"/>
    <x v="4"/>
    <x v="2"/>
    <n v="2021"/>
    <n v="2021"/>
    <b v="1"/>
  </r>
  <r>
    <x v="6"/>
    <m/>
    <x v="1"/>
    <s v="Centralized"/>
    <s v="Out"/>
    <m/>
    <m/>
    <m/>
    <s v="X"/>
    <n v="4"/>
    <s v="COMPLETE"/>
    <s v="f"/>
    <d v="2021-09-17T00:00:00"/>
    <d v="2021-09-28T00:00:00"/>
    <m/>
    <n v="2720902.06"/>
    <m/>
    <m/>
    <m/>
    <m/>
    <m/>
    <m/>
    <m/>
    <s v="07. Item 07"/>
    <n v="9"/>
    <x v="4"/>
    <x v="2"/>
    <n v="2021"/>
    <n v="2021"/>
    <b v="1"/>
  </r>
  <r>
    <x v="7"/>
    <m/>
    <x v="1"/>
    <s v="Centralized"/>
    <s v="Out"/>
    <m/>
    <m/>
    <m/>
    <m/>
    <n v="4"/>
    <s v="COMPLETE"/>
    <s v="f"/>
    <d v="2021-09-17T00:00:00"/>
    <d v="2021-09-28T00:00:00"/>
    <m/>
    <n v="285526.51"/>
    <m/>
    <m/>
    <m/>
    <m/>
    <m/>
    <m/>
    <m/>
    <s v="08. Item 08"/>
    <n v="9"/>
    <x v="4"/>
    <x v="2"/>
    <n v="2021"/>
    <n v="2021"/>
    <b v="1"/>
  </r>
  <r>
    <x v="21"/>
    <m/>
    <x v="1"/>
    <s v="Centralized"/>
    <s v="In"/>
    <m/>
    <m/>
    <m/>
    <m/>
    <m/>
    <s v="COMPLETE"/>
    <s v="f"/>
    <d v="2021-09-17T00:00:00"/>
    <d v="2021-09-17T00:00:00"/>
    <m/>
    <n v="139226.81"/>
    <m/>
    <m/>
    <m/>
    <m/>
    <m/>
    <m/>
    <m/>
    <s v="09. Item 09"/>
    <n v="9"/>
    <x v="4"/>
    <x v="2"/>
    <n v="2021"/>
    <n v="2021"/>
    <b v="1"/>
  </r>
  <r>
    <x v="9"/>
    <m/>
    <x v="1"/>
    <s v="Centralized"/>
    <s v="In"/>
    <m/>
    <m/>
    <m/>
    <m/>
    <m/>
    <s v="COMPLETE"/>
    <s v="f"/>
    <d v="2021-09-20T00:00:00"/>
    <d v="2021-09-20T00:00:00"/>
    <m/>
    <n v="11.57"/>
    <m/>
    <m/>
    <m/>
    <m/>
    <m/>
    <m/>
    <m/>
    <s v="09. Item 09"/>
    <n v="9"/>
    <x v="4"/>
    <x v="2"/>
    <n v="2021"/>
    <n v="2021"/>
    <b v="1"/>
  </r>
  <r>
    <x v="8"/>
    <m/>
    <x v="1"/>
    <s v="Centralized"/>
    <s v="In"/>
    <m/>
    <m/>
    <m/>
    <m/>
    <m/>
    <s v="COMPLETE"/>
    <s v="f"/>
    <d v="2021-09-21T00:00:00"/>
    <d v="2021-09-21T00:00:00"/>
    <m/>
    <n v="391312.64000000001"/>
    <m/>
    <m/>
    <m/>
    <m/>
    <m/>
    <m/>
    <m/>
    <s v="09. Item 09"/>
    <n v="9"/>
    <x v="4"/>
    <x v="2"/>
    <n v="2021"/>
    <n v="2021"/>
    <b v="1"/>
  </r>
  <r>
    <x v="30"/>
    <m/>
    <x v="1"/>
    <s v="Centralized"/>
    <s v="In"/>
    <m/>
    <m/>
    <m/>
    <m/>
    <m/>
    <s v="COMPLETE"/>
    <s v="f"/>
    <d v="2021-09-22T00:00:00"/>
    <d v="2021-09-22T00:00:00"/>
    <m/>
    <n v="335456.08"/>
    <m/>
    <m/>
    <m/>
    <m/>
    <m/>
    <m/>
    <m/>
    <s v="10. Item 10"/>
    <n v="9"/>
    <x v="4"/>
    <x v="2"/>
    <n v="2021"/>
    <n v="2021"/>
    <b v="1"/>
  </r>
  <r>
    <x v="31"/>
    <m/>
    <x v="1"/>
    <s v="Centralized"/>
    <s v="In"/>
    <m/>
    <m/>
    <m/>
    <m/>
    <m/>
    <s v="COMPLETE"/>
    <s v="f"/>
    <d v="2021-09-23T00:00:00"/>
    <d v="2021-09-23T00:00:00"/>
    <m/>
    <n v="78059.570000000007"/>
    <m/>
    <m/>
    <m/>
    <m/>
    <m/>
    <m/>
    <m/>
    <s v="10. Item 10"/>
    <n v="9"/>
    <x v="4"/>
    <x v="2"/>
    <n v="2021"/>
    <n v="2021"/>
    <b v="1"/>
  </r>
  <r>
    <x v="10"/>
    <m/>
    <x v="1"/>
    <s v="Centralized"/>
    <s v="In"/>
    <m/>
    <m/>
    <m/>
    <m/>
    <m/>
    <s v="COMPLETE"/>
    <s v="f"/>
    <d v="2021-09-24T00:00:00"/>
    <d v="2021-09-24T00:00:00"/>
    <m/>
    <n v="585890.01"/>
    <m/>
    <m/>
    <m/>
    <m/>
    <m/>
    <m/>
    <m/>
    <s v="11. Item 11"/>
    <n v="9"/>
    <x v="4"/>
    <x v="2"/>
    <n v="2021"/>
    <n v="2021"/>
    <b v="1"/>
  </r>
  <r>
    <x v="32"/>
    <m/>
    <x v="1"/>
    <s v="Centralized"/>
    <s v="Out"/>
    <m/>
    <m/>
    <m/>
    <m/>
    <n v="3"/>
    <s v="COMPLETE"/>
    <s v="f"/>
    <d v="2021-09-15T00:00:00"/>
    <d v="2021-09-24T00:00:00"/>
    <m/>
    <n v="217440.62"/>
    <m/>
    <m/>
    <m/>
    <m/>
    <m/>
    <m/>
    <m/>
    <s v="12. Item 12"/>
    <n v="9"/>
    <x v="4"/>
    <x v="2"/>
    <n v="2021"/>
    <n v="2021"/>
    <b v="1"/>
  </r>
  <r>
    <x v="29"/>
    <m/>
    <x v="1"/>
    <s v="Centralized"/>
    <s v="Out"/>
    <m/>
    <m/>
    <m/>
    <s v="X"/>
    <n v="3"/>
    <s v="COMPLETE"/>
    <s v="f"/>
    <d v="2021-09-15T00:00:00"/>
    <d v="2021-09-24T00:00:00"/>
    <m/>
    <n v="5690.48"/>
    <m/>
    <m/>
    <m/>
    <m/>
    <m/>
    <m/>
    <m/>
    <s v="13. Item 13"/>
    <n v="9"/>
    <x v="4"/>
    <x v="2"/>
    <n v="2021"/>
    <n v="2021"/>
    <b v="1"/>
  </r>
  <r>
    <x v="11"/>
    <m/>
    <x v="1"/>
    <s v="Centralized"/>
    <s v="Out"/>
    <m/>
    <m/>
    <m/>
    <m/>
    <n v="3"/>
    <s v="COMPLETE"/>
    <s v="f"/>
    <d v="2021-09-15T00:00:00"/>
    <d v="2021-09-29T00:00:00"/>
    <m/>
    <n v="75616.73"/>
    <m/>
    <m/>
    <m/>
    <m/>
    <m/>
    <m/>
    <m/>
    <s v="13. Item 13"/>
    <n v="9"/>
    <x v="4"/>
    <x v="2"/>
    <n v="2021"/>
    <n v="2021"/>
    <b v="1"/>
  </r>
  <r>
    <x v="33"/>
    <m/>
    <x v="1"/>
    <s v="Centralized"/>
    <s v="In"/>
    <m/>
    <m/>
    <m/>
    <m/>
    <m/>
    <s v="COMPLETE"/>
    <s v="f"/>
    <d v="2021-09-27T00:00:00"/>
    <d v="2021-09-27T00:00:00"/>
    <m/>
    <n v="8987095.0600000005"/>
    <m/>
    <m/>
    <m/>
    <m/>
    <m/>
    <m/>
    <m/>
    <s v="13. Item 13"/>
    <n v="9"/>
    <x v="4"/>
    <x v="2"/>
    <n v="2021"/>
    <n v="2021"/>
    <b v="1"/>
  </r>
  <r>
    <x v="34"/>
    <m/>
    <x v="1"/>
    <s v="Decentralized"/>
    <s v="Out"/>
    <m/>
    <m/>
    <m/>
    <m/>
    <m/>
    <s v="COMPLETE"/>
    <s v="f"/>
    <d v="2021-09-01T00:00:00"/>
    <d v="2021-09-28T00:00:00"/>
    <m/>
    <n v="2447396.29"/>
    <m/>
    <m/>
    <m/>
    <m/>
    <m/>
    <m/>
    <m/>
    <s v="13. Item 13"/>
    <n v="9"/>
    <x v="4"/>
    <x v="2"/>
    <n v="2021"/>
    <n v="2021"/>
    <b v="1"/>
  </r>
  <r>
    <x v="13"/>
    <m/>
    <x v="1"/>
    <s v="Centralized"/>
    <s v="In"/>
    <m/>
    <m/>
    <m/>
    <m/>
    <m/>
    <s v="COMPLETE"/>
    <s v="f"/>
    <d v="2021-09-28T00:00:00"/>
    <d v="2021-09-28T00:00:00"/>
    <m/>
    <n v="4070059.39"/>
    <m/>
    <m/>
    <m/>
    <m/>
    <m/>
    <m/>
    <m/>
    <s v="13. Item 13"/>
    <n v="9"/>
    <x v="4"/>
    <x v="2"/>
    <n v="2021"/>
    <n v="2021"/>
    <b v="1"/>
  </r>
  <r>
    <x v="40"/>
    <m/>
    <x v="1"/>
    <s v="Centralized"/>
    <s v="In"/>
    <m/>
    <m/>
    <m/>
    <m/>
    <m/>
    <s v="COMPLETE"/>
    <s v="f"/>
    <d v="2021-09-28T00:00:00"/>
    <d v="2021-09-28T00:00:00"/>
    <m/>
    <n v="2447396.29"/>
    <m/>
    <m/>
    <m/>
    <m/>
    <m/>
    <m/>
    <m/>
    <s v="18. Item 18"/>
    <n v="9"/>
    <x v="4"/>
    <x v="2"/>
    <n v="2021"/>
    <n v="2021"/>
    <b v="1"/>
  </r>
  <r>
    <x v="20"/>
    <m/>
    <x v="1"/>
    <s v="Centralized"/>
    <s v="In"/>
    <m/>
    <m/>
    <m/>
    <m/>
    <m/>
    <s v="COMPLETE"/>
    <s v="f"/>
    <d v="2021-09-29T00:00:00"/>
    <d v="2021-09-29T00:00:00"/>
    <m/>
    <n v="75616.73"/>
    <m/>
    <m/>
    <m/>
    <m/>
    <m/>
    <m/>
    <m/>
    <s v="14. Item 14"/>
    <n v="9"/>
    <x v="4"/>
    <x v="2"/>
    <n v="2021"/>
    <n v="2021"/>
    <b v="1"/>
  </r>
  <r>
    <x v="35"/>
    <m/>
    <x v="1"/>
    <s v="Centralized"/>
    <s v="In"/>
    <m/>
    <m/>
    <m/>
    <m/>
    <m/>
    <s v="COMPLETE"/>
    <s v="f"/>
    <d v="2021-09-30T00:00:00"/>
    <d v="2021-09-30T00:00:00"/>
    <m/>
    <n v="17648167.280000001"/>
    <m/>
    <m/>
    <m/>
    <m/>
    <m/>
    <m/>
    <m/>
    <s v="17. Item 17"/>
    <n v="9"/>
    <x v="4"/>
    <x v="2"/>
    <n v="2021"/>
    <n v="2021"/>
    <b v="1"/>
  </r>
  <r>
    <x v="16"/>
    <m/>
    <x v="1"/>
    <s v="Centralized"/>
    <s v="In"/>
    <m/>
    <m/>
    <m/>
    <m/>
    <m/>
    <s v="COMPLETE"/>
    <s v="f"/>
    <d v="2021-09-30T00:00:00"/>
    <d v="2021-09-30T00:00:00"/>
    <m/>
    <n v="326.98"/>
    <m/>
    <m/>
    <m/>
    <m/>
    <m/>
    <m/>
    <m/>
    <s v="_1. Item _1"/>
    <n v="9"/>
    <x v="4"/>
    <x v="2"/>
    <n v="2021"/>
    <n v="2021"/>
    <b v="1"/>
  </r>
  <r>
    <x v="36"/>
    <m/>
    <x v="1"/>
    <s v="Decentralized"/>
    <s v="Out"/>
    <m/>
    <m/>
    <m/>
    <m/>
    <n v="4"/>
    <s v="COMPLETE"/>
    <s v="f"/>
    <d v="2021-09-25T00:00:00"/>
    <d v="2021-09-30T00:00:00"/>
    <m/>
    <n v="326.98"/>
    <m/>
    <m/>
    <m/>
    <m/>
    <m/>
    <m/>
    <m/>
    <s v="_3. Item _3"/>
    <n v="9"/>
    <x v="4"/>
    <x v="2"/>
    <n v="2021"/>
    <n v="2021"/>
    <b v="1"/>
  </r>
  <r>
    <x v="35"/>
    <m/>
    <x v="1"/>
    <s v="Centralized"/>
    <s v="Out"/>
    <m/>
    <m/>
    <m/>
    <m/>
    <n v="1"/>
    <s v="COMPLETE"/>
    <s v="f"/>
    <d v="2021-10-11T00:00:00"/>
    <d v="2021-10-11T00:00:00"/>
    <m/>
    <n v="19304.54"/>
    <m/>
    <m/>
    <m/>
    <m/>
    <m/>
    <m/>
    <m/>
    <s v="17. Item 17"/>
    <n v="10"/>
    <x v="3"/>
    <x v="2"/>
    <n v="2021"/>
    <n v="2021"/>
    <b v="1"/>
  </r>
  <r>
    <x v="16"/>
    <m/>
    <x v="1"/>
    <s v="Centralized"/>
    <s v="Out"/>
    <m/>
    <m/>
    <m/>
    <m/>
    <n v="1"/>
    <s v="COMPLETE"/>
    <s v="f"/>
    <d v="2021-10-13T00:00:00"/>
    <d v="2021-10-11T00:00:00"/>
    <m/>
    <n v="14493.12"/>
    <m/>
    <m/>
    <m/>
    <m/>
    <m/>
    <m/>
    <m/>
    <s v="_1. Item _1"/>
    <n v="10"/>
    <x v="3"/>
    <x v="2"/>
    <n v="2021"/>
    <n v="2021"/>
    <b v="1"/>
  </r>
  <r>
    <x v="22"/>
    <m/>
    <x v="1"/>
    <s v="Centralized"/>
    <s v="Out"/>
    <m/>
    <m/>
    <m/>
    <s v="X"/>
    <n v="1"/>
    <s v="COMPLETE"/>
    <s v="f"/>
    <d v="2021-10-13T00:00:00"/>
    <d v="2021-10-15T00:00:00"/>
    <m/>
    <n v="8582.16"/>
    <m/>
    <m/>
    <m/>
    <m/>
    <m/>
    <m/>
    <m/>
    <s v="04. Item 04"/>
    <n v="10"/>
    <x v="3"/>
    <x v="2"/>
    <n v="2021"/>
    <n v="2021"/>
    <b v="1"/>
  </r>
  <r>
    <x v="6"/>
    <m/>
    <x v="1"/>
    <s v="Centralized"/>
    <s v="Out"/>
    <m/>
    <m/>
    <m/>
    <s v="X"/>
    <n v="1"/>
    <s v="COMPLETE"/>
    <s v="f"/>
    <d v="2021-10-13T00:00:00"/>
    <d v="2021-10-13T00:00:00"/>
    <m/>
    <n v="3738.1"/>
    <m/>
    <m/>
    <m/>
    <m/>
    <m/>
    <m/>
    <m/>
    <s v="07. Item 07"/>
    <n v="10"/>
    <x v="3"/>
    <x v="2"/>
    <n v="2021"/>
    <n v="2021"/>
    <b v="1"/>
  </r>
  <r>
    <x v="7"/>
    <m/>
    <x v="1"/>
    <s v="Centralized"/>
    <s v="Out"/>
    <m/>
    <m/>
    <m/>
    <s v="X"/>
    <n v="1"/>
    <s v="COMPLETE"/>
    <s v="f"/>
    <d v="2021-10-13T00:00:00"/>
    <d v="2021-10-15T00:00:00"/>
    <m/>
    <n v="208095.33"/>
    <m/>
    <m/>
    <m/>
    <m/>
    <m/>
    <m/>
    <m/>
    <s v="08. Item 08"/>
    <n v="10"/>
    <x v="3"/>
    <x v="2"/>
    <n v="2021"/>
    <n v="2021"/>
    <b v="1"/>
  </r>
  <r>
    <x v="21"/>
    <m/>
    <x v="1"/>
    <s v="Centralized"/>
    <s v="Out"/>
    <m/>
    <m/>
    <m/>
    <m/>
    <n v="1"/>
    <s v="COMPLETE"/>
    <s v="f"/>
    <d v="2021-10-13T00:00:00"/>
    <d v="2021-10-13T00:00:00"/>
    <m/>
    <n v="54344.83"/>
    <m/>
    <m/>
    <m/>
    <m/>
    <m/>
    <m/>
    <m/>
    <s v="09. Item 09"/>
    <n v="10"/>
    <x v="3"/>
    <x v="2"/>
    <n v="2021"/>
    <n v="2021"/>
    <b v="1"/>
  </r>
  <r>
    <x v="21"/>
    <m/>
    <x v="1"/>
    <s v="Centralized"/>
    <s v="Out"/>
    <m/>
    <m/>
    <m/>
    <m/>
    <n v="1"/>
    <s v="COMPLETE"/>
    <s v="f"/>
    <d v="2021-10-13T00:00:00"/>
    <d v="2021-10-14T00:00:00"/>
    <m/>
    <n v="124.51"/>
    <m/>
    <m/>
    <m/>
    <m/>
    <m/>
    <m/>
    <m/>
    <s v="09. Item 09"/>
    <n v="10"/>
    <x v="3"/>
    <x v="2"/>
    <n v="2021"/>
    <n v="2021"/>
    <b v="1"/>
  </r>
  <r>
    <x v="9"/>
    <m/>
    <x v="1"/>
    <s v="Centralized"/>
    <s v="Out"/>
    <m/>
    <m/>
    <m/>
    <m/>
    <n v="1"/>
    <s v="COMPLETE"/>
    <s v="f"/>
    <d v="2021-10-13T00:00:00"/>
    <d v="2021-10-15T00:00:00"/>
    <m/>
    <n v="8999.7900000000009"/>
    <m/>
    <m/>
    <m/>
    <m/>
    <m/>
    <m/>
    <m/>
    <s v="09. Item 09"/>
    <n v="10"/>
    <x v="3"/>
    <x v="2"/>
    <n v="2021"/>
    <n v="2021"/>
    <b v="1"/>
  </r>
  <r>
    <x v="8"/>
    <m/>
    <x v="1"/>
    <s v="Centralized"/>
    <s v="Out"/>
    <m/>
    <m/>
    <m/>
    <m/>
    <n v="1"/>
    <s v="COMPLETE"/>
    <s v="f"/>
    <d v="2021-10-13T00:00:00"/>
    <d v="2021-10-19T00:00:00"/>
    <m/>
    <n v="30"/>
    <m/>
    <m/>
    <m/>
    <m/>
    <m/>
    <m/>
    <m/>
    <s v="09. Item 09"/>
    <n v="10"/>
    <x v="3"/>
    <x v="2"/>
    <n v="2021"/>
    <n v="2021"/>
    <b v="1"/>
  </r>
  <r>
    <x v="8"/>
    <m/>
    <x v="1"/>
    <s v="Centralized"/>
    <s v="Out"/>
    <m/>
    <m/>
    <m/>
    <m/>
    <n v="1"/>
    <s v="COMPLETE"/>
    <s v="f"/>
    <d v="2021-10-13T00:00:00"/>
    <d v="2021-10-13T00:00:00"/>
    <m/>
    <n v="130786.59"/>
    <m/>
    <m/>
    <m/>
    <m/>
    <m/>
    <m/>
    <m/>
    <s v="09. Item 09"/>
    <n v="10"/>
    <x v="3"/>
    <x v="2"/>
    <n v="2021"/>
    <n v="2021"/>
    <b v="1"/>
  </r>
  <r>
    <x v="29"/>
    <m/>
    <x v="1"/>
    <s v="Centralized"/>
    <s v="Out"/>
    <m/>
    <m/>
    <m/>
    <s v="X"/>
    <n v="1"/>
    <s v="COMPLETE"/>
    <s v="f"/>
    <d v="2021-10-13T00:00:00"/>
    <d v="2021-10-18T00:00:00"/>
    <m/>
    <n v="17832.72"/>
    <m/>
    <m/>
    <m/>
    <m/>
    <m/>
    <m/>
    <m/>
    <s v="13. Item 13"/>
    <n v="10"/>
    <x v="3"/>
    <x v="2"/>
    <n v="2021"/>
    <n v="2021"/>
    <b v="1"/>
  </r>
  <r>
    <x v="11"/>
    <m/>
    <x v="1"/>
    <s v="Centralized"/>
    <s v="Out"/>
    <m/>
    <m/>
    <m/>
    <s v="X"/>
    <n v="1"/>
    <s v="COMPLETE"/>
    <s v="f"/>
    <d v="2021-10-13T00:00:00"/>
    <d v="2021-10-15T00:00:00"/>
    <m/>
    <n v="5435.08"/>
    <m/>
    <m/>
    <m/>
    <m/>
    <m/>
    <m/>
    <m/>
    <s v="13. Item 13"/>
    <n v="10"/>
    <x v="3"/>
    <x v="2"/>
    <n v="2021"/>
    <n v="2021"/>
    <b v="1"/>
  </r>
  <r>
    <x v="11"/>
    <m/>
    <x v="1"/>
    <s v="Centralized"/>
    <s v="Out"/>
    <m/>
    <m/>
    <m/>
    <m/>
    <n v="1"/>
    <s v="COMPLETE"/>
    <s v="f"/>
    <d v="2021-10-13T00:00:00"/>
    <d v="2021-10-15T00:00:00"/>
    <m/>
    <n v="378842.36"/>
    <m/>
    <m/>
    <m/>
    <m/>
    <m/>
    <m/>
    <m/>
    <s v="13. Item 13"/>
    <n v="10"/>
    <x v="3"/>
    <x v="2"/>
    <n v="2021"/>
    <n v="2021"/>
    <b v="1"/>
  </r>
  <r>
    <x v="21"/>
    <m/>
    <x v="1"/>
    <s v="Centralized"/>
    <s v="Out"/>
    <m/>
    <m/>
    <m/>
    <m/>
    <n v="4"/>
    <s v="COMPLETE"/>
    <s v="f"/>
    <d v="2021-10-13T00:00:00"/>
    <d v="2021-10-19T00:00:00"/>
    <m/>
    <n v="92264.46"/>
    <m/>
    <m/>
    <m/>
    <m/>
    <m/>
    <m/>
    <m/>
    <s v="09. Item 09"/>
    <n v="10"/>
    <x v="3"/>
    <x v="2"/>
    <n v="2021"/>
    <n v="2021"/>
    <b v="1"/>
  </r>
  <r>
    <x v="32"/>
    <m/>
    <x v="1"/>
    <s v="Centralized"/>
    <s v="Out"/>
    <m/>
    <m/>
    <m/>
    <s v="X"/>
    <n v="1"/>
    <s v="COMPLETE"/>
    <s v="f"/>
    <d v="2021-10-13T00:00:00"/>
    <d v="2021-10-15T00:00:00"/>
    <m/>
    <n v="2738095.24"/>
    <m/>
    <m/>
    <m/>
    <m/>
    <m/>
    <m/>
    <m/>
    <s v="12. Item 12"/>
    <n v="10"/>
    <x v="3"/>
    <x v="2"/>
    <n v="2021"/>
    <n v="2021"/>
    <b v="1"/>
  </r>
  <r>
    <x v="23"/>
    <m/>
    <x v="2"/>
    <s v="Centralized"/>
    <s v="Out"/>
    <m/>
    <m/>
    <m/>
    <m/>
    <m/>
    <s v="COMPLETE"/>
    <s v="f"/>
    <d v="2021-10-05T00:00:00"/>
    <d v="2021-10-05T00:00:00"/>
    <m/>
    <n v="223780.11"/>
    <m/>
    <m/>
    <m/>
    <m/>
    <m/>
    <m/>
    <m/>
    <s v="21. Item 21"/>
    <n v="10"/>
    <x v="3"/>
    <x v="2"/>
    <n v="2021"/>
    <n v="2021"/>
    <b v="1"/>
  </r>
  <r>
    <x v="32"/>
    <m/>
    <x v="1"/>
    <s v="Centralized"/>
    <s v="Out"/>
    <m/>
    <m/>
    <m/>
    <m/>
    <n v="1"/>
    <s v="COMPLETE"/>
    <s v="f"/>
    <d v="2021-09-01T00:00:00"/>
    <d v="2021-10-07T00:00:00"/>
    <m/>
    <n v="2590.9699999999998"/>
    <m/>
    <m/>
    <m/>
    <m/>
    <m/>
    <m/>
    <m/>
    <s v="12. Item 12"/>
    <n v="9"/>
    <x v="3"/>
    <x v="2"/>
    <n v="2021"/>
    <n v="2021"/>
    <b v="1"/>
  </r>
  <r>
    <x v="10"/>
    <m/>
    <x v="1"/>
    <s v="Centralized"/>
    <s v="Out"/>
    <m/>
    <m/>
    <m/>
    <m/>
    <n v="1"/>
    <s v="COMPLETE"/>
    <s v="f"/>
    <d v="2021-10-11T00:00:00"/>
    <d v="2021-10-11T00:00:00"/>
    <m/>
    <n v="38881.71"/>
    <m/>
    <m/>
    <m/>
    <m/>
    <m/>
    <m/>
    <m/>
    <s v="11. Item 11"/>
    <n v="10"/>
    <x v="3"/>
    <x v="2"/>
    <n v="2021"/>
    <n v="2021"/>
    <b v="1"/>
  </r>
  <r>
    <x v="10"/>
    <m/>
    <x v="1"/>
    <s v="Centralized"/>
    <s v="In"/>
    <m/>
    <m/>
    <m/>
    <m/>
    <m/>
    <s v="COMPLETE"/>
    <s v="f"/>
    <d v="2021-10-05T00:00:00"/>
    <d v="2021-10-05T00:00:00"/>
    <m/>
    <n v="223780.11"/>
    <m/>
    <m/>
    <m/>
    <m/>
    <m/>
    <m/>
    <m/>
    <s v="11. Item 11"/>
    <n v="10"/>
    <x v="3"/>
    <x v="2"/>
    <n v="2021"/>
    <n v="2021"/>
    <b v="1"/>
  </r>
  <r>
    <x v="13"/>
    <m/>
    <x v="1"/>
    <s v="Centralized"/>
    <s v="In"/>
    <m/>
    <m/>
    <m/>
    <m/>
    <m/>
    <s v="COMPLETE"/>
    <s v="f"/>
    <d v="2021-10-07T00:00:00"/>
    <d v="2021-10-07T00:00:00"/>
    <m/>
    <n v="2590.9699999999998"/>
    <m/>
    <m/>
    <m/>
    <m/>
    <m/>
    <m/>
    <m/>
    <s v="13. Item 13"/>
    <n v="10"/>
    <x v="3"/>
    <x v="2"/>
    <n v="2021"/>
    <n v="2021"/>
    <b v="1"/>
  </r>
  <r>
    <x v="13"/>
    <m/>
    <x v="1"/>
    <s v="Centralized"/>
    <s v="Out"/>
    <m/>
    <m/>
    <m/>
    <m/>
    <n v="1"/>
    <s v="COMPLETE"/>
    <s v="f"/>
    <d v="2021-10-04T00:00:00"/>
    <d v="2021-10-18T00:00:00"/>
    <m/>
    <n v="15389.44"/>
    <m/>
    <m/>
    <m/>
    <m/>
    <m/>
    <m/>
    <m/>
    <s v="13. Item 13"/>
    <n v="10"/>
    <x v="3"/>
    <x v="2"/>
    <n v="2021"/>
    <n v="2021"/>
    <b v="1"/>
  </r>
  <r>
    <x v="13"/>
    <m/>
    <x v="1"/>
    <s v="Centralized"/>
    <s v="Out"/>
    <m/>
    <m/>
    <m/>
    <m/>
    <n v="2"/>
    <s v="COMPLETE"/>
    <s v="f"/>
    <d v="2021-10-05T00:00:00"/>
    <d v="2021-10-22T00:00:00"/>
    <m/>
    <n v="178571.43"/>
    <m/>
    <m/>
    <m/>
    <m/>
    <m/>
    <m/>
    <m/>
    <s v="13. Item 13"/>
    <n v="10"/>
    <x v="3"/>
    <x v="2"/>
    <n v="2021"/>
    <n v="2021"/>
    <b v="1"/>
  </r>
  <r>
    <x v="13"/>
    <m/>
    <x v="1"/>
    <s v="Centralized"/>
    <s v="Out"/>
    <m/>
    <m/>
    <m/>
    <s v="X"/>
    <n v="1"/>
    <s v="COMPLETE"/>
    <s v="f"/>
    <d v="2021-10-05T00:00:00"/>
    <d v="2021-10-18T00:00:00"/>
    <m/>
    <n v="112109.23"/>
    <m/>
    <m/>
    <m/>
    <m/>
    <m/>
    <m/>
    <m/>
    <s v="13. Item 13"/>
    <n v="10"/>
    <x v="3"/>
    <x v="2"/>
    <n v="2021"/>
    <n v="2021"/>
    <b v="1"/>
  </r>
  <r>
    <x v="13"/>
    <m/>
    <x v="1"/>
    <s v="Decentralized"/>
    <s v="Out"/>
    <m/>
    <m/>
    <m/>
    <m/>
    <m/>
    <m/>
    <s v="p"/>
    <d v="2021-10-01T00:00:00"/>
    <d v="2021-10-01T00:00:00"/>
    <n v="607619.05000000005"/>
    <m/>
    <m/>
    <m/>
    <m/>
    <m/>
    <m/>
    <m/>
    <m/>
    <s v="13. Item 13"/>
    <n v="10"/>
    <x v="3"/>
    <x v="2"/>
    <n v="2021"/>
    <n v="2021"/>
    <b v="1"/>
  </r>
  <r>
    <x v="34"/>
    <m/>
    <x v="1"/>
    <s v="Centralized"/>
    <s v="Out"/>
    <m/>
    <m/>
    <m/>
    <m/>
    <m/>
    <m/>
    <s v="p"/>
    <d v="2021-10-01T00:00:00"/>
    <d v="2021-10-01T00:00:00"/>
    <n v="6690476.1900000004"/>
    <m/>
    <m/>
    <m/>
    <m/>
    <m/>
    <m/>
    <m/>
    <m/>
    <s v="13. Item 13"/>
    <n v="10"/>
    <x v="3"/>
    <x v="2"/>
    <n v="2021"/>
    <n v="2021"/>
    <b v="1"/>
  </r>
  <r>
    <x v="5"/>
    <m/>
    <x v="1"/>
    <s v="Centralized"/>
    <s v="Out"/>
    <m/>
    <m/>
    <m/>
    <m/>
    <m/>
    <m/>
    <s v="p"/>
    <d v="2021-10-01T00:00:00"/>
    <d v="2021-10-01T00:00:00"/>
    <n v="2928571.43"/>
    <m/>
    <m/>
    <m/>
    <m/>
    <m/>
    <m/>
    <m/>
    <m/>
    <s v="05. Item 05"/>
    <n v="10"/>
    <x v="3"/>
    <x v="2"/>
    <n v="2021"/>
    <n v="2021"/>
    <b v="1"/>
  </r>
  <r>
    <x v="4"/>
    <s v="03. Item 03"/>
    <x v="1"/>
    <s v="Centralized"/>
    <s v="Out"/>
    <m/>
    <m/>
    <m/>
    <m/>
    <m/>
    <m/>
    <s v="p"/>
    <d v="2021-10-01T00:00:00"/>
    <d v="2021-10-01T00:00:00"/>
    <n v="3886757.17"/>
    <m/>
    <m/>
    <m/>
    <m/>
    <m/>
    <m/>
    <m/>
    <m/>
    <s v="03. Item 03"/>
    <n v="10"/>
    <x v="3"/>
    <x v="2"/>
    <n v="2021"/>
    <n v="2021"/>
    <b v="1"/>
  </r>
  <r>
    <x v="25"/>
    <m/>
    <x v="1"/>
    <s v="Centralized"/>
    <s v="Out"/>
    <m/>
    <m/>
    <m/>
    <m/>
    <m/>
    <m/>
    <s v="p"/>
    <d v="2021-10-01T00:00:00"/>
    <d v="2021-10-01T00:00:00"/>
    <n v="6261628.5700000003"/>
    <m/>
    <m/>
    <m/>
    <m/>
    <m/>
    <m/>
    <m/>
    <m/>
    <s v="03. Item 03"/>
    <n v="10"/>
    <x v="3"/>
    <x v="2"/>
    <n v="2021"/>
    <n v="2021"/>
    <b v="1"/>
  </r>
  <r>
    <x v="14"/>
    <m/>
    <x v="1"/>
    <s v="Centralized"/>
    <s v="Out"/>
    <m/>
    <m/>
    <m/>
    <m/>
    <m/>
    <m/>
    <s v="p"/>
    <d v="2021-10-01T00:00:00"/>
    <d v="2021-10-01T00:00:00"/>
    <n v="412180.95"/>
    <m/>
    <m/>
    <m/>
    <m/>
    <m/>
    <m/>
    <m/>
    <m/>
    <s v="19. Item 19"/>
    <n v="10"/>
    <x v="3"/>
    <x v="2"/>
    <n v="2021"/>
    <n v="2021"/>
    <b v="1"/>
  </r>
  <r>
    <x v="31"/>
    <m/>
    <x v="1"/>
    <s v="Centralized"/>
    <s v="Out"/>
    <m/>
    <m/>
    <m/>
    <m/>
    <m/>
    <m/>
    <s v="p"/>
    <d v="2021-10-01T00:00:00"/>
    <d v="2021-10-01T00:00:00"/>
    <n v="6253095.2400000002"/>
    <m/>
    <m/>
    <m/>
    <m/>
    <m/>
    <m/>
    <m/>
    <m/>
    <s v="10. Item 10"/>
    <n v="10"/>
    <x v="3"/>
    <x v="2"/>
    <n v="2021"/>
    <n v="2021"/>
    <b v="1"/>
  </r>
  <r>
    <x v="16"/>
    <m/>
    <x v="1"/>
    <s v="Centralized"/>
    <s v="Out"/>
    <m/>
    <m/>
    <m/>
    <m/>
    <m/>
    <m/>
    <s v="p"/>
    <d v="2021-10-01T00:00:00"/>
    <d v="2021-10-01T00:00:00"/>
    <n v="27142.86"/>
    <m/>
    <m/>
    <m/>
    <m/>
    <m/>
    <m/>
    <m/>
    <m/>
    <s v="_1. Item _1"/>
    <n v="10"/>
    <x v="3"/>
    <x v="2"/>
    <n v="2021"/>
    <n v="2021"/>
    <b v="1"/>
  </r>
  <r>
    <x v="30"/>
    <m/>
    <x v="1"/>
    <s v="Centralized"/>
    <s v="Out"/>
    <m/>
    <m/>
    <m/>
    <m/>
    <m/>
    <m/>
    <s v="p"/>
    <d v="2021-10-01T00:00:00"/>
    <d v="2021-10-01T00:00:00"/>
    <n v="5714285.71"/>
    <m/>
    <m/>
    <m/>
    <m/>
    <m/>
    <m/>
    <m/>
    <m/>
    <s v="10. Item 10"/>
    <n v="10"/>
    <x v="3"/>
    <x v="2"/>
    <n v="2021"/>
    <n v="2021"/>
    <b v="1"/>
  </r>
  <r>
    <x v="15"/>
    <m/>
    <x v="1"/>
    <s v="Centralized"/>
    <s v="Out"/>
    <m/>
    <m/>
    <m/>
    <m/>
    <m/>
    <m/>
    <s v="p"/>
    <d v="2021-10-01T00:00:00"/>
    <d v="2021-10-01T00:00:00"/>
    <n v="11690476.189999999"/>
    <m/>
    <m/>
    <m/>
    <m/>
    <m/>
    <m/>
    <m/>
    <m/>
    <s v="06. Item 06"/>
    <n v="10"/>
    <x v="3"/>
    <x v="2"/>
    <n v="2021"/>
    <n v="2021"/>
    <b v="1"/>
  </r>
  <r>
    <x v="15"/>
    <m/>
    <x v="1"/>
    <s v="Centralized"/>
    <s v="Out"/>
    <m/>
    <m/>
    <m/>
    <m/>
    <m/>
    <m/>
    <s v="p"/>
    <d v="2021-10-01T00:00:00"/>
    <d v="2021-10-01T00:00:00"/>
    <n v="797380.95"/>
    <m/>
    <m/>
    <m/>
    <m/>
    <m/>
    <m/>
    <m/>
    <m/>
    <s v="06. Item 06"/>
    <n v="10"/>
    <x v="3"/>
    <x v="2"/>
    <n v="2021"/>
    <n v="2021"/>
    <b v="1"/>
  </r>
  <r>
    <x v="16"/>
    <m/>
    <x v="1"/>
    <s v="Centralized"/>
    <s v="Out"/>
    <m/>
    <m/>
    <m/>
    <m/>
    <m/>
    <m/>
    <s v="p"/>
    <d v="2021-10-01T00:00:00"/>
    <d v="2021-10-01T00:00:00"/>
    <n v="5315000"/>
    <m/>
    <m/>
    <m/>
    <m/>
    <m/>
    <m/>
    <m/>
    <m/>
    <s v="_1. Item _1"/>
    <n v="10"/>
    <x v="3"/>
    <x v="2"/>
    <n v="2021"/>
    <n v="2021"/>
    <b v="1"/>
  </r>
  <r>
    <x v="16"/>
    <m/>
    <x v="1"/>
    <s v="Centralized"/>
    <s v="Out"/>
    <m/>
    <m/>
    <m/>
    <m/>
    <m/>
    <m/>
    <s v="p"/>
    <d v="2021-10-01T00:00:00"/>
    <d v="2021-10-01T00:00:00"/>
    <n v="190476.19"/>
    <m/>
    <m/>
    <m/>
    <m/>
    <m/>
    <m/>
    <m/>
    <m/>
    <s v="_1. Item _1"/>
    <n v="10"/>
    <x v="3"/>
    <x v="2"/>
    <n v="2021"/>
    <n v="2021"/>
    <b v="1"/>
  </r>
  <r>
    <x v="16"/>
    <m/>
    <x v="1"/>
    <s v="Centralized"/>
    <s v="Out"/>
    <m/>
    <m/>
    <m/>
    <m/>
    <m/>
    <m/>
    <s v="p"/>
    <d v="2021-10-01T00:00:00"/>
    <d v="2021-10-01T00:00:00"/>
    <n v="238095.24"/>
    <m/>
    <m/>
    <m/>
    <m/>
    <m/>
    <m/>
    <m/>
    <m/>
    <s v="_1. Item _1"/>
    <n v="10"/>
    <x v="3"/>
    <x v="2"/>
    <n v="2021"/>
    <n v="2021"/>
    <b v="1"/>
  </r>
  <r>
    <x v="16"/>
    <s v="10. Item 10"/>
    <x v="1"/>
    <s v="Centralized"/>
    <s v="Out"/>
    <m/>
    <m/>
    <m/>
    <m/>
    <m/>
    <m/>
    <s v="p"/>
    <d v="2021-10-01T00:00:00"/>
    <d v="2021-10-01T00:00:00"/>
    <n v="162857.14000000001"/>
    <m/>
    <m/>
    <m/>
    <m/>
    <m/>
    <m/>
    <m/>
    <m/>
    <s v="10. Item 10"/>
    <n v="10"/>
    <x v="3"/>
    <x v="2"/>
    <n v="2021"/>
    <n v="2021"/>
    <b v="1"/>
  </r>
  <r>
    <x v="16"/>
    <m/>
    <x v="1"/>
    <s v="Centralized"/>
    <s v="Out"/>
    <m/>
    <m/>
    <m/>
    <m/>
    <m/>
    <m/>
    <s v="p"/>
    <d v="2021-10-01T00:00:00"/>
    <d v="2021-10-01T00:00:00"/>
    <n v="52142.86"/>
    <m/>
    <m/>
    <m/>
    <m/>
    <m/>
    <m/>
    <m/>
    <m/>
    <s v="_1. Item _1"/>
    <n v="10"/>
    <x v="3"/>
    <x v="2"/>
    <n v="2021"/>
    <n v="2021"/>
    <b v="1"/>
  </r>
  <r>
    <x v="16"/>
    <m/>
    <x v="1"/>
    <s v="Centralized"/>
    <s v="Out"/>
    <m/>
    <m/>
    <m/>
    <m/>
    <m/>
    <m/>
    <s v="p"/>
    <d v="2021-10-01T00:00:00"/>
    <d v="2021-10-01T00:00:00"/>
    <n v="63074.85"/>
    <m/>
    <m/>
    <m/>
    <m/>
    <m/>
    <m/>
    <m/>
    <m/>
    <s v="_1. Item _1"/>
    <n v="10"/>
    <x v="3"/>
    <x v="2"/>
    <n v="2021"/>
    <n v="2021"/>
    <b v="1"/>
  </r>
  <r>
    <x v="9"/>
    <s v="12. Item 12"/>
    <x v="1"/>
    <s v="Centralized"/>
    <s v="Out"/>
    <m/>
    <m/>
    <m/>
    <m/>
    <m/>
    <m/>
    <s v="p"/>
    <d v="2021-10-01T00:00:00"/>
    <d v="2021-10-01T00:00:00"/>
    <n v="178571.43"/>
    <m/>
    <m/>
    <m/>
    <m/>
    <m/>
    <m/>
    <m/>
    <m/>
    <s v="12. Item 12"/>
    <n v="10"/>
    <x v="3"/>
    <x v="2"/>
    <n v="2021"/>
    <n v="2021"/>
    <b v="1"/>
  </r>
  <r>
    <x v="13"/>
    <s v="13. Item 13"/>
    <x v="1"/>
    <s v="Centralized"/>
    <s v="Out"/>
    <m/>
    <m/>
    <m/>
    <m/>
    <m/>
    <m/>
    <s v="p"/>
    <d v="2021-10-01T00:00:00"/>
    <d v="2021-10-01T00:00:00"/>
    <n v="2738095.24"/>
    <m/>
    <m/>
    <m/>
    <m/>
    <m/>
    <m/>
    <m/>
    <m/>
    <s v="13. Item 13"/>
    <n v="10"/>
    <x v="3"/>
    <x v="2"/>
    <n v="2021"/>
    <n v="2021"/>
    <b v="1"/>
  </r>
  <r>
    <x v="9"/>
    <m/>
    <x v="1"/>
    <s v="Centralized"/>
    <s v="Out"/>
    <m/>
    <m/>
    <m/>
    <m/>
    <m/>
    <m/>
    <s v="p"/>
    <d v="2021-10-01T00:00:00"/>
    <d v="2021-10-01T00:00:00"/>
    <n v="4032971.12"/>
    <m/>
    <m/>
    <m/>
    <m/>
    <m/>
    <m/>
    <m/>
    <m/>
    <s v="09. Item 09"/>
    <n v="10"/>
    <x v="3"/>
    <x v="2"/>
    <n v="2021"/>
    <n v="2021"/>
    <b v="1"/>
  </r>
  <r>
    <x v="16"/>
    <m/>
    <x v="1"/>
    <s v="Centralized"/>
    <s v="Out"/>
    <m/>
    <m/>
    <m/>
    <m/>
    <m/>
    <m/>
    <s v="p"/>
    <d v="2021-10-01T00:00:00"/>
    <d v="2021-10-01T00:00:00"/>
    <n v="249523.81"/>
    <m/>
    <m/>
    <m/>
    <m/>
    <m/>
    <m/>
    <m/>
    <m/>
    <s v="_1. Item _1"/>
    <n v="10"/>
    <x v="3"/>
    <x v="2"/>
    <n v="2021"/>
    <n v="2021"/>
    <b v="1"/>
  </r>
  <r>
    <x v="4"/>
    <m/>
    <x v="1"/>
    <s v="Decentralized"/>
    <s v="Out"/>
    <m/>
    <m/>
    <m/>
    <m/>
    <m/>
    <m/>
    <s v="p"/>
    <d v="2021-11-01T00:00:00"/>
    <d v="2021-11-01T00:00:00"/>
    <n v="580952.38"/>
    <m/>
    <m/>
    <m/>
    <m/>
    <m/>
    <m/>
    <m/>
    <m/>
    <s v="05. Item 05"/>
    <n v="11"/>
    <x v="2"/>
    <x v="2"/>
    <n v="2021"/>
    <n v="2021"/>
    <b v="1"/>
  </r>
  <r>
    <x v="16"/>
    <m/>
    <x v="1"/>
    <s v="Centralized"/>
    <s v="Out"/>
    <m/>
    <m/>
    <m/>
    <m/>
    <m/>
    <m/>
    <s v="p"/>
    <d v="2021-11-01T00:00:00"/>
    <d v="2021-11-01T00:00:00"/>
    <n v="6244761.9000000004"/>
    <m/>
    <m/>
    <m/>
    <m/>
    <m/>
    <m/>
    <m/>
    <m/>
    <s v="_1. Item _1"/>
    <n v="11"/>
    <x v="2"/>
    <x v="2"/>
    <n v="2021"/>
    <n v="2021"/>
    <b v="1"/>
  </r>
  <r>
    <x v="36"/>
    <m/>
    <x v="1"/>
    <s v="Centralized"/>
    <s v="Out"/>
    <m/>
    <m/>
    <m/>
    <m/>
    <m/>
    <m/>
    <s v="p"/>
    <d v="2021-11-01T00:00:00"/>
    <d v="2021-11-01T00:00:00"/>
    <n v="1547619.05"/>
    <m/>
    <m/>
    <m/>
    <m/>
    <m/>
    <m/>
    <m/>
    <m/>
    <s v="_3. Item _3"/>
    <n v="11"/>
    <x v="2"/>
    <x v="2"/>
    <n v="2021"/>
    <n v="2021"/>
    <b v="1"/>
  </r>
  <r>
    <x v="16"/>
    <s v="03. Item 03"/>
    <x v="1"/>
    <s v="Centralized"/>
    <s v="Out"/>
    <m/>
    <m/>
    <m/>
    <m/>
    <m/>
    <m/>
    <s v="p"/>
    <d v="2021-11-01T00:00:00"/>
    <d v="2021-11-01T00:00:00"/>
    <n v="3500000"/>
    <m/>
    <m/>
    <m/>
    <m/>
    <m/>
    <m/>
    <m/>
    <m/>
    <s v="03. Item 03"/>
    <n v="11"/>
    <x v="2"/>
    <x v="2"/>
    <n v="2021"/>
    <n v="2021"/>
    <b v="1"/>
  </r>
  <r>
    <x v="16"/>
    <m/>
    <x v="1"/>
    <s v="Centralized"/>
    <s v="Out"/>
    <m/>
    <m/>
    <m/>
    <m/>
    <m/>
    <m/>
    <s v="p"/>
    <d v="2021-11-01T00:00:00"/>
    <d v="2021-11-01T00:00:00"/>
    <n v="621667.38"/>
    <m/>
    <m/>
    <m/>
    <m/>
    <m/>
    <m/>
    <m/>
    <m/>
    <s v="_1. Item _1"/>
    <n v="11"/>
    <x v="2"/>
    <x v="2"/>
    <n v="2021"/>
    <n v="2021"/>
    <b v="1"/>
  </r>
  <r>
    <x v="36"/>
    <m/>
    <x v="1"/>
    <s v="Centralized"/>
    <s v="Out"/>
    <m/>
    <m/>
    <m/>
    <m/>
    <m/>
    <m/>
    <s v="p"/>
    <d v="2021-11-01T00:00:00"/>
    <d v="2021-11-01T00:00:00"/>
    <n v="52856.43"/>
    <m/>
    <m/>
    <m/>
    <m/>
    <m/>
    <m/>
    <m/>
    <m/>
    <s v="_3. Item _3"/>
    <n v="11"/>
    <x v="2"/>
    <x v="2"/>
    <n v="2021"/>
    <n v="2021"/>
    <b v="1"/>
  </r>
  <r>
    <x v="35"/>
    <m/>
    <x v="1"/>
    <s v="Centralized"/>
    <s v="Out"/>
    <m/>
    <m/>
    <m/>
    <m/>
    <m/>
    <m/>
    <s v="p"/>
    <d v="2021-11-01T00:00:00"/>
    <d v="2021-11-01T00:00:00"/>
    <n v="3845238.1"/>
    <m/>
    <m/>
    <m/>
    <m/>
    <m/>
    <m/>
    <m/>
    <m/>
    <s v="17. Item 17"/>
    <n v="11"/>
    <x v="2"/>
    <x v="2"/>
    <n v="2021"/>
    <n v="2021"/>
    <b v="1"/>
  </r>
  <r>
    <x v="13"/>
    <m/>
    <x v="1"/>
    <s v="Centralized"/>
    <s v="Out"/>
    <m/>
    <m/>
    <m/>
    <m/>
    <m/>
    <m/>
    <s v="p"/>
    <d v="2021-11-01T00:00:00"/>
    <d v="2021-11-01T00:00:00"/>
    <n v="26190.48"/>
    <m/>
    <m/>
    <m/>
    <m/>
    <m/>
    <m/>
    <m/>
    <m/>
    <s v="13. Item 13"/>
    <n v="11"/>
    <x v="2"/>
    <x v="2"/>
    <n v="2021"/>
    <n v="2021"/>
    <b v="1"/>
  </r>
  <r>
    <x v="11"/>
    <m/>
    <x v="1"/>
    <s v="Centralized"/>
    <s v="Out"/>
    <m/>
    <m/>
    <m/>
    <m/>
    <m/>
    <m/>
    <s v="p"/>
    <d v="2021-11-01T00:00:00"/>
    <d v="2021-11-01T00:00:00"/>
    <n v="5476190.4800000004"/>
    <m/>
    <m/>
    <m/>
    <m/>
    <m/>
    <m/>
    <m/>
    <m/>
    <s v="13. Item 13"/>
    <n v="11"/>
    <x v="2"/>
    <x v="2"/>
    <n v="2021"/>
    <n v="2021"/>
    <b v="1"/>
  </r>
  <r>
    <x v="10"/>
    <m/>
    <x v="1"/>
    <s v="Centralized"/>
    <s v="Out"/>
    <m/>
    <m/>
    <m/>
    <m/>
    <m/>
    <m/>
    <s v="p"/>
    <d v="2021-11-01T00:00:00"/>
    <d v="2021-11-01T00:00:00"/>
    <n v="10773809.52"/>
    <m/>
    <m/>
    <m/>
    <m/>
    <m/>
    <m/>
    <m/>
    <m/>
    <s v="11. Item 11"/>
    <n v="11"/>
    <x v="2"/>
    <x v="2"/>
    <n v="2021"/>
    <n v="2021"/>
    <b v="1"/>
  </r>
  <r>
    <x v="13"/>
    <m/>
    <x v="1"/>
    <s v="Centralized"/>
    <s v="Out"/>
    <m/>
    <m/>
    <m/>
    <m/>
    <m/>
    <m/>
    <s v="p"/>
    <d v="2021-11-01T00:00:00"/>
    <d v="2021-11-01T00:00:00"/>
    <n v="78703.27"/>
    <m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m/>
    <m/>
    <s v="p"/>
    <d v="2021-11-01T00:00:00"/>
    <d v="2021-11-01T00:00:00"/>
    <n v="1102619.05"/>
    <m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m/>
    <m/>
    <s v="p"/>
    <d v="2021-11-01T00:00:00"/>
    <d v="2021-11-01T00:00:00"/>
    <n v="394047.62"/>
    <m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m/>
    <m/>
    <s v="p"/>
    <d v="2021-11-01T00:00:00"/>
    <d v="2021-11-01T00:00:00"/>
    <n v="238095.24"/>
    <m/>
    <m/>
    <m/>
    <m/>
    <m/>
    <m/>
    <m/>
    <m/>
    <s v="13. Item 13"/>
    <n v="11"/>
    <x v="2"/>
    <x v="2"/>
    <n v="2021"/>
    <n v="2021"/>
    <b v="1"/>
  </r>
  <r>
    <x v="13"/>
    <s v="10. Item 10"/>
    <x v="1"/>
    <s v="Centralized"/>
    <s v="Out"/>
    <m/>
    <m/>
    <m/>
    <m/>
    <m/>
    <m/>
    <s v="p"/>
    <d v="2021-11-01T00:00:00"/>
    <d v="2021-11-01T00:00:00"/>
    <n v="79285.710000000006"/>
    <m/>
    <m/>
    <m/>
    <m/>
    <m/>
    <m/>
    <m/>
    <m/>
    <s v="10. Item 10"/>
    <n v="11"/>
    <x v="2"/>
    <x v="2"/>
    <n v="2021"/>
    <n v="2021"/>
    <b v="1"/>
  </r>
  <r>
    <x v="13"/>
    <m/>
    <x v="1"/>
    <s v="Centralized"/>
    <s v="Out"/>
    <m/>
    <m/>
    <m/>
    <m/>
    <m/>
    <m/>
    <s v="p"/>
    <d v="2021-11-01T00:00:00"/>
    <d v="2021-11-01T00:00:00"/>
    <n v="42142.86"/>
    <m/>
    <m/>
    <m/>
    <m/>
    <m/>
    <m/>
    <m/>
    <m/>
    <s v="13. Item 13"/>
    <n v="11"/>
    <x v="2"/>
    <x v="2"/>
    <n v="2021"/>
    <n v="2021"/>
    <b v="1"/>
  </r>
  <r>
    <x v="11"/>
    <m/>
    <x v="1"/>
    <s v="Centralized"/>
    <s v="Out"/>
    <m/>
    <m/>
    <m/>
    <m/>
    <m/>
    <m/>
    <s v="p"/>
    <d v="2021-11-01T00:00:00"/>
    <d v="2021-11-01T00:00:00"/>
    <n v="91133.1"/>
    <m/>
    <m/>
    <m/>
    <m/>
    <m/>
    <m/>
    <m/>
    <m/>
    <s v="13. Item 13"/>
    <n v="11"/>
    <x v="2"/>
    <x v="2"/>
    <n v="2021"/>
    <n v="2021"/>
    <b v="1"/>
  </r>
  <r>
    <x v="5"/>
    <s v="12. Item 12"/>
    <x v="1"/>
    <s v="Centralized"/>
    <s v="Out"/>
    <m/>
    <m/>
    <m/>
    <m/>
    <m/>
    <m/>
    <s v="p"/>
    <d v="2021-11-01T00:00:00"/>
    <d v="2021-11-01T00:00:00"/>
    <n v="2335714.29"/>
    <m/>
    <m/>
    <m/>
    <m/>
    <m/>
    <m/>
    <m/>
    <m/>
    <s v="12. Item 12"/>
    <n v="11"/>
    <x v="2"/>
    <x v="2"/>
    <n v="2021"/>
    <n v="2021"/>
    <b v="1"/>
  </r>
  <r>
    <x v="3"/>
    <s v="13. Item 13"/>
    <x v="1"/>
    <s v="Centralized"/>
    <s v="Out"/>
    <m/>
    <m/>
    <m/>
    <m/>
    <m/>
    <m/>
    <s v="p"/>
    <d v="2021-11-01T00:00:00"/>
    <d v="2021-11-01T00:00:00"/>
    <n v="1452380.95"/>
    <m/>
    <m/>
    <m/>
    <m/>
    <m/>
    <m/>
    <m/>
    <m/>
    <s v="13. Item 13"/>
    <n v="11"/>
    <x v="2"/>
    <x v="2"/>
    <n v="2021"/>
    <n v="2021"/>
    <b v="1"/>
  </r>
  <r>
    <x v="3"/>
    <m/>
    <x v="1"/>
    <s v="Centralized"/>
    <s v="Out"/>
    <m/>
    <m/>
    <m/>
    <m/>
    <m/>
    <m/>
    <s v="p"/>
    <d v="2021-11-01T00:00:00"/>
    <d v="2021-11-01T00:00:00"/>
    <n v="1056890.52"/>
    <m/>
    <m/>
    <m/>
    <m/>
    <m/>
    <m/>
    <m/>
    <m/>
    <s v="04. Item 04"/>
    <n v="11"/>
    <x v="2"/>
    <x v="2"/>
    <n v="2021"/>
    <n v="2021"/>
    <b v="1"/>
  </r>
  <r>
    <x v="20"/>
    <m/>
    <x v="1"/>
    <s v="Centralized"/>
    <s v="Out"/>
    <m/>
    <m/>
    <m/>
    <m/>
    <m/>
    <m/>
    <s v="p"/>
    <d v="2021-11-01T00:00:00"/>
    <d v="2021-11-01T00:00:00"/>
    <n v="523809.52"/>
    <m/>
    <m/>
    <m/>
    <m/>
    <m/>
    <m/>
    <m/>
    <m/>
    <s v="14. Item 14"/>
    <n v="11"/>
    <x v="2"/>
    <x v="2"/>
    <n v="2021"/>
    <n v="2021"/>
    <b v="1"/>
  </r>
  <r>
    <x v="15"/>
    <m/>
    <x v="1"/>
    <s v="Centralized"/>
    <s v="Out"/>
    <m/>
    <m/>
    <m/>
    <m/>
    <m/>
    <m/>
    <s v="p"/>
    <d v="2021-12-01T00:00:00"/>
    <d v="2021-12-01T00:00:00"/>
    <n v="7579138.7599999998"/>
    <m/>
    <m/>
    <m/>
    <m/>
    <m/>
    <m/>
    <m/>
    <m/>
    <s v="06. Item 06"/>
    <n v="12"/>
    <x v="0"/>
    <x v="2"/>
    <n v="2021"/>
    <n v="2021"/>
    <b v="1"/>
  </r>
  <r>
    <x v="35"/>
    <m/>
    <x v="1"/>
    <s v="Centralized"/>
    <s v="Out"/>
    <m/>
    <m/>
    <m/>
    <m/>
    <m/>
    <m/>
    <s v="p"/>
    <d v="2021-12-01T00:00:00"/>
    <d v="2021-12-01T00:00:00"/>
    <n v="1595238.1"/>
    <m/>
    <m/>
    <m/>
    <m/>
    <m/>
    <m/>
    <m/>
    <m/>
    <s v="17. Item 17"/>
    <n v="12"/>
    <x v="0"/>
    <x v="2"/>
    <n v="2021"/>
    <n v="2021"/>
    <b v="1"/>
  </r>
  <r>
    <x v="8"/>
    <s v="03. Item 03"/>
    <x v="1"/>
    <s v="Centralized"/>
    <s v="Out"/>
    <m/>
    <m/>
    <m/>
    <m/>
    <m/>
    <m/>
    <s v="p"/>
    <d v="2021-12-01T00:00:00"/>
    <d v="2021-12-01T00:00:00"/>
    <n v="3500000"/>
    <m/>
    <m/>
    <m/>
    <m/>
    <m/>
    <m/>
    <m/>
    <m/>
    <s v="03. Item 03"/>
    <n v="12"/>
    <x v="0"/>
    <x v="2"/>
    <n v="2021"/>
    <n v="2021"/>
    <b v="1"/>
  </r>
  <r>
    <x v="8"/>
    <m/>
    <x v="1"/>
    <s v="Centralized"/>
    <s v="Out"/>
    <m/>
    <m/>
    <m/>
    <m/>
    <m/>
    <m/>
    <s v="p"/>
    <d v="2021-12-01T00:00:00"/>
    <d v="2021-12-01T00:00:00"/>
    <n v="9295085.3200000003"/>
    <m/>
    <m/>
    <m/>
    <m/>
    <m/>
    <m/>
    <m/>
    <m/>
    <s v="09. Item 09"/>
    <n v="12"/>
    <x v="0"/>
    <x v="2"/>
    <n v="2021"/>
    <n v="2021"/>
    <b v="1"/>
  </r>
  <r>
    <x v="36"/>
    <m/>
    <x v="1"/>
    <s v="Centralized"/>
    <s v="Out"/>
    <m/>
    <m/>
    <m/>
    <m/>
    <m/>
    <m/>
    <s v="p"/>
    <d v="2021-12-01T00:00:00"/>
    <d v="2021-12-01T00:00:00"/>
    <n v="100089.41"/>
    <m/>
    <m/>
    <m/>
    <m/>
    <m/>
    <m/>
    <m/>
    <m/>
    <s v="_3. Item _3"/>
    <n v="12"/>
    <x v="0"/>
    <x v="2"/>
    <n v="2021"/>
    <n v="2021"/>
    <b v="1"/>
  </r>
  <r>
    <x v="16"/>
    <m/>
    <x v="1"/>
    <s v="Centralized"/>
    <s v="Out"/>
    <m/>
    <m/>
    <m/>
    <m/>
    <m/>
    <m/>
    <s v="p"/>
    <d v="2021-12-01T00:00:00"/>
    <d v="2021-12-01T00:00:00"/>
    <n v="4708809.5199999996"/>
    <m/>
    <m/>
    <m/>
    <m/>
    <m/>
    <m/>
    <m/>
    <m/>
    <s v="_1. Item _1"/>
    <n v="12"/>
    <x v="0"/>
    <x v="2"/>
    <n v="2021"/>
    <n v="2021"/>
    <b v="1"/>
  </r>
  <r>
    <x v="30"/>
    <m/>
    <x v="1"/>
    <s v="Centralized"/>
    <s v="Out"/>
    <m/>
    <m/>
    <m/>
    <m/>
    <m/>
    <m/>
    <s v="p"/>
    <d v="2021-12-01T00:00:00"/>
    <d v="2021-12-01T00:00:00"/>
    <n v="9272888.0899999999"/>
    <m/>
    <m/>
    <m/>
    <m/>
    <m/>
    <m/>
    <m/>
    <m/>
    <s v="10. Item 10"/>
    <n v="12"/>
    <x v="0"/>
    <x v="2"/>
    <n v="2021"/>
    <n v="2021"/>
    <b v="1"/>
  </r>
  <r>
    <x v="32"/>
    <m/>
    <x v="1"/>
    <s v="Centralized"/>
    <s v="Out"/>
    <m/>
    <m/>
    <m/>
    <m/>
    <m/>
    <m/>
    <s v="p"/>
    <d v="2021-12-01T00:00:00"/>
    <d v="2021-12-01T00:00:00"/>
    <n v="7902666.6699999999"/>
    <m/>
    <m/>
    <m/>
    <m/>
    <m/>
    <m/>
    <m/>
    <m/>
    <s v="12. Item 12"/>
    <n v="12"/>
    <x v="0"/>
    <x v="2"/>
    <n v="2021"/>
    <n v="2021"/>
    <b v="1"/>
  </r>
  <r>
    <x v="31"/>
    <m/>
    <x v="1"/>
    <s v="Centralized"/>
    <s v="Out"/>
    <m/>
    <m/>
    <m/>
    <m/>
    <m/>
    <m/>
    <s v="p"/>
    <d v="2021-12-01T00:00:00"/>
    <d v="2021-12-01T00:00:00"/>
    <n v="284751.77"/>
    <m/>
    <m/>
    <m/>
    <m/>
    <m/>
    <m/>
    <m/>
    <m/>
    <s v="10. Item 10"/>
    <n v="12"/>
    <x v="0"/>
    <x v="2"/>
    <n v="2021"/>
    <n v="2021"/>
    <b v="1"/>
  </r>
  <r>
    <x v="4"/>
    <m/>
    <x v="1"/>
    <s v="Centralized"/>
    <s v="Out"/>
    <m/>
    <m/>
    <m/>
    <m/>
    <m/>
    <m/>
    <s v="p"/>
    <d v="2021-12-01T00:00:00"/>
    <d v="2021-12-01T00:00:00"/>
    <n v="215768.59"/>
    <m/>
    <m/>
    <m/>
    <m/>
    <m/>
    <m/>
    <m/>
    <m/>
    <s v="05. Item 05"/>
    <n v="12"/>
    <x v="0"/>
    <x v="2"/>
    <n v="2021"/>
    <n v="2021"/>
    <b v="1"/>
  </r>
  <r>
    <x v="0"/>
    <s v="10. Item 10"/>
    <x v="1"/>
    <s v="Centralized"/>
    <s v="Out"/>
    <m/>
    <m/>
    <m/>
    <m/>
    <m/>
    <m/>
    <s v="p"/>
    <d v="2021-12-01T00:00:00"/>
    <d v="2021-12-01T00:00:00"/>
    <n v="13015.75"/>
    <m/>
    <m/>
    <m/>
    <m/>
    <m/>
    <m/>
    <m/>
    <m/>
    <s v="10. Item 10"/>
    <n v="12"/>
    <x v="0"/>
    <x v="2"/>
    <n v="2021"/>
    <n v="2021"/>
    <b v="1"/>
  </r>
  <r>
    <x v="1"/>
    <m/>
    <x v="1"/>
    <s v="Centralized"/>
    <s v="Out"/>
    <m/>
    <m/>
    <m/>
    <m/>
    <m/>
    <m/>
    <s v="p"/>
    <d v="2021-12-01T00:00:00"/>
    <d v="2021-12-01T00:00:00"/>
    <n v="48841.68"/>
    <m/>
    <m/>
    <m/>
    <m/>
    <m/>
    <m/>
    <m/>
    <m/>
    <s v="02. Item 02"/>
    <n v="12"/>
    <x v="0"/>
    <x v="2"/>
    <n v="2021"/>
    <n v="2021"/>
    <b v="1"/>
  </r>
  <r>
    <x v="22"/>
    <s v="12. Item 12"/>
    <x v="1"/>
    <s v="Centralized"/>
    <s v="Out"/>
    <m/>
    <m/>
    <m/>
    <m/>
    <m/>
    <m/>
    <s v="p"/>
    <d v="2021-12-01T00:00:00"/>
    <d v="2021-12-01T00:00:00"/>
    <n v="473845.93"/>
    <m/>
    <m/>
    <m/>
    <m/>
    <m/>
    <m/>
    <m/>
    <m/>
    <s v="12. Item 12"/>
    <n v="12"/>
    <x v="0"/>
    <x v="2"/>
    <n v="2021"/>
    <n v="2021"/>
    <b v="1"/>
  </r>
  <r>
    <x v="3"/>
    <s v="13. Item 13"/>
    <x v="1"/>
    <s v="Centralized"/>
    <s v="Out"/>
    <m/>
    <m/>
    <m/>
    <m/>
    <m/>
    <m/>
    <s v="p"/>
    <d v="2021-12-01T00:00:00"/>
    <d v="2021-12-01T00:00:00"/>
    <n v="2126101.87"/>
    <m/>
    <m/>
    <m/>
    <m/>
    <m/>
    <m/>
    <m/>
    <m/>
    <s v="13. Item 13"/>
    <n v="12"/>
    <x v="0"/>
    <x v="2"/>
    <n v="2021"/>
    <n v="2021"/>
    <b v="1"/>
  </r>
  <r>
    <x v="4"/>
    <m/>
    <x v="1"/>
    <s v="Centralized"/>
    <s v="Out"/>
    <m/>
    <m/>
    <m/>
    <m/>
    <m/>
    <m/>
    <s v="p"/>
    <d v="2021-12-01T00:00:00"/>
    <d v="2021-12-01T00:00:00"/>
    <n v="1057137.24"/>
    <m/>
    <m/>
    <m/>
    <m/>
    <m/>
    <m/>
    <m/>
    <m/>
    <s v="05. Item 05"/>
    <n v="12"/>
    <x v="0"/>
    <x v="2"/>
    <n v="2021"/>
    <n v="2021"/>
    <b v="1"/>
  </r>
  <r>
    <x v="5"/>
    <m/>
    <x v="1"/>
    <s v="Centralized"/>
    <s v="Out"/>
    <m/>
    <m/>
    <m/>
    <m/>
    <m/>
    <m/>
    <s v="p"/>
    <d v="2021-12-01T00:00:00"/>
    <d v="2021-12-01T00:00:00"/>
    <n v="1047625.12"/>
    <m/>
    <m/>
    <m/>
    <m/>
    <m/>
    <m/>
    <m/>
    <m/>
    <s v="05. Item 05"/>
    <n v="12"/>
    <x v="0"/>
    <x v="2"/>
    <n v="2021"/>
    <n v="2021"/>
    <b v="1"/>
  </r>
  <r>
    <x v="15"/>
    <m/>
    <x v="1"/>
    <s v="Centralized"/>
    <s v="Out"/>
    <m/>
    <m/>
    <m/>
    <m/>
    <n v="3"/>
    <s v="COMPLETE"/>
    <s v="f"/>
    <d v="2021-10-12T00:00:00"/>
    <d v="2021-10-20T00:00:00"/>
    <m/>
    <n v="353.26"/>
    <m/>
    <m/>
    <m/>
    <m/>
    <m/>
    <m/>
    <m/>
    <s v="06. Item 06"/>
    <n v="10"/>
    <x v="3"/>
    <x v="2"/>
    <n v="2021"/>
    <n v="2021"/>
    <b v="1"/>
  </r>
  <r>
    <x v="6"/>
    <m/>
    <x v="1"/>
    <s v="Centralized"/>
    <s v="Out"/>
    <m/>
    <m/>
    <m/>
    <m/>
    <n v="1"/>
    <s v="COMPLETE"/>
    <s v="f"/>
    <d v="2021-10-01T00:00:00"/>
    <d v="2021-10-15T00:00:00"/>
    <m/>
    <n v="15237.26"/>
    <m/>
    <m/>
    <m/>
    <m/>
    <m/>
    <m/>
    <m/>
    <s v="07. Item 07"/>
    <n v="10"/>
    <x v="3"/>
    <x v="2"/>
    <n v="2021"/>
    <n v="2021"/>
    <b v="1"/>
  </r>
  <r>
    <x v="7"/>
    <m/>
    <x v="1"/>
    <s v="Centralized"/>
    <s v="Out"/>
    <m/>
    <m/>
    <m/>
    <s v="X"/>
    <n v="2"/>
    <s v="COMPLETE"/>
    <s v="f"/>
    <d v="2021-10-10T00:00:00"/>
    <d v="2021-10-19T00:00:00"/>
    <m/>
    <n v="63074.84"/>
    <m/>
    <m/>
    <m/>
    <m/>
    <m/>
    <m/>
    <m/>
    <s v="08. Item 08"/>
    <n v="10"/>
    <x v="3"/>
    <x v="2"/>
    <n v="2021"/>
    <n v="2021"/>
    <b v="1"/>
  </r>
  <r>
    <x v="21"/>
    <m/>
    <x v="1"/>
    <s v="Centralized"/>
    <s v="Out"/>
    <m/>
    <m/>
    <m/>
    <m/>
    <n v="3"/>
    <s v="COMPLETE"/>
    <s v="f"/>
    <d v="2021-10-12T00:00:00"/>
    <d v="2021-10-20T00:00:00"/>
    <m/>
    <n v="17313.29"/>
    <m/>
    <m/>
    <m/>
    <m/>
    <m/>
    <m/>
    <m/>
    <s v="09. Item 09"/>
    <n v="10"/>
    <x v="3"/>
    <x v="2"/>
    <n v="2021"/>
    <n v="2021"/>
    <b v="1"/>
  </r>
  <r>
    <x v="8"/>
    <m/>
    <x v="1"/>
    <s v="Centralized"/>
    <s v="Out"/>
    <m/>
    <m/>
    <m/>
    <m/>
    <n v="4"/>
    <s v="COMPLETE"/>
    <s v="f"/>
    <d v="2021-10-10T00:00:00"/>
    <d v="2021-10-20T00:00:00"/>
    <m/>
    <n v="12543.09"/>
    <m/>
    <m/>
    <m/>
    <m/>
    <m/>
    <m/>
    <m/>
    <s v="09. Item 09"/>
    <n v="10"/>
    <x v="3"/>
    <x v="2"/>
    <n v="2021"/>
    <n v="2021"/>
    <b v="1"/>
  </r>
  <r>
    <x v="9"/>
    <m/>
    <x v="1"/>
    <s v="Centralized"/>
    <s v="In"/>
    <m/>
    <m/>
    <m/>
    <m/>
    <m/>
    <s v="COMPLETE"/>
    <s v="f"/>
    <d v="2021-10-11T00:00:00"/>
    <d v="2021-10-11T00:00:00"/>
    <m/>
    <n v="72679.38"/>
    <m/>
    <m/>
    <m/>
    <m/>
    <m/>
    <m/>
    <m/>
    <s v="09. Item 09"/>
    <n v="10"/>
    <x v="3"/>
    <x v="2"/>
    <n v="2021"/>
    <n v="2021"/>
    <b v="1"/>
  </r>
  <r>
    <x v="10"/>
    <m/>
    <x v="1"/>
    <s v="Decentralized"/>
    <s v="Out"/>
    <m/>
    <m/>
    <m/>
    <m/>
    <n v="1"/>
    <s v="COMPLETE"/>
    <s v="f"/>
    <d v="2021-10-01T00:00:00"/>
    <d v="2021-10-14T00:00:00"/>
    <m/>
    <n v="59232.42"/>
    <m/>
    <m/>
    <m/>
    <m/>
    <m/>
    <m/>
    <m/>
    <s v="11. Item 11"/>
    <n v="10"/>
    <x v="3"/>
    <x v="2"/>
    <n v="2021"/>
    <n v="2021"/>
    <b v="1"/>
  </r>
  <r>
    <x v="23"/>
    <m/>
    <x v="2"/>
    <s v="Centralized"/>
    <s v="In"/>
    <m/>
    <m/>
    <m/>
    <m/>
    <m/>
    <m/>
    <s v="f"/>
    <d v="2021-09-30T00:00:00"/>
    <d v="2021-09-30T00:00:00"/>
    <m/>
    <n v="55699930.079999998"/>
    <m/>
    <m/>
    <m/>
    <m/>
    <m/>
    <m/>
    <m/>
    <s v="21. Item 21"/>
    <n v="9"/>
    <x v="4"/>
    <x v="2"/>
    <n v="2021"/>
    <n v="2021"/>
    <b v="1"/>
  </r>
  <r>
    <x v="14"/>
    <m/>
    <x v="2"/>
    <s v="Centralized"/>
    <s v="Out"/>
    <m/>
    <m/>
    <m/>
    <m/>
    <m/>
    <m/>
    <s v="f"/>
    <d v="2021-10-01T00:00:00"/>
    <d v="2021-10-01T00:00:00"/>
    <m/>
    <n v="6180641.7999999998"/>
    <m/>
    <m/>
    <m/>
    <m/>
    <m/>
    <m/>
    <m/>
    <s v="19. Item 19"/>
    <n v="10"/>
    <x v="3"/>
    <x v="2"/>
    <n v="2021"/>
    <n v="2021"/>
    <b v="1"/>
  </r>
  <r>
    <x v="20"/>
    <m/>
    <x v="2"/>
    <s v="Centralized"/>
    <s v="Out"/>
    <m/>
    <m/>
    <m/>
    <m/>
    <m/>
    <m/>
    <s v="f"/>
    <d v="2021-10-01T00:00:00"/>
    <d v="2021-10-01T00:00:00"/>
    <m/>
    <n v="6860616"/>
    <m/>
    <m/>
    <m/>
    <m/>
    <m/>
    <m/>
    <m/>
    <s v="14. Item 14"/>
    <n v="10"/>
    <x v="3"/>
    <x v="2"/>
    <n v="2021"/>
    <n v="2021"/>
    <b v="1"/>
  </r>
  <r>
    <x v="4"/>
    <m/>
    <x v="2"/>
    <s v="Centralized"/>
    <s v="Out"/>
    <m/>
    <m/>
    <m/>
    <m/>
    <m/>
    <m/>
    <s v="f"/>
    <d v="2021-10-01T00:00:00"/>
    <d v="2021-10-01T00:00:00"/>
    <n v="764.6"/>
    <n v="9649.77"/>
    <m/>
    <m/>
    <m/>
    <m/>
    <m/>
    <m/>
    <m/>
    <s v="05. Item 05"/>
    <n v="10"/>
    <x v="3"/>
    <x v="2"/>
    <n v="2021"/>
    <n v="2021"/>
    <b v="1"/>
  </r>
  <r>
    <x v="0"/>
    <m/>
    <x v="2"/>
    <s v="Centralized"/>
    <s v="Out"/>
    <m/>
    <m/>
    <m/>
    <m/>
    <m/>
    <m/>
    <s v="f"/>
    <d v="2021-10-01T00:00:00"/>
    <d v="2021-10-01T00:00:00"/>
    <m/>
    <n v="304370.01"/>
    <m/>
    <m/>
    <m/>
    <m/>
    <m/>
    <m/>
    <m/>
    <s v="01. Item 01"/>
    <n v="10"/>
    <x v="3"/>
    <x v="2"/>
    <n v="2021"/>
    <n v="2021"/>
    <b v="1"/>
  </r>
  <r>
    <x v="1"/>
    <m/>
    <x v="2"/>
    <s v="Centralized"/>
    <s v="Out"/>
    <m/>
    <m/>
    <m/>
    <m/>
    <m/>
    <m/>
    <s v="f"/>
    <d v="2021-10-01T00:00:00"/>
    <d v="2021-10-01T00:00:00"/>
    <m/>
    <n v="11129845.52"/>
    <m/>
    <m/>
    <m/>
    <m/>
    <m/>
    <m/>
    <m/>
    <s v="02. Item 02"/>
    <n v="10"/>
    <x v="3"/>
    <x v="2"/>
    <n v="2021"/>
    <n v="2021"/>
    <b v="1"/>
  </r>
  <r>
    <x v="22"/>
    <m/>
    <x v="2"/>
    <s v="Centralized"/>
    <s v="Out"/>
    <m/>
    <m/>
    <m/>
    <m/>
    <m/>
    <m/>
    <s v="f"/>
    <d v="2021-10-01T00:00:00"/>
    <d v="2021-10-01T00:00:00"/>
    <m/>
    <n v="1003292.61"/>
    <m/>
    <m/>
    <m/>
    <m/>
    <m/>
    <m/>
    <m/>
    <s v="04. Item 04"/>
    <n v="10"/>
    <x v="3"/>
    <x v="2"/>
    <n v="2021"/>
    <n v="2021"/>
    <b v="1"/>
  </r>
  <r>
    <x v="3"/>
    <m/>
    <x v="2"/>
    <s v="Centralized"/>
    <s v="Out"/>
    <m/>
    <m/>
    <m/>
    <m/>
    <m/>
    <m/>
    <s v="f"/>
    <d v="2021-10-01T00:00:00"/>
    <d v="2021-10-01T00:00:00"/>
    <m/>
    <n v="201853.6"/>
    <m/>
    <m/>
    <m/>
    <m/>
    <m/>
    <m/>
    <m/>
    <s v="04. Item 04"/>
    <n v="10"/>
    <x v="3"/>
    <x v="2"/>
    <n v="2021"/>
    <n v="2021"/>
    <b v="1"/>
  </r>
  <r>
    <x v="4"/>
    <m/>
    <x v="2"/>
    <s v="Centralized"/>
    <s v="Out"/>
    <m/>
    <m/>
    <m/>
    <m/>
    <m/>
    <m/>
    <s v="f"/>
    <d v="2021-10-01T00:00:00"/>
    <d v="2021-10-01T00:00:00"/>
    <n v="5960.47"/>
    <n v="61823.75"/>
    <m/>
    <m/>
    <m/>
    <m/>
    <m/>
    <m/>
    <m/>
    <s v="05. Item 05"/>
    <n v="10"/>
    <x v="3"/>
    <x v="2"/>
    <n v="2021"/>
    <n v="2021"/>
    <b v="1"/>
  </r>
  <r>
    <x v="5"/>
    <m/>
    <x v="2"/>
    <s v="Centralized"/>
    <s v="Out"/>
    <m/>
    <m/>
    <m/>
    <m/>
    <m/>
    <m/>
    <s v="f"/>
    <d v="2021-10-01T00:00:00"/>
    <d v="2021-10-01T00:00:00"/>
    <m/>
    <n v="15389.44"/>
    <m/>
    <m/>
    <m/>
    <m/>
    <m/>
    <m/>
    <m/>
    <s v="05. Item 05"/>
    <n v="10"/>
    <x v="3"/>
    <x v="2"/>
    <n v="2021"/>
    <n v="2021"/>
    <b v="1"/>
  </r>
  <r>
    <x v="15"/>
    <m/>
    <x v="2"/>
    <s v="Centralized"/>
    <s v="Out"/>
    <m/>
    <m/>
    <m/>
    <m/>
    <m/>
    <m/>
    <s v="f"/>
    <d v="2021-10-01T00:00:00"/>
    <d v="2021-10-01T00:00:00"/>
    <m/>
    <n v="33968.660000000003"/>
    <m/>
    <m/>
    <m/>
    <m/>
    <m/>
    <m/>
    <m/>
    <s v="06. Item 06"/>
    <n v="10"/>
    <x v="3"/>
    <x v="2"/>
    <n v="2021"/>
    <n v="2021"/>
    <b v="1"/>
  </r>
  <r>
    <x v="6"/>
    <m/>
    <x v="2"/>
    <s v="Centralized"/>
    <s v="Out"/>
    <m/>
    <m/>
    <m/>
    <m/>
    <m/>
    <m/>
    <s v="f"/>
    <d v="2021-10-01T00:00:00"/>
    <d v="2021-10-01T00:00:00"/>
    <m/>
    <n v="32288.54"/>
    <m/>
    <m/>
    <m/>
    <m/>
    <m/>
    <m/>
    <m/>
    <s v="07. Item 07"/>
    <n v="10"/>
    <x v="3"/>
    <x v="2"/>
    <n v="2021"/>
    <n v="2021"/>
    <b v="1"/>
  </r>
  <r>
    <x v="7"/>
    <m/>
    <x v="2"/>
    <s v="Centralized"/>
    <s v="Out"/>
    <m/>
    <m/>
    <m/>
    <m/>
    <m/>
    <m/>
    <s v="f"/>
    <d v="2021-10-01T00:00:00"/>
    <d v="2021-10-01T00:00:00"/>
    <n v="1605.04"/>
    <n v="396802.13"/>
    <m/>
    <m/>
    <m/>
    <m/>
    <m/>
    <m/>
    <m/>
    <s v="08. Item 08"/>
    <n v="10"/>
    <x v="3"/>
    <x v="2"/>
    <n v="2021"/>
    <n v="2021"/>
    <b v="1"/>
  </r>
  <r>
    <x v="21"/>
    <m/>
    <x v="2"/>
    <s v="Centralized"/>
    <s v="Out"/>
    <m/>
    <m/>
    <m/>
    <m/>
    <m/>
    <m/>
    <s v="f"/>
    <d v="2021-10-01T00:00:00"/>
    <d v="2021-10-01T00:00:00"/>
    <m/>
    <n v="1429898.17"/>
    <m/>
    <m/>
    <m/>
    <m/>
    <m/>
    <m/>
    <m/>
    <s v="09. Item 09"/>
    <n v="10"/>
    <x v="3"/>
    <x v="2"/>
    <n v="2021"/>
    <n v="2021"/>
    <b v="1"/>
  </r>
  <r>
    <x v="8"/>
    <m/>
    <x v="2"/>
    <s v="Centralized"/>
    <s v="Out"/>
    <m/>
    <m/>
    <m/>
    <m/>
    <m/>
    <m/>
    <s v="f"/>
    <d v="2021-10-01T00:00:00"/>
    <d v="2021-10-01T00:00:00"/>
    <m/>
    <n v="217826.84"/>
    <m/>
    <m/>
    <m/>
    <m/>
    <m/>
    <m/>
    <m/>
    <s v="09. Item 09"/>
    <n v="10"/>
    <x v="3"/>
    <x v="2"/>
    <n v="2021"/>
    <n v="2021"/>
    <b v="1"/>
  </r>
  <r>
    <x v="9"/>
    <m/>
    <x v="2"/>
    <s v="Centralized"/>
    <s v="Out"/>
    <m/>
    <m/>
    <m/>
    <m/>
    <m/>
    <m/>
    <s v="f"/>
    <d v="2021-10-01T00:00:00"/>
    <d v="2021-10-01T00:00:00"/>
    <m/>
    <n v="141.9"/>
    <m/>
    <m/>
    <m/>
    <m/>
    <m/>
    <m/>
    <m/>
    <s v="09. Item 09"/>
    <n v="10"/>
    <x v="3"/>
    <x v="2"/>
    <n v="2021"/>
    <n v="2021"/>
    <b v="1"/>
  </r>
  <r>
    <x v="10"/>
    <m/>
    <x v="2"/>
    <s v="Centralized"/>
    <s v="Out"/>
    <m/>
    <m/>
    <m/>
    <m/>
    <m/>
    <m/>
    <s v="f"/>
    <d v="2021-10-01T00:00:00"/>
    <d v="2021-10-01T00:00:00"/>
    <n v="25069.279999999999"/>
    <n v="587489.11"/>
    <m/>
    <m/>
    <m/>
    <m/>
    <m/>
    <m/>
    <m/>
    <s v="11. Item 11"/>
    <n v="10"/>
    <x v="3"/>
    <x v="2"/>
    <n v="2021"/>
    <n v="2021"/>
    <b v="1"/>
  </r>
  <r>
    <x v="23"/>
    <m/>
    <x v="2"/>
    <s v="Centralized"/>
    <s v="Out"/>
    <m/>
    <m/>
    <m/>
    <m/>
    <m/>
    <m/>
    <s v="f"/>
    <d v="2021-10-01T00:00:00"/>
    <d v="2021-10-01T00:00:00"/>
    <m/>
    <n v="249792.73"/>
    <m/>
    <m/>
    <m/>
    <m/>
    <m/>
    <m/>
    <m/>
    <s v="21. Item 21"/>
    <n v="10"/>
    <x v="3"/>
    <x v="2"/>
    <n v="2021"/>
    <n v="2021"/>
    <b v="1"/>
  </r>
  <r>
    <x v="14"/>
    <m/>
    <x v="1"/>
    <s v="Centralized"/>
    <s v="Out"/>
    <m/>
    <m/>
    <m/>
    <m/>
    <n v="3"/>
    <s v="COMPLETE"/>
    <s v="f"/>
    <d v="2021-10-15T00:00:00"/>
    <d v="2021-10-22T00:00:00"/>
    <m/>
    <n v="306972.42"/>
    <m/>
    <m/>
    <m/>
    <m/>
    <m/>
    <m/>
    <m/>
    <s v="19. Item 19"/>
    <n v="10"/>
    <x v="3"/>
    <x v="2"/>
    <n v="2021"/>
    <n v="2021"/>
    <b v="1"/>
  </r>
  <r>
    <x v="20"/>
    <m/>
    <x v="1"/>
    <s v="Centralized"/>
    <s v="Out"/>
    <m/>
    <m/>
    <m/>
    <s v="X"/>
    <n v="3"/>
    <s v="COMPLETE"/>
    <s v="f"/>
    <d v="2021-10-15T00:00:00"/>
    <d v="2021-10-27T00:00:00"/>
    <m/>
    <n v="27547.39"/>
    <m/>
    <m/>
    <m/>
    <m/>
    <m/>
    <m/>
    <m/>
    <s v="14. Item 14"/>
    <n v="10"/>
    <x v="3"/>
    <x v="2"/>
    <n v="2021"/>
    <n v="2021"/>
    <b v="1"/>
  </r>
  <r>
    <x v="0"/>
    <m/>
    <x v="1"/>
    <s v="Centralized"/>
    <s v="Out"/>
    <m/>
    <m/>
    <m/>
    <s v="X"/>
    <n v="3"/>
    <s v="COMPLETE"/>
    <s v="f"/>
    <d v="2021-10-15T00:00:00"/>
    <d v="2021-10-28T00:00:00"/>
    <m/>
    <n v="3972.86"/>
    <m/>
    <m/>
    <m/>
    <m/>
    <m/>
    <m/>
    <m/>
    <s v="01. Item 01"/>
    <n v="10"/>
    <x v="3"/>
    <x v="2"/>
    <n v="2021"/>
    <n v="2021"/>
    <b v="1"/>
  </r>
  <r>
    <x v="1"/>
    <m/>
    <x v="1"/>
    <s v="Centralized"/>
    <s v="Out"/>
    <m/>
    <m/>
    <m/>
    <m/>
    <n v="3"/>
    <s v="COMPLETE"/>
    <s v="f"/>
    <d v="2021-10-15T00:00:00"/>
    <d v="2021-10-26T00:00:00"/>
    <m/>
    <n v="2571.4299999999998"/>
    <m/>
    <m/>
    <m/>
    <m/>
    <m/>
    <m/>
    <m/>
    <s v="02. Item 02"/>
    <n v="10"/>
    <x v="3"/>
    <x v="2"/>
    <n v="2021"/>
    <n v="2021"/>
    <b v="1"/>
  </r>
  <r>
    <x v="4"/>
    <m/>
    <x v="1"/>
    <s v="Centralized"/>
    <s v="Out"/>
    <m/>
    <m/>
    <m/>
    <m/>
    <n v="3"/>
    <s v="COMPLETE"/>
    <s v="f"/>
    <d v="2021-11-09T00:00:00"/>
    <d v="2021-12-29T00:00:00"/>
    <m/>
    <n v="121.07"/>
    <m/>
    <m/>
    <m/>
    <m/>
    <m/>
    <m/>
    <m/>
    <s v="05. Item 05"/>
    <n v="11"/>
    <x v="0"/>
    <x v="2"/>
    <n v="2021"/>
    <n v="2021"/>
    <b v="1"/>
  </r>
  <r>
    <x v="5"/>
    <m/>
    <x v="1"/>
    <s v="Centralized"/>
    <s v="Out"/>
    <m/>
    <m/>
    <m/>
    <m/>
    <n v="3"/>
    <s v="COMPLETE"/>
    <s v="f"/>
    <d v="2021-10-15T00:00:00"/>
    <d v="2021-10-27T00:00:00"/>
    <m/>
    <n v="25173.33"/>
    <m/>
    <m/>
    <m/>
    <m/>
    <m/>
    <m/>
    <m/>
    <s v="05. Item 05"/>
    <n v="10"/>
    <x v="3"/>
    <x v="2"/>
    <n v="2021"/>
    <n v="2021"/>
    <b v="1"/>
  </r>
  <r>
    <x v="15"/>
    <m/>
    <x v="1"/>
    <s v="Centralized"/>
    <s v="Out"/>
    <m/>
    <m/>
    <m/>
    <m/>
    <n v="3"/>
    <s v="COMPLETE"/>
    <s v="f"/>
    <d v="2021-10-15T00:00:00"/>
    <d v="2021-10-26T00:00:00"/>
    <m/>
    <n v="9245.39"/>
    <m/>
    <m/>
    <m/>
    <m/>
    <m/>
    <m/>
    <m/>
    <s v="06. Item 06"/>
    <n v="10"/>
    <x v="3"/>
    <x v="2"/>
    <n v="2021"/>
    <n v="2021"/>
    <b v="1"/>
  </r>
  <r>
    <x v="6"/>
    <m/>
    <x v="1"/>
    <s v="Centralized"/>
    <s v="Out"/>
    <m/>
    <m/>
    <m/>
    <s v="X"/>
    <n v="3"/>
    <s v="COMPLETE"/>
    <s v="f"/>
    <d v="2021-10-15T00:00:00"/>
    <d v="2021-10-26T00:00:00"/>
    <m/>
    <n v="20567.009999999998"/>
    <m/>
    <m/>
    <m/>
    <m/>
    <m/>
    <m/>
    <m/>
    <s v="07. Item 07"/>
    <n v="10"/>
    <x v="3"/>
    <x v="2"/>
    <n v="2021"/>
    <n v="2021"/>
    <b v="1"/>
  </r>
  <r>
    <x v="21"/>
    <m/>
    <x v="1"/>
    <s v="Centralized"/>
    <s v="Out"/>
    <m/>
    <m/>
    <m/>
    <m/>
    <n v="3"/>
    <s v="COMPLETE"/>
    <s v="f"/>
    <d v="2021-10-15T00:00:00"/>
    <d v="2021-10-26T00:00:00"/>
    <m/>
    <n v="5914531.1600000001"/>
    <m/>
    <m/>
    <m/>
    <m/>
    <m/>
    <m/>
    <m/>
    <s v="09. Item 09"/>
    <n v="10"/>
    <x v="3"/>
    <x v="2"/>
    <n v="2021"/>
    <n v="2021"/>
    <b v="1"/>
  </r>
  <r>
    <x v="8"/>
    <m/>
    <x v="1"/>
    <s v="Centralized"/>
    <s v="Out"/>
    <m/>
    <m/>
    <m/>
    <m/>
    <n v="3"/>
    <s v="COMPLETE"/>
    <s v="f"/>
    <d v="2021-10-15T00:00:00"/>
    <d v="2021-10-29T00:00:00"/>
    <m/>
    <n v="6252996.9500000002"/>
    <m/>
    <m/>
    <m/>
    <m/>
    <m/>
    <m/>
    <m/>
    <s v="09. Item 09"/>
    <n v="10"/>
    <x v="3"/>
    <x v="2"/>
    <n v="2021"/>
    <n v="2021"/>
    <b v="1"/>
  </r>
  <r>
    <x v="9"/>
    <m/>
    <x v="1"/>
    <s v="Centralized"/>
    <s v="Out"/>
    <m/>
    <m/>
    <m/>
    <m/>
    <n v="1"/>
    <s v="COMPLETE"/>
    <s v="f"/>
    <d v="2021-10-18T00:00:00"/>
    <d v="2021-10-26T00:00:00"/>
    <m/>
    <n v="304278.59999999998"/>
    <m/>
    <m/>
    <m/>
    <m/>
    <m/>
    <m/>
    <m/>
    <s v="09. Item 09"/>
    <n v="10"/>
    <x v="3"/>
    <x v="2"/>
    <n v="2021"/>
    <n v="2021"/>
    <b v="1"/>
  </r>
  <r>
    <x v="10"/>
    <m/>
    <x v="1"/>
    <s v="Centralized"/>
    <s v="Out"/>
    <m/>
    <m/>
    <m/>
    <m/>
    <n v="3"/>
    <s v="COMPLETE"/>
    <s v="f"/>
    <d v="2021-10-15T00:00:00"/>
    <d v="2021-10-26T00:00:00"/>
    <m/>
    <n v="797000.91"/>
    <m/>
    <m/>
    <m/>
    <m/>
    <m/>
    <m/>
    <m/>
    <s v="11. Item 11"/>
    <n v="10"/>
    <x v="3"/>
    <x v="2"/>
    <n v="2021"/>
    <n v="2021"/>
    <b v="1"/>
  </r>
  <r>
    <x v="23"/>
    <m/>
    <x v="1"/>
    <s v="Centralized"/>
    <s v="Out"/>
    <m/>
    <m/>
    <m/>
    <m/>
    <n v="4"/>
    <s v="COMPLETE"/>
    <s v="f"/>
    <d v="2021-10-15T00:00:00"/>
    <d v="2021-10-28T00:00:00"/>
    <m/>
    <n v="33968.660000000003"/>
    <m/>
    <m/>
    <m/>
    <m/>
    <m/>
    <m/>
    <m/>
    <s v="21. Item 21"/>
    <n v="10"/>
    <x v="3"/>
    <x v="2"/>
    <n v="2021"/>
    <n v="2021"/>
    <b v="1"/>
  </r>
  <r>
    <x v="14"/>
    <m/>
    <x v="1"/>
    <s v="Centralized"/>
    <s v="Out"/>
    <m/>
    <m/>
    <m/>
    <m/>
    <n v="3"/>
    <s v="COMPLETE"/>
    <s v="f"/>
    <d v="2021-10-15T00:00:00"/>
    <d v="2021-10-27T00:00:00"/>
    <m/>
    <n v="37013.949999999997"/>
    <m/>
    <m/>
    <m/>
    <m/>
    <m/>
    <m/>
    <m/>
    <s v="19. Item 19"/>
    <n v="10"/>
    <x v="3"/>
    <x v="2"/>
    <n v="2021"/>
    <n v="2021"/>
    <b v="1"/>
  </r>
  <r>
    <x v="20"/>
    <m/>
    <x v="1"/>
    <s v="Centralized"/>
    <s v="Out"/>
    <m/>
    <m/>
    <m/>
    <m/>
    <n v="4"/>
    <s v="COMPLETE"/>
    <s v="f"/>
    <d v="2021-10-19T00:00:00"/>
    <d v="2021-10-29T00:00:00"/>
    <m/>
    <n v="19324.88"/>
    <m/>
    <m/>
    <m/>
    <m/>
    <m/>
    <m/>
    <m/>
    <s v="14. Item 14"/>
    <n v="10"/>
    <x v="3"/>
    <x v="2"/>
    <n v="2021"/>
    <n v="2021"/>
    <b v="1"/>
  </r>
  <r>
    <x v="24"/>
    <m/>
    <x v="1"/>
    <s v="Centralized"/>
    <s v="Out"/>
    <m/>
    <m/>
    <m/>
    <m/>
    <n v="4"/>
    <s v="COMPLETE"/>
    <s v="f"/>
    <d v="2021-10-19T00:00:00"/>
    <d v="2021-10-29T00:00:00"/>
    <m/>
    <n v="43939.33"/>
    <m/>
    <m/>
    <m/>
    <m/>
    <m/>
    <m/>
    <m/>
    <s v="03. Item 03"/>
    <n v="10"/>
    <x v="3"/>
    <x v="2"/>
    <n v="2021"/>
    <n v="2021"/>
    <b v="1"/>
  </r>
  <r>
    <x v="8"/>
    <m/>
    <x v="1"/>
    <s v="Centralized"/>
    <s v="Out"/>
    <m/>
    <m/>
    <m/>
    <m/>
    <n v="4"/>
    <s v="COMPLETE"/>
    <s v="f"/>
    <d v="2021-10-19T00:00:00"/>
    <d v="2021-10-28T00:00:00"/>
    <m/>
    <n v="190.95"/>
    <m/>
    <m/>
    <m/>
    <m/>
    <m/>
    <m/>
    <m/>
    <s v="09. Item 09"/>
    <n v="10"/>
    <x v="3"/>
    <x v="2"/>
    <n v="2021"/>
    <n v="2021"/>
    <b v="1"/>
  </r>
  <r>
    <x v="23"/>
    <m/>
    <x v="1"/>
    <s v="Centralized"/>
    <s v="Out"/>
    <m/>
    <m/>
    <m/>
    <m/>
    <n v="4"/>
    <s v="COMPLETE"/>
    <s v="f"/>
    <d v="2021-10-19T00:00:00"/>
    <d v="2021-10-29T00:00:00"/>
    <m/>
    <n v="302064.02"/>
    <m/>
    <m/>
    <m/>
    <m/>
    <m/>
    <m/>
    <m/>
    <s v="21. Item 21"/>
    <n v="10"/>
    <x v="3"/>
    <x v="2"/>
    <n v="2021"/>
    <n v="2021"/>
    <b v="1"/>
  </r>
  <r>
    <x v="28"/>
    <m/>
    <x v="1"/>
    <s v="Centralized"/>
    <s v="Out"/>
    <m/>
    <m/>
    <m/>
    <m/>
    <n v="3"/>
    <s v="COMPLETE"/>
    <s v="f"/>
    <d v="2021-10-15T00:00:00"/>
    <d v="2021-10-25T00:00:00"/>
    <m/>
    <n v="3500000"/>
    <m/>
    <m/>
    <m/>
    <m/>
    <m/>
    <m/>
    <m/>
    <s v="03. Item 03"/>
    <n v="10"/>
    <x v="3"/>
    <x v="2"/>
    <n v="2021"/>
    <n v="2021"/>
    <b v="1"/>
  </r>
  <r>
    <x v="20"/>
    <m/>
    <x v="1"/>
    <s v="Centralized"/>
    <s v="In"/>
    <m/>
    <m/>
    <m/>
    <m/>
    <m/>
    <s v="COMPLETE"/>
    <s v="f"/>
    <d v="2021-10-18T00:00:00"/>
    <d v="2021-10-18T00:00:00"/>
    <m/>
    <n v="145331.38"/>
    <m/>
    <m/>
    <m/>
    <m/>
    <m/>
    <m/>
    <m/>
    <s v="14. Item 14"/>
    <n v="10"/>
    <x v="3"/>
    <x v="2"/>
    <n v="2021"/>
    <n v="2021"/>
    <b v="1"/>
  </r>
  <r>
    <x v="16"/>
    <m/>
    <x v="1"/>
    <s v="Centralized"/>
    <s v="In"/>
    <m/>
    <m/>
    <m/>
    <m/>
    <m/>
    <s v="COMPLETE"/>
    <s v="f"/>
    <d v="2021-10-15T00:00:00"/>
    <d v="2021-10-15T00:00:00"/>
    <m/>
    <n v="3363287.22"/>
    <m/>
    <m/>
    <m/>
    <m/>
    <m/>
    <m/>
    <m/>
    <s v="_1. Item _1"/>
    <n v="10"/>
    <x v="3"/>
    <x v="2"/>
    <n v="2021"/>
    <n v="2021"/>
    <b v="1"/>
  </r>
  <r>
    <x v="16"/>
    <m/>
    <x v="1"/>
    <s v="Centralized"/>
    <s v="Out"/>
    <m/>
    <m/>
    <m/>
    <m/>
    <n v="3"/>
    <s v="COMPLETE"/>
    <s v="f"/>
    <d v="2021-10-15T00:00:00"/>
    <d v="2021-10-29T00:00:00"/>
    <m/>
    <n v="9874.77"/>
    <m/>
    <m/>
    <m/>
    <m/>
    <m/>
    <m/>
    <m/>
    <s v="_1. Item _1"/>
    <n v="10"/>
    <x v="3"/>
    <x v="2"/>
    <n v="2021"/>
    <n v="2021"/>
    <b v="1"/>
  </r>
  <r>
    <x v="35"/>
    <m/>
    <x v="1"/>
    <s v="Centralized"/>
    <s v="Out"/>
    <m/>
    <m/>
    <m/>
    <s v="X"/>
    <n v="1"/>
    <s v="COMPLETE"/>
    <s v="f"/>
    <d v="2021-10-18T00:00:00"/>
    <d v="2021-10-27T00:00:00"/>
    <m/>
    <n v="2621911.88"/>
    <m/>
    <m/>
    <m/>
    <m/>
    <m/>
    <m/>
    <m/>
    <s v="17. Item 17"/>
    <n v="10"/>
    <x v="3"/>
    <x v="2"/>
    <n v="2021"/>
    <n v="2021"/>
    <b v="1"/>
  </r>
  <r>
    <x v="16"/>
    <m/>
    <x v="1"/>
    <s v="Centralized"/>
    <s v="Out"/>
    <m/>
    <m/>
    <m/>
    <m/>
    <n v="2"/>
    <s v="COMPLETE"/>
    <s v="f"/>
    <d v="2021-10-11T00:00:00"/>
    <d v="2021-10-22T00:00:00"/>
    <m/>
    <n v="2318.7399999999998"/>
    <m/>
    <m/>
    <m/>
    <m/>
    <m/>
    <m/>
    <m/>
    <s v="_1. Item _1"/>
    <n v="10"/>
    <x v="3"/>
    <x v="2"/>
    <n v="2021"/>
    <n v="2021"/>
    <b v="1"/>
  </r>
  <r>
    <x v="16"/>
    <m/>
    <x v="1"/>
    <s v="Centralized"/>
    <s v="Out"/>
    <m/>
    <m/>
    <m/>
    <m/>
    <n v="3"/>
    <s v="COMPLETE"/>
    <s v="f"/>
    <d v="2021-10-01T00:00:00"/>
    <d v="2021-10-26T00:00:00"/>
    <m/>
    <n v="10726.76"/>
    <m/>
    <m/>
    <m/>
    <m/>
    <m/>
    <m/>
    <m/>
    <s v="_1. Item _1"/>
    <n v="10"/>
    <x v="3"/>
    <x v="2"/>
    <n v="2021"/>
    <n v="2021"/>
    <b v="1"/>
  </r>
  <r>
    <x v="3"/>
    <m/>
    <x v="1"/>
    <s v="Centralized"/>
    <s v="Out"/>
    <m/>
    <m/>
    <m/>
    <m/>
    <n v="3"/>
    <s v="COMPLETE"/>
    <s v="f"/>
    <d v="2021-10-15T00:00:00"/>
    <d v="2021-10-26T00:00:00"/>
    <m/>
    <n v="201853.6"/>
    <m/>
    <m/>
    <m/>
    <m/>
    <m/>
    <m/>
    <m/>
    <s v="04. Item 04"/>
    <n v="10"/>
    <x v="3"/>
    <x v="2"/>
    <n v="2021"/>
    <n v="2021"/>
    <b v="1"/>
  </r>
  <r>
    <x v="22"/>
    <m/>
    <x v="1"/>
    <s v="Centralized"/>
    <s v="Out"/>
    <m/>
    <m/>
    <m/>
    <m/>
    <n v="3"/>
    <s v="COMPLETE"/>
    <s v="f"/>
    <d v="2021-10-18T00:00:00"/>
    <d v="2021-10-28T00:00:00"/>
    <m/>
    <n v="540045.72"/>
    <m/>
    <m/>
    <m/>
    <m/>
    <m/>
    <m/>
    <m/>
    <s v="04. Item 04"/>
    <n v="10"/>
    <x v="3"/>
    <x v="2"/>
    <n v="2021"/>
    <n v="2021"/>
    <b v="1"/>
  </r>
  <r>
    <x v="4"/>
    <m/>
    <x v="1"/>
    <s v="Centralized"/>
    <s v="Out"/>
    <m/>
    <m/>
    <m/>
    <m/>
    <n v="4"/>
    <s v="COMPLETE"/>
    <s v="f"/>
    <d v="2021-10-13T00:00:00"/>
    <d v="2021-10-28T00:00:00"/>
    <m/>
    <n v="3165.6"/>
    <m/>
    <m/>
    <m/>
    <m/>
    <m/>
    <m/>
    <m/>
    <s v="05. Item 05"/>
    <n v="10"/>
    <x v="3"/>
    <x v="2"/>
    <n v="2021"/>
    <n v="2021"/>
    <b v="1"/>
  </r>
  <r>
    <x v="5"/>
    <m/>
    <x v="1"/>
    <s v="Centralized"/>
    <s v="Out"/>
    <m/>
    <m/>
    <m/>
    <m/>
    <n v="4"/>
    <s v="COMPLETE"/>
    <s v="f"/>
    <d v="2021-10-10T00:00:00"/>
    <d v="2021-10-28T00:00:00"/>
    <m/>
    <n v="141434.17000000001"/>
    <m/>
    <m/>
    <m/>
    <m/>
    <m/>
    <m/>
    <m/>
    <s v="05. Item 05"/>
    <n v="10"/>
    <x v="3"/>
    <x v="2"/>
    <n v="2021"/>
    <n v="2021"/>
    <b v="1"/>
  </r>
  <r>
    <x v="15"/>
    <m/>
    <x v="1"/>
    <s v="Centralized"/>
    <s v="Out"/>
    <m/>
    <m/>
    <m/>
    <m/>
    <n v="4"/>
    <s v="COMPLETE"/>
    <s v="f"/>
    <d v="2021-10-19T00:00:00"/>
    <d v="2021-10-28T00:00:00"/>
    <m/>
    <n v="4032971.12"/>
    <m/>
    <m/>
    <m/>
    <m/>
    <m/>
    <m/>
    <m/>
    <s v="06. Item 06"/>
    <n v="10"/>
    <x v="3"/>
    <x v="2"/>
    <n v="2021"/>
    <n v="2021"/>
    <b v="1"/>
  </r>
  <r>
    <x v="6"/>
    <m/>
    <x v="1"/>
    <s v="Centralized"/>
    <s v="Out"/>
    <m/>
    <m/>
    <m/>
    <m/>
    <n v="3"/>
    <s v="COMPLETE"/>
    <s v="f"/>
    <d v="2021-10-20T00:00:00"/>
    <d v="2021-10-28T00:00:00"/>
    <m/>
    <n v="2640"/>
    <m/>
    <m/>
    <m/>
    <m/>
    <m/>
    <m/>
    <m/>
    <s v="07. Item 07"/>
    <n v="10"/>
    <x v="3"/>
    <x v="2"/>
    <n v="2021"/>
    <n v="2021"/>
    <b v="1"/>
  </r>
  <r>
    <x v="7"/>
    <m/>
    <x v="1"/>
    <s v="Centralized"/>
    <s v="In"/>
    <m/>
    <m/>
    <m/>
    <m/>
    <m/>
    <s v="COMPLETE"/>
    <s v="f"/>
    <d v="2021-10-19T00:00:00"/>
    <d v="2021-10-19T00:00:00"/>
    <m/>
    <n v="155369.29999999999"/>
    <m/>
    <m/>
    <m/>
    <m/>
    <m/>
    <m/>
    <m/>
    <s v="08. Item 08"/>
    <n v="10"/>
    <x v="3"/>
    <x v="2"/>
    <n v="2021"/>
    <n v="2021"/>
    <b v="1"/>
  </r>
  <r>
    <x v="21"/>
    <m/>
    <x v="1"/>
    <s v="Centralized"/>
    <s v="In"/>
    <m/>
    <m/>
    <m/>
    <m/>
    <m/>
    <s v="COMPLETE"/>
    <s v="f"/>
    <d v="2021-10-20T00:00:00"/>
    <d v="2021-10-20T00:00:00"/>
    <m/>
    <n v="30209.63"/>
    <m/>
    <m/>
    <m/>
    <m/>
    <m/>
    <m/>
    <m/>
    <s v="09. Item 09"/>
    <n v="10"/>
    <x v="3"/>
    <x v="2"/>
    <n v="2021"/>
    <n v="2021"/>
    <b v="1"/>
  </r>
  <r>
    <x v="9"/>
    <m/>
    <x v="1"/>
    <s v="Centralized"/>
    <s v="In"/>
    <m/>
    <m/>
    <m/>
    <m/>
    <m/>
    <s v="COMPLETE"/>
    <s v="f"/>
    <d v="2021-10-22T00:00:00"/>
    <d v="2021-10-22T00:00:00"/>
    <m/>
    <n v="523395.77"/>
    <m/>
    <m/>
    <m/>
    <m/>
    <m/>
    <m/>
    <m/>
    <s v="09. Item 09"/>
    <n v="10"/>
    <x v="3"/>
    <x v="2"/>
    <n v="2021"/>
    <n v="2021"/>
    <b v="1"/>
  </r>
  <r>
    <x v="8"/>
    <m/>
    <x v="1"/>
    <s v="Centralized"/>
    <s v="Out"/>
    <m/>
    <m/>
    <m/>
    <m/>
    <n v="3"/>
    <s v="COMPLETE"/>
    <s v="f"/>
    <d v="2021-11-01T00:00:00"/>
    <d v="2021-11-19T00:00:00"/>
    <m/>
    <n v="239674.3"/>
    <m/>
    <m/>
    <m/>
    <m/>
    <m/>
    <m/>
    <m/>
    <s v="09. Item 09"/>
    <n v="11"/>
    <x v="2"/>
    <x v="2"/>
    <n v="2021"/>
    <n v="2021"/>
    <b v="1"/>
  </r>
  <r>
    <x v="30"/>
    <m/>
    <x v="1"/>
    <s v="Centralized"/>
    <s v="Out"/>
    <m/>
    <m/>
    <m/>
    <m/>
    <n v="3"/>
    <s v="COMPLETE"/>
    <s v="f"/>
    <d v="2021-10-18T00:00:00"/>
    <d v="2021-10-29T00:00:00"/>
    <m/>
    <n v="793958.15"/>
    <m/>
    <m/>
    <m/>
    <m/>
    <m/>
    <m/>
    <m/>
    <s v="10. Item 10"/>
    <n v="10"/>
    <x v="3"/>
    <x v="2"/>
    <n v="2021"/>
    <n v="2021"/>
    <b v="1"/>
  </r>
  <r>
    <x v="31"/>
    <m/>
    <x v="1"/>
    <s v="Decentralized"/>
    <s v="Out"/>
    <m/>
    <m/>
    <m/>
    <m/>
    <n v="4"/>
    <s v="COMPLETE"/>
    <s v="f"/>
    <d v="2021-10-01T00:00:00"/>
    <d v="2021-10-05T00:00:00"/>
    <m/>
    <n v="223780.11"/>
    <m/>
    <m/>
    <m/>
    <m/>
    <m/>
    <m/>
    <m/>
    <s v="10. Item 10"/>
    <n v="10"/>
    <x v="3"/>
    <x v="2"/>
    <n v="2021"/>
    <n v="2021"/>
    <b v="1"/>
  </r>
  <r>
    <x v="10"/>
    <m/>
    <x v="1"/>
    <s v="Centralized"/>
    <s v="In"/>
    <m/>
    <m/>
    <m/>
    <m/>
    <m/>
    <s v="COMPLETE"/>
    <s v="f"/>
    <d v="2021-10-25T00:00:00"/>
    <d v="2021-10-25T00:00:00"/>
    <m/>
    <n v="3500000"/>
    <m/>
    <m/>
    <m/>
    <m/>
    <m/>
    <m/>
    <m/>
    <s v="11. Item 11"/>
    <n v="10"/>
    <x v="3"/>
    <x v="2"/>
    <n v="2021"/>
    <n v="2021"/>
    <b v="1"/>
  </r>
  <r>
    <x v="32"/>
    <m/>
    <x v="1"/>
    <s v="Centralized"/>
    <s v="In"/>
    <m/>
    <m/>
    <m/>
    <m/>
    <m/>
    <s v="COMPLETE"/>
    <s v="f"/>
    <d v="2021-10-26T00:00:00"/>
    <d v="2021-10-26T00:00:00"/>
    <m/>
    <n v="7302410.0999999996"/>
    <m/>
    <m/>
    <m/>
    <m/>
    <m/>
    <m/>
    <m/>
    <s v="12. Item 12"/>
    <n v="10"/>
    <x v="3"/>
    <x v="2"/>
    <n v="2021"/>
    <n v="2021"/>
    <b v="1"/>
  </r>
  <r>
    <x v="29"/>
    <m/>
    <x v="1"/>
    <s v="Centralized"/>
    <s v="In"/>
    <m/>
    <m/>
    <m/>
    <m/>
    <m/>
    <s v="COMPLETE"/>
    <s v="f"/>
    <d v="2021-10-27T00:00:00"/>
    <d v="2021-10-27T00:00:00"/>
    <m/>
    <n v="4301184.83"/>
    <m/>
    <m/>
    <m/>
    <m/>
    <m/>
    <m/>
    <m/>
    <s v="13. Item 13"/>
    <n v="10"/>
    <x v="3"/>
    <x v="2"/>
    <n v="2021"/>
    <n v="2021"/>
    <b v="1"/>
  </r>
  <r>
    <x v="11"/>
    <m/>
    <x v="1"/>
    <s v="Centralized"/>
    <s v="In"/>
    <m/>
    <m/>
    <m/>
    <m/>
    <m/>
    <s v="COMPLETE"/>
    <s v="f"/>
    <d v="2021-10-28T00:00:00"/>
    <d v="2021-10-28T00:00:00"/>
    <m/>
    <n v="4758389.08"/>
    <m/>
    <m/>
    <m/>
    <m/>
    <m/>
    <m/>
    <m/>
    <s v="13. Item 13"/>
    <n v="10"/>
    <x v="3"/>
    <x v="2"/>
    <n v="2021"/>
    <n v="2021"/>
    <b v="1"/>
  </r>
  <r>
    <x v="33"/>
    <m/>
    <x v="1"/>
    <s v="Centralized"/>
    <s v="Out"/>
    <m/>
    <m/>
    <m/>
    <s v="X"/>
    <n v="1"/>
    <s v="COMPLETE"/>
    <s v="f"/>
    <d v="2021-11-01T00:00:00"/>
    <d v="2021-11-19T00:00:00"/>
    <m/>
    <n v="2690476.19"/>
    <m/>
    <m/>
    <m/>
    <m/>
    <m/>
    <m/>
    <m/>
    <s v="13. Item 13"/>
    <n v="11"/>
    <x v="2"/>
    <x v="2"/>
    <n v="2021"/>
    <n v="2021"/>
    <b v="1"/>
  </r>
  <r>
    <x v="34"/>
    <m/>
    <x v="1"/>
    <s v="Centralized"/>
    <s v="Out"/>
    <m/>
    <m/>
    <m/>
    <m/>
    <n v="1"/>
    <s v="COMPLETE"/>
    <s v="f"/>
    <d v="2021-11-01T00:00:00"/>
    <d v="2021-11-19T00:00:00"/>
    <m/>
    <n v="11724.21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1"/>
    <s v="COMPLETE"/>
    <s v="f"/>
    <d v="2021-11-01T00:00:00"/>
    <d v="2021-11-16T00:00:00"/>
    <m/>
    <n v="32038.94"/>
    <m/>
    <m/>
    <m/>
    <m/>
    <m/>
    <m/>
    <m/>
    <s v="13. Item 13"/>
    <n v="11"/>
    <x v="2"/>
    <x v="2"/>
    <n v="2021"/>
    <n v="2021"/>
    <b v="1"/>
  </r>
  <r>
    <x v="20"/>
    <m/>
    <x v="1"/>
    <s v="Centralized"/>
    <s v="In"/>
    <m/>
    <m/>
    <m/>
    <m/>
    <m/>
    <s v="COMPLETE"/>
    <s v="f"/>
    <d v="2021-10-29T00:00:00"/>
    <d v="2021-10-29T00:00:00"/>
    <m/>
    <n v="18552003.620000001"/>
    <m/>
    <m/>
    <m/>
    <m/>
    <m/>
    <m/>
    <m/>
    <s v="14. Item 14"/>
    <n v="10"/>
    <x v="3"/>
    <x v="2"/>
    <n v="2021"/>
    <n v="2021"/>
    <b v="1"/>
  </r>
  <r>
    <x v="35"/>
    <m/>
    <x v="1"/>
    <s v="Centralized"/>
    <s v="Out"/>
    <m/>
    <m/>
    <m/>
    <s v="X"/>
    <n v="1"/>
    <s v="COMPLETE"/>
    <s v="f"/>
    <d v="2021-11-08T00:00:00"/>
    <d v="2021-11-19T00:00:00"/>
    <m/>
    <n v="8582.16"/>
    <m/>
    <m/>
    <m/>
    <m/>
    <m/>
    <m/>
    <m/>
    <s v="17. Item 17"/>
    <n v="11"/>
    <x v="2"/>
    <x v="2"/>
    <n v="2021"/>
    <n v="2021"/>
    <b v="1"/>
  </r>
  <r>
    <x v="10"/>
    <m/>
    <x v="1"/>
    <s v="Centralized"/>
    <s v="Out"/>
    <m/>
    <m/>
    <m/>
    <m/>
    <n v="3"/>
    <s v="COMPLETE"/>
    <s v="f"/>
    <d v="2021-11-01T00:00:00"/>
    <d v="2021-11-12T00:00:00"/>
    <m/>
    <n v="66.55"/>
    <m/>
    <m/>
    <m/>
    <m/>
    <m/>
    <m/>
    <m/>
    <s v="11. Item 11"/>
    <n v="11"/>
    <x v="2"/>
    <x v="2"/>
    <n v="2021"/>
    <n v="2021"/>
    <b v="1"/>
  </r>
  <r>
    <x v="13"/>
    <m/>
    <x v="1"/>
    <s v="Centralized"/>
    <s v="Out"/>
    <m/>
    <m/>
    <m/>
    <s v="X"/>
    <n v="1"/>
    <s v="COMPLETE"/>
    <s v="f"/>
    <d v="2021-11-08T00:00:00"/>
    <d v="2021-11-16T00:00:00"/>
    <m/>
    <n v="595.24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1"/>
    <s v="COMPLETE"/>
    <s v="f"/>
    <d v="2021-11-08T00:00:00"/>
    <d v="2021-11-16T00:00:00"/>
    <m/>
    <n v="29605.77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s v="X"/>
    <n v="1"/>
    <s v="COMPLETE"/>
    <s v="f"/>
    <d v="2021-11-08T00:00:00"/>
    <d v="2021-11-17T00:00:00"/>
    <m/>
    <n v="4544.05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1"/>
    <s v="COMPLETE"/>
    <s v="f"/>
    <d v="2021-11-08T00:00:00"/>
    <d v="2021-11-17T00:00:00"/>
    <m/>
    <n v="6612.32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m/>
    <s v="COMPLETE"/>
    <s v="f"/>
    <d v="2021-11-09T00:00:00"/>
    <d v="2021-11-18T00:00:00"/>
    <m/>
    <n v="51810.89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s v="X"/>
    <m/>
    <s v="COMPLETE"/>
    <s v="f"/>
    <d v="2021-11-10T00:00:00"/>
    <d v="2021-11-22T00:00:00"/>
    <m/>
    <n v="256714.83"/>
    <m/>
    <m/>
    <m/>
    <m/>
    <m/>
    <m/>
    <m/>
    <s v="13. Item 13"/>
    <n v="11"/>
    <x v="2"/>
    <x v="2"/>
    <n v="2021"/>
    <n v="2021"/>
    <b v="1"/>
  </r>
  <r>
    <x v="34"/>
    <m/>
    <x v="1"/>
    <s v="Centralized"/>
    <s v="Out"/>
    <m/>
    <m/>
    <m/>
    <s v="X"/>
    <m/>
    <s v="COMPLETE"/>
    <s v="f"/>
    <d v="2021-11-10T00:00:00"/>
    <d v="2021-11-19T00:00:00"/>
    <m/>
    <n v="14003.76"/>
    <m/>
    <m/>
    <m/>
    <m/>
    <m/>
    <m/>
    <m/>
    <s v="13. Item 13"/>
    <n v="11"/>
    <x v="2"/>
    <x v="2"/>
    <n v="2021"/>
    <n v="2021"/>
    <b v="1"/>
  </r>
  <r>
    <x v="5"/>
    <m/>
    <x v="1"/>
    <s v="Centralized"/>
    <s v="Out"/>
    <m/>
    <m/>
    <m/>
    <m/>
    <m/>
    <s v="COMPLETE"/>
    <s v="f"/>
    <d v="2021-11-10T00:00:00"/>
    <d v="2021-11-19T00:00:00"/>
    <m/>
    <n v="10009"/>
    <m/>
    <m/>
    <m/>
    <m/>
    <m/>
    <m/>
    <m/>
    <s v="05. Item 05"/>
    <n v="11"/>
    <x v="2"/>
    <x v="2"/>
    <n v="2021"/>
    <n v="2021"/>
    <b v="1"/>
  </r>
  <r>
    <x v="3"/>
    <m/>
    <x v="1"/>
    <s v="Centralized"/>
    <s v="Out"/>
    <m/>
    <m/>
    <m/>
    <s v="X"/>
    <n v="1"/>
    <s v="COMPLETE"/>
    <s v="f"/>
    <d v="2021-11-08T00:00:00"/>
    <d v="2021-11-19T00:00:00"/>
    <m/>
    <n v="5621.27"/>
    <m/>
    <m/>
    <m/>
    <m/>
    <m/>
    <m/>
    <m/>
    <s v="04. Item 04"/>
    <n v="11"/>
    <x v="2"/>
    <x v="2"/>
    <n v="2021"/>
    <n v="2021"/>
    <b v="1"/>
  </r>
  <r>
    <x v="22"/>
    <m/>
    <x v="1"/>
    <s v="Centralized"/>
    <s v="Out"/>
    <m/>
    <m/>
    <m/>
    <m/>
    <n v="1"/>
    <s v="COMPLETE"/>
    <s v="f"/>
    <d v="2021-11-08T00:00:00"/>
    <d v="2021-11-19T00:00:00"/>
    <m/>
    <n v="54216.75"/>
    <m/>
    <m/>
    <m/>
    <m/>
    <m/>
    <m/>
    <m/>
    <s v="04. Item 04"/>
    <n v="11"/>
    <x v="2"/>
    <x v="2"/>
    <n v="2021"/>
    <n v="2021"/>
    <b v="1"/>
  </r>
  <r>
    <x v="4"/>
    <m/>
    <x v="1"/>
    <s v="Centralized"/>
    <s v="Out"/>
    <m/>
    <m/>
    <m/>
    <s v="X"/>
    <n v="1"/>
    <s v="COMPLETE"/>
    <s v="f"/>
    <d v="2021-11-08T00:00:00"/>
    <d v="2021-11-19T00:00:00"/>
    <m/>
    <n v="15116.28"/>
    <m/>
    <m/>
    <m/>
    <m/>
    <m/>
    <m/>
    <m/>
    <s v="05. Item 05"/>
    <n v="11"/>
    <x v="2"/>
    <x v="2"/>
    <n v="2021"/>
    <n v="2021"/>
    <b v="1"/>
  </r>
  <r>
    <x v="15"/>
    <m/>
    <x v="1"/>
    <s v="Centralized"/>
    <s v="Out"/>
    <m/>
    <m/>
    <m/>
    <m/>
    <n v="4"/>
    <s v="COMPLETE"/>
    <s v="f"/>
    <d v="2021-11-01T00:00:00"/>
    <d v="2021-11-23T00:00:00"/>
    <m/>
    <n v="336054.53"/>
    <m/>
    <m/>
    <m/>
    <m/>
    <m/>
    <m/>
    <m/>
    <s v="06. Item 06"/>
    <n v="11"/>
    <x v="2"/>
    <x v="2"/>
    <n v="2021"/>
    <n v="2021"/>
    <b v="1"/>
  </r>
  <r>
    <x v="6"/>
    <m/>
    <x v="1"/>
    <s v="Centralized"/>
    <s v="Out"/>
    <m/>
    <m/>
    <m/>
    <m/>
    <n v="1"/>
    <s v="COMPLETE"/>
    <s v="f"/>
    <d v="2021-11-01T00:00:00"/>
    <d v="2021-11-16T00:00:00"/>
    <m/>
    <n v="14429.46"/>
    <m/>
    <m/>
    <m/>
    <m/>
    <m/>
    <m/>
    <m/>
    <s v="07. Item 07"/>
    <n v="11"/>
    <x v="2"/>
    <x v="2"/>
    <n v="2021"/>
    <n v="2021"/>
    <b v="1"/>
  </r>
  <r>
    <x v="7"/>
    <m/>
    <x v="1"/>
    <s v="Centralized"/>
    <s v="Out"/>
    <m/>
    <m/>
    <m/>
    <m/>
    <n v="1"/>
    <s v="COMPLETE"/>
    <s v="f"/>
    <d v="2021-11-01T00:00:00"/>
    <d v="2021-11-17T00:00:00"/>
    <m/>
    <n v="57446.33"/>
    <m/>
    <m/>
    <m/>
    <m/>
    <m/>
    <m/>
    <m/>
    <s v="08. Item 08"/>
    <n v="11"/>
    <x v="2"/>
    <x v="2"/>
    <n v="2021"/>
    <n v="2021"/>
    <b v="1"/>
  </r>
  <r>
    <x v="31"/>
    <m/>
    <x v="1"/>
    <s v="Centralized"/>
    <s v="Out"/>
    <m/>
    <m/>
    <m/>
    <m/>
    <n v="3"/>
    <s v="COMPLETE"/>
    <s v="f"/>
    <d v="2021-11-01T00:00:00"/>
    <d v="2021-11-24T00:00:00"/>
    <m/>
    <n v="666580.30000000005"/>
    <m/>
    <m/>
    <m/>
    <m/>
    <m/>
    <m/>
    <m/>
    <s v="10. Item 10"/>
    <n v="11"/>
    <x v="2"/>
    <x v="2"/>
    <n v="2021"/>
    <n v="2021"/>
    <b v="1"/>
  </r>
  <r>
    <x v="11"/>
    <m/>
    <x v="1"/>
    <s v="Centralized"/>
    <s v="Out"/>
    <m/>
    <m/>
    <m/>
    <m/>
    <n v="3"/>
    <s v="COMPLETE"/>
    <s v="f"/>
    <d v="2021-11-12T00:00:00"/>
    <d v="2021-11-30T00:00:00"/>
    <m/>
    <n v="50042.400000000001"/>
    <m/>
    <m/>
    <m/>
    <m/>
    <m/>
    <m/>
    <m/>
    <s v="13. Item 13"/>
    <n v="11"/>
    <x v="2"/>
    <x v="2"/>
    <n v="2021"/>
    <n v="2021"/>
    <b v="1"/>
  </r>
  <r>
    <x v="29"/>
    <m/>
    <x v="2"/>
    <s v="Centralized"/>
    <s v="In"/>
    <m/>
    <m/>
    <m/>
    <m/>
    <m/>
    <m/>
    <s v="f"/>
    <d v="2021-10-31T00:00:00"/>
    <d v="2021-10-31T00:00:00"/>
    <m/>
    <n v="45012017.759999998"/>
    <m/>
    <m/>
    <m/>
    <m/>
    <m/>
    <m/>
    <m/>
    <s v="13. Item 13"/>
    <n v="10"/>
    <x v="3"/>
    <x v="2"/>
    <n v="2021"/>
    <n v="2021"/>
    <b v="1"/>
  </r>
  <r>
    <x v="11"/>
    <m/>
    <x v="2"/>
    <s v="Centralized"/>
    <s v="Out"/>
    <m/>
    <m/>
    <m/>
    <m/>
    <m/>
    <m/>
    <s v="f"/>
    <d v="2021-11-01T00:00:00"/>
    <d v="2021-11-01T00:00:00"/>
    <m/>
    <n v="54489.7"/>
    <m/>
    <m/>
    <m/>
    <m/>
    <m/>
    <m/>
    <m/>
    <s v="13. Item 13"/>
    <n v="11"/>
    <x v="2"/>
    <x v="2"/>
    <n v="2021"/>
    <n v="2021"/>
    <b v="1"/>
  </r>
  <r>
    <x v="38"/>
    <m/>
    <x v="2"/>
    <s v="Centralized"/>
    <s v="Out"/>
    <m/>
    <m/>
    <m/>
    <m/>
    <m/>
    <m/>
    <s v="f"/>
    <d v="2021-11-01T00:00:00"/>
    <d v="2021-11-01T00:00:00"/>
    <m/>
    <n v="956475.99"/>
    <m/>
    <m/>
    <m/>
    <m/>
    <m/>
    <m/>
    <m/>
    <s v="03. Item 03"/>
    <n v="11"/>
    <x v="2"/>
    <x v="2"/>
    <n v="2021"/>
    <n v="2021"/>
    <b v="1"/>
  </r>
  <r>
    <x v="27"/>
    <m/>
    <x v="2"/>
    <s v="Centralized"/>
    <s v="Out"/>
    <m/>
    <m/>
    <m/>
    <m/>
    <m/>
    <m/>
    <s v="f"/>
    <d v="2021-11-01T00:00:00"/>
    <d v="2021-11-01T00:00:00"/>
    <m/>
    <n v="4426203.8600000003"/>
    <m/>
    <m/>
    <m/>
    <m/>
    <m/>
    <m/>
    <m/>
    <s v="03. Item 03"/>
    <n v="11"/>
    <x v="2"/>
    <x v="2"/>
    <n v="2021"/>
    <n v="2021"/>
    <b v="1"/>
  </r>
  <r>
    <x v="39"/>
    <m/>
    <x v="2"/>
    <s v="Centralized"/>
    <s v="Out"/>
    <m/>
    <m/>
    <m/>
    <m/>
    <m/>
    <m/>
    <s v="f"/>
    <d v="2021-11-01T00:00:00"/>
    <d v="2021-11-01T00:00:00"/>
    <n v="80.81"/>
    <n v="15676.35"/>
    <m/>
    <m/>
    <m/>
    <m/>
    <m/>
    <m/>
    <m/>
    <s v="03. Item 03"/>
    <n v="11"/>
    <x v="2"/>
    <x v="2"/>
    <n v="2021"/>
    <n v="2021"/>
    <b v="1"/>
  </r>
  <r>
    <x v="39"/>
    <m/>
    <x v="2"/>
    <s v="Centralized"/>
    <s v="Out"/>
    <m/>
    <m/>
    <m/>
    <m/>
    <m/>
    <m/>
    <s v="f"/>
    <d v="2021-11-01T00:00:00"/>
    <d v="2021-11-01T00:00:00"/>
    <m/>
    <n v="10701643.25"/>
    <m/>
    <m/>
    <m/>
    <m/>
    <m/>
    <m/>
    <m/>
    <s v="03. Item 03"/>
    <n v="11"/>
    <x v="2"/>
    <x v="2"/>
    <n v="2021"/>
    <n v="2021"/>
    <b v="1"/>
  </r>
  <r>
    <x v="25"/>
    <m/>
    <x v="2"/>
    <s v="Centralized"/>
    <s v="Out"/>
    <m/>
    <m/>
    <m/>
    <m/>
    <m/>
    <m/>
    <s v="f"/>
    <d v="2021-11-01T00:00:00"/>
    <d v="2021-11-01T00:00:00"/>
    <m/>
    <n v="66151.41"/>
    <m/>
    <m/>
    <m/>
    <m/>
    <m/>
    <m/>
    <m/>
    <s v="03. Item 03"/>
    <n v="11"/>
    <x v="2"/>
    <x v="2"/>
    <n v="2021"/>
    <n v="2021"/>
    <b v="1"/>
  </r>
  <r>
    <x v="16"/>
    <m/>
    <x v="2"/>
    <s v="Centralized"/>
    <s v="Out"/>
    <m/>
    <m/>
    <m/>
    <m/>
    <m/>
    <m/>
    <s v="f"/>
    <d v="2021-11-01T00:00:00"/>
    <d v="2021-11-01T00:00:00"/>
    <m/>
    <n v="2615460.2799999998"/>
    <m/>
    <m/>
    <m/>
    <m/>
    <m/>
    <m/>
    <m/>
    <s v="_1. Item _1"/>
    <n v="11"/>
    <x v="2"/>
    <x v="2"/>
    <n v="2021"/>
    <n v="2021"/>
    <b v="1"/>
  </r>
  <r>
    <x v="16"/>
    <m/>
    <x v="2"/>
    <s v="Centralized"/>
    <s v="Out"/>
    <m/>
    <m/>
    <m/>
    <m/>
    <m/>
    <m/>
    <s v="f"/>
    <d v="2021-11-01T00:00:00"/>
    <d v="2021-11-01T00:00:00"/>
    <m/>
    <n v="228028.08"/>
    <m/>
    <m/>
    <m/>
    <m/>
    <m/>
    <m/>
    <m/>
    <s v="_1. Item _1"/>
    <n v="11"/>
    <x v="2"/>
    <x v="2"/>
    <n v="2021"/>
    <n v="2021"/>
    <b v="1"/>
  </r>
  <r>
    <x v="22"/>
    <m/>
    <x v="2"/>
    <s v="Centralized"/>
    <s v="Out"/>
    <m/>
    <m/>
    <m/>
    <m/>
    <m/>
    <m/>
    <s v="f"/>
    <d v="2021-11-01T00:00:00"/>
    <d v="2021-11-01T00:00:00"/>
    <n v="5960.47"/>
    <n v="92389.14"/>
    <m/>
    <m/>
    <m/>
    <m/>
    <m/>
    <m/>
    <m/>
    <s v="04. Item 04"/>
    <n v="11"/>
    <x v="2"/>
    <x v="2"/>
    <n v="2021"/>
    <n v="2021"/>
    <b v="1"/>
  </r>
  <r>
    <x v="15"/>
    <m/>
    <x v="2"/>
    <s v="Centralized"/>
    <s v="Out"/>
    <m/>
    <m/>
    <m/>
    <m/>
    <m/>
    <m/>
    <s v="f"/>
    <d v="2021-11-01T00:00:00"/>
    <d v="2021-11-01T00:00:00"/>
    <m/>
    <n v="11724.21"/>
    <m/>
    <m/>
    <m/>
    <m/>
    <m/>
    <m/>
    <m/>
    <s v="06. Item 06"/>
    <n v="11"/>
    <x v="2"/>
    <x v="2"/>
    <n v="2021"/>
    <n v="2021"/>
    <b v="1"/>
  </r>
  <r>
    <x v="8"/>
    <m/>
    <x v="2"/>
    <s v="Centralized"/>
    <s v="Out"/>
    <m/>
    <m/>
    <m/>
    <m/>
    <m/>
    <m/>
    <s v="f"/>
    <d v="2021-11-01T00:00:00"/>
    <d v="2021-11-01T00:00:00"/>
    <m/>
    <n v="34337.040000000001"/>
    <m/>
    <m/>
    <m/>
    <m/>
    <m/>
    <m/>
    <m/>
    <s v="09. Item 09"/>
    <n v="11"/>
    <x v="2"/>
    <x v="2"/>
    <n v="2021"/>
    <n v="2021"/>
    <b v="1"/>
  </r>
  <r>
    <x v="8"/>
    <m/>
    <x v="2"/>
    <s v="Centralized"/>
    <s v="Out"/>
    <m/>
    <m/>
    <m/>
    <m/>
    <m/>
    <m/>
    <s v="f"/>
    <d v="2021-11-01T00:00:00"/>
    <d v="2021-11-01T00:00:00"/>
    <m/>
    <n v="32991.19"/>
    <m/>
    <m/>
    <m/>
    <m/>
    <m/>
    <m/>
    <m/>
    <s v="09. Item 09"/>
    <n v="11"/>
    <x v="2"/>
    <x v="2"/>
    <n v="2021"/>
    <n v="2021"/>
    <b v="1"/>
  </r>
  <r>
    <x v="9"/>
    <m/>
    <x v="2"/>
    <s v="Centralized"/>
    <s v="Out"/>
    <m/>
    <m/>
    <m/>
    <m/>
    <m/>
    <m/>
    <s v="f"/>
    <d v="2021-11-01T00:00:00"/>
    <d v="2021-11-01T00:00:00"/>
    <n v="618.99"/>
    <n v="228903.23"/>
    <m/>
    <m/>
    <m/>
    <m/>
    <m/>
    <m/>
    <m/>
    <s v="09. Item 09"/>
    <n v="11"/>
    <x v="2"/>
    <x v="2"/>
    <n v="2021"/>
    <n v="2021"/>
    <b v="1"/>
  </r>
  <r>
    <x v="21"/>
    <m/>
    <x v="2"/>
    <s v="Centralized"/>
    <s v="Out"/>
    <m/>
    <m/>
    <m/>
    <m/>
    <m/>
    <m/>
    <s v="f"/>
    <d v="2021-11-01T00:00:00"/>
    <d v="2021-11-01T00:00:00"/>
    <m/>
    <n v="89249.279999999999"/>
    <m/>
    <m/>
    <m/>
    <m/>
    <m/>
    <m/>
    <m/>
    <s v="09. Item 09"/>
    <n v="11"/>
    <x v="2"/>
    <x v="2"/>
    <n v="2021"/>
    <n v="2021"/>
    <b v="1"/>
  </r>
  <r>
    <x v="20"/>
    <m/>
    <x v="2"/>
    <s v="Centralized"/>
    <s v="Out"/>
    <m/>
    <m/>
    <m/>
    <m/>
    <m/>
    <m/>
    <s v="f"/>
    <d v="2021-11-01T00:00:00"/>
    <d v="2021-11-01T00:00:00"/>
    <m/>
    <n v="14835.21"/>
    <m/>
    <m/>
    <m/>
    <m/>
    <m/>
    <m/>
    <m/>
    <s v="14. Item 14"/>
    <n v="11"/>
    <x v="2"/>
    <x v="2"/>
    <n v="2021"/>
    <n v="2021"/>
    <b v="1"/>
  </r>
  <r>
    <x v="20"/>
    <m/>
    <x v="2"/>
    <s v="Centralized"/>
    <s v="Out"/>
    <m/>
    <m/>
    <m/>
    <m/>
    <m/>
    <m/>
    <s v="f"/>
    <d v="2021-11-01T00:00:00"/>
    <d v="2021-11-01T00:00:00"/>
    <m/>
    <n v="129.29"/>
    <m/>
    <m/>
    <m/>
    <m/>
    <m/>
    <m/>
    <m/>
    <s v="14. Item 14"/>
    <n v="11"/>
    <x v="2"/>
    <x v="2"/>
    <n v="2021"/>
    <n v="2021"/>
    <b v="1"/>
  </r>
  <r>
    <x v="14"/>
    <m/>
    <x v="2"/>
    <s v="Centralized"/>
    <s v="Out"/>
    <m/>
    <m/>
    <m/>
    <m/>
    <m/>
    <m/>
    <s v="f"/>
    <d v="2021-11-01T00:00:00"/>
    <d v="2021-11-01T00:00:00"/>
    <m/>
    <n v="87773.33"/>
    <m/>
    <m/>
    <m/>
    <m/>
    <m/>
    <m/>
    <m/>
    <s v="19. Item 19"/>
    <n v="11"/>
    <x v="2"/>
    <x v="2"/>
    <n v="2021"/>
    <n v="2021"/>
    <b v="1"/>
  </r>
  <r>
    <x v="8"/>
    <m/>
    <x v="2"/>
    <s v="Centralized"/>
    <s v="Out"/>
    <m/>
    <m/>
    <m/>
    <m/>
    <m/>
    <m/>
    <s v="f"/>
    <d v="2021-11-01T00:00:00"/>
    <d v="2021-11-01T00:00:00"/>
    <n v="23878.799999999999"/>
    <n v="646548.23"/>
    <m/>
    <m/>
    <m/>
    <m/>
    <m/>
    <m/>
    <m/>
    <s v="09. Item 09"/>
    <n v="11"/>
    <x v="2"/>
    <x v="2"/>
    <n v="2021"/>
    <n v="2021"/>
    <b v="1"/>
  </r>
  <r>
    <x v="16"/>
    <m/>
    <x v="2"/>
    <s v="Centralized"/>
    <s v="Out"/>
    <m/>
    <m/>
    <m/>
    <m/>
    <m/>
    <m/>
    <s v="f"/>
    <d v="2021-11-01T00:00:00"/>
    <d v="2021-11-01T00:00:00"/>
    <m/>
    <n v="577331.96"/>
    <m/>
    <m/>
    <m/>
    <m/>
    <m/>
    <m/>
    <m/>
    <s v="_1. Item _1"/>
    <n v="11"/>
    <x v="2"/>
    <x v="2"/>
    <n v="2021"/>
    <n v="2021"/>
    <b v="1"/>
  </r>
  <r>
    <x v="16"/>
    <m/>
    <x v="2"/>
    <s v="Centralized"/>
    <s v="Out"/>
    <m/>
    <m/>
    <m/>
    <m/>
    <m/>
    <m/>
    <s v="f"/>
    <d v="2021-11-01T00:00:00"/>
    <d v="2021-11-01T00:00:00"/>
    <m/>
    <n v="456163"/>
    <m/>
    <m/>
    <m/>
    <m/>
    <m/>
    <m/>
    <m/>
    <s v="_1. Item _1"/>
    <n v="11"/>
    <x v="2"/>
    <x v="2"/>
    <n v="2021"/>
    <n v="2021"/>
    <b v="1"/>
  </r>
  <r>
    <x v="16"/>
    <m/>
    <x v="1"/>
    <s v="Centralized"/>
    <s v="Out"/>
    <m/>
    <m/>
    <m/>
    <s v="X"/>
    <n v="3"/>
    <s v="COMPLETE"/>
    <s v="f"/>
    <d v="2021-11-15T00:00:00"/>
    <d v="2021-11-24T00:00:00"/>
    <m/>
    <n v="15332.19"/>
    <m/>
    <m/>
    <m/>
    <m/>
    <m/>
    <m/>
    <m/>
    <s v="_1. Item _1"/>
    <n v="11"/>
    <x v="2"/>
    <x v="2"/>
    <n v="2021"/>
    <n v="2021"/>
    <b v="1"/>
  </r>
  <r>
    <x v="22"/>
    <m/>
    <x v="1"/>
    <s v="Centralized"/>
    <s v="Out"/>
    <m/>
    <m/>
    <m/>
    <m/>
    <n v="3"/>
    <s v="COMPLETE"/>
    <s v="f"/>
    <d v="2021-11-15T00:00:00"/>
    <d v="2021-11-23T00:00:00"/>
    <m/>
    <n v="26079.62"/>
    <m/>
    <m/>
    <m/>
    <m/>
    <m/>
    <m/>
    <m/>
    <s v="04. Item 04"/>
    <n v="11"/>
    <x v="2"/>
    <x v="2"/>
    <n v="2021"/>
    <n v="2021"/>
    <b v="1"/>
  </r>
  <r>
    <x v="21"/>
    <m/>
    <x v="1"/>
    <s v="Centralized"/>
    <s v="Out"/>
    <m/>
    <m/>
    <m/>
    <m/>
    <n v="3"/>
    <s v="COMPLETE"/>
    <s v="f"/>
    <d v="2021-11-15T00:00:00"/>
    <d v="2021-11-24T00:00:00"/>
    <m/>
    <n v="436077.18"/>
    <m/>
    <m/>
    <m/>
    <m/>
    <m/>
    <m/>
    <m/>
    <s v="09. Item 09"/>
    <n v="11"/>
    <x v="2"/>
    <x v="2"/>
    <n v="2021"/>
    <n v="2021"/>
    <b v="1"/>
  </r>
  <r>
    <x v="35"/>
    <m/>
    <x v="1"/>
    <s v="Centralized"/>
    <s v="Out"/>
    <m/>
    <m/>
    <m/>
    <m/>
    <n v="3"/>
    <s v="COMPLETE"/>
    <s v="f"/>
    <d v="2021-11-15T00:00:00"/>
    <d v="2021-11-25T00:00:00"/>
    <m/>
    <n v="2854.67"/>
    <m/>
    <m/>
    <m/>
    <m/>
    <m/>
    <m/>
    <m/>
    <s v="17. Item 17"/>
    <n v="11"/>
    <x v="2"/>
    <x v="2"/>
    <n v="2021"/>
    <n v="2021"/>
    <b v="1"/>
  </r>
  <r>
    <x v="16"/>
    <m/>
    <x v="1"/>
    <s v="Centralized"/>
    <s v="Out"/>
    <m/>
    <m/>
    <m/>
    <m/>
    <n v="3"/>
    <s v="COMPLETE"/>
    <s v="f"/>
    <d v="2021-11-15T00:00:00"/>
    <d v="2021-11-24T00:00:00"/>
    <m/>
    <n v="87773.33"/>
    <m/>
    <m/>
    <m/>
    <m/>
    <m/>
    <m/>
    <m/>
    <s v="_1. Item _1"/>
    <n v="11"/>
    <x v="2"/>
    <x v="2"/>
    <n v="2021"/>
    <n v="2021"/>
    <b v="1"/>
  </r>
  <r>
    <x v="16"/>
    <m/>
    <x v="1"/>
    <s v="Centralized"/>
    <s v="Out"/>
    <m/>
    <m/>
    <m/>
    <m/>
    <n v="3"/>
    <s v="COMPLETE"/>
    <s v="f"/>
    <d v="2021-11-15T00:00:00"/>
    <d v="2021-11-25T00:00:00"/>
    <m/>
    <n v="33173.01"/>
    <m/>
    <m/>
    <m/>
    <m/>
    <m/>
    <m/>
    <m/>
    <s v="_1. Item _1"/>
    <n v="11"/>
    <x v="2"/>
    <x v="2"/>
    <n v="2021"/>
    <n v="2021"/>
    <b v="1"/>
  </r>
  <r>
    <x v="16"/>
    <m/>
    <x v="1"/>
    <s v="Centralized"/>
    <s v="Out"/>
    <m/>
    <m/>
    <m/>
    <m/>
    <n v="3"/>
    <s v="COMPLETE"/>
    <s v="f"/>
    <d v="2021-11-15T00:00:00"/>
    <d v="2021-11-25T00:00:00"/>
    <m/>
    <n v="8734.2900000000009"/>
    <m/>
    <m/>
    <m/>
    <m/>
    <m/>
    <m/>
    <m/>
    <s v="_1. Item _1"/>
    <n v="11"/>
    <x v="2"/>
    <x v="2"/>
    <n v="2021"/>
    <n v="2021"/>
    <b v="1"/>
  </r>
  <r>
    <x v="16"/>
    <m/>
    <x v="1"/>
    <s v="Centralized"/>
    <s v="Out"/>
    <m/>
    <m/>
    <m/>
    <s v="X"/>
    <n v="3"/>
    <s v="COMPLETE"/>
    <s v="f"/>
    <d v="2021-11-15T00:00:00"/>
    <d v="2021-11-25T00:00:00"/>
    <m/>
    <n v="24"/>
    <m/>
    <m/>
    <m/>
    <m/>
    <m/>
    <m/>
    <m/>
    <s v="_1. Item _1"/>
    <n v="11"/>
    <x v="2"/>
    <x v="2"/>
    <n v="2021"/>
    <n v="2021"/>
    <b v="1"/>
  </r>
  <r>
    <x v="15"/>
    <m/>
    <x v="1"/>
    <s v="Centralized"/>
    <s v="Out"/>
    <m/>
    <m/>
    <m/>
    <m/>
    <n v="3"/>
    <s v="COMPLETE"/>
    <s v="f"/>
    <d v="2021-11-15T00:00:00"/>
    <d v="2021-11-30T00:00:00"/>
    <m/>
    <n v="3845251.48"/>
    <m/>
    <m/>
    <m/>
    <m/>
    <m/>
    <m/>
    <m/>
    <s v="06. Item 06"/>
    <n v="11"/>
    <x v="2"/>
    <x v="2"/>
    <n v="2021"/>
    <n v="2021"/>
    <b v="1"/>
  </r>
  <r>
    <x v="30"/>
    <m/>
    <x v="1"/>
    <s v="Centralized"/>
    <s v="Out"/>
    <m/>
    <m/>
    <m/>
    <m/>
    <n v="3"/>
    <s v="COMPLETE"/>
    <s v="f"/>
    <d v="2021-11-15T00:00:00"/>
    <d v="2021-11-30T00:00:00"/>
    <m/>
    <n v="10701643.25"/>
    <m/>
    <m/>
    <m/>
    <m/>
    <m/>
    <m/>
    <m/>
    <s v="10. Item 10"/>
    <n v="11"/>
    <x v="2"/>
    <x v="2"/>
    <n v="2021"/>
    <n v="2021"/>
    <b v="1"/>
  </r>
  <r>
    <x v="11"/>
    <m/>
    <x v="1"/>
    <s v="Centralized"/>
    <s v="Out"/>
    <m/>
    <m/>
    <m/>
    <m/>
    <n v="3"/>
    <s v="COMPLETE"/>
    <s v="f"/>
    <d v="2021-11-15T00:00:00"/>
    <d v="2021-11-25T00:00:00"/>
    <m/>
    <n v="66151.41"/>
    <m/>
    <m/>
    <m/>
    <m/>
    <m/>
    <m/>
    <m/>
    <s v="13. Item 13"/>
    <n v="11"/>
    <x v="2"/>
    <x v="2"/>
    <n v="2021"/>
    <n v="2021"/>
    <b v="1"/>
  </r>
  <r>
    <x v="16"/>
    <m/>
    <x v="1"/>
    <s v="Centralized"/>
    <s v="Out"/>
    <m/>
    <m/>
    <m/>
    <m/>
    <n v="3"/>
    <s v="COMPLETE"/>
    <s v="f"/>
    <d v="2021-11-15T00:00:00"/>
    <d v="2021-11-19T00:00:00"/>
    <m/>
    <n v="48965.06"/>
    <m/>
    <m/>
    <m/>
    <m/>
    <m/>
    <m/>
    <m/>
    <s v="_1. Item _1"/>
    <n v="11"/>
    <x v="2"/>
    <x v="2"/>
    <n v="2021"/>
    <n v="2021"/>
    <b v="1"/>
  </r>
  <r>
    <x v="10"/>
    <m/>
    <x v="1"/>
    <s v="Centralized"/>
    <s v="Out"/>
    <m/>
    <m/>
    <m/>
    <m/>
    <n v="3"/>
    <s v="COMPLETE"/>
    <s v="f"/>
    <d v="2021-11-15T00:00:00"/>
    <d v="2021-11-19T00:00:00"/>
    <m/>
    <n v="214527.74"/>
    <m/>
    <m/>
    <m/>
    <m/>
    <m/>
    <m/>
    <m/>
    <s v="11. Item 11"/>
    <n v="11"/>
    <x v="2"/>
    <x v="2"/>
    <n v="2021"/>
    <n v="2021"/>
    <b v="1"/>
  </r>
  <r>
    <x v="13"/>
    <m/>
    <x v="1"/>
    <s v="Centralized"/>
    <s v="Out"/>
    <m/>
    <m/>
    <m/>
    <m/>
    <n v="3"/>
    <s v="COMPLETE"/>
    <s v="f"/>
    <d v="2021-11-15T00:00:00"/>
    <d v="2021-11-23T00:00:00"/>
    <m/>
    <n v="228028.08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1"/>
    <s v="COMPLETE"/>
    <s v="f"/>
    <d v="2021-11-15T00:00:00"/>
    <d v="2021-11-24T00:00:00"/>
    <m/>
    <n v="14552.89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4"/>
    <s v="COMPLETE"/>
    <s v="f"/>
    <d v="2021-11-15T00:00:00"/>
    <d v="2021-11-30T00:00:00"/>
    <m/>
    <n v="34337.040000000001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s v="X"/>
    <n v="2"/>
    <s v="COMPLETE"/>
    <s v="f"/>
    <d v="2021-11-10T00:00:00"/>
    <d v="2021-11-19T00:00:00"/>
    <m/>
    <n v="82289.149999999994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2"/>
    <s v="COMPLETE"/>
    <s v="f"/>
    <d v="2021-11-05T00:00:00"/>
    <d v="2021-11-19T00:00:00"/>
    <m/>
    <n v="178571.43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1"/>
    <s v="COMPLETE"/>
    <s v="f"/>
    <d v="2021-11-15T00:00:00"/>
    <d v="2021-11-23T00:00:00"/>
    <m/>
    <n v="2156128.71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3"/>
    <s v="COMPLETE"/>
    <s v="f"/>
    <d v="2021-11-15T00:00:00"/>
    <d v="2021-11-24T00:00:00"/>
    <m/>
    <n v="184572.4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3"/>
    <s v="COMPLETE"/>
    <s v="f"/>
    <d v="2021-11-15T00:00:00"/>
    <d v="2021-11-24T00:00:00"/>
    <m/>
    <n v="60725.79"/>
    <m/>
    <m/>
    <m/>
    <m/>
    <m/>
    <m/>
    <m/>
    <s v="13. Item 13"/>
    <n v="11"/>
    <x v="2"/>
    <x v="2"/>
    <n v="2021"/>
    <n v="2021"/>
    <b v="1"/>
  </r>
  <r>
    <x v="13"/>
    <m/>
    <x v="1"/>
    <s v="Centralized"/>
    <s v="Out"/>
    <m/>
    <m/>
    <m/>
    <m/>
    <n v="1"/>
    <s v="COMPLETE"/>
    <s v="f"/>
    <d v="2021-11-15T00:00:00"/>
    <d v="2021-11-24T00:00:00"/>
    <m/>
    <n v="363.93"/>
    <m/>
    <m/>
    <m/>
    <m/>
    <m/>
    <m/>
    <m/>
    <s v="13. Item 13"/>
    <n v="11"/>
    <x v="2"/>
    <x v="2"/>
    <n v="2021"/>
    <n v="2021"/>
    <b v="1"/>
  </r>
  <r>
    <x v="3"/>
    <m/>
    <x v="1"/>
    <s v="Centralized"/>
    <s v="In"/>
    <m/>
    <m/>
    <m/>
    <m/>
    <m/>
    <s v="COMPLETE"/>
    <s v="f"/>
    <d v="2021-11-12T00:00:00"/>
    <d v="2021-11-12T00:00:00"/>
    <m/>
    <n v="66.55"/>
    <m/>
    <m/>
    <m/>
    <m/>
    <m/>
    <m/>
    <m/>
    <s v="04. Item 04"/>
    <n v="11"/>
    <x v="2"/>
    <x v="2"/>
    <n v="2021"/>
    <n v="2021"/>
    <b v="1"/>
  </r>
  <r>
    <x v="3"/>
    <m/>
    <x v="1"/>
    <s v="Centralized"/>
    <s v="In"/>
    <m/>
    <m/>
    <m/>
    <m/>
    <m/>
    <s v="COMPLETE"/>
    <s v="f"/>
    <d v="2021-11-16T00:00:00"/>
    <d v="2021-11-16T00:00:00"/>
    <m/>
    <n v="76669.399999999994"/>
    <m/>
    <m/>
    <m/>
    <m/>
    <m/>
    <m/>
    <m/>
    <s v="04. Item 04"/>
    <n v="11"/>
    <x v="2"/>
    <x v="2"/>
    <n v="2021"/>
    <n v="2021"/>
    <b v="1"/>
  </r>
  <r>
    <x v="5"/>
    <m/>
    <x v="1"/>
    <s v="Centralized"/>
    <s v="Out"/>
    <m/>
    <m/>
    <m/>
    <m/>
    <n v="3"/>
    <s v="COMPLETE"/>
    <s v="f"/>
    <d v="2021-11-17T00:00:00"/>
    <d v="2021-11-26T00:00:00"/>
    <m/>
    <n v="11666.67"/>
    <m/>
    <m/>
    <m/>
    <m/>
    <m/>
    <m/>
    <m/>
    <s v="05. Item 05"/>
    <n v="11"/>
    <x v="2"/>
    <x v="2"/>
    <n v="2021"/>
    <n v="2021"/>
    <b v="1"/>
  </r>
  <r>
    <x v="20"/>
    <m/>
    <x v="1"/>
    <s v="Centralized"/>
    <s v="In"/>
    <m/>
    <m/>
    <m/>
    <m/>
    <m/>
    <s v="COMPLETE"/>
    <s v="f"/>
    <d v="2021-11-17T00:00:00"/>
    <d v="2021-11-17T00:00:00"/>
    <m/>
    <n v="11156.36"/>
    <m/>
    <m/>
    <m/>
    <m/>
    <m/>
    <m/>
    <m/>
    <s v="14. Item 14"/>
    <n v="11"/>
    <x v="2"/>
    <x v="2"/>
    <n v="2021"/>
    <n v="2021"/>
    <b v="1"/>
  </r>
  <r>
    <x v="8"/>
    <m/>
    <x v="1"/>
    <s v="Centralized"/>
    <s v="In"/>
    <m/>
    <m/>
    <m/>
    <m/>
    <m/>
    <s v="COMPLETE"/>
    <s v="f"/>
    <d v="2021-11-18T00:00:00"/>
    <d v="2021-11-18T00:00:00"/>
    <m/>
    <n v="109257.22"/>
    <m/>
    <m/>
    <m/>
    <m/>
    <m/>
    <m/>
    <m/>
    <s v="09. Item 09"/>
    <n v="11"/>
    <x v="2"/>
    <x v="2"/>
    <n v="2021"/>
    <n v="2021"/>
    <b v="1"/>
  </r>
  <r>
    <x v="8"/>
    <m/>
    <x v="1"/>
    <s v="Centralized"/>
    <s v="Out"/>
    <m/>
    <m/>
    <m/>
    <m/>
    <n v="3"/>
    <s v="COMPLETE"/>
    <s v="f"/>
    <d v="2021-11-15T00:00:00"/>
    <d v="2021-11-29T00:00:00"/>
    <m/>
    <n v="615015.68999999994"/>
    <m/>
    <m/>
    <m/>
    <m/>
    <m/>
    <m/>
    <m/>
    <s v="09. Item 09"/>
    <n v="11"/>
    <x v="2"/>
    <x v="2"/>
    <n v="2021"/>
    <n v="2021"/>
    <b v="1"/>
  </r>
  <r>
    <x v="22"/>
    <m/>
    <x v="1"/>
    <s v="Centralized"/>
    <s v="Out"/>
    <m/>
    <m/>
    <m/>
    <m/>
    <n v="3"/>
    <s v="COMPLETE"/>
    <s v="f"/>
    <d v="2021-11-15T00:00:00"/>
    <d v="2021-11-30T00:00:00"/>
    <m/>
    <n v="4107972.79"/>
    <m/>
    <m/>
    <m/>
    <m/>
    <m/>
    <m/>
    <m/>
    <s v="04. Item 04"/>
    <n v="11"/>
    <x v="2"/>
    <x v="2"/>
    <n v="2021"/>
    <n v="2021"/>
    <b v="1"/>
  </r>
  <r>
    <x v="22"/>
    <m/>
    <x v="1"/>
    <s v="Centralized"/>
    <s v="Out"/>
    <m/>
    <m/>
    <m/>
    <m/>
    <n v="4"/>
    <s v="COMPLETE"/>
    <s v="f"/>
    <d v="2021-11-01T00:00:00"/>
    <d v="2021-11-26T00:00:00"/>
    <m/>
    <n v="69369.710000000006"/>
    <m/>
    <m/>
    <m/>
    <m/>
    <m/>
    <m/>
    <m/>
    <s v="04. Item 04"/>
    <n v="11"/>
    <x v="2"/>
    <x v="2"/>
    <n v="2021"/>
    <n v="2021"/>
    <b v="1"/>
  </r>
  <r>
    <x v="16"/>
    <m/>
    <x v="1"/>
    <s v="Centralized"/>
    <s v="Out"/>
    <m/>
    <m/>
    <m/>
    <m/>
    <n v="3"/>
    <s v="COMPLETE"/>
    <s v="f"/>
    <d v="2021-11-15T00:00:00"/>
    <d v="2021-11-25T00:00:00"/>
    <m/>
    <n v="3500000"/>
    <m/>
    <m/>
    <m/>
    <m/>
    <m/>
    <m/>
    <m/>
    <s v="_1. Item _1"/>
    <n v="11"/>
    <x v="2"/>
    <x v="2"/>
    <n v="2021"/>
    <n v="2021"/>
    <b v="1"/>
  </r>
  <r>
    <x v="3"/>
    <m/>
    <x v="1"/>
    <s v="Centralized"/>
    <s v="Out"/>
    <m/>
    <m/>
    <m/>
    <m/>
    <n v="4"/>
    <s v="COMPLETE"/>
    <s v="f"/>
    <d v="2021-11-15T00:00:00"/>
    <d v="2021-11-29T00:00:00"/>
    <m/>
    <n v="1056890.52"/>
    <m/>
    <m/>
    <m/>
    <m/>
    <m/>
    <m/>
    <m/>
    <s v="04. Item 04"/>
    <n v="11"/>
    <x v="2"/>
    <x v="2"/>
    <n v="2021"/>
    <n v="2021"/>
    <b v="1"/>
  </r>
  <r>
    <x v="22"/>
    <m/>
    <x v="1"/>
    <s v="Centralized"/>
    <s v="Out"/>
    <m/>
    <m/>
    <m/>
    <m/>
    <n v="1"/>
    <s v="COMPLETE"/>
    <s v="f"/>
    <d v="2021-11-19T00:00:00"/>
    <d v="2021-11-30T00:00:00"/>
    <m/>
    <n v="21647.45"/>
    <m/>
    <m/>
    <m/>
    <m/>
    <m/>
    <m/>
    <m/>
    <s v="04. Item 04"/>
    <n v="11"/>
    <x v="2"/>
    <x v="2"/>
    <n v="2021"/>
    <n v="2021"/>
    <b v="1"/>
  </r>
  <r>
    <x v="4"/>
    <m/>
    <x v="1"/>
    <s v="Centralized"/>
    <s v="Out"/>
    <m/>
    <m/>
    <m/>
    <m/>
    <n v="1"/>
    <s v="COMPLETE"/>
    <s v="f"/>
    <d v="2021-11-01T00:00:00"/>
    <d v="2021-11-25T00:00:00"/>
    <m/>
    <n v="443104.42"/>
    <m/>
    <m/>
    <m/>
    <m/>
    <m/>
    <m/>
    <m/>
    <s v="05. Item 05"/>
    <n v="11"/>
    <x v="2"/>
    <x v="2"/>
    <n v="2021"/>
    <n v="2021"/>
    <b v="1"/>
  </r>
  <r>
    <x v="5"/>
    <m/>
    <x v="1"/>
    <s v="Centralized"/>
    <s v="Out"/>
    <m/>
    <m/>
    <m/>
    <s v="X"/>
    <n v="1"/>
    <s v="COMPLETE"/>
    <s v="f"/>
    <d v="2021-11-01T00:00:00"/>
    <d v="2021-11-26T00:00:00"/>
    <m/>
    <n v="2285467.0099999998"/>
    <m/>
    <m/>
    <m/>
    <m/>
    <m/>
    <m/>
    <m/>
    <s v="05. Item 05"/>
    <n v="11"/>
    <x v="2"/>
    <x v="2"/>
    <n v="2021"/>
    <n v="2021"/>
    <b v="1"/>
  </r>
  <r>
    <x v="6"/>
    <m/>
    <x v="1"/>
    <s v="Centralized"/>
    <s v="In"/>
    <m/>
    <m/>
    <m/>
    <m/>
    <m/>
    <s v="COMPLETE"/>
    <s v="f"/>
    <d v="2021-11-19T00:00:00"/>
    <d v="2021-11-19T00:00:00"/>
    <m/>
    <n v="3573777.3"/>
    <m/>
    <m/>
    <m/>
    <m/>
    <m/>
    <m/>
    <m/>
    <s v="07. Item 07"/>
    <n v="11"/>
    <x v="2"/>
    <x v="2"/>
    <n v="2021"/>
    <n v="2021"/>
    <b v="1"/>
  </r>
  <r>
    <x v="7"/>
    <m/>
    <x v="1"/>
    <s v="Centralized"/>
    <s v="In"/>
    <m/>
    <m/>
    <m/>
    <m/>
    <m/>
    <s v="COMPLETE"/>
    <s v="f"/>
    <d v="2021-11-22T00:00:00"/>
    <d v="2021-11-22T00:00:00"/>
    <m/>
    <n v="256714.83"/>
    <m/>
    <m/>
    <m/>
    <m/>
    <m/>
    <m/>
    <m/>
    <s v="08. Item 08"/>
    <n v="11"/>
    <x v="2"/>
    <x v="2"/>
    <n v="2021"/>
    <n v="2021"/>
    <b v="1"/>
  </r>
  <r>
    <x v="21"/>
    <m/>
    <x v="1"/>
    <s v="Centralized"/>
    <s v="In"/>
    <m/>
    <m/>
    <m/>
    <m/>
    <m/>
    <s v="COMPLETE"/>
    <s v="f"/>
    <d v="2021-11-23T00:00:00"/>
    <d v="2021-11-23T00:00:00"/>
    <m/>
    <n v="2746290.95"/>
    <m/>
    <m/>
    <m/>
    <m/>
    <m/>
    <m/>
    <m/>
    <s v="09. Item 09"/>
    <n v="11"/>
    <x v="2"/>
    <x v="2"/>
    <n v="2021"/>
    <n v="2021"/>
    <b v="1"/>
  </r>
  <r>
    <x v="9"/>
    <m/>
    <x v="1"/>
    <s v="Centralized"/>
    <s v="Out"/>
    <m/>
    <m/>
    <m/>
    <m/>
    <n v="3"/>
    <s v="COMPLETE"/>
    <s v="f"/>
    <d v="2021-12-01T00:00:00"/>
    <d v="2021-12-15T00:00:00"/>
    <m/>
    <n v="178.98"/>
    <m/>
    <m/>
    <m/>
    <m/>
    <m/>
    <m/>
    <m/>
    <s v="09. Item 09"/>
    <n v="12"/>
    <x v="0"/>
    <x v="2"/>
    <n v="2021"/>
    <n v="2021"/>
    <b v="1"/>
  </r>
  <r>
    <x v="8"/>
    <m/>
    <x v="1"/>
    <s v="Centralized"/>
    <s v="Out"/>
    <m/>
    <m/>
    <m/>
    <m/>
    <n v="1"/>
    <s v="COMPLETE"/>
    <s v="f"/>
    <d v="2021-11-23T00:00:00"/>
    <d v="2021-12-01T00:00:00"/>
    <m/>
    <n v="19366.509999999998"/>
    <m/>
    <m/>
    <m/>
    <m/>
    <m/>
    <m/>
    <m/>
    <s v="09. Item 09"/>
    <n v="11"/>
    <x v="0"/>
    <x v="2"/>
    <n v="2021"/>
    <n v="2021"/>
    <b v="1"/>
  </r>
  <r>
    <x v="30"/>
    <m/>
    <x v="1"/>
    <s v="Centralized"/>
    <s v="Out"/>
    <m/>
    <m/>
    <m/>
    <m/>
    <n v="1"/>
    <s v="COMPLETE"/>
    <s v="f"/>
    <d v="2021-11-23T00:00:00"/>
    <d v="2021-12-02T00:00:00"/>
    <m/>
    <n v="7004.57"/>
    <m/>
    <m/>
    <m/>
    <m/>
    <m/>
    <m/>
    <m/>
    <s v="10. Item 10"/>
    <n v="11"/>
    <x v="0"/>
    <x v="2"/>
    <n v="2021"/>
    <n v="2021"/>
    <b v="1"/>
  </r>
  <r>
    <x v="31"/>
    <m/>
    <x v="1"/>
    <s v="Centralized"/>
    <s v="In"/>
    <m/>
    <m/>
    <m/>
    <m/>
    <m/>
    <s v="COMPLETE"/>
    <s v="f"/>
    <d v="2021-11-24T00:00:00"/>
    <d v="2021-11-24T00:00:00"/>
    <m/>
    <n v="1465978"/>
    <m/>
    <m/>
    <m/>
    <m/>
    <m/>
    <m/>
    <m/>
    <s v="10. Item 10"/>
    <n v="11"/>
    <x v="2"/>
    <x v="2"/>
    <n v="2021"/>
    <n v="2021"/>
    <b v="1"/>
  </r>
  <r>
    <x v="10"/>
    <m/>
    <x v="1"/>
    <s v="Centralized"/>
    <s v="In"/>
    <m/>
    <m/>
    <m/>
    <m/>
    <m/>
    <s v="COMPLETE"/>
    <s v="f"/>
    <d v="2021-11-25T00:00:00"/>
    <d v="2021-11-25T00:00:00"/>
    <m/>
    <n v="4054041.8"/>
    <m/>
    <m/>
    <m/>
    <m/>
    <m/>
    <m/>
    <m/>
    <s v="11. Item 11"/>
    <n v="11"/>
    <x v="2"/>
    <x v="2"/>
    <n v="2021"/>
    <n v="2021"/>
    <b v="1"/>
  </r>
  <r>
    <x v="32"/>
    <m/>
    <x v="1"/>
    <s v="Centralized"/>
    <s v="In"/>
    <m/>
    <m/>
    <m/>
    <m/>
    <m/>
    <s v="COMPLETE"/>
    <s v="f"/>
    <d v="2021-11-26T00:00:00"/>
    <d v="2021-11-26T00:00:00"/>
    <m/>
    <n v="2366503.39"/>
    <m/>
    <m/>
    <m/>
    <m/>
    <m/>
    <m/>
    <m/>
    <s v="12. Item 12"/>
    <n v="11"/>
    <x v="2"/>
    <x v="2"/>
    <n v="2021"/>
    <n v="2021"/>
    <b v="1"/>
  </r>
  <r>
    <x v="29"/>
    <m/>
    <x v="1"/>
    <s v="Centralized"/>
    <s v="In"/>
    <m/>
    <m/>
    <m/>
    <m/>
    <m/>
    <s v="COMPLETE"/>
    <s v="f"/>
    <d v="2021-11-29T00:00:00"/>
    <d v="2021-11-29T00:00:00"/>
    <m/>
    <n v="1671906.21"/>
    <m/>
    <m/>
    <m/>
    <m/>
    <m/>
    <m/>
    <m/>
    <s v="13. Item 13"/>
    <n v="11"/>
    <x v="2"/>
    <x v="2"/>
    <n v="2021"/>
    <n v="2021"/>
    <b v="1"/>
  </r>
  <r>
    <x v="11"/>
    <m/>
    <x v="1"/>
    <s v="Centralized"/>
    <s v="In"/>
    <m/>
    <m/>
    <m/>
    <m/>
    <m/>
    <s v="COMPLETE"/>
    <s v="f"/>
    <d v="2021-11-30T00:00:00"/>
    <d v="2021-11-30T00:00:00"/>
    <m/>
    <n v="18760894.41"/>
    <m/>
    <m/>
    <m/>
    <m/>
    <m/>
    <m/>
    <m/>
    <s v="13. Item 13"/>
    <n v="11"/>
    <x v="2"/>
    <x v="2"/>
    <n v="2021"/>
    <n v="2021"/>
    <b v="1"/>
  </r>
  <r>
    <x v="33"/>
    <m/>
    <x v="1"/>
    <s v="Centralized"/>
    <s v="In"/>
    <m/>
    <m/>
    <m/>
    <m/>
    <m/>
    <s v="COMPLETE"/>
    <s v="f"/>
    <d v="2021-12-01T00:00:00"/>
    <d v="2021-12-01T00:00:00"/>
    <m/>
    <n v="19366.509999999998"/>
    <m/>
    <m/>
    <m/>
    <m/>
    <m/>
    <m/>
    <m/>
    <s v="13. Item 13"/>
    <n v="12"/>
    <x v="0"/>
    <x v="2"/>
    <n v="2021"/>
    <n v="2021"/>
    <b v="1"/>
  </r>
  <r>
    <x v="34"/>
    <m/>
    <x v="1"/>
    <s v="Centralized"/>
    <s v="In"/>
    <m/>
    <m/>
    <m/>
    <m/>
    <m/>
    <s v="COMPLETE"/>
    <s v="f"/>
    <d v="2021-12-02T00:00:00"/>
    <d v="2021-12-02T00:00:00"/>
    <m/>
    <n v="7004.57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n v="4"/>
    <s v="COMPLETE"/>
    <s v="f"/>
    <d v="2021-12-01T00:00:00"/>
    <d v="2021-12-17T00:00:00"/>
    <m/>
    <n v="197428.42"/>
    <m/>
    <m/>
    <m/>
    <m/>
    <m/>
    <m/>
    <m/>
    <s v="13. Item 13"/>
    <n v="12"/>
    <x v="0"/>
    <x v="2"/>
    <n v="2021"/>
    <n v="2021"/>
    <b v="1"/>
  </r>
  <r>
    <x v="20"/>
    <m/>
    <x v="1"/>
    <s v="Centralized"/>
    <s v="Out"/>
    <m/>
    <m/>
    <m/>
    <m/>
    <n v="1"/>
    <s v="COMPLETE"/>
    <s v="f"/>
    <d v="2021-12-01T00:00:00"/>
    <d v="2021-12-09T00:00:00"/>
    <m/>
    <n v="25922.35"/>
    <m/>
    <m/>
    <m/>
    <m/>
    <m/>
    <m/>
    <m/>
    <s v="14. Item 14"/>
    <n v="12"/>
    <x v="0"/>
    <x v="2"/>
    <n v="2021"/>
    <n v="2021"/>
    <b v="1"/>
  </r>
  <r>
    <x v="15"/>
    <m/>
    <x v="1"/>
    <s v="Centralized"/>
    <s v="Out"/>
    <m/>
    <m/>
    <m/>
    <m/>
    <n v="1"/>
    <s v="COMPLETE"/>
    <s v="f"/>
    <d v="2021-12-01T00:00:00"/>
    <d v="2021-12-10T00:00:00"/>
    <m/>
    <n v="1842.86"/>
    <m/>
    <m/>
    <m/>
    <m/>
    <m/>
    <m/>
    <m/>
    <s v="06. Item 06"/>
    <n v="12"/>
    <x v="0"/>
    <x v="2"/>
    <n v="2021"/>
    <n v="2021"/>
    <b v="1"/>
  </r>
  <r>
    <x v="13"/>
    <m/>
    <x v="1"/>
    <s v="Centralized"/>
    <s v="Out"/>
    <m/>
    <m/>
    <m/>
    <m/>
    <n v="1"/>
    <s v="COMPLETE"/>
    <s v="f"/>
    <d v="2021-12-02T00:00:00"/>
    <d v="2021-12-15T00:00:00"/>
    <m/>
    <n v="1241.49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m/>
    <m/>
    <s v="p"/>
    <d v="2021-12-01T00:00:00"/>
    <d v="2021-12-01T00:00:00"/>
    <n v="2974331.31"/>
    <m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m/>
    <m/>
    <s v="p"/>
    <d v="2021-12-01T00:00:00"/>
    <d v="2021-12-01T00:00:00"/>
    <n v="130367.86"/>
    <m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m/>
    <m/>
    <s v="p"/>
    <d v="2021-12-01T00:00:00"/>
    <d v="2021-12-01T00:00:00"/>
    <n v="609761.9"/>
    <m/>
    <m/>
    <m/>
    <m/>
    <m/>
    <m/>
    <m/>
    <m/>
    <s v="13. Item 13"/>
    <n v="12"/>
    <x v="0"/>
    <x v="2"/>
    <n v="2021"/>
    <n v="2021"/>
    <b v="1"/>
  </r>
  <r>
    <x v="34"/>
    <m/>
    <x v="1"/>
    <s v="Centralized"/>
    <s v="Out"/>
    <m/>
    <m/>
    <m/>
    <s v="X"/>
    <n v="1"/>
    <s v="COMPLETE"/>
    <s v="f"/>
    <d v="2021-12-03T00:00:00"/>
    <d v="2021-12-15T00:00:00"/>
    <m/>
    <n v="2500000"/>
    <m/>
    <m/>
    <m/>
    <m/>
    <m/>
    <m/>
    <m/>
    <s v="13. Item 13"/>
    <n v="12"/>
    <x v="0"/>
    <x v="2"/>
    <n v="2021"/>
    <n v="2021"/>
    <b v="1"/>
  </r>
  <r>
    <x v="10"/>
    <m/>
    <x v="1"/>
    <s v="Centralized"/>
    <s v="Out"/>
    <m/>
    <m/>
    <m/>
    <m/>
    <n v="1"/>
    <s v="COMPLETE"/>
    <s v="f"/>
    <d v="2021-12-03T00:00:00"/>
    <d v="2021-12-17T00:00:00"/>
    <m/>
    <n v="4302.72"/>
    <m/>
    <m/>
    <m/>
    <m/>
    <m/>
    <m/>
    <m/>
    <s v="11. Item 11"/>
    <n v="12"/>
    <x v="0"/>
    <x v="2"/>
    <n v="2021"/>
    <n v="2021"/>
    <b v="1"/>
  </r>
  <r>
    <x v="5"/>
    <m/>
    <x v="1"/>
    <s v="Centralized"/>
    <s v="Out"/>
    <m/>
    <m/>
    <m/>
    <s v="X"/>
    <n v="1"/>
    <s v="COMPLETE"/>
    <s v="f"/>
    <d v="2021-12-03T00:00:00"/>
    <d v="2021-12-16T00:00:00"/>
    <m/>
    <n v="11915.49"/>
    <m/>
    <m/>
    <m/>
    <m/>
    <m/>
    <m/>
    <m/>
    <s v="05. Item 05"/>
    <n v="12"/>
    <x v="0"/>
    <x v="2"/>
    <n v="2021"/>
    <n v="2021"/>
    <b v="1"/>
  </r>
  <r>
    <x v="5"/>
    <m/>
    <x v="1"/>
    <s v="Centralized"/>
    <s v="Out"/>
    <m/>
    <m/>
    <m/>
    <m/>
    <n v="1"/>
    <s v="COMPLETE"/>
    <s v="f"/>
    <d v="2021-12-03T00:00:00"/>
    <d v="2021-12-16T00:00:00"/>
    <m/>
    <n v="18.45"/>
    <m/>
    <m/>
    <m/>
    <m/>
    <m/>
    <m/>
    <m/>
    <s v="05. Item 05"/>
    <n v="12"/>
    <x v="0"/>
    <x v="2"/>
    <n v="2021"/>
    <n v="2021"/>
    <b v="1"/>
  </r>
  <r>
    <x v="4"/>
    <m/>
    <x v="1"/>
    <s v="Centralized"/>
    <s v="Out"/>
    <m/>
    <m/>
    <m/>
    <s v="X"/>
    <n v="1"/>
    <s v="COMPLETE"/>
    <s v="f"/>
    <d v="2021-12-03T00:00:00"/>
    <d v="2021-12-15T00:00:00"/>
    <m/>
    <n v="6332.86"/>
    <m/>
    <m/>
    <m/>
    <m/>
    <m/>
    <m/>
    <m/>
    <s v="05. Item 05"/>
    <n v="12"/>
    <x v="0"/>
    <x v="2"/>
    <n v="2021"/>
    <n v="2021"/>
    <b v="1"/>
  </r>
  <r>
    <x v="6"/>
    <m/>
    <x v="1"/>
    <s v="Centralized"/>
    <s v="Out"/>
    <m/>
    <m/>
    <m/>
    <m/>
    <n v="1"/>
    <s v="COMPLETE"/>
    <s v="f"/>
    <d v="2021-12-03T00:00:00"/>
    <d v="2021-12-15T00:00:00"/>
    <m/>
    <n v="124007.61"/>
    <m/>
    <m/>
    <m/>
    <m/>
    <m/>
    <m/>
    <m/>
    <s v="07. Item 07"/>
    <n v="12"/>
    <x v="0"/>
    <x v="2"/>
    <n v="2021"/>
    <n v="2021"/>
    <b v="1"/>
  </r>
  <r>
    <x v="7"/>
    <m/>
    <x v="1"/>
    <s v="Centralized"/>
    <s v="Out"/>
    <m/>
    <m/>
    <m/>
    <s v="X"/>
    <n v="1"/>
    <s v="COMPLETE"/>
    <s v="f"/>
    <d v="2021-12-03T00:00:00"/>
    <d v="2021-12-17T00:00:00"/>
    <m/>
    <n v="68724.61"/>
    <m/>
    <m/>
    <m/>
    <m/>
    <m/>
    <m/>
    <m/>
    <s v="08. Item 08"/>
    <n v="12"/>
    <x v="0"/>
    <x v="2"/>
    <n v="2021"/>
    <n v="2021"/>
    <b v="1"/>
  </r>
  <r>
    <x v="21"/>
    <m/>
    <x v="1"/>
    <s v="Centralized"/>
    <s v="Out"/>
    <m/>
    <m/>
    <m/>
    <m/>
    <n v="1"/>
    <s v="COMPLETE"/>
    <s v="f"/>
    <d v="2021-12-03T00:00:00"/>
    <d v="2021-12-17T00:00:00"/>
    <m/>
    <n v="5948.21"/>
    <m/>
    <m/>
    <m/>
    <m/>
    <m/>
    <m/>
    <m/>
    <s v="09. Item 09"/>
    <n v="12"/>
    <x v="0"/>
    <x v="2"/>
    <n v="2021"/>
    <n v="2021"/>
    <b v="1"/>
  </r>
  <r>
    <x v="21"/>
    <m/>
    <x v="1"/>
    <s v="Centralized"/>
    <s v="Out"/>
    <m/>
    <m/>
    <m/>
    <m/>
    <n v="1"/>
    <s v="COMPLETE"/>
    <s v="f"/>
    <d v="2021-12-03T00:00:00"/>
    <d v="2021-12-17T00:00:00"/>
    <m/>
    <n v="4380.95"/>
    <m/>
    <m/>
    <m/>
    <m/>
    <m/>
    <m/>
    <m/>
    <s v="09. Item 09"/>
    <n v="12"/>
    <x v="0"/>
    <x v="2"/>
    <n v="2021"/>
    <n v="2021"/>
    <b v="1"/>
  </r>
  <r>
    <x v="9"/>
    <m/>
    <x v="1"/>
    <s v="Centralized"/>
    <s v="Out"/>
    <m/>
    <m/>
    <m/>
    <s v="X"/>
    <n v="1"/>
    <s v="COMPLETE"/>
    <s v="f"/>
    <d v="2021-12-03T00:00:00"/>
    <d v="2021-12-15T00:00:00"/>
    <m/>
    <n v="63887.86"/>
    <m/>
    <m/>
    <m/>
    <m/>
    <m/>
    <m/>
    <m/>
    <s v="09. Item 09"/>
    <n v="12"/>
    <x v="0"/>
    <x v="2"/>
    <n v="2021"/>
    <n v="2021"/>
    <b v="1"/>
  </r>
  <r>
    <x v="8"/>
    <m/>
    <x v="1"/>
    <s v="Centralized"/>
    <s v="Out"/>
    <m/>
    <m/>
    <m/>
    <s v="X"/>
    <n v="1"/>
    <s v="COMPLETE"/>
    <s v="f"/>
    <d v="2021-12-03T00:00:00"/>
    <d v="2021-12-17T00:00:00"/>
    <m/>
    <n v="916.67"/>
    <m/>
    <m/>
    <m/>
    <m/>
    <m/>
    <m/>
    <m/>
    <s v="09. Item 09"/>
    <n v="12"/>
    <x v="0"/>
    <x v="2"/>
    <n v="2021"/>
    <n v="2021"/>
    <b v="1"/>
  </r>
  <r>
    <x v="31"/>
    <m/>
    <x v="1"/>
    <s v="Centralized"/>
    <s v="Out"/>
    <m/>
    <m/>
    <m/>
    <m/>
    <n v="1"/>
    <s v="COMPLETE"/>
    <s v="f"/>
    <d v="2021-12-03T00:00:00"/>
    <d v="2021-12-17T00:00:00"/>
    <m/>
    <n v="157974.49"/>
    <m/>
    <m/>
    <m/>
    <m/>
    <m/>
    <m/>
    <m/>
    <s v="10. Item 10"/>
    <n v="12"/>
    <x v="0"/>
    <x v="2"/>
    <n v="2021"/>
    <n v="2021"/>
    <b v="1"/>
  </r>
  <r>
    <x v="23"/>
    <m/>
    <x v="1"/>
    <s v="Centralized"/>
    <s v="Out"/>
    <m/>
    <m/>
    <m/>
    <m/>
    <n v="1"/>
    <s v="COMPLETE"/>
    <s v="f"/>
    <d v="2021-12-03T00:00:00"/>
    <d v="2021-12-21T00:00:00"/>
    <m/>
    <n v="476.19"/>
    <m/>
    <m/>
    <m/>
    <m/>
    <m/>
    <m/>
    <m/>
    <s v="21. Item 21"/>
    <n v="12"/>
    <x v="0"/>
    <x v="2"/>
    <n v="2021"/>
    <n v="2021"/>
    <b v="1"/>
  </r>
  <r>
    <x v="32"/>
    <m/>
    <x v="1"/>
    <s v="Centralized"/>
    <s v="Out"/>
    <m/>
    <m/>
    <m/>
    <m/>
    <n v="1"/>
    <s v="COMPLETE"/>
    <s v="f"/>
    <d v="2021-12-03T00:00:00"/>
    <d v="2021-12-09T00:00:00"/>
    <m/>
    <n v="1105.5999999999999"/>
    <m/>
    <m/>
    <m/>
    <m/>
    <m/>
    <m/>
    <m/>
    <s v="12. Item 12"/>
    <n v="12"/>
    <x v="0"/>
    <x v="2"/>
    <n v="2021"/>
    <n v="2021"/>
    <b v="1"/>
  </r>
  <r>
    <x v="32"/>
    <m/>
    <x v="1"/>
    <s v="Centralized"/>
    <s v="Out"/>
    <m/>
    <m/>
    <m/>
    <m/>
    <n v="1"/>
    <s v="COMPLETE"/>
    <s v="f"/>
    <d v="2021-12-03T00:00:00"/>
    <d v="2021-12-10T00:00:00"/>
    <m/>
    <n v="23060.55"/>
    <m/>
    <m/>
    <m/>
    <m/>
    <m/>
    <m/>
    <m/>
    <s v="12. Item 12"/>
    <n v="12"/>
    <x v="0"/>
    <x v="2"/>
    <n v="2021"/>
    <n v="2021"/>
    <b v="1"/>
  </r>
  <r>
    <x v="29"/>
    <m/>
    <x v="1"/>
    <s v="Centralized"/>
    <s v="In"/>
    <m/>
    <m/>
    <m/>
    <m/>
    <m/>
    <s v="COMPLETE"/>
    <s v="f"/>
    <d v="2021-12-07T00:00:00"/>
    <d v="2021-12-07T00:00:00"/>
    <m/>
    <n v="246.71"/>
    <m/>
    <m/>
    <m/>
    <m/>
    <m/>
    <m/>
    <m/>
    <s v="13. Item 13"/>
    <n v="12"/>
    <x v="0"/>
    <x v="2"/>
    <n v="2021"/>
    <n v="2021"/>
    <b v="1"/>
  </r>
  <r>
    <x v="11"/>
    <m/>
    <x v="1"/>
    <s v="Centralized"/>
    <s v="Out"/>
    <m/>
    <m/>
    <m/>
    <m/>
    <n v="4"/>
    <s v="COMPLETE"/>
    <s v="f"/>
    <d v="2021-12-01T00:00:00"/>
    <d v="2021-12-07T00:00:00"/>
    <m/>
    <n v="246.71"/>
    <m/>
    <m/>
    <m/>
    <m/>
    <m/>
    <m/>
    <m/>
    <s v="13. Item 13"/>
    <n v="12"/>
    <x v="0"/>
    <x v="2"/>
    <n v="2021"/>
    <n v="2021"/>
    <b v="1"/>
  </r>
  <r>
    <x v="3"/>
    <m/>
    <x v="1"/>
    <s v="Centralized"/>
    <s v="In"/>
    <m/>
    <m/>
    <m/>
    <m/>
    <m/>
    <s v="COMPLETE"/>
    <s v="f"/>
    <d v="2021-12-09T00:00:00"/>
    <d v="2021-12-09T00:00:00"/>
    <m/>
    <n v="27027.94"/>
    <m/>
    <m/>
    <m/>
    <m/>
    <m/>
    <m/>
    <m/>
    <s v="04. Item 04"/>
    <n v="12"/>
    <x v="0"/>
    <x v="2"/>
    <n v="2021"/>
    <n v="2021"/>
    <b v="1"/>
  </r>
  <r>
    <x v="16"/>
    <m/>
    <x v="1"/>
    <s v="Centralized"/>
    <s v="In"/>
    <m/>
    <m/>
    <m/>
    <m/>
    <m/>
    <s v="COMPLETE"/>
    <s v="f"/>
    <d v="2021-12-10T00:00:00"/>
    <d v="2021-12-10T00:00:00"/>
    <m/>
    <n v="24903.41"/>
    <m/>
    <m/>
    <m/>
    <m/>
    <m/>
    <m/>
    <m/>
    <s v="_1. Item _1"/>
    <n v="12"/>
    <x v="0"/>
    <x v="2"/>
    <n v="2021"/>
    <n v="2021"/>
    <b v="1"/>
  </r>
  <r>
    <x v="16"/>
    <m/>
    <x v="2"/>
    <s v="Centralized"/>
    <s v="In"/>
    <m/>
    <m/>
    <m/>
    <m/>
    <m/>
    <m/>
    <s v="f"/>
    <d v="2021-11-30T00:00:00"/>
    <d v="2021-11-30T00:00:00"/>
    <m/>
    <n v="45147075.460000001"/>
    <m/>
    <m/>
    <m/>
    <m/>
    <m/>
    <m/>
    <m/>
    <s v="_1. Item _1"/>
    <n v="11"/>
    <x v="2"/>
    <x v="2"/>
    <n v="2021"/>
    <n v="2021"/>
    <b v="1"/>
  </r>
  <r>
    <x v="13"/>
    <m/>
    <x v="2"/>
    <s v="Centralized"/>
    <s v="Out"/>
    <m/>
    <m/>
    <m/>
    <m/>
    <m/>
    <m/>
    <s v="f"/>
    <d v="2021-12-01T00:00:00"/>
    <d v="2021-12-01T00:00:00"/>
    <m/>
    <n v="124007.61"/>
    <m/>
    <m/>
    <m/>
    <m/>
    <m/>
    <m/>
    <m/>
    <s v="13. Item 13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1968179.94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9295028.1400000006"/>
    <m/>
    <m/>
    <m/>
    <m/>
    <m/>
    <m/>
    <m/>
    <s v="_1. Item _1"/>
    <n v="12"/>
    <x v="0"/>
    <x v="2"/>
    <n v="2021"/>
    <n v="2021"/>
    <b v="1"/>
  </r>
  <r>
    <x v="21"/>
    <m/>
    <x v="2"/>
    <s v="Centralized"/>
    <s v="Out"/>
    <m/>
    <m/>
    <m/>
    <m/>
    <m/>
    <m/>
    <s v="f"/>
    <d v="2021-12-01T00:00:00"/>
    <d v="2021-12-01T00:00:00"/>
    <n v="80.81"/>
    <n v="20633.189999999999"/>
    <m/>
    <m/>
    <m/>
    <m/>
    <m/>
    <m/>
    <m/>
    <s v="09. Item 09"/>
    <n v="12"/>
    <x v="0"/>
    <x v="2"/>
    <n v="2021"/>
    <n v="2021"/>
    <b v="1"/>
  </r>
  <r>
    <x v="21"/>
    <m/>
    <x v="2"/>
    <s v="Centralized"/>
    <s v="Out"/>
    <m/>
    <m/>
    <m/>
    <m/>
    <m/>
    <m/>
    <s v="f"/>
    <d v="2021-12-01T00:00:00"/>
    <d v="2021-12-01T00:00:00"/>
    <m/>
    <n v="9897608.6099999994"/>
    <m/>
    <m/>
    <m/>
    <m/>
    <m/>
    <m/>
    <m/>
    <s v="09. Item 09"/>
    <n v="12"/>
    <x v="0"/>
    <x v="2"/>
    <n v="2021"/>
    <n v="2021"/>
    <b v="1"/>
  </r>
  <r>
    <x v="20"/>
    <m/>
    <x v="2"/>
    <s v="Centralized"/>
    <s v="Out"/>
    <m/>
    <m/>
    <m/>
    <m/>
    <m/>
    <m/>
    <s v="f"/>
    <d v="2021-12-01T00:00:00"/>
    <d v="2021-12-01T00:00:00"/>
    <m/>
    <n v="615875.46"/>
    <m/>
    <m/>
    <m/>
    <m/>
    <m/>
    <m/>
    <m/>
    <s v="14. Item 14"/>
    <n v="12"/>
    <x v="0"/>
    <x v="2"/>
    <n v="2021"/>
    <n v="2021"/>
    <b v="1"/>
  </r>
  <r>
    <x v="25"/>
    <m/>
    <x v="2"/>
    <s v="Centralized"/>
    <s v="Out"/>
    <m/>
    <m/>
    <m/>
    <m/>
    <m/>
    <m/>
    <s v="f"/>
    <d v="2021-12-01T00:00:00"/>
    <d v="2021-12-01T00:00:00"/>
    <m/>
    <n v="2012560.47"/>
    <m/>
    <m/>
    <m/>
    <m/>
    <m/>
    <m/>
    <m/>
    <s v="03. Item 03"/>
    <n v="12"/>
    <x v="0"/>
    <x v="2"/>
    <n v="2021"/>
    <n v="2021"/>
    <b v="1"/>
  </r>
  <r>
    <x v="14"/>
    <m/>
    <x v="2"/>
    <s v="Centralized"/>
    <s v="Out"/>
    <m/>
    <m/>
    <m/>
    <m/>
    <m/>
    <m/>
    <s v="f"/>
    <d v="2021-12-01T00:00:00"/>
    <d v="2021-12-01T00:00:00"/>
    <m/>
    <n v="242600.63"/>
    <m/>
    <m/>
    <m/>
    <m/>
    <m/>
    <m/>
    <m/>
    <s v="19. Item 19"/>
    <n v="12"/>
    <x v="0"/>
    <x v="2"/>
    <n v="2021"/>
    <n v="2021"/>
    <b v="1"/>
  </r>
  <r>
    <x v="8"/>
    <m/>
    <x v="2"/>
    <s v="Centralized"/>
    <s v="Out"/>
    <m/>
    <m/>
    <m/>
    <m/>
    <m/>
    <m/>
    <s v="f"/>
    <d v="2021-12-01T00:00:00"/>
    <d v="2021-12-01T00:00:00"/>
    <n v="5960.47"/>
    <n v="460782.45"/>
    <m/>
    <m/>
    <m/>
    <m/>
    <m/>
    <m/>
    <m/>
    <s v="09. Item 09"/>
    <n v="12"/>
    <x v="0"/>
    <x v="2"/>
    <n v="2021"/>
    <n v="2021"/>
    <b v="1"/>
  </r>
  <r>
    <x v="15"/>
    <m/>
    <x v="2"/>
    <s v="Centralized"/>
    <s v="Out"/>
    <m/>
    <m/>
    <m/>
    <m/>
    <m/>
    <m/>
    <s v="f"/>
    <d v="2021-12-01T00:00:00"/>
    <d v="2021-12-01T00:00:00"/>
    <m/>
    <n v="4302.72"/>
    <m/>
    <m/>
    <m/>
    <m/>
    <m/>
    <m/>
    <m/>
    <s v="06. Item 06"/>
    <n v="12"/>
    <x v="0"/>
    <x v="2"/>
    <n v="2021"/>
    <n v="2021"/>
    <b v="1"/>
  </r>
  <r>
    <x v="15"/>
    <m/>
    <x v="2"/>
    <s v="Centralized"/>
    <s v="Out"/>
    <m/>
    <m/>
    <m/>
    <m/>
    <m/>
    <m/>
    <s v="f"/>
    <d v="2021-12-01T00:00:00"/>
    <d v="2021-12-01T00:00:00"/>
    <m/>
    <n v="42740.77"/>
    <m/>
    <m/>
    <m/>
    <m/>
    <m/>
    <m/>
    <m/>
    <s v="06. Item 06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29805.09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353990.78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308587.84000000003"/>
    <m/>
    <m/>
    <m/>
    <m/>
    <m/>
    <m/>
    <m/>
    <s v="_1. Item _1"/>
    <n v="12"/>
    <x v="0"/>
    <x v="2"/>
    <n v="2021"/>
    <n v="2021"/>
    <b v="1"/>
  </r>
  <r>
    <x v="22"/>
    <m/>
    <x v="2"/>
    <s v="Centralized"/>
    <s v="Out"/>
    <m/>
    <m/>
    <m/>
    <m/>
    <m/>
    <m/>
    <s v="f"/>
    <d v="2021-12-01T00:00:00"/>
    <d v="2021-12-01T00:00:00"/>
    <m/>
    <n v="340614.59"/>
    <m/>
    <m/>
    <m/>
    <m/>
    <m/>
    <m/>
    <m/>
    <s v="04. Item 04"/>
    <n v="12"/>
    <x v="0"/>
    <x v="2"/>
    <n v="2021"/>
    <n v="2021"/>
    <b v="1"/>
  </r>
  <r>
    <x v="8"/>
    <m/>
    <x v="2"/>
    <s v="Centralized"/>
    <s v="Out"/>
    <m/>
    <m/>
    <m/>
    <m/>
    <m/>
    <m/>
    <s v="f"/>
    <d v="2021-12-01T00:00:00"/>
    <d v="2021-12-01T00:00:00"/>
    <m/>
    <n v="148419.20000000001"/>
    <m/>
    <m/>
    <m/>
    <m/>
    <m/>
    <m/>
    <m/>
    <s v="09. Item 09"/>
    <n v="12"/>
    <x v="0"/>
    <x v="2"/>
    <n v="2021"/>
    <n v="2021"/>
    <b v="1"/>
  </r>
  <r>
    <x v="8"/>
    <m/>
    <x v="2"/>
    <s v="Centralized"/>
    <s v="Out"/>
    <m/>
    <m/>
    <m/>
    <m/>
    <m/>
    <m/>
    <s v="f"/>
    <d v="2021-12-01T00:00:00"/>
    <d v="2021-12-01T00:00:00"/>
    <m/>
    <n v="143.57"/>
    <m/>
    <m/>
    <m/>
    <m/>
    <m/>
    <m/>
    <m/>
    <s v="09. Item 09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80294.289999999994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8093.43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n v="23878.799999999999"/>
    <n v="1418230.13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4017361.97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206117.36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103255.49"/>
    <m/>
    <m/>
    <m/>
    <m/>
    <m/>
    <m/>
    <m/>
    <s v="_1. Item _1"/>
    <n v="12"/>
    <x v="0"/>
    <x v="2"/>
    <n v="2021"/>
    <n v="2021"/>
    <b v="1"/>
  </r>
  <r>
    <x v="16"/>
    <m/>
    <x v="2"/>
    <s v="Centralized"/>
    <s v="Out"/>
    <m/>
    <m/>
    <m/>
    <m/>
    <m/>
    <m/>
    <s v="f"/>
    <d v="2021-12-01T00:00:00"/>
    <d v="2021-12-01T00:00:00"/>
    <m/>
    <n v="246.71"/>
    <m/>
    <m/>
    <m/>
    <m/>
    <m/>
    <m/>
    <m/>
    <s v="_1. Item _1"/>
    <n v="12"/>
    <x v="0"/>
    <x v="2"/>
    <n v="2021"/>
    <n v="2021"/>
    <b v="1"/>
  </r>
  <r>
    <x v="20"/>
    <m/>
    <x v="1"/>
    <s v="Centralized"/>
    <s v="In"/>
    <m/>
    <m/>
    <m/>
    <m/>
    <m/>
    <s v="COMPLETE"/>
    <s v="f"/>
    <d v="2021-12-15T00:00:00"/>
    <d v="2021-12-15T00:00:00"/>
    <m/>
    <n v="2695648.81"/>
    <m/>
    <m/>
    <m/>
    <m/>
    <m/>
    <m/>
    <m/>
    <s v="14. Item 14"/>
    <n v="12"/>
    <x v="0"/>
    <x v="2"/>
    <n v="2021"/>
    <n v="2021"/>
    <b v="1"/>
  </r>
  <r>
    <x v="8"/>
    <m/>
    <x v="1"/>
    <s v="Centralized"/>
    <s v="Out"/>
    <m/>
    <m/>
    <m/>
    <s v="X"/>
    <n v="3"/>
    <s v="COMPLETE"/>
    <s v="f"/>
    <d v="2021-12-01T00:00:00"/>
    <d v="2021-12-17T00:00:00"/>
    <m/>
    <n v="846592.9"/>
    <m/>
    <m/>
    <m/>
    <m/>
    <m/>
    <m/>
    <m/>
    <s v="09. Item 09"/>
    <n v="12"/>
    <x v="0"/>
    <x v="2"/>
    <n v="2021"/>
    <n v="2021"/>
    <b v="1"/>
  </r>
  <r>
    <x v="8"/>
    <m/>
    <x v="1"/>
    <s v="Centralized"/>
    <s v="Out"/>
    <m/>
    <m/>
    <m/>
    <m/>
    <n v="3"/>
    <s v="COMPLETE"/>
    <s v="f"/>
    <d v="2021-12-01T00:00:00"/>
    <d v="2021-12-21T00:00:00"/>
    <m/>
    <n v="45608.53"/>
    <m/>
    <m/>
    <m/>
    <m/>
    <m/>
    <m/>
    <m/>
    <s v="09. Item 09"/>
    <n v="12"/>
    <x v="0"/>
    <x v="2"/>
    <n v="2021"/>
    <n v="2021"/>
    <b v="1"/>
  </r>
  <r>
    <x v="8"/>
    <m/>
    <x v="1"/>
    <s v="Centralized"/>
    <s v="Out"/>
    <m/>
    <m/>
    <m/>
    <m/>
    <n v="3"/>
    <s v="COMPLETE"/>
    <s v="f"/>
    <d v="2021-12-01T00:00:00"/>
    <d v="2021-12-23T00:00:00"/>
    <m/>
    <n v="728014.77"/>
    <m/>
    <m/>
    <m/>
    <m/>
    <m/>
    <m/>
    <m/>
    <s v="09. Item 09"/>
    <n v="12"/>
    <x v="0"/>
    <x v="2"/>
    <n v="2021"/>
    <n v="2021"/>
    <b v="1"/>
  </r>
  <r>
    <x v="22"/>
    <m/>
    <x v="1"/>
    <s v="Centralized"/>
    <s v="Out"/>
    <m/>
    <m/>
    <m/>
    <m/>
    <n v="3"/>
    <s v="COMPLETE"/>
    <s v="f"/>
    <d v="2021-12-15T00:00:00"/>
    <d v="2021-12-29T00:00:00"/>
    <m/>
    <n v="9897608.6099999994"/>
    <m/>
    <m/>
    <m/>
    <m/>
    <m/>
    <m/>
    <m/>
    <s v="04. Item 04"/>
    <n v="12"/>
    <x v="0"/>
    <x v="2"/>
    <n v="2021"/>
    <n v="2021"/>
    <b v="1"/>
  </r>
  <r>
    <x v="3"/>
    <m/>
    <x v="1"/>
    <s v="Centralized"/>
    <s v="Out"/>
    <m/>
    <m/>
    <m/>
    <m/>
    <n v="3"/>
    <s v="COMPLETE"/>
    <s v="f"/>
    <d v="2021-12-15T00:00:00"/>
    <d v="2021-12-23T00:00:00"/>
    <m/>
    <n v="615875.46"/>
    <m/>
    <m/>
    <m/>
    <m/>
    <m/>
    <m/>
    <m/>
    <s v="04. Item 04"/>
    <n v="12"/>
    <x v="0"/>
    <x v="2"/>
    <n v="2021"/>
    <n v="2021"/>
    <b v="1"/>
  </r>
  <r>
    <x v="7"/>
    <m/>
    <x v="1"/>
    <s v="Centralized"/>
    <s v="Out"/>
    <m/>
    <m/>
    <m/>
    <m/>
    <n v="4"/>
    <s v="COMPLETE"/>
    <s v="f"/>
    <d v="2021-12-15T00:00:00"/>
    <d v="2021-12-28T00:00:00"/>
    <m/>
    <n v="1056890.52"/>
    <m/>
    <m/>
    <m/>
    <m/>
    <m/>
    <m/>
    <m/>
    <s v="08. Item 08"/>
    <n v="12"/>
    <x v="0"/>
    <x v="2"/>
    <n v="2021"/>
    <n v="2021"/>
    <b v="1"/>
  </r>
  <r>
    <x v="15"/>
    <m/>
    <x v="1"/>
    <s v="Centralized"/>
    <s v="Out"/>
    <m/>
    <m/>
    <m/>
    <m/>
    <n v="3"/>
    <s v="COMPLETE"/>
    <s v="f"/>
    <d v="2021-12-15T00:00:00"/>
    <d v="2021-12-21T00:00:00"/>
    <m/>
    <n v="116408.31"/>
    <m/>
    <m/>
    <m/>
    <m/>
    <m/>
    <m/>
    <m/>
    <s v="06. Item 06"/>
    <n v="12"/>
    <x v="0"/>
    <x v="2"/>
    <n v="2021"/>
    <n v="2021"/>
    <b v="1"/>
  </r>
  <r>
    <x v="30"/>
    <m/>
    <x v="1"/>
    <s v="Centralized"/>
    <s v="Out"/>
    <m/>
    <m/>
    <m/>
    <m/>
    <n v="3"/>
    <s v="COMPLETE"/>
    <s v="f"/>
    <d v="2021-12-15T00:00:00"/>
    <d v="2021-12-22T00:00:00"/>
    <m/>
    <n v="30398.51"/>
    <m/>
    <m/>
    <m/>
    <m/>
    <m/>
    <m/>
    <m/>
    <s v="10. Item 10"/>
    <n v="12"/>
    <x v="0"/>
    <x v="2"/>
    <n v="2021"/>
    <n v="2021"/>
    <b v="1"/>
  </r>
  <r>
    <x v="10"/>
    <m/>
    <x v="1"/>
    <s v="Centralized"/>
    <s v="Out"/>
    <m/>
    <m/>
    <m/>
    <m/>
    <n v="3"/>
    <s v="COMPLETE"/>
    <s v="f"/>
    <d v="2021-12-15T00:00:00"/>
    <d v="2021-12-23T00:00:00"/>
    <m/>
    <n v="193807.76"/>
    <m/>
    <m/>
    <m/>
    <m/>
    <m/>
    <m/>
    <m/>
    <s v="11. Item 11"/>
    <n v="12"/>
    <x v="0"/>
    <x v="2"/>
    <n v="2021"/>
    <n v="2021"/>
    <b v="1"/>
  </r>
  <r>
    <x v="10"/>
    <m/>
    <x v="1"/>
    <s v="Centralized"/>
    <s v="Out"/>
    <m/>
    <m/>
    <m/>
    <m/>
    <n v="3"/>
    <s v="COMPLETE"/>
    <s v="f"/>
    <d v="2021-12-15T00:00:00"/>
    <d v="2021-12-17T00:00:00"/>
    <m/>
    <n v="84592.5"/>
    <m/>
    <m/>
    <m/>
    <m/>
    <m/>
    <m/>
    <m/>
    <s v="11. Item 11"/>
    <n v="12"/>
    <x v="0"/>
    <x v="2"/>
    <n v="2021"/>
    <n v="2021"/>
    <b v="1"/>
  </r>
  <r>
    <x v="3"/>
    <m/>
    <x v="1"/>
    <s v="Centralized"/>
    <s v="Out"/>
    <m/>
    <m/>
    <m/>
    <m/>
    <n v="3"/>
    <s v="COMPLETE"/>
    <s v="f"/>
    <d v="2021-12-15T00:00:00"/>
    <d v="2021-12-24T00:00:00"/>
    <m/>
    <n v="63826.7"/>
    <m/>
    <m/>
    <m/>
    <m/>
    <m/>
    <m/>
    <m/>
    <s v="04. Item 04"/>
    <n v="12"/>
    <x v="0"/>
    <x v="2"/>
    <n v="2021"/>
    <n v="2021"/>
    <b v="1"/>
  </r>
  <r>
    <x v="3"/>
    <m/>
    <x v="1"/>
    <s v="Centralized"/>
    <s v="Out"/>
    <m/>
    <m/>
    <m/>
    <m/>
    <n v="1"/>
    <s v="COMPLETE"/>
    <s v="f"/>
    <d v="2021-12-02T00:00:00"/>
    <d v="2021-12-16T00:00:00"/>
    <m/>
    <n v="8393.14"/>
    <m/>
    <m/>
    <m/>
    <m/>
    <m/>
    <m/>
    <m/>
    <s v="04. Item 04"/>
    <n v="12"/>
    <x v="0"/>
    <x v="2"/>
    <n v="2021"/>
    <n v="2021"/>
    <b v="1"/>
  </r>
  <r>
    <x v="5"/>
    <m/>
    <x v="1"/>
    <s v="Centralized"/>
    <s v="Out"/>
    <m/>
    <m/>
    <m/>
    <m/>
    <n v="1"/>
    <s v="COMPLETE"/>
    <s v="f"/>
    <d v="2021-12-02T00:00:00"/>
    <d v="2021-12-17T00:00:00"/>
    <m/>
    <n v="4546.32"/>
    <m/>
    <m/>
    <m/>
    <m/>
    <m/>
    <m/>
    <m/>
    <s v="05. Item 05"/>
    <n v="12"/>
    <x v="0"/>
    <x v="2"/>
    <n v="2021"/>
    <n v="2021"/>
    <b v="1"/>
  </r>
  <r>
    <x v="5"/>
    <m/>
    <x v="1"/>
    <s v="Centralized"/>
    <s v="Out"/>
    <m/>
    <m/>
    <m/>
    <m/>
    <n v="1"/>
    <s v="COMPLETE"/>
    <s v="f"/>
    <d v="2021-12-02T00:00:00"/>
    <d v="2021-12-21T00:00:00"/>
    <m/>
    <n v="167148.93"/>
    <m/>
    <m/>
    <m/>
    <m/>
    <m/>
    <m/>
    <m/>
    <s v="05. Item 05"/>
    <n v="12"/>
    <x v="0"/>
    <x v="2"/>
    <n v="2021"/>
    <n v="2021"/>
    <b v="1"/>
  </r>
  <r>
    <x v="34"/>
    <m/>
    <x v="1"/>
    <s v="Centralized"/>
    <s v="Out"/>
    <m/>
    <m/>
    <m/>
    <m/>
    <n v="3"/>
    <s v="COMPLETE"/>
    <s v="f"/>
    <d v="2021-12-15T00:00:00"/>
    <d v="2021-12-23T00:00:00"/>
    <m/>
    <n v="23249.919999999998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n v="3"/>
    <s v="COMPLETE"/>
    <s v="f"/>
    <d v="2021-12-15T00:00:00"/>
    <d v="2021-12-27T00:00:00"/>
    <m/>
    <n v="6101.03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n v="3"/>
    <s v="COMPLETE"/>
    <s v="f"/>
    <d v="2021-12-15T00:00:00"/>
    <d v="2021-12-16T00:00:00"/>
    <m/>
    <n v="4297.7700000000004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s v="X"/>
    <n v="3"/>
    <s v="COMPLETE"/>
    <s v="f"/>
    <d v="2021-12-15T00:00:00"/>
    <d v="2021-12-29T00:00:00"/>
    <m/>
    <n v="718114.29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n v="3"/>
    <s v="COMPLETE"/>
    <s v="f"/>
    <d v="2021-12-15T00:00:00"/>
    <d v="2021-12-29T00:00:00"/>
    <m/>
    <n v="1682740.73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s v="X"/>
    <n v="4"/>
    <s v="COMPLETE"/>
    <s v="f"/>
    <d v="2021-12-15T00:00:00"/>
    <d v="2021-12-28T00:00:00"/>
    <m/>
    <n v="12582.91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n v="4"/>
    <s v="COMPLETE"/>
    <s v="f"/>
    <d v="2021-12-15T00:00:00"/>
    <d v="2021-12-28T00:00:00"/>
    <m/>
    <n v="10532.87"/>
    <m/>
    <m/>
    <m/>
    <m/>
    <m/>
    <m/>
    <m/>
    <s v="13. Item 13"/>
    <n v="12"/>
    <x v="0"/>
    <x v="2"/>
    <n v="2021"/>
    <n v="2021"/>
    <b v="1"/>
  </r>
  <r>
    <x v="16"/>
    <m/>
    <x v="1"/>
    <s v="Centralized"/>
    <s v="Out"/>
    <m/>
    <m/>
    <m/>
    <s v="X"/>
    <n v="4"/>
    <s v="COMPLETE"/>
    <s v="f"/>
    <d v="2021-12-15T00:00:00"/>
    <d v="2021-12-24T00:00:00"/>
    <m/>
    <n v="3940.48"/>
    <m/>
    <m/>
    <m/>
    <m/>
    <m/>
    <m/>
    <m/>
    <s v="_1. Item _1"/>
    <n v="12"/>
    <x v="0"/>
    <x v="2"/>
    <n v="2021"/>
    <n v="2021"/>
    <b v="1"/>
  </r>
  <r>
    <x v="14"/>
    <m/>
    <x v="1"/>
    <s v="Centralized"/>
    <s v="Out"/>
    <m/>
    <m/>
    <m/>
    <m/>
    <n v="4"/>
    <s v="COMPLETE"/>
    <s v="f"/>
    <d v="2021-12-15T00:00:00"/>
    <d v="2021-12-24T00:00:00"/>
    <m/>
    <n v="35246.75"/>
    <m/>
    <m/>
    <m/>
    <m/>
    <m/>
    <m/>
    <m/>
    <s v="19. Item 19"/>
    <n v="12"/>
    <x v="0"/>
    <x v="2"/>
    <n v="2021"/>
    <n v="2021"/>
    <b v="1"/>
  </r>
  <r>
    <x v="16"/>
    <m/>
    <x v="1"/>
    <s v="Centralized"/>
    <s v="Out"/>
    <m/>
    <m/>
    <m/>
    <m/>
    <n v="4"/>
    <s v="COMPLETE"/>
    <s v="f"/>
    <d v="2021-12-15T00:00:00"/>
    <d v="2021-12-24T00:00:00"/>
    <m/>
    <n v="75913.33"/>
    <m/>
    <m/>
    <m/>
    <m/>
    <m/>
    <m/>
    <m/>
    <s v="_1. Item _1"/>
    <n v="12"/>
    <x v="0"/>
    <x v="2"/>
    <n v="2021"/>
    <n v="2021"/>
    <b v="1"/>
  </r>
  <r>
    <x v="16"/>
    <m/>
    <x v="1"/>
    <s v="Centralized"/>
    <s v="Out"/>
    <m/>
    <m/>
    <m/>
    <s v="X"/>
    <n v="4"/>
    <s v="COMPLETE"/>
    <s v="f"/>
    <d v="2021-12-15T00:00:00"/>
    <d v="2021-12-24T00:00:00"/>
    <m/>
    <n v="9700.92"/>
    <m/>
    <m/>
    <m/>
    <m/>
    <m/>
    <m/>
    <m/>
    <s v="_1. Item _1"/>
    <n v="12"/>
    <x v="0"/>
    <x v="2"/>
    <n v="2021"/>
    <n v="2021"/>
    <b v="1"/>
  </r>
  <r>
    <x v="16"/>
    <m/>
    <x v="1"/>
    <s v="Centralized"/>
    <s v="Out"/>
    <m/>
    <m/>
    <m/>
    <m/>
    <n v="4"/>
    <s v="COMPLETE"/>
    <s v="f"/>
    <d v="2021-12-15T00:00:00"/>
    <d v="2021-12-24T00:00:00"/>
    <m/>
    <n v="1294547.21"/>
    <m/>
    <m/>
    <m/>
    <m/>
    <m/>
    <m/>
    <m/>
    <s v="_1. Item _1"/>
    <n v="12"/>
    <x v="0"/>
    <x v="2"/>
    <n v="2021"/>
    <n v="2021"/>
    <b v="1"/>
  </r>
  <r>
    <x v="3"/>
    <m/>
    <x v="1"/>
    <s v="Centralized"/>
    <s v="In"/>
    <m/>
    <m/>
    <m/>
    <m/>
    <m/>
    <s v="COMPLETE"/>
    <s v="f"/>
    <d v="2021-12-16T00:00:00"/>
    <d v="2021-12-16T00:00:00"/>
    <m/>
    <n v="24624.85"/>
    <m/>
    <m/>
    <m/>
    <m/>
    <m/>
    <m/>
    <m/>
    <s v="04. Item 04"/>
    <n v="12"/>
    <x v="0"/>
    <x v="2"/>
    <n v="2021"/>
    <n v="2021"/>
    <b v="1"/>
  </r>
  <r>
    <x v="22"/>
    <m/>
    <x v="1"/>
    <s v="Centralized"/>
    <s v="In"/>
    <m/>
    <m/>
    <m/>
    <m/>
    <m/>
    <s v="COMPLETE"/>
    <s v="f"/>
    <d v="2021-12-17T00:00:00"/>
    <d v="2021-12-17T00:00:00"/>
    <m/>
    <n v="1418148.57"/>
    <m/>
    <m/>
    <m/>
    <m/>
    <m/>
    <m/>
    <m/>
    <s v="04. Item 04"/>
    <n v="12"/>
    <x v="0"/>
    <x v="2"/>
    <n v="2021"/>
    <n v="2021"/>
    <b v="1"/>
  </r>
  <r>
    <x v="4"/>
    <m/>
    <x v="1"/>
    <s v="Centralized"/>
    <s v="In"/>
    <m/>
    <m/>
    <m/>
    <m/>
    <m/>
    <s v="COMPLETE"/>
    <s v="f"/>
    <d v="2021-12-20T00:00:00"/>
    <d v="2021-12-20T00:00:00"/>
    <m/>
    <n v="98303.11"/>
    <m/>
    <m/>
    <m/>
    <m/>
    <m/>
    <m/>
    <m/>
    <s v="05. Item 05"/>
    <n v="12"/>
    <x v="0"/>
    <x v="2"/>
    <n v="2021"/>
    <n v="2021"/>
    <b v="1"/>
  </r>
  <r>
    <x v="5"/>
    <m/>
    <x v="1"/>
    <s v="Decentralized"/>
    <s v="Out"/>
    <m/>
    <m/>
    <m/>
    <m/>
    <n v="1"/>
    <s v="COMPLETE"/>
    <s v="f"/>
    <d v="2021-12-06T00:00:00"/>
    <d v="2021-12-20T00:00:00"/>
    <m/>
    <n v="98303.11"/>
    <m/>
    <m/>
    <m/>
    <m/>
    <m/>
    <m/>
    <m/>
    <s v="05. Item 05"/>
    <n v="12"/>
    <x v="0"/>
    <x v="2"/>
    <n v="2021"/>
    <n v="2021"/>
    <b v="1"/>
  </r>
  <r>
    <x v="6"/>
    <m/>
    <x v="1"/>
    <s v="Centralized"/>
    <s v="Out"/>
    <m/>
    <m/>
    <m/>
    <m/>
    <n v="1"/>
    <s v="COMPLETE"/>
    <s v="f"/>
    <d v="2021-12-03T00:00:00"/>
    <d v="2021-12-17T00:00:00"/>
    <m/>
    <n v="42740.77"/>
    <m/>
    <m/>
    <m/>
    <m/>
    <m/>
    <m/>
    <m/>
    <s v="07. Item 07"/>
    <n v="12"/>
    <x v="0"/>
    <x v="2"/>
    <n v="2021"/>
    <n v="2021"/>
    <b v="1"/>
  </r>
  <r>
    <x v="7"/>
    <m/>
    <x v="1"/>
    <s v="Centralized"/>
    <s v="Out"/>
    <m/>
    <m/>
    <m/>
    <s v="X"/>
    <n v="2"/>
    <s v="COMPLETE"/>
    <s v="f"/>
    <d v="2021-12-10T00:00:00"/>
    <d v="2021-12-21T00:00:00"/>
    <m/>
    <n v="88657.04"/>
    <m/>
    <m/>
    <m/>
    <m/>
    <m/>
    <m/>
    <m/>
    <s v="08. Item 08"/>
    <n v="12"/>
    <x v="0"/>
    <x v="2"/>
    <n v="2021"/>
    <n v="2021"/>
    <b v="1"/>
  </r>
  <r>
    <x v="21"/>
    <m/>
    <x v="1"/>
    <s v="Centralized"/>
    <s v="Out"/>
    <m/>
    <m/>
    <m/>
    <m/>
    <n v="1"/>
    <s v="COMPLETE"/>
    <s v="f"/>
    <d v="2021-12-13T00:00:00"/>
    <d v="2021-12-21T00:00:00"/>
    <m/>
    <n v="472699.67"/>
    <m/>
    <m/>
    <m/>
    <m/>
    <m/>
    <m/>
    <m/>
    <s v="09. Item 09"/>
    <n v="12"/>
    <x v="0"/>
    <x v="2"/>
    <n v="2021"/>
    <n v="2021"/>
    <b v="1"/>
  </r>
  <r>
    <x v="9"/>
    <m/>
    <x v="1"/>
    <s v="Centralized"/>
    <s v="Out"/>
    <m/>
    <m/>
    <m/>
    <s v="X"/>
    <n v="1"/>
    <s v="COMPLETE"/>
    <s v="f"/>
    <d v="2021-12-17T00:00:00"/>
    <d v="2021-12-28T00:00:00"/>
    <m/>
    <n v="2149285.71"/>
    <m/>
    <m/>
    <m/>
    <m/>
    <m/>
    <m/>
    <m/>
    <s v="09. Item 09"/>
    <n v="12"/>
    <x v="0"/>
    <x v="2"/>
    <n v="2021"/>
    <n v="2021"/>
    <b v="1"/>
  </r>
  <r>
    <x v="8"/>
    <m/>
    <x v="1"/>
    <s v="Centralized"/>
    <s v="In"/>
    <m/>
    <m/>
    <m/>
    <m/>
    <m/>
    <s v="COMPLETE"/>
    <s v="f"/>
    <d v="2021-12-21T00:00:00"/>
    <d v="2021-12-21T00:00:00"/>
    <m/>
    <n v="890998.67"/>
    <m/>
    <m/>
    <m/>
    <m/>
    <m/>
    <m/>
    <m/>
    <s v="09. Item 09"/>
    <n v="12"/>
    <x v="0"/>
    <x v="2"/>
    <n v="2021"/>
    <n v="2021"/>
    <b v="1"/>
  </r>
  <r>
    <x v="30"/>
    <m/>
    <x v="1"/>
    <s v="Centralized"/>
    <s v="Out"/>
    <m/>
    <m/>
    <m/>
    <s v="X"/>
    <n v="4"/>
    <s v="COMPLETE"/>
    <s v="f"/>
    <d v="2021-12-15T00:00:00"/>
    <d v="2021-12-27T00:00:00"/>
    <m/>
    <n v="23.42"/>
    <m/>
    <m/>
    <m/>
    <m/>
    <m/>
    <m/>
    <m/>
    <s v="10. Item 10"/>
    <n v="12"/>
    <x v="0"/>
    <x v="2"/>
    <n v="2021"/>
    <n v="2021"/>
    <b v="1"/>
  </r>
  <r>
    <x v="31"/>
    <m/>
    <x v="1"/>
    <s v="Centralized"/>
    <s v="In"/>
    <m/>
    <m/>
    <m/>
    <m/>
    <m/>
    <s v="COMPLETE"/>
    <s v="f"/>
    <d v="2021-12-22T00:00:00"/>
    <d v="2021-12-22T00:00:00"/>
    <m/>
    <n v="30398.51"/>
    <m/>
    <m/>
    <m/>
    <m/>
    <m/>
    <m/>
    <m/>
    <s v="10. Item 10"/>
    <n v="12"/>
    <x v="0"/>
    <x v="2"/>
    <n v="2021"/>
    <n v="2021"/>
    <b v="1"/>
  </r>
  <r>
    <x v="10"/>
    <m/>
    <x v="1"/>
    <s v="Centralized"/>
    <s v="In"/>
    <m/>
    <m/>
    <m/>
    <m/>
    <m/>
    <s v="COMPLETE"/>
    <s v="f"/>
    <d v="2021-12-23T00:00:00"/>
    <d v="2021-12-23T00:00:00"/>
    <m/>
    <n v="1560947.92"/>
    <m/>
    <m/>
    <m/>
    <m/>
    <m/>
    <m/>
    <m/>
    <s v="11. Item 11"/>
    <n v="12"/>
    <x v="0"/>
    <x v="2"/>
    <n v="2021"/>
    <n v="2021"/>
    <b v="1"/>
  </r>
  <r>
    <x v="32"/>
    <m/>
    <x v="1"/>
    <s v="Centralized"/>
    <s v="Out"/>
    <m/>
    <m/>
    <m/>
    <s v="X"/>
    <n v="3"/>
    <s v="COMPLETE"/>
    <s v="f"/>
    <d v="2021-12-15T00:00:00"/>
    <d v="2021-12-28T00:00:00"/>
    <m/>
    <n v="38224.089999999997"/>
    <m/>
    <m/>
    <m/>
    <m/>
    <m/>
    <m/>
    <m/>
    <s v="12. Item 12"/>
    <n v="12"/>
    <x v="0"/>
    <x v="2"/>
    <n v="2021"/>
    <n v="2021"/>
    <b v="1"/>
  </r>
  <r>
    <x v="15"/>
    <m/>
    <x v="1"/>
    <s v="Centralized"/>
    <s v="Out"/>
    <m/>
    <m/>
    <m/>
    <m/>
    <n v="3"/>
    <s v="COMPLETE"/>
    <s v="f"/>
    <d v="2021-12-15T00:00:00"/>
    <d v="2021-12-29T00:00:00"/>
    <m/>
    <n v="1194377.6599999999"/>
    <m/>
    <m/>
    <m/>
    <m/>
    <m/>
    <m/>
    <m/>
    <s v="06. Item 06"/>
    <n v="12"/>
    <x v="0"/>
    <x v="2"/>
    <n v="2021"/>
    <n v="2021"/>
    <b v="1"/>
  </r>
  <r>
    <x v="29"/>
    <m/>
    <x v="1"/>
    <s v="Centralized"/>
    <s v="In"/>
    <m/>
    <m/>
    <m/>
    <m/>
    <m/>
    <s v="COMPLETE"/>
    <s v="f"/>
    <d v="2021-12-24T00:00:00"/>
    <d v="2021-12-24T00:00:00"/>
    <m/>
    <n v="1725776.02"/>
    <m/>
    <m/>
    <m/>
    <m/>
    <m/>
    <m/>
    <m/>
    <s v="13. Item 13"/>
    <n v="12"/>
    <x v="0"/>
    <x v="2"/>
    <n v="2021"/>
    <n v="2021"/>
    <b v="1"/>
  </r>
  <r>
    <x v="11"/>
    <m/>
    <x v="1"/>
    <s v="Centralized"/>
    <s v="Out"/>
    <m/>
    <m/>
    <m/>
    <m/>
    <n v="3"/>
    <s v="COMPLETE"/>
    <s v="f"/>
    <d v="2021-12-15T00:00:00"/>
    <d v="2021-12-24T00:00:00"/>
    <m/>
    <n v="242600.63"/>
    <m/>
    <m/>
    <m/>
    <m/>
    <m/>
    <m/>
    <m/>
    <s v="13. Item 13"/>
    <n v="12"/>
    <x v="0"/>
    <x v="2"/>
    <n v="2021"/>
    <n v="2021"/>
    <b v="1"/>
  </r>
  <r>
    <x v="33"/>
    <m/>
    <x v="1"/>
    <s v="Centralized"/>
    <s v="Out"/>
    <m/>
    <m/>
    <m/>
    <m/>
    <n v="3"/>
    <s v="COMPLETE"/>
    <s v="f"/>
    <d v="2021-12-15T00:00:00"/>
    <d v="2021-12-27T00:00:00"/>
    <m/>
    <n v="3500000"/>
    <m/>
    <m/>
    <m/>
    <m/>
    <m/>
    <m/>
    <m/>
    <s v="13. Item 13"/>
    <n v="12"/>
    <x v="0"/>
    <x v="2"/>
    <n v="2021"/>
    <n v="2021"/>
    <b v="1"/>
  </r>
  <r>
    <x v="34"/>
    <m/>
    <x v="1"/>
    <s v="Centralized"/>
    <s v="Out"/>
    <m/>
    <m/>
    <m/>
    <m/>
    <n v="3"/>
    <s v="COMPLETE"/>
    <s v="f"/>
    <d v="2021-12-15T00:00:00"/>
    <d v="2021-12-27T00:00:00"/>
    <m/>
    <n v="9387.59"/>
    <m/>
    <m/>
    <m/>
    <m/>
    <m/>
    <m/>
    <m/>
    <s v="13. Item 13"/>
    <n v="12"/>
    <x v="0"/>
    <x v="2"/>
    <n v="2021"/>
    <n v="2021"/>
    <b v="1"/>
  </r>
  <r>
    <x v="12"/>
    <m/>
    <x v="1"/>
    <s v="Centralized"/>
    <s v="Out"/>
    <m/>
    <m/>
    <m/>
    <m/>
    <n v="3"/>
    <s v="COMPLETE"/>
    <s v="f"/>
    <d v="2021-12-15T00:00:00"/>
    <d v="2021-12-27T00:00:00"/>
    <m/>
    <n v="111051.55"/>
    <m/>
    <m/>
    <m/>
    <m/>
    <m/>
    <m/>
    <m/>
    <s v="13. Item 13"/>
    <n v="12"/>
    <x v="0"/>
    <x v="2"/>
    <n v="2021"/>
    <n v="2021"/>
    <b v="1"/>
  </r>
  <r>
    <x v="13"/>
    <m/>
    <x v="1"/>
    <s v="Centralized"/>
    <s v="Out"/>
    <m/>
    <m/>
    <m/>
    <m/>
    <n v="3"/>
    <s v="COMPLETE"/>
    <s v="f"/>
    <d v="2021-12-15T00:00:00"/>
    <d v="2021-12-27T00:00:00"/>
    <m/>
    <n v="8807.99"/>
    <m/>
    <m/>
    <m/>
    <m/>
    <m/>
    <m/>
    <m/>
    <s v="13. Item 13"/>
    <n v="12"/>
    <x v="0"/>
    <x v="2"/>
    <n v="2021"/>
    <n v="2021"/>
    <b v="1"/>
  </r>
  <r>
    <x v="40"/>
    <m/>
    <x v="1"/>
    <s v="Centralized"/>
    <s v="Out"/>
    <m/>
    <m/>
    <m/>
    <m/>
    <n v="3"/>
    <s v="COMPLETE"/>
    <s v="f"/>
    <d v="2021-12-15T00:00:00"/>
    <d v="2021-12-28T00:00:00"/>
    <m/>
    <n v="12555.25"/>
    <m/>
    <m/>
    <m/>
    <m/>
    <m/>
    <m/>
    <m/>
    <s v="18. Item 18"/>
    <n v="12"/>
    <x v="0"/>
    <x v="2"/>
    <n v="2021"/>
    <n v="2021"/>
    <b v="1"/>
  </r>
  <r>
    <x v="20"/>
    <m/>
    <x v="1"/>
    <s v="Centralized"/>
    <s v="Out"/>
    <m/>
    <m/>
    <m/>
    <m/>
    <n v="3"/>
    <s v="COMPLETE"/>
    <s v="f"/>
    <d v="2021-12-15T00:00:00"/>
    <d v="2021-12-29T00:00:00"/>
    <m/>
    <n v="60228.18"/>
    <m/>
    <m/>
    <m/>
    <m/>
    <m/>
    <m/>
    <m/>
    <s v="14. Item 14"/>
    <n v="12"/>
    <x v="0"/>
    <x v="2"/>
    <n v="2021"/>
    <n v="2021"/>
    <b v="1"/>
  </r>
  <r>
    <x v="35"/>
    <m/>
    <x v="1"/>
    <s v="Centralized"/>
    <s v="Out"/>
    <m/>
    <m/>
    <m/>
    <m/>
    <n v="3"/>
    <s v="COMPLETE"/>
    <s v="f"/>
    <d v="2021-12-15T00:00:00"/>
    <d v="2021-12-29T00:00:00"/>
    <m/>
    <n v="9295028.1400000006"/>
    <m/>
    <m/>
    <m/>
    <m/>
    <m/>
    <m/>
    <m/>
    <s v="17. Item 17"/>
    <n v="12"/>
    <x v="0"/>
    <x v="2"/>
    <n v="2021"/>
    <n v="2021"/>
    <b v="1"/>
  </r>
  <r>
    <x v="14"/>
    <m/>
    <x v="1"/>
    <s v="Centralized"/>
    <s v="Out"/>
    <m/>
    <m/>
    <m/>
    <m/>
    <n v="3"/>
    <s v="COMPLETE"/>
    <s v="f"/>
    <d v="2021-12-15T00:00:00"/>
    <d v="2021-12-29T00:00:00"/>
    <m/>
    <n v="27718.35"/>
    <m/>
    <m/>
    <m/>
    <m/>
    <m/>
    <m/>
    <m/>
    <s v="19. Item 19"/>
    <n v="12"/>
    <x v="0"/>
    <x v="2"/>
    <n v="2021"/>
    <n v="2021"/>
    <b v="1"/>
  </r>
  <r>
    <x v="16"/>
    <m/>
    <x v="1"/>
    <s v="Centralized"/>
    <s v="Out"/>
    <m/>
    <m/>
    <m/>
    <m/>
    <n v="3"/>
    <s v="COMPLETE"/>
    <s v="f"/>
    <d v="2021-12-15T00:00:00"/>
    <d v="2021-12-28T00:00:00"/>
    <m/>
    <n v="549054.64"/>
    <m/>
    <m/>
    <m/>
    <m/>
    <m/>
    <m/>
    <m/>
    <s v="_1. Item _1"/>
    <n v="12"/>
    <x v="0"/>
    <x v="2"/>
    <n v="2021"/>
    <n v="2021"/>
    <b v="1"/>
  </r>
  <r>
    <x v="22"/>
    <s v="18. Item 18"/>
    <x v="1"/>
    <s v="Decentralized"/>
    <s v="Out"/>
    <m/>
    <m/>
    <m/>
    <m/>
    <m/>
    <m/>
    <s v="p"/>
    <d v="2021-12-01T00:00:00"/>
    <d v="2021-12-01T00:00:00"/>
    <n v="3405476.19"/>
    <m/>
    <m/>
    <m/>
    <m/>
    <m/>
    <m/>
    <m/>
    <m/>
    <s v="18. Item 18"/>
    <n v="12"/>
    <x v="0"/>
    <x v="2"/>
    <n v="2021"/>
    <n v="2021"/>
    <b v="1"/>
  </r>
  <r>
    <x v="22"/>
    <m/>
    <x v="1"/>
    <s v="Centralized"/>
    <s v="In"/>
    <m/>
    <m/>
    <m/>
    <m/>
    <m/>
    <s v="COMPLETE"/>
    <s v="f"/>
    <d v="2021-12-27T00:00:00"/>
    <d v="2021-12-27T00:00:00"/>
    <m/>
    <n v="3635371.58"/>
    <m/>
    <m/>
    <m/>
    <m/>
    <m/>
    <m/>
    <m/>
    <s v="04. Item 04"/>
    <n v="12"/>
    <x v="0"/>
    <x v="2"/>
    <n v="2021"/>
    <n v="2021"/>
    <b v="1"/>
  </r>
  <r>
    <x v="22"/>
    <m/>
    <x v="1"/>
    <s v="Centralized"/>
    <s v="In"/>
    <m/>
    <m/>
    <m/>
    <m/>
    <m/>
    <s v="COMPLETE"/>
    <s v="f"/>
    <d v="2021-12-28T00:00:00"/>
    <d v="2021-12-28T00:00:00"/>
    <m/>
    <n v="3829125.99"/>
    <m/>
    <m/>
    <m/>
    <m/>
    <m/>
    <m/>
    <m/>
    <s v="04. Item 04"/>
    <n v="12"/>
    <x v="0"/>
    <x v="2"/>
    <n v="2021"/>
    <n v="2021"/>
    <b v="1"/>
  </r>
  <r>
    <x v="6"/>
    <m/>
    <x v="1"/>
    <s v="Centralized"/>
    <s v="In"/>
    <m/>
    <m/>
    <m/>
    <m/>
    <m/>
    <s v="COMPLETE"/>
    <s v="f"/>
    <d v="2021-12-29T00:00:00"/>
    <d v="2021-12-29T00:00:00"/>
    <m/>
    <n v="22875937.02"/>
    <m/>
    <m/>
    <m/>
    <m/>
    <m/>
    <m/>
    <m/>
    <s v="07. Item 07"/>
    <n v="12"/>
    <x v="0"/>
    <x v="2"/>
    <n v="2021"/>
    <n v="2021"/>
    <b v="1"/>
  </r>
  <r>
    <x v="7"/>
    <m/>
    <x v="1"/>
    <s v="Centralized"/>
    <s v="Out"/>
    <m/>
    <m/>
    <m/>
    <m/>
    <m/>
    <m/>
    <s v="p"/>
    <d v="2022-01-01T00:00:00"/>
    <d v="2022-01-01T00:00:00"/>
    <n v="6838095.2400000002"/>
    <m/>
    <m/>
    <m/>
    <m/>
    <m/>
    <m/>
    <m/>
    <m/>
    <s v="08. Item 08"/>
    <n v="1"/>
    <x v="1"/>
    <x v="3"/>
    <n v="2022"/>
    <n v="2022"/>
    <b v="1"/>
  </r>
  <r>
    <x v="14"/>
    <m/>
    <x v="1"/>
    <s v="Centralized"/>
    <s v="Out"/>
    <m/>
    <m/>
    <m/>
    <m/>
    <m/>
    <m/>
    <s v="p"/>
    <d v="2022-01-01T00:00:00"/>
    <d v="2022-01-01T00:00:00"/>
    <n v="1673809.52"/>
    <m/>
    <m/>
    <m/>
    <m/>
    <m/>
    <m/>
    <m/>
    <m/>
    <s v="19. Item 19"/>
    <n v="1"/>
    <x v="1"/>
    <x v="3"/>
    <n v="2022"/>
    <n v="2022"/>
    <b v="1"/>
  </r>
  <r>
    <x v="29"/>
    <s v="03. Item 03"/>
    <x v="1"/>
    <s v="Centralized"/>
    <s v="Out"/>
    <m/>
    <m/>
    <m/>
    <m/>
    <m/>
    <m/>
    <s v="p"/>
    <d v="2022-01-01T00:00:00"/>
    <d v="2022-01-01T00:00:00"/>
    <n v="1695502.61"/>
    <m/>
    <m/>
    <m/>
    <m/>
    <m/>
    <m/>
    <m/>
    <m/>
    <s v="03. Item 03"/>
    <n v="1"/>
    <x v="1"/>
    <x v="3"/>
    <n v="2022"/>
    <n v="2022"/>
    <b v="1"/>
  </r>
  <r>
    <x v="29"/>
    <m/>
    <x v="1"/>
    <s v="Centralized"/>
    <s v="Out"/>
    <m/>
    <m/>
    <m/>
    <m/>
    <m/>
    <m/>
    <s v="p"/>
    <d v="2022-01-01T00:00:00"/>
    <d v="2022-01-01T00:00:00"/>
    <n v="6286528.9100000001"/>
    <m/>
    <m/>
    <m/>
    <m/>
    <m/>
    <m/>
    <m/>
    <m/>
    <s v="13. Item 13"/>
    <n v="1"/>
    <x v="1"/>
    <x v="3"/>
    <n v="2022"/>
    <n v="2022"/>
    <b v="1"/>
  </r>
  <r>
    <x v="29"/>
    <m/>
    <x v="1"/>
    <s v="Centralized"/>
    <s v="Out"/>
    <m/>
    <m/>
    <m/>
    <m/>
    <m/>
    <m/>
    <s v="p"/>
    <d v="2022-01-01T00:00:00"/>
    <d v="2022-01-01T00:00:00"/>
    <n v="15238.1"/>
    <m/>
    <m/>
    <m/>
    <m/>
    <m/>
    <m/>
    <m/>
    <m/>
    <s v="13. Item 13"/>
    <n v="1"/>
    <x v="1"/>
    <x v="3"/>
    <n v="2022"/>
    <n v="2022"/>
    <b v="1"/>
  </r>
  <r>
    <x v="11"/>
    <m/>
    <x v="1"/>
    <s v="Centralized"/>
    <s v="Out"/>
    <m/>
    <m/>
    <m/>
    <m/>
    <m/>
    <m/>
    <s v="p"/>
    <d v="2022-01-01T00:00:00"/>
    <d v="2022-01-01T00:00:00"/>
    <n v="5714285.71"/>
    <m/>
    <m/>
    <m/>
    <m/>
    <m/>
    <m/>
    <m/>
    <m/>
    <s v="13. Item 13"/>
    <n v="1"/>
    <x v="1"/>
    <x v="3"/>
    <n v="2022"/>
    <n v="2022"/>
    <b v="1"/>
  </r>
  <r>
    <x v="11"/>
    <m/>
    <x v="1"/>
    <s v="Centralized"/>
    <s v="Out"/>
    <m/>
    <m/>
    <m/>
    <m/>
    <m/>
    <m/>
    <s v="p"/>
    <d v="2022-01-01T00:00:00"/>
    <d v="2022-01-01T00:00:00"/>
    <n v="10294285.710000001"/>
    <m/>
    <m/>
    <m/>
    <m/>
    <m/>
    <m/>
    <m/>
    <m/>
    <s v="13. Item 13"/>
    <n v="1"/>
    <x v="1"/>
    <x v="3"/>
    <n v="2022"/>
    <n v="2022"/>
    <b v="1"/>
  </r>
  <r>
    <x v="8"/>
    <m/>
    <x v="1"/>
    <s v="Centralized"/>
    <s v="Out"/>
    <s v="X"/>
    <m/>
    <m/>
    <m/>
    <m/>
    <m/>
    <s v="p"/>
    <d v="2022-01-01T00:00:00"/>
    <d v="2022-01-01T00:00:00"/>
    <n v="452285.71"/>
    <m/>
    <m/>
    <m/>
    <m/>
    <m/>
    <m/>
    <m/>
    <m/>
    <s v="09. Item 09"/>
    <n v="1"/>
    <x v="1"/>
    <x v="3"/>
    <n v="2022"/>
    <n v="2021"/>
    <b v="1"/>
  </r>
  <r>
    <x v="8"/>
    <m/>
    <x v="1"/>
    <s v="Centralized"/>
    <s v="Out"/>
    <m/>
    <m/>
    <m/>
    <m/>
    <m/>
    <m/>
    <s v="p"/>
    <d v="2022-01-01T00:00:00"/>
    <d v="2022-01-01T00:00:00"/>
    <n v="135952.38"/>
    <m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m/>
    <m/>
    <m/>
    <m/>
    <m/>
    <m/>
    <s v="p"/>
    <d v="2022-01-01T00:00:00"/>
    <d v="2022-01-01T00:00:00"/>
    <n v="2914285.71"/>
    <m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s v="X"/>
    <m/>
    <m/>
    <m/>
    <m/>
    <m/>
    <s v="p"/>
    <d v="2022-01-01T00:00:00"/>
    <d v="2022-01-01T00:00:00"/>
    <n v="197809.52"/>
    <m/>
    <m/>
    <m/>
    <m/>
    <m/>
    <m/>
    <m/>
    <m/>
    <s v="09. Item 09"/>
    <n v="1"/>
    <x v="1"/>
    <x v="3"/>
    <n v="2022"/>
    <n v="2021"/>
    <b v="1"/>
  </r>
  <r>
    <x v="8"/>
    <m/>
    <x v="1"/>
    <s v="Centralized"/>
    <s v="Out"/>
    <m/>
    <m/>
    <m/>
    <m/>
    <m/>
    <m/>
    <s v="p"/>
    <d v="2022-01-01T00:00:00"/>
    <d v="2022-01-01T00:00:00"/>
    <n v="135476.19"/>
    <m/>
    <m/>
    <m/>
    <m/>
    <m/>
    <m/>
    <m/>
    <m/>
    <s v="09. Item 09"/>
    <n v="1"/>
    <x v="1"/>
    <x v="3"/>
    <n v="2022"/>
    <n v="2022"/>
    <b v="1"/>
  </r>
  <r>
    <x v="21"/>
    <m/>
    <x v="1"/>
    <s v="Centralized"/>
    <s v="Out"/>
    <m/>
    <m/>
    <m/>
    <m/>
    <m/>
    <m/>
    <s v="p"/>
    <d v="2022-01-01T00:00:00"/>
    <d v="2022-01-01T00:00:00"/>
    <n v="925166.67"/>
    <m/>
    <m/>
    <m/>
    <m/>
    <m/>
    <m/>
    <m/>
    <m/>
    <s v="09. Item 09"/>
    <n v="1"/>
    <x v="1"/>
    <x v="3"/>
    <n v="2022"/>
    <n v="2022"/>
    <b v="1"/>
  </r>
  <r>
    <x v="21"/>
    <s v="10. Item 10"/>
    <x v="1"/>
    <s v="Centralized"/>
    <s v="Out"/>
    <m/>
    <m/>
    <m/>
    <m/>
    <m/>
    <m/>
    <s v="p"/>
    <d v="2022-01-01T00:00:00"/>
    <d v="2022-01-01T00:00:00"/>
    <n v="63809.52"/>
    <m/>
    <m/>
    <m/>
    <m/>
    <m/>
    <m/>
    <m/>
    <m/>
    <s v="10. Item 10"/>
    <n v="1"/>
    <x v="1"/>
    <x v="3"/>
    <n v="2022"/>
    <n v="2022"/>
    <b v="1"/>
  </r>
  <r>
    <x v="21"/>
    <m/>
    <x v="1"/>
    <s v="Centralized"/>
    <s v="Out"/>
    <m/>
    <m/>
    <m/>
    <m/>
    <m/>
    <m/>
    <s v="p"/>
    <d v="2022-01-01T00:00:00"/>
    <d v="2022-01-01T00:00:00"/>
    <n v="48095.24"/>
    <m/>
    <m/>
    <m/>
    <m/>
    <m/>
    <m/>
    <m/>
    <m/>
    <s v="09. Item 09"/>
    <n v="1"/>
    <x v="1"/>
    <x v="3"/>
    <n v="2022"/>
    <n v="2022"/>
    <b v="1"/>
  </r>
  <r>
    <x v="5"/>
    <m/>
    <x v="1"/>
    <s v="Centralized"/>
    <s v="Out"/>
    <m/>
    <m/>
    <m/>
    <m/>
    <m/>
    <m/>
    <s v="p"/>
    <d v="2022-01-01T00:00:00"/>
    <d v="2022-01-01T00:00:00"/>
    <n v="217142.86"/>
    <m/>
    <m/>
    <m/>
    <m/>
    <m/>
    <m/>
    <m/>
    <m/>
    <s v="05. Item 05"/>
    <n v="1"/>
    <x v="1"/>
    <x v="3"/>
    <n v="2022"/>
    <n v="2022"/>
    <b v="1"/>
  </r>
  <r>
    <x v="5"/>
    <s v="13. Item 13"/>
    <x v="1"/>
    <s v="Centralized"/>
    <s v="Out"/>
    <s v="X"/>
    <m/>
    <m/>
    <m/>
    <m/>
    <m/>
    <s v="p"/>
    <d v="2022-01-01T00:00:00"/>
    <d v="2022-01-01T00:00:00"/>
    <n v="312380.95"/>
    <m/>
    <m/>
    <m/>
    <m/>
    <m/>
    <m/>
    <m/>
    <m/>
    <s v="13. Item 13"/>
    <n v="1"/>
    <x v="1"/>
    <x v="3"/>
    <n v="2022"/>
    <n v="2021"/>
    <b v="1"/>
  </r>
  <r>
    <x v="10"/>
    <s v="13. Item 13"/>
    <x v="1"/>
    <s v="Centralized"/>
    <s v="Out"/>
    <m/>
    <m/>
    <m/>
    <m/>
    <m/>
    <m/>
    <s v="p"/>
    <d v="2022-01-01T00:00:00"/>
    <d v="2022-01-01T00:00:00"/>
    <n v="1830700.79"/>
    <m/>
    <m/>
    <m/>
    <m/>
    <m/>
    <m/>
    <m/>
    <m/>
    <s v="13. Item 13"/>
    <n v="1"/>
    <x v="1"/>
    <x v="3"/>
    <n v="2022"/>
    <n v="2022"/>
    <b v="1"/>
  </r>
  <r>
    <x v="10"/>
    <m/>
    <x v="1"/>
    <s v="Centralized"/>
    <s v="Out"/>
    <s v="X"/>
    <m/>
    <m/>
    <m/>
    <m/>
    <m/>
    <s v="p"/>
    <d v="2022-01-01T00:00:00"/>
    <d v="2022-01-01T00:00:00"/>
    <n v="4571071.43"/>
    <m/>
    <m/>
    <m/>
    <m/>
    <m/>
    <m/>
    <m/>
    <m/>
    <s v="11. Item 11"/>
    <n v="1"/>
    <x v="1"/>
    <x v="3"/>
    <n v="2022"/>
    <n v="2021"/>
    <b v="1"/>
  </r>
  <r>
    <x v="34"/>
    <m/>
    <x v="1"/>
    <s v="Centralized"/>
    <s v="Out"/>
    <m/>
    <m/>
    <m/>
    <m/>
    <m/>
    <m/>
    <s v="p"/>
    <d v="2022-01-01T00:00:00"/>
    <d v="2022-01-01T00:00:00"/>
    <n v="156666.67000000001"/>
    <m/>
    <m/>
    <m/>
    <m/>
    <m/>
    <m/>
    <m/>
    <m/>
    <s v="13. Item 13"/>
    <n v="1"/>
    <x v="1"/>
    <x v="3"/>
    <n v="2022"/>
    <n v="2022"/>
    <b v="1"/>
  </r>
  <r>
    <x v="13"/>
    <m/>
    <x v="1"/>
    <s v="Centralized"/>
    <s v="Out"/>
    <s v="X"/>
    <m/>
    <m/>
    <m/>
    <m/>
    <m/>
    <s v="p"/>
    <d v="2022-01-01T00:00:00"/>
    <d v="2022-01-01T00:00:00"/>
    <n v="265380.95"/>
    <m/>
    <m/>
    <m/>
    <m/>
    <m/>
    <m/>
    <m/>
    <m/>
    <s v="13. Item 13"/>
    <n v="1"/>
    <x v="1"/>
    <x v="3"/>
    <n v="2022"/>
    <n v="2021"/>
    <b v="1"/>
  </r>
  <r>
    <x v="13"/>
    <m/>
    <x v="1"/>
    <s v="Centralized"/>
    <s v="Out"/>
    <m/>
    <m/>
    <m/>
    <m/>
    <m/>
    <m/>
    <s v="p"/>
    <d v="2022-01-01T00:00:00"/>
    <d v="2022-01-01T00:00:00"/>
    <n v="1056880.95"/>
    <m/>
    <m/>
    <m/>
    <m/>
    <m/>
    <m/>
    <m/>
    <m/>
    <s v="13. Item 13"/>
    <n v="1"/>
    <x v="1"/>
    <x v="3"/>
    <n v="2022"/>
    <n v="2022"/>
    <b v="1"/>
  </r>
  <r>
    <x v="16"/>
    <m/>
    <x v="1"/>
    <s v="Centralized"/>
    <s v="Out"/>
    <m/>
    <m/>
    <m/>
    <m/>
    <m/>
    <m/>
    <s v="p"/>
    <d v="2022-01-01T00:00:00"/>
    <d v="2022-01-01T00:00:00"/>
    <n v="5931705.7599999998"/>
    <m/>
    <m/>
    <m/>
    <m/>
    <m/>
    <m/>
    <m/>
    <m/>
    <s v="_1. Item _1"/>
    <n v="1"/>
    <x v="1"/>
    <x v="3"/>
    <n v="2022"/>
    <n v="2022"/>
    <b v="1"/>
  </r>
  <r>
    <x v="16"/>
    <m/>
    <x v="1"/>
    <s v="Centralized"/>
    <s v="Out"/>
    <s v="X"/>
    <m/>
    <m/>
    <m/>
    <m/>
    <m/>
    <s v="p"/>
    <d v="2022-01-01T00:00:00"/>
    <d v="2022-01-01T00:00:00"/>
    <n v="6756428.5700000003"/>
    <m/>
    <m/>
    <m/>
    <m/>
    <m/>
    <m/>
    <m/>
    <m/>
    <s v="_1. Item _1"/>
    <n v="1"/>
    <x v="1"/>
    <x v="3"/>
    <n v="2022"/>
    <n v="2021"/>
    <b v="1"/>
  </r>
  <r>
    <x v="36"/>
    <m/>
    <x v="1"/>
    <s v="Centralized"/>
    <s v="Out"/>
    <m/>
    <m/>
    <m/>
    <m/>
    <m/>
    <m/>
    <s v="p"/>
    <d v="2022-01-01T00:00:00"/>
    <d v="2022-01-01T00:00:00"/>
    <n v="453532.33"/>
    <m/>
    <m/>
    <m/>
    <m/>
    <m/>
    <m/>
    <m/>
    <m/>
    <s v="_3. Item _3"/>
    <n v="1"/>
    <x v="1"/>
    <x v="3"/>
    <n v="2022"/>
    <n v="2022"/>
    <b v="1"/>
  </r>
  <r>
    <x v="35"/>
    <m/>
    <x v="1"/>
    <s v="Centralized"/>
    <s v="Out"/>
    <s v="X"/>
    <m/>
    <m/>
    <m/>
    <m/>
    <m/>
    <s v="p"/>
    <d v="2022-01-01T00:00:00"/>
    <d v="2022-01-01T00:00:00"/>
    <n v="3833333.33"/>
    <m/>
    <m/>
    <m/>
    <m/>
    <m/>
    <m/>
    <m/>
    <m/>
    <s v="17. Item 17"/>
    <n v="1"/>
    <x v="1"/>
    <x v="3"/>
    <n v="2022"/>
    <n v="2021"/>
    <b v="1"/>
  </r>
  <r>
    <x v="31"/>
    <s v="10. Item 10"/>
    <x v="1"/>
    <s v="Centralized"/>
    <s v="Out"/>
    <s v="X"/>
    <m/>
    <m/>
    <m/>
    <m/>
    <m/>
    <s v="p"/>
    <d v="2022-01-01T00:00:00"/>
    <d v="2022-01-01T00:00:00"/>
    <n v="17380.95"/>
    <m/>
    <m/>
    <m/>
    <m/>
    <m/>
    <m/>
    <m/>
    <m/>
    <s v="10. Item 10"/>
    <n v="1"/>
    <x v="1"/>
    <x v="3"/>
    <n v="2022"/>
    <n v="2021"/>
    <b v="1"/>
  </r>
  <r>
    <x v="23"/>
    <m/>
    <x v="1"/>
    <s v="Centralized"/>
    <s v="Out"/>
    <s v="X"/>
    <m/>
    <m/>
    <m/>
    <m/>
    <m/>
    <s v="p"/>
    <d v="2022-01-01T00:00:00"/>
    <d v="2022-01-01T00:00:00"/>
    <n v="28571.43"/>
    <m/>
    <m/>
    <m/>
    <m/>
    <m/>
    <m/>
    <m/>
    <m/>
    <s v="21. Item 21"/>
    <n v="1"/>
    <x v="1"/>
    <x v="3"/>
    <n v="2022"/>
    <n v="2021"/>
    <b v="1"/>
  </r>
  <r>
    <x v="32"/>
    <m/>
    <x v="1"/>
    <s v="Decentralized"/>
    <s v="Out"/>
    <m/>
    <m/>
    <m/>
    <m/>
    <m/>
    <m/>
    <s v="p"/>
    <d v="2022-01-01T00:00:00"/>
    <d v="2022-01-01T00:00:00"/>
    <n v="574185.37"/>
    <m/>
    <m/>
    <m/>
    <m/>
    <m/>
    <m/>
    <m/>
    <m/>
    <s v="12. Item 12"/>
    <n v="1"/>
    <x v="1"/>
    <x v="3"/>
    <n v="2022"/>
    <n v="2022"/>
    <b v="1"/>
  </r>
  <r>
    <x v="15"/>
    <m/>
    <x v="1"/>
    <s v="Decentralized"/>
    <s v="Out"/>
    <m/>
    <m/>
    <m/>
    <m/>
    <m/>
    <m/>
    <s v="p"/>
    <d v="2022-01-01T00:00:00"/>
    <d v="2022-01-01T00:00:00"/>
    <n v="326215.40999999997"/>
    <m/>
    <m/>
    <m/>
    <m/>
    <m/>
    <m/>
    <m/>
    <m/>
    <s v="06. Item 06"/>
    <n v="1"/>
    <x v="1"/>
    <x v="3"/>
    <n v="2022"/>
    <n v="2022"/>
    <b v="1"/>
  </r>
  <r>
    <x v="16"/>
    <m/>
    <x v="1"/>
    <s v="Decentralized"/>
    <s v="Out"/>
    <m/>
    <m/>
    <m/>
    <m/>
    <m/>
    <m/>
    <s v="p"/>
    <d v="2022-01-01T00:00:00"/>
    <d v="2022-01-01T00:00:00"/>
    <n v="7857.14"/>
    <m/>
    <m/>
    <m/>
    <m/>
    <m/>
    <m/>
    <m/>
    <m/>
    <s v="_1. Item _1"/>
    <n v="1"/>
    <x v="1"/>
    <x v="3"/>
    <n v="2022"/>
    <n v="2022"/>
    <b v="1"/>
  </r>
  <r>
    <x v="13"/>
    <m/>
    <x v="2"/>
    <s v="Centralized"/>
    <s v="In"/>
    <m/>
    <m/>
    <m/>
    <m/>
    <m/>
    <m/>
    <s v="f"/>
    <d v="2021-12-31T00:00:00"/>
    <d v="2021-12-31T00:00:00"/>
    <m/>
    <n v="46503830.859999999"/>
    <m/>
    <m/>
    <m/>
    <m/>
    <m/>
    <m/>
    <m/>
    <s v="13. Item 13"/>
    <n v="12"/>
    <x v="0"/>
    <x v="2"/>
    <n v="2021"/>
    <n v="2021"/>
    <b v="1"/>
  </r>
  <r>
    <x v="16"/>
    <m/>
    <x v="1"/>
    <s v="Centralized"/>
    <s v="Out"/>
    <m/>
    <m/>
    <m/>
    <s v="X"/>
    <n v="1"/>
    <s v="COMPLETE"/>
    <s v="f"/>
    <d v="2022-01-13T00:00:00"/>
    <d v="2022-01-21T00:00:00"/>
    <m/>
    <n v="2619047.62"/>
    <m/>
    <m/>
    <m/>
    <m/>
    <m/>
    <m/>
    <m/>
    <s v="_1. Item _1"/>
    <n v="1"/>
    <x v="1"/>
    <x v="3"/>
    <n v="2022"/>
    <n v="2022"/>
    <b v="1"/>
  </r>
  <r>
    <x v="16"/>
    <m/>
    <x v="1"/>
    <s v="Centralized"/>
    <s v="Out"/>
    <m/>
    <m/>
    <m/>
    <m/>
    <n v="1"/>
    <s v="COMPLETE"/>
    <s v="f"/>
    <d v="2022-01-14T00:00:00"/>
    <d v="2022-01-24T00:00:00"/>
    <m/>
    <n v="4482.33"/>
    <m/>
    <m/>
    <m/>
    <m/>
    <m/>
    <m/>
    <m/>
    <s v="_1. Item _1"/>
    <n v="1"/>
    <x v="1"/>
    <x v="3"/>
    <n v="2022"/>
    <n v="2022"/>
    <b v="1"/>
  </r>
  <r>
    <x v="22"/>
    <m/>
    <x v="1"/>
    <s v="Decentralized"/>
    <s v="Out"/>
    <m/>
    <m/>
    <m/>
    <m/>
    <n v="4"/>
    <s v="COMPLETE"/>
    <s v="f"/>
    <d v="2021-12-27T00:00:00"/>
    <d v="2022-01-14T00:00:00"/>
    <m/>
    <n v="1008.58"/>
    <m/>
    <m/>
    <m/>
    <m/>
    <m/>
    <m/>
    <m/>
    <s v="04. Item 04"/>
    <n v="12"/>
    <x v="1"/>
    <x v="3"/>
    <n v="2021"/>
    <n v="2022"/>
    <b v="1"/>
  </r>
  <r>
    <x v="22"/>
    <m/>
    <x v="1"/>
    <s v="Centralized"/>
    <s v="In"/>
    <m/>
    <m/>
    <m/>
    <m/>
    <m/>
    <s v="COMPLETE"/>
    <s v="f"/>
    <d v="2022-01-14T00:00:00"/>
    <d v="2022-01-14T00:00:00"/>
    <m/>
    <n v="1008.58"/>
    <m/>
    <m/>
    <m/>
    <m/>
    <m/>
    <m/>
    <m/>
    <s v="04. Item 04"/>
    <n v="1"/>
    <x v="1"/>
    <x v="3"/>
    <n v="2022"/>
    <n v="2022"/>
    <b v="1"/>
  </r>
  <r>
    <x v="16"/>
    <m/>
    <x v="1"/>
    <s v="Decentralized"/>
    <s v="Out"/>
    <m/>
    <m/>
    <m/>
    <m/>
    <n v="1"/>
    <s v="COMPLETE"/>
    <s v="f"/>
    <d v="2022-01-11T00:00:00"/>
    <d v="2022-01-18T00:00:00"/>
    <m/>
    <n v="4952.38"/>
    <m/>
    <m/>
    <m/>
    <m/>
    <m/>
    <m/>
    <m/>
    <s v="_1. Item _1"/>
    <n v="1"/>
    <x v="1"/>
    <x v="3"/>
    <n v="2022"/>
    <n v="2022"/>
    <b v="1"/>
  </r>
  <r>
    <x v="9"/>
    <m/>
    <x v="1"/>
    <s v="Centralized"/>
    <s v="Out"/>
    <s v="X"/>
    <m/>
    <m/>
    <m/>
    <n v="1"/>
    <s v="COMPLETE"/>
    <s v="f"/>
    <d v="2022-01-14T00:00:00"/>
    <d v="2022-01-26T00:00:00"/>
    <m/>
    <n v="15245.85"/>
    <m/>
    <m/>
    <m/>
    <m/>
    <m/>
    <m/>
    <m/>
    <s v="09. Item 09"/>
    <n v="1"/>
    <x v="1"/>
    <x v="3"/>
    <n v="2022"/>
    <n v="2021"/>
    <b v="1"/>
  </r>
  <r>
    <x v="25"/>
    <m/>
    <x v="1"/>
    <s v="Centralized"/>
    <s v="Out"/>
    <m/>
    <m/>
    <m/>
    <m/>
    <n v="1"/>
    <s v="COMPLETE"/>
    <s v="f"/>
    <d v="2022-01-14T00:00:00"/>
    <d v="2022-01-26T00:00:00"/>
    <m/>
    <n v="59327.19"/>
    <m/>
    <m/>
    <m/>
    <m/>
    <m/>
    <m/>
    <m/>
    <s v="03. Item 03"/>
    <n v="1"/>
    <x v="1"/>
    <x v="3"/>
    <n v="2022"/>
    <n v="2022"/>
    <b v="1"/>
  </r>
  <r>
    <x v="8"/>
    <m/>
    <x v="1"/>
    <s v="Centralized"/>
    <s v="Out"/>
    <m/>
    <m/>
    <m/>
    <m/>
    <n v="1"/>
    <s v="COMPLETE"/>
    <s v="f"/>
    <d v="2022-01-17T00:00:00"/>
    <d v="2022-01-20T00:00:00"/>
    <m/>
    <n v="222.26"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m/>
    <m/>
    <m/>
    <m/>
    <n v="1"/>
    <s v="COMPLETE"/>
    <s v="f"/>
    <d v="2022-01-17T00:00:00"/>
    <d v="2022-01-31T00:00:00"/>
    <m/>
    <n v="42523.33"/>
    <m/>
    <m/>
    <m/>
    <m/>
    <m/>
    <m/>
    <m/>
    <s v="09. Item 09"/>
    <n v="1"/>
    <x v="1"/>
    <x v="3"/>
    <n v="2022"/>
    <n v="2022"/>
    <b v="1"/>
  </r>
  <r>
    <x v="20"/>
    <m/>
    <x v="1"/>
    <s v="Centralized"/>
    <s v="Out"/>
    <m/>
    <m/>
    <m/>
    <s v="X"/>
    <n v="1"/>
    <s v="COMPLETE"/>
    <s v="f"/>
    <d v="2022-01-14T00:00:00"/>
    <d v="2022-01-25T00:00:00"/>
    <m/>
    <n v="282.94"/>
    <m/>
    <m/>
    <m/>
    <m/>
    <m/>
    <m/>
    <m/>
    <s v="14. Item 14"/>
    <n v="1"/>
    <x v="1"/>
    <x v="3"/>
    <n v="2022"/>
    <n v="2022"/>
    <b v="1"/>
  </r>
  <r>
    <x v="8"/>
    <m/>
    <x v="1"/>
    <s v="Centralized"/>
    <s v="Out"/>
    <m/>
    <m/>
    <m/>
    <m/>
    <n v="1"/>
    <s v="COMPLETE"/>
    <s v="f"/>
    <d v="2022-01-14T00:00:00"/>
    <d v="2022-01-25T00:00:00"/>
    <m/>
    <n v="453249.4"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m/>
    <m/>
    <m/>
    <m/>
    <n v="3"/>
    <s v="COMPLETE"/>
    <s v="f"/>
    <d v="2022-01-14T00:00:00"/>
    <d v="2022-01-28T00:00:00"/>
    <m/>
    <n v="6286430.6299999999"/>
    <m/>
    <m/>
    <m/>
    <m/>
    <m/>
    <m/>
    <m/>
    <s v="09. Item 09"/>
    <n v="1"/>
    <x v="1"/>
    <x v="3"/>
    <n v="2022"/>
    <n v="2022"/>
    <b v="1"/>
  </r>
  <r>
    <x v="4"/>
    <m/>
    <x v="1"/>
    <s v="Centralized"/>
    <s v="Out"/>
    <m/>
    <m/>
    <m/>
    <m/>
    <n v="3"/>
    <s v="COMPLETE"/>
    <s v="f"/>
    <d v="2022-01-17T00:00:00"/>
    <d v="2022-01-28T00:00:00"/>
    <m/>
    <n v="9437914.2400000002"/>
    <m/>
    <m/>
    <m/>
    <m/>
    <m/>
    <m/>
    <m/>
    <s v="05. Item 05"/>
    <n v="1"/>
    <x v="1"/>
    <x v="3"/>
    <n v="2022"/>
    <n v="2022"/>
    <b v="1"/>
  </r>
  <r>
    <x v="21"/>
    <m/>
    <x v="1"/>
    <s v="Centralized"/>
    <s v="Out"/>
    <m/>
    <m/>
    <m/>
    <m/>
    <n v="3"/>
    <s v="COMPLETE"/>
    <s v="f"/>
    <d v="2022-01-17T00:00:00"/>
    <d v="2022-01-25T00:00:00"/>
    <m/>
    <n v="135476.19"/>
    <m/>
    <m/>
    <m/>
    <m/>
    <m/>
    <m/>
    <m/>
    <s v="09. Item 09"/>
    <n v="1"/>
    <x v="1"/>
    <x v="3"/>
    <n v="2022"/>
    <n v="2022"/>
    <b v="1"/>
  </r>
  <r>
    <x v="21"/>
    <m/>
    <x v="1"/>
    <s v="Centralized"/>
    <s v="Out"/>
    <s v="X"/>
    <m/>
    <m/>
    <m/>
    <n v="3"/>
    <s v="COMPLETE"/>
    <s v="f"/>
    <d v="2022-01-17T00:00:00"/>
    <d v="2022-01-25T00:00:00"/>
    <m/>
    <n v="180502.39999999999"/>
    <m/>
    <m/>
    <m/>
    <m/>
    <m/>
    <m/>
    <m/>
    <s v="09. Item 09"/>
    <n v="1"/>
    <x v="1"/>
    <x v="3"/>
    <n v="2022"/>
    <n v="2021"/>
    <b v="1"/>
  </r>
  <r>
    <x v="16"/>
    <m/>
    <x v="1"/>
    <s v="Centralized"/>
    <s v="Out"/>
    <m/>
    <m/>
    <m/>
    <m/>
    <n v="3"/>
    <s v="COMPLETE"/>
    <s v="f"/>
    <d v="2022-01-17T00:00:00"/>
    <d v="2022-01-24T00:00:00"/>
    <m/>
    <n v="42093.24"/>
    <m/>
    <m/>
    <m/>
    <m/>
    <m/>
    <m/>
    <m/>
    <s v="_1. Item _1"/>
    <n v="1"/>
    <x v="1"/>
    <x v="3"/>
    <n v="2022"/>
    <n v="2022"/>
    <b v="1"/>
  </r>
  <r>
    <x v="16"/>
    <m/>
    <x v="1"/>
    <s v="Centralized"/>
    <s v="Out"/>
    <m/>
    <m/>
    <m/>
    <m/>
    <n v="3"/>
    <s v="COMPLETE"/>
    <s v="f"/>
    <d v="2022-01-17T00:00:00"/>
    <d v="2022-01-25T00:00:00"/>
    <m/>
    <n v="92359.19"/>
    <m/>
    <m/>
    <m/>
    <m/>
    <m/>
    <m/>
    <m/>
    <s v="_1. Item _1"/>
    <n v="1"/>
    <x v="1"/>
    <x v="3"/>
    <n v="2022"/>
    <n v="2022"/>
    <b v="1"/>
  </r>
  <r>
    <x v="16"/>
    <m/>
    <x v="1"/>
    <s v="Centralized"/>
    <s v="Out"/>
    <s v="X"/>
    <m/>
    <m/>
    <m/>
    <n v="3"/>
    <s v="COMPLETE"/>
    <s v="f"/>
    <d v="2022-01-17T00:00:00"/>
    <d v="2022-01-25T00:00:00"/>
    <m/>
    <n v="14.45"/>
    <m/>
    <m/>
    <m/>
    <m/>
    <m/>
    <m/>
    <m/>
    <s v="_1. Item _1"/>
    <n v="1"/>
    <x v="1"/>
    <x v="3"/>
    <n v="2022"/>
    <n v="2021"/>
    <b v="1"/>
  </r>
  <r>
    <x v="0"/>
    <m/>
    <x v="1"/>
    <s v="Centralized"/>
    <s v="Out"/>
    <m/>
    <m/>
    <m/>
    <m/>
    <n v="3"/>
    <s v="COMPLETE"/>
    <s v="f"/>
    <d v="2022-01-17T00:00:00"/>
    <d v="2022-01-26T00:00:00"/>
    <m/>
    <n v="45703.7"/>
    <m/>
    <m/>
    <m/>
    <m/>
    <m/>
    <m/>
    <m/>
    <s v="01. Item 01"/>
    <n v="1"/>
    <x v="1"/>
    <x v="3"/>
    <n v="2022"/>
    <n v="2022"/>
    <b v="1"/>
  </r>
  <r>
    <x v="1"/>
    <m/>
    <x v="1"/>
    <s v="Centralized"/>
    <s v="Out"/>
    <m/>
    <m/>
    <m/>
    <m/>
    <n v="3"/>
    <s v="COMPLETE"/>
    <s v="f"/>
    <d v="2022-01-10T00:00:00"/>
    <d v="2022-01-19T00:00:00"/>
    <m/>
    <n v="225547.88"/>
    <m/>
    <m/>
    <m/>
    <m/>
    <m/>
    <m/>
    <m/>
    <s v="02. Item 02"/>
    <n v="1"/>
    <x v="1"/>
    <x v="3"/>
    <n v="2022"/>
    <n v="2022"/>
    <b v="1"/>
  </r>
  <r>
    <x v="4"/>
    <m/>
    <x v="1"/>
    <s v="Centralized"/>
    <s v="Out"/>
    <m/>
    <m/>
    <m/>
    <m/>
    <n v="3"/>
    <s v="COMPLETE"/>
    <s v="f"/>
    <d v="2022-01-14T00:00:00"/>
    <d v="2022-01-26T00:00:00"/>
    <m/>
    <n v="185533.93"/>
    <m/>
    <m/>
    <m/>
    <m/>
    <m/>
    <m/>
    <m/>
    <s v="05. Item 05"/>
    <n v="1"/>
    <x v="1"/>
    <x v="3"/>
    <n v="2022"/>
    <n v="2022"/>
    <b v="1"/>
  </r>
  <r>
    <x v="5"/>
    <m/>
    <x v="1"/>
    <s v="Centralized"/>
    <s v="Out"/>
    <s v="X"/>
    <m/>
    <m/>
    <m/>
    <n v="3"/>
    <s v="COMPLETE"/>
    <s v="f"/>
    <d v="2022-01-14T00:00:00"/>
    <d v="2022-01-28T00:00:00"/>
    <m/>
    <n v="162226.26"/>
    <m/>
    <m/>
    <m/>
    <m/>
    <m/>
    <m/>
    <m/>
    <s v="05. Item 05"/>
    <n v="1"/>
    <x v="1"/>
    <x v="3"/>
    <n v="2022"/>
    <n v="2021"/>
    <b v="1"/>
  </r>
  <r>
    <x v="15"/>
    <m/>
    <x v="1"/>
    <s v="Centralized"/>
    <s v="Out"/>
    <s v="X"/>
    <m/>
    <m/>
    <m/>
    <n v="3"/>
    <s v="COMPLETE"/>
    <s v="f"/>
    <d v="2022-01-14T00:00:00"/>
    <d v="2022-01-26T00:00:00"/>
    <m/>
    <n v="7036.61"/>
    <m/>
    <m/>
    <m/>
    <m/>
    <m/>
    <m/>
    <m/>
    <s v="06. Item 06"/>
    <n v="1"/>
    <x v="1"/>
    <x v="3"/>
    <n v="2022"/>
    <n v="2021"/>
    <b v="1"/>
  </r>
  <r>
    <x v="6"/>
    <m/>
    <x v="1"/>
    <s v="Centralized"/>
    <s v="Out"/>
    <m/>
    <m/>
    <m/>
    <m/>
    <n v="4"/>
    <s v="COMPLETE"/>
    <s v="f"/>
    <d v="2022-01-18T00:00:00"/>
    <d v="2022-01-28T00:00:00"/>
    <m/>
    <n v="1008435.45"/>
    <m/>
    <m/>
    <m/>
    <m/>
    <m/>
    <m/>
    <m/>
    <s v="07. Item 07"/>
    <n v="1"/>
    <x v="1"/>
    <x v="3"/>
    <n v="2022"/>
    <n v="2022"/>
    <b v="1"/>
  </r>
  <r>
    <x v="7"/>
    <m/>
    <x v="1"/>
    <s v="Centralized"/>
    <s v="Out"/>
    <m/>
    <m/>
    <m/>
    <s v="X"/>
    <n v="4"/>
    <s v="COMPLETE"/>
    <s v="f"/>
    <d v="2022-01-14T00:00:00"/>
    <d v="2022-01-26T00:00:00"/>
    <m/>
    <n v="15116.28"/>
    <m/>
    <m/>
    <m/>
    <m/>
    <m/>
    <m/>
    <m/>
    <s v="08. Item 08"/>
    <n v="1"/>
    <x v="1"/>
    <x v="3"/>
    <n v="2022"/>
    <n v="2022"/>
    <b v="1"/>
  </r>
  <r>
    <x v="7"/>
    <m/>
    <x v="1"/>
    <s v="Centralized"/>
    <s v="Out"/>
    <m/>
    <m/>
    <m/>
    <m/>
    <n v="4"/>
    <s v="COMPLETE"/>
    <s v="f"/>
    <d v="2022-01-14T00:00:00"/>
    <d v="2022-01-26T00:00:00"/>
    <m/>
    <n v="1.05"/>
    <m/>
    <m/>
    <m/>
    <m/>
    <m/>
    <m/>
    <m/>
    <s v="08. Item 08"/>
    <n v="1"/>
    <x v="1"/>
    <x v="3"/>
    <n v="2022"/>
    <n v="2022"/>
    <b v="1"/>
  </r>
  <r>
    <x v="21"/>
    <m/>
    <x v="1"/>
    <s v="Centralized"/>
    <s v="Out"/>
    <s v="X"/>
    <m/>
    <m/>
    <m/>
    <n v="4"/>
    <s v="COMPLETE"/>
    <s v="f"/>
    <d v="2022-01-14T00:00:00"/>
    <d v="2022-01-26T00:00:00"/>
    <m/>
    <n v="10092.549999999999"/>
    <m/>
    <m/>
    <m/>
    <m/>
    <m/>
    <m/>
    <m/>
    <s v="09. Item 09"/>
    <n v="1"/>
    <x v="1"/>
    <x v="3"/>
    <n v="2022"/>
    <n v="2021"/>
    <b v="1"/>
  </r>
  <r>
    <x v="9"/>
    <m/>
    <x v="1"/>
    <s v="Centralized"/>
    <s v="Out"/>
    <m/>
    <m/>
    <m/>
    <s v="X"/>
    <n v="4"/>
    <s v="COMPLETE"/>
    <s v="f"/>
    <d v="2022-01-14T00:00:00"/>
    <d v="2022-01-25T00:00:00"/>
    <m/>
    <n v="4960.45"/>
    <m/>
    <m/>
    <m/>
    <m/>
    <m/>
    <m/>
    <m/>
    <s v="09. Item 09"/>
    <n v="1"/>
    <x v="1"/>
    <x v="3"/>
    <n v="2022"/>
    <n v="2022"/>
    <b v="1"/>
  </r>
  <r>
    <x v="9"/>
    <m/>
    <x v="1"/>
    <s v="Centralized"/>
    <s v="Out"/>
    <m/>
    <m/>
    <m/>
    <m/>
    <n v="4"/>
    <s v="COMPLETE"/>
    <s v="f"/>
    <d v="2022-01-14T00:00:00"/>
    <d v="2022-01-25T00:00:00"/>
    <m/>
    <n v="40252.22"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m/>
    <m/>
    <m/>
    <m/>
    <n v="4"/>
    <s v="COMPLETE"/>
    <s v="f"/>
    <d v="2022-01-14T00:00:00"/>
    <d v="2022-01-25T00:00:00"/>
    <m/>
    <n v="57945.87"/>
    <m/>
    <m/>
    <m/>
    <m/>
    <m/>
    <m/>
    <m/>
    <s v="09. Item 09"/>
    <n v="1"/>
    <x v="1"/>
    <x v="3"/>
    <n v="2022"/>
    <n v="2022"/>
    <b v="1"/>
  </r>
  <r>
    <x v="10"/>
    <m/>
    <x v="1"/>
    <s v="Centralized"/>
    <s v="Out"/>
    <s v="X"/>
    <m/>
    <m/>
    <m/>
    <n v="4"/>
    <s v="COMPLETE"/>
    <s v="f"/>
    <d v="2022-01-14T00:00:00"/>
    <d v="2022-01-26T00:00:00"/>
    <m/>
    <n v="0.02"/>
    <m/>
    <m/>
    <m/>
    <m/>
    <m/>
    <m/>
    <m/>
    <s v="11. Item 11"/>
    <n v="1"/>
    <x v="1"/>
    <x v="3"/>
    <n v="2022"/>
    <n v="2021"/>
    <b v="1"/>
  </r>
  <r>
    <x v="23"/>
    <m/>
    <x v="1"/>
    <s v="Centralized"/>
    <s v="Out"/>
    <m/>
    <m/>
    <m/>
    <m/>
    <n v="4"/>
    <s v="COMPLETE"/>
    <s v="f"/>
    <d v="2022-01-14T00:00:00"/>
    <d v="2022-01-19T00:00:00"/>
    <m/>
    <n v="100849.62"/>
    <m/>
    <m/>
    <m/>
    <m/>
    <m/>
    <m/>
    <m/>
    <s v="21. Item 21"/>
    <n v="1"/>
    <x v="1"/>
    <x v="3"/>
    <n v="2022"/>
    <n v="2022"/>
    <b v="1"/>
  </r>
  <r>
    <x v="20"/>
    <m/>
    <x v="1"/>
    <s v="Centralized"/>
    <s v="Out"/>
    <m/>
    <m/>
    <m/>
    <m/>
    <n v="4"/>
    <s v="COMPLETE"/>
    <s v="f"/>
    <d v="2022-01-14T00:00:00"/>
    <d v="2022-01-21T00:00:00"/>
    <m/>
    <n v="15524.54"/>
    <m/>
    <m/>
    <m/>
    <m/>
    <m/>
    <m/>
    <m/>
    <s v="14. Item 14"/>
    <n v="1"/>
    <x v="1"/>
    <x v="3"/>
    <n v="2022"/>
    <n v="2022"/>
    <b v="1"/>
  </r>
  <r>
    <x v="20"/>
    <m/>
    <x v="1"/>
    <s v="Centralized"/>
    <s v="Out"/>
    <m/>
    <m/>
    <m/>
    <s v="X"/>
    <n v="4"/>
    <s v="COMPLETE"/>
    <s v="f"/>
    <d v="2022-01-14T00:00:00"/>
    <d v="2022-01-24T00:00:00"/>
    <m/>
    <n v="4023.32"/>
    <m/>
    <m/>
    <m/>
    <m/>
    <m/>
    <m/>
    <m/>
    <s v="14. Item 14"/>
    <n v="1"/>
    <x v="1"/>
    <x v="3"/>
    <n v="2022"/>
    <n v="2022"/>
    <b v="1"/>
  </r>
  <r>
    <x v="8"/>
    <m/>
    <x v="1"/>
    <s v="Centralized"/>
    <s v="Out"/>
    <m/>
    <m/>
    <m/>
    <m/>
    <n v="4"/>
    <s v="COMPLETE"/>
    <s v="f"/>
    <d v="2022-01-14T00:00:00"/>
    <d v="2022-01-24T00:00:00"/>
    <m/>
    <n v="38334.68"/>
    <m/>
    <m/>
    <m/>
    <m/>
    <m/>
    <m/>
    <m/>
    <s v="09. Item 09"/>
    <n v="1"/>
    <x v="1"/>
    <x v="3"/>
    <n v="2022"/>
    <n v="2022"/>
    <b v="1"/>
  </r>
  <r>
    <x v="14"/>
    <m/>
    <x v="1"/>
    <s v="Centralized"/>
    <s v="Out"/>
    <m/>
    <m/>
    <m/>
    <s v="X"/>
    <n v="4"/>
    <s v="COMPLETE"/>
    <s v="f"/>
    <d v="2022-01-14T00:00:00"/>
    <d v="2022-01-25T00:00:00"/>
    <m/>
    <n v="33502.839999999997"/>
    <m/>
    <m/>
    <m/>
    <m/>
    <m/>
    <m/>
    <m/>
    <s v="19. Item 19"/>
    <n v="1"/>
    <x v="1"/>
    <x v="3"/>
    <n v="2022"/>
    <n v="2022"/>
    <b v="1"/>
  </r>
  <r>
    <x v="22"/>
    <m/>
    <x v="1"/>
    <s v="Centralized"/>
    <s v="Out"/>
    <m/>
    <m/>
    <m/>
    <m/>
    <n v="4"/>
    <s v="COMPLETE"/>
    <s v="f"/>
    <d v="2022-01-14T00:00:00"/>
    <d v="2022-01-25T00:00:00"/>
    <m/>
    <n v="166056.68"/>
    <m/>
    <m/>
    <m/>
    <m/>
    <m/>
    <m/>
    <m/>
    <s v="04. Item 04"/>
    <n v="1"/>
    <x v="1"/>
    <x v="3"/>
    <n v="2022"/>
    <n v="2022"/>
    <b v="1"/>
  </r>
  <r>
    <x v="22"/>
    <m/>
    <x v="1"/>
    <s v="Centralized"/>
    <s v="Out"/>
    <m/>
    <m/>
    <m/>
    <s v="X"/>
    <n v="4"/>
    <s v="COMPLETE"/>
    <s v="f"/>
    <d v="2022-01-14T00:00:00"/>
    <d v="2022-01-26T00:00:00"/>
    <m/>
    <n v="47.62"/>
    <m/>
    <m/>
    <m/>
    <m/>
    <m/>
    <m/>
    <m/>
    <s v="04. Item 04"/>
    <n v="1"/>
    <x v="1"/>
    <x v="3"/>
    <n v="2022"/>
    <n v="2022"/>
    <b v="1"/>
  </r>
  <r>
    <x v="3"/>
    <m/>
    <x v="1"/>
    <s v="Centralized"/>
    <s v="Out"/>
    <m/>
    <m/>
    <m/>
    <m/>
    <n v="4"/>
    <s v="COMPLETE"/>
    <s v="f"/>
    <d v="2022-01-14T00:00:00"/>
    <d v="2022-01-26T00:00:00"/>
    <m/>
    <n v="357603.89"/>
    <m/>
    <m/>
    <m/>
    <m/>
    <m/>
    <m/>
    <m/>
    <s v="04. Item 04"/>
    <n v="1"/>
    <x v="1"/>
    <x v="3"/>
    <n v="2022"/>
    <n v="2022"/>
    <b v="1"/>
  </r>
  <r>
    <x v="21"/>
    <m/>
    <x v="1"/>
    <s v="Centralized"/>
    <s v="Out"/>
    <s v="X"/>
    <m/>
    <m/>
    <m/>
    <n v="4"/>
    <s v="COMPLETE"/>
    <s v="f"/>
    <d v="2022-01-14T00:00:00"/>
    <d v="2022-01-26T00:00:00"/>
    <m/>
    <n v="44113.14"/>
    <m/>
    <m/>
    <m/>
    <m/>
    <m/>
    <m/>
    <m/>
    <s v="09. Item 09"/>
    <n v="1"/>
    <x v="1"/>
    <x v="3"/>
    <n v="2022"/>
    <n v="2021"/>
    <b v="1"/>
  </r>
  <r>
    <x v="5"/>
    <m/>
    <x v="1"/>
    <s v="Centralized"/>
    <s v="Out"/>
    <m/>
    <m/>
    <m/>
    <m/>
    <n v="4"/>
    <s v="COMPLETE"/>
    <s v="f"/>
    <d v="2022-01-17T00:00:00"/>
    <d v="2022-01-26T00:00:00"/>
    <m/>
    <n v="223831.7"/>
    <m/>
    <m/>
    <m/>
    <m/>
    <m/>
    <m/>
    <m/>
    <s v="05. Item 05"/>
    <n v="1"/>
    <x v="1"/>
    <x v="3"/>
    <n v="2022"/>
    <n v="2022"/>
    <b v="1"/>
  </r>
  <r>
    <x v="4"/>
    <m/>
    <x v="1"/>
    <s v="Centralized"/>
    <s v="In"/>
    <m/>
    <m/>
    <m/>
    <m/>
    <m/>
    <s v="COMPLETE"/>
    <s v="f"/>
    <d v="2022-01-18T00:00:00"/>
    <d v="2022-01-18T00:00:00"/>
    <m/>
    <n v="4952.38"/>
    <m/>
    <m/>
    <m/>
    <m/>
    <m/>
    <m/>
    <m/>
    <s v="05. Item 05"/>
    <n v="1"/>
    <x v="1"/>
    <x v="3"/>
    <n v="2022"/>
    <n v="2022"/>
    <b v="1"/>
  </r>
  <r>
    <x v="0"/>
    <m/>
    <x v="1"/>
    <s v="Centralized"/>
    <s v="Out"/>
    <s v="X"/>
    <m/>
    <m/>
    <m/>
    <n v="4"/>
    <s v="COMPLETE"/>
    <s v="f"/>
    <d v="2022-01-17T00:00:00"/>
    <d v="2022-01-21T00:00:00"/>
    <m/>
    <n v="3716.23"/>
    <m/>
    <m/>
    <m/>
    <m/>
    <m/>
    <m/>
    <m/>
    <s v="01. Item 01"/>
    <n v="1"/>
    <x v="1"/>
    <x v="3"/>
    <n v="2022"/>
    <n v="2021"/>
    <b v="1"/>
  </r>
  <r>
    <x v="35"/>
    <m/>
    <x v="1"/>
    <s v="Centralized"/>
    <s v="Out"/>
    <s v="X"/>
    <m/>
    <m/>
    <m/>
    <n v="4"/>
    <s v="COMPLETE"/>
    <s v="f"/>
    <d v="2022-01-17T00:00:00"/>
    <d v="2022-01-21T00:00:00"/>
    <m/>
    <n v="1005515.16"/>
    <m/>
    <m/>
    <m/>
    <m/>
    <m/>
    <m/>
    <m/>
    <s v="17. Item 17"/>
    <n v="1"/>
    <x v="1"/>
    <x v="3"/>
    <n v="2022"/>
    <n v="2021"/>
    <b v="1"/>
  </r>
  <r>
    <x v="16"/>
    <m/>
    <x v="1"/>
    <s v="Decentralized"/>
    <s v="Out"/>
    <m/>
    <m/>
    <m/>
    <m/>
    <n v="1"/>
    <s v="COMPLETE"/>
    <s v="f"/>
    <d v="2022-01-14T00:00:00"/>
    <d v="2022-01-21T00:00:00"/>
    <m/>
    <n v="44060.49"/>
    <m/>
    <m/>
    <m/>
    <m/>
    <m/>
    <m/>
    <m/>
    <s v="_1. Item _1"/>
    <n v="1"/>
    <x v="1"/>
    <x v="3"/>
    <n v="2022"/>
    <n v="2022"/>
    <b v="1"/>
  </r>
  <r>
    <x v="15"/>
    <m/>
    <x v="1"/>
    <s v="Centralized"/>
    <s v="Out"/>
    <m/>
    <m/>
    <m/>
    <m/>
    <n v="1"/>
    <s v="COMPLETE"/>
    <s v="f"/>
    <d v="2022-01-14T00:00:00"/>
    <d v="2022-01-25T00:00:00"/>
    <m/>
    <n v="30109.97"/>
    <m/>
    <m/>
    <m/>
    <m/>
    <m/>
    <m/>
    <m/>
    <s v="06. Item 06"/>
    <n v="1"/>
    <x v="1"/>
    <x v="3"/>
    <n v="2022"/>
    <n v="2022"/>
    <b v="1"/>
  </r>
  <r>
    <x v="30"/>
    <m/>
    <x v="1"/>
    <s v="Centralized"/>
    <s v="Out"/>
    <m/>
    <m/>
    <m/>
    <m/>
    <n v="1"/>
    <s v="COMPLETE"/>
    <s v="f"/>
    <d v="2022-01-14T00:00:00"/>
    <d v="2022-01-25T00:00:00"/>
    <m/>
    <n v="85411.39"/>
    <m/>
    <m/>
    <m/>
    <m/>
    <m/>
    <m/>
    <m/>
    <s v="10. Item 10"/>
    <n v="1"/>
    <x v="1"/>
    <x v="3"/>
    <n v="2022"/>
    <n v="2022"/>
    <b v="1"/>
  </r>
  <r>
    <x v="35"/>
    <m/>
    <x v="1"/>
    <s v="Centralized"/>
    <s v="Out"/>
    <m/>
    <m/>
    <m/>
    <m/>
    <n v="3"/>
    <s v="COMPLETE"/>
    <s v="f"/>
    <d v="2022-01-17T00:00:00"/>
    <d v="2022-01-26T00:00:00"/>
    <m/>
    <n v="234490.26"/>
    <m/>
    <m/>
    <m/>
    <m/>
    <m/>
    <m/>
    <m/>
    <s v="17. Item 17"/>
    <n v="1"/>
    <x v="1"/>
    <x v="3"/>
    <n v="2022"/>
    <n v="2022"/>
    <b v="1"/>
  </r>
  <r>
    <x v="36"/>
    <m/>
    <x v="1"/>
    <s v="Centralized"/>
    <s v="Out"/>
    <s v="X"/>
    <m/>
    <m/>
    <m/>
    <n v="1"/>
    <s v="COMPLETE"/>
    <s v="f"/>
    <d v="2022-01-14T00:00:00"/>
    <d v="2022-01-26T00:00:00"/>
    <m/>
    <n v="378045.8"/>
    <m/>
    <m/>
    <m/>
    <m/>
    <m/>
    <m/>
    <m/>
    <s v="_3. Item _3"/>
    <n v="1"/>
    <x v="1"/>
    <x v="3"/>
    <n v="2022"/>
    <n v="2021"/>
    <b v="1"/>
  </r>
  <r>
    <x v="35"/>
    <m/>
    <x v="1"/>
    <s v="Centralized"/>
    <s v="Out"/>
    <m/>
    <m/>
    <m/>
    <m/>
    <n v="1"/>
    <s v="COMPLETE"/>
    <s v="f"/>
    <d v="2022-01-14T00:00:00"/>
    <d v="2022-01-26T00:00:00"/>
    <m/>
    <n v="162865.29999999999"/>
    <m/>
    <m/>
    <m/>
    <m/>
    <m/>
    <m/>
    <m/>
    <s v="17. Item 17"/>
    <n v="1"/>
    <x v="1"/>
    <x v="3"/>
    <n v="2022"/>
    <n v="2022"/>
    <b v="1"/>
  </r>
  <r>
    <x v="31"/>
    <m/>
    <x v="1"/>
    <s v="Centralized"/>
    <s v="Out"/>
    <m/>
    <m/>
    <m/>
    <m/>
    <n v="3"/>
    <s v="COMPLETE"/>
    <s v="f"/>
    <d v="2022-01-14T00:00:00"/>
    <d v="2022-01-27T00:00:00"/>
    <m/>
    <n v="53743.77"/>
    <m/>
    <m/>
    <m/>
    <m/>
    <m/>
    <m/>
    <m/>
    <s v="10. Item 10"/>
    <n v="1"/>
    <x v="1"/>
    <x v="3"/>
    <n v="2022"/>
    <n v="2022"/>
    <b v="1"/>
  </r>
  <r>
    <x v="31"/>
    <m/>
    <x v="1"/>
    <s v="Centralized"/>
    <s v="Out"/>
    <m/>
    <m/>
    <m/>
    <m/>
    <n v="1"/>
    <s v="COMPLETE"/>
    <s v="f"/>
    <d v="2022-01-11T00:00:00"/>
    <d v="2022-01-21T00:00:00"/>
    <m/>
    <n v="216681.45"/>
    <m/>
    <m/>
    <m/>
    <m/>
    <m/>
    <m/>
    <m/>
    <s v="10. Item 10"/>
    <n v="1"/>
    <x v="1"/>
    <x v="3"/>
    <n v="2022"/>
    <n v="2022"/>
    <b v="1"/>
  </r>
  <r>
    <x v="24"/>
    <m/>
    <x v="1"/>
    <s v="Centralized"/>
    <s v="In"/>
    <m/>
    <m/>
    <m/>
    <m/>
    <m/>
    <s v="COMPLETE"/>
    <s v="f"/>
    <d v="2022-01-19T00:00:00"/>
    <d v="2022-01-19T00:00:00"/>
    <m/>
    <n v="371921.6"/>
    <m/>
    <m/>
    <m/>
    <m/>
    <m/>
    <m/>
    <m/>
    <s v="03. Item 03"/>
    <n v="1"/>
    <x v="1"/>
    <x v="3"/>
    <n v="2022"/>
    <n v="2022"/>
    <b v="1"/>
  </r>
  <r>
    <x v="27"/>
    <m/>
    <x v="1"/>
    <s v="Centralized"/>
    <s v="Out"/>
    <m/>
    <m/>
    <m/>
    <m/>
    <n v="4"/>
    <s v="COMPLETE"/>
    <s v="f"/>
    <d v="2022-01-14T00:00:00"/>
    <d v="2022-01-25T00:00:00"/>
    <m/>
    <n v="196.34"/>
    <m/>
    <m/>
    <m/>
    <m/>
    <m/>
    <m/>
    <m/>
    <s v="03. Item 03"/>
    <n v="1"/>
    <x v="1"/>
    <x v="3"/>
    <n v="2022"/>
    <n v="2022"/>
    <b v="1"/>
  </r>
  <r>
    <x v="3"/>
    <m/>
    <x v="1"/>
    <s v="Centralized"/>
    <s v="Out"/>
    <m/>
    <m/>
    <m/>
    <m/>
    <n v="3"/>
    <s v="COMPLETE"/>
    <s v="f"/>
    <d v="2022-01-19T00:00:00"/>
    <d v="2022-01-25T00:00:00"/>
    <m/>
    <n v="1714285.71"/>
    <m/>
    <m/>
    <m/>
    <m/>
    <m/>
    <m/>
    <m/>
    <s v="04. Item 04"/>
    <n v="1"/>
    <x v="1"/>
    <x v="3"/>
    <n v="2022"/>
    <n v="2022"/>
    <b v="1"/>
  </r>
  <r>
    <x v="3"/>
    <m/>
    <x v="1"/>
    <s v="Centralized"/>
    <s v="Out"/>
    <m/>
    <m/>
    <m/>
    <m/>
    <n v="3"/>
    <s v="COMPLETE"/>
    <s v="f"/>
    <d v="2022-01-14T00:00:00"/>
    <d v="2022-01-26T00:00:00"/>
    <m/>
    <n v="152951.94"/>
    <m/>
    <m/>
    <m/>
    <m/>
    <m/>
    <m/>
    <m/>
    <s v="04. Item 04"/>
    <n v="1"/>
    <x v="1"/>
    <x v="3"/>
    <n v="2022"/>
    <n v="2022"/>
    <b v="1"/>
  </r>
  <r>
    <x v="4"/>
    <m/>
    <x v="1"/>
    <s v="Centralized"/>
    <s v="Out"/>
    <m/>
    <m/>
    <m/>
    <m/>
    <n v="1"/>
    <s v="COMPLETE"/>
    <s v="f"/>
    <d v="2022-01-14T00:00:00"/>
    <d v="2022-01-27T00:00:00"/>
    <m/>
    <n v="5701122.9299999997"/>
    <m/>
    <m/>
    <m/>
    <m/>
    <m/>
    <m/>
    <m/>
    <s v="05. Item 05"/>
    <n v="1"/>
    <x v="1"/>
    <x v="3"/>
    <n v="2022"/>
    <n v="2022"/>
    <b v="1"/>
  </r>
  <r>
    <x v="6"/>
    <m/>
    <x v="1"/>
    <s v="Centralized"/>
    <s v="Out"/>
    <m/>
    <m/>
    <m/>
    <m/>
    <n v="3"/>
    <s v="COMPLETE"/>
    <s v="f"/>
    <d v="2022-01-14T00:00:00"/>
    <d v="2022-01-27T00:00:00"/>
    <m/>
    <n v="11189.25"/>
    <m/>
    <m/>
    <m/>
    <m/>
    <m/>
    <m/>
    <m/>
    <s v="07. Item 07"/>
    <n v="1"/>
    <x v="1"/>
    <x v="3"/>
    <n v="2022"/>
    <n v="2022"/>
    <b v="1"/>
  </r>
  <r>
    <x v="9"/>
    <m/>
    <x v="1"/>
    <s v="Centralized"/>
    <s v="Out"/>
    <m/>
    <m/>
    <m/>
    <m/>
    <n v="3"/>
    <s v="COMPLETE"/>
    <s v="f"/>
    <d v="2022-01-14T00:00:00"/>
    <d v="2022-01-27T00:00:00"/>
    <m/>
    <n v="1692.93"/>
    <m/>
    <m/>
    <m/>
    <m/>
    <m/>
    <m/>
    <m/>
    <s v="09. Item 09"/>
    <n v="1"/>
    <x v="1"/>
    <x v="3"/>
    <n v="2022"/>
    <n v="2022"/>
    <b v="1"/>
  </r>
  <r>
    <x v="9"/>
    <m/>
    <x v="1"/>
    <s v="Centralized"/>
    <s v="Out"/>
    <m/>
    <m/>
    <m/>
    <m/>
    <n v="3"/>
    <s v="COMPLETE"/>
    <s v="f"/>
    <d v="2022-01-17T00:00:00"/>
    <d v="2022-01-27T00:00:00"/>
    <m/>
    <n v="250783.6"/>
    <m/>
    <m/>
    <m/>
    <m/>
    <m/>
    <m/>
    <m/>
    <s v="09. Item 09"/>
    <n v="1"/>
    <x v="1"/>
    <x v="3"/>
    <n v="2022"/>
    <n v="2022"/>
    <b v="1"/>
  </r>
  <r>
    <x v="11"/>
    <m/>
    <x v="1"/>
    <s v="Centralized"/>
    <s v="Out"/>
    <s v="X"/>
    <m/>
    <m/>
    <m/>
    <n v="3"/>
    <s v="COMPLETE"/>
    <s v="f"/>
    <d v="2022-01-17T00:00:00"/>
    <d v="2022-01-27T00:00:00"/>
    <m/>
    <n v="196556.76"/>
    <m/>
    <m/>
    <m/>
    <m/>
    <m/>
    <m/>
    <m/>
    <s v="13. Item 13"/>
    <n v="1"/>
    <x v="1"/>
    <x v="3"/>
    <n v="2022"/>
    <n v="2021"/>
    <b v="1"/>
  </r>
  <r>
    <x v="11"/>
    <m/>
    <x v="1"/>
    <s v="Centralized"/>
    <s v="Out"/>
    <s v="X"/>
    <m/>
    <m/>
    <m/>
    <n v="3"/>
    <s v="COMPLETE"/>
    <s v="f"/>
    <d v="2022-01-14T00:00:00"/>
    <d v="2022-01-27T00:00:00"/>
    <m/>
    <n v="40142.86"/>
    <m/>
    <m/>
    <m/>
    <m/>
    <m/>
    <m/>
    <m/>
    <s v="13. Item 13"/>
    <n v="1"/>
    <x v="1"/>
    <x v="3"/>
    <n v="2022"/>
    <n v="2021"/>
    <b v="1"/>
  </r>
  <r>
    <x v="11"/>
    <m/>
    <x v="1"/>
    <s v="Centralized"/>
    <s v="Out"/>
    <s v="X"/>
    <m/>
    <m/>
    <m/>
    <n v="3"/>
    <s v="COMPLETE"/>
    <s v="f"/>
    <d v="2022-01-14T00:00:00"/>
    <d v="2022-01-27T00:00:00"/>
    <m/>
    <n v="9330.1200000000008"/>
    <m/>
    <m/>
    <m/>
    <m/>
    <m/>
    <m/>
    <m/>
    <s v="13. Item 13"/>
    <n v="1"/>
    <x v="1"/>
    <x v="3"/>
    <n v="2022"/>
    <n v="2021"/>
    <b v="1"/>
  </r>
  <r>
    <x v="11"/>
    <m/>
    <x v="1"/>
    <s v="Centralized"/>
    <s v="Out"/>
    <s v="X"/>
    <m/>
    <m/>
    <m/>
    <n v="1"/>
    <s v="COMPLETE"/>
    <s v="f"/>
    <d v="2022-01-14T00:00:00"/>
    <d v="2022-01-27T00:00:00"/>
    <m/>
    <n v="363070.68"/>
    <m/>
    <m/>
    <m/>
    <m/>
    <m/>
    <m/>
    <m/>
    <s v="13. Item 13"/>
    <n v="1"/>
    <x v="1"/>
    <x v="3"/>
    <n v="2022"/>
    <n v="2021"/>
    <b v="1"/>
  </r>
  <r>
    <x v="11"/>
    <m/>
    <x v="1"/>
    <s v="Centralized"/>
    <s v="Out"/>
    <s v="X"/>
    <m/>
    <m/>
    <m/>
    <n v="3"/>
    <s v="COMPLETE"/>
    <s v="f"/>
    <d v="2022-01-14T00:00:00"/>
    <d v="2022-01-27T00:00:00"/>
    <m/>
    <n v="17809.78"/>
    <m/>
    <m/>
    <m/>
    <m/>
    <m/>
    <m/>
    <m/>
    <s v="13. Item 13"/>
    <n v="1"/>
    <x v="1"/>
    <x v="3"/>
    <n v="2022"/>
    <n v="2021"/>
    <b v="1"/>
  </r>
  <r>
    <x v="8"/>
    <m/>
    <x v="1"/>
    <s v="Centralized"/>
    <s v="Out"/>
    <s v="X"/>
    <m/>
    <m/>
    <m/>
    <n v="3"/>
    <s v="COMPLETE"/>
    <s v="f"/>
    <d v="2022-01-14T00:00:00"/>
    <d v="2022-01-27T00:00:00"/>
    <m/>
    <n v="1015524.55"/>
    <m/>
    <m/>
    <m/>
    <m/>
    <m/>
    <m/>
    <m/>
    <s v="09. Item 09"/>
    <n v="1"/>
    <x v="1"/>
    <x v="3"/>
    <n v="2022"/>
    <n v="2021"/>
    <b v="1"/>
  </r>
  <r>
    <x v="8"/>
    <m/>
    <x v="1"/>
    <s v="Centralized"/>
    <s v="Out"/>
    <m/>
    <m/>
    <m/>
    <m/>
    <n v="1"/>
    <s v="COMPLETE"/>
    <s v="f"/>
    <d v="2022-01-14T00:00:00"/>
    <d v="2022-01-28T00:00:00"/>
    <m/>
    <n v="9170.5400000000009"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m/>
    <m/>
    <m/>
    <m/>
    <n v="3"/>
    <s v="COMPLETE"/>
    <s v="f"/>
    <d v="2022-01-17T00:00:00"/>
    <d v="2022-01-28T00:00:00"/>
    <m/>
    <n v="45444"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m/>
    <m/>
    <m/>
    <m/>
    <n v="3"/>
    <s v="COMPLETE"/>
    <s v="f"/>
    <d v="2022-01-14T00:00:00"/>
    <d v="2022-01-28T00:00:00"/>
    <m/>
    <n v="43740.81"/>
    <m/>
    <m/>
    <m/>
    <m/>
    <m/>
    <m/>
    <m/>
    <s v="09. Item 09"/>
    <n v="1"/>
    <x v="1"/>
    <x v="3"/>
    <n v="2022"/>
    <n v="2022"/>
    <b v="1"/>
  </r>
  <r>
    <x v="8"/>
    <m/>
    <x v="1"/>
    <s v="Centralized"/>
    <s v="Out"/>
    <m/>
    <m/>
    <m/>
    <m/>
    <n v="3"/>
    <s v="COMPLETE"/>
    <s v="f"/>
    <d v="2022-01-14T00:00:00"/>
    <d v="2022-01-28T00:00:00"/>
    <m/>
    <n v="151258.68"/>
    <m/>
    <m/>
    <m/>
    <m/>
    <m/>
    <m/>
    <m/>
    <s v="09. Item 09"/>
    <n v="1"/>
    <x v="1"/>
    <x v="3"/>
    <n v="2022"/>
    <n v="2022"/>
    <b v="1"/>
  </r>
  <r>
    <x v="14"/>
    <m/>
    <x v="1"/>
    <s v="Centralized"/>
    <s v="Out"/>
    <m/>
    <m/>
    <m/>
    <m/>
    <n v="3"/>
    <s v="COMPLETE"/>
    <s v="f"/>
    <d v="2022-01-14T00:00:00"/>
    <d v="2022-01-28T00:00:00"/>
    <m/>
    <n v="5668.81"/>
    <m/>
    <m/>
    <m/>
    <m/>
    <m/>
    <m/>
    <m/>
    <s v="19. Item 19"/>
    <n v="1"/>
    <x v="1"/>
    <x v="3"/>
    <n v="2022"/>
    <n v="2022"/>
    <b v="1"/>
  </r>
  <r>
    <x v="5"/>
    <m/>
    <x v="1"/>
    <s v="Centralized"/>
    <s v="Out"/>
    <s v="X"/>
    <m/>
    <m/>
    <m/>
    <n v="1"/>
    <s v="COMPLETE"/>
    <s v="f"/>
    <d v="2022-01-14T00:00:00"/>
    <d v="2022-01-28T00:00:00"/>
    <m/>
    <n v="631795.63"/>
    <m/>
    <m/>
    <m/>
    <m/>
    <m/>
    <m/>
    <m/>
    <s v="05. Item 05"/>
    <n v="1"/>
    <x v="1"/>
    <x v="3"/>
    <n v="2022"/>
    <n v="2021"/>
    <b v="1"/>
  </r>
  <r>
    <x v="5"/>
    <m/>
    <x v="1"/>
    <s v="Centralized"/>
    <s v="Out"/>
    <s v="X"/>
    <m/>
    <m/>
    <m/>
    <n v="1"/>
    <s v="COMPLETE"/>
    <s v="f"/>
    <d v="2022-01-14T00:00:00"/>
    <d v="2022-01-28T00:00:00"/>
    <m/>
    <n v="41332"/>
    <m/>
    <m/>
    <m/>
    <m/>
    <m/>
    <m/>
    <m/>
    <s v="05. Item 05"/>
    <n v="1"/>
    <x v="1"/>
    <x v="3"/>
    <n v="2022"/>
    <n v="2021"/>
    <b v="1"/>
  </r>
  <r>
    <x v="5"/>
    <m/>
    <x v="1"/>
    <s v="Centralized"/>
    <s v="Out"/>
    <s v="X"/>
    <m/>
    <m/>
    <m/>
    <n v="3"/>
    <s v="COMPLETE"/>
    <s v="f"/>
    <d v="2022-01-14T00:00:00"/>
    <d v="2022-01-28T00:00:00"/>
    <m/>
    <n v="80151.03"/>
    <m/>
    <m/>
    <m/>
    <m/>
    <m/>
    <m/>
    <m/>
    <s v="05. Item 05"/>
    <n v="1"/>
    <x v="1"/>
    <x v="3"/>
    <n v="2022"/>
    <n v="2021"/>
    <b v="1"/>
  </r>
  <r>
    <x v="10"/>
    <m/>
    <x v="1"/>
    <s v="Centralized"/>
    <s v="Out"/>
    <m/>
    <m/>
    <m/>
    <m/>
    <n v="3"/>
    <s v="COMPLETE"/>
    <s v="f"/>
    <d v="2022-01-20T00:00:00"/>
    <d v="2022-01-28T00:00:00"/>
    <m/>
    <n v="8792.1"/>
    <m/>
    <m/>
    <m/>
    <m/>
    <m/>
    <m/>
    <m/>
    <s v="11. Item 11"/>
    <n v="1"/>
    <x v="1"/>
    <x v="3"/>
    <n v="2022"/>
    <n v="2022"/>
    <b v="1"/>
  </r>
  <r>
    <x v="10"/>
    <m/>
    <x v="1"/>
    <s v="Centralized"/>
    <s v="Out"/>
    <m/>
    <m/>
    <m/>
    <m/>
    <n v="4"/>
    <s v="ACCEPTED"/>
    <s v="f"/>
    <d v="2022-01-20T00:00:00"/>
    <d v="2022-02-02T00:00:00"/>
    <m/>
    <n v="11855.71"/>
    <m/>
    <m/>
    <m/>
    <m/>
    <m/>
    <m/>
    <m/>
    <s v="11. Item 11"/>
    <n v="1"/>
    <x v="6"/>
    <x v="3"/>
    <n v="2022"/>
    <n v="2022"/>
    <b v="1"/>
  </r>
  <r>
    <x v="34"/>
    <m/>
    <x v="1"/>
    <s v="Centralized"/>
    <s v="Out"/>
    <m/>
    <m/>
    <m/>
    <m/>
    <n v="3"/>
    <s v="ACCEPTED"/>
    <s v="f"/>
    <d v="2022-01-17T00:00:00"/>
    <d v="2022-02-02T00:00:00"/>
    <m/>
    <n v="41364.86"/>
    <m/>
    <m/>
    <m/>
    <m/>
    <m/>
    <m/>
    <m/>
    <s v="13. Item 13"/>
    <n v="1"/>
    <x v="6"/>
    <x v="3"/>
    <n v="2022"/>
    <n v="2022"/>
    <b v="1"/>
  </r>
  <r>
    <x v="13"/>
    <m/>
    <x v="1"/>
    <s v="Centralized"/>
    <s v="Out"/>
    <s v="X"/>
    <m/>
    <m/>
    <m/>
    <n v="3"/>
    <s v="ACCEPTED"/>
    <s v="f"/>
    <d v="2022-01-17T00:00:00"/>
    <d v="2022-02-08T00:00:00"/>
    <m/>
    <n v="24070.38"/>
    <m/>
    <m/>
    <m/>
    <m/>
    <m/>
    <m/>
    <m/>
    <s v="13. Item 13"/>
    <n v="1"/>
    <x v="6"/>
    <x v="3"/>
    <n v="2022"/>
    <n v="2021"/>
    <b v="1"/>
  </r>
  <r>
    <x v="13"/>
    <m/>
    <x v="1"/>
    <s v="Centralized"/>
    <s v="Out"/>
    <m/>
    <m/>
    <m/>
    <s v="X"/>
    <n v="4"/>
    <s v="DOWNLOADED"/>
    <s v="f"/>
    <d v="2022-01-17T00:00:00"/>
    <d v="2022-02-10T00:00:00"/>
    <m/>
    <n v="812072.97"/>
    <m/>
    <m/>
    <m/>
    <m/>
    <m/>
    <m/>
    <m/>
    <s v="13. Item 13"/>
    <n v="1"/>
    <x v="6"/>
    <x v="3"/>
    <n v="2022"/>
    <n v="2022"/>
    <b v="1"/>
  </r>
  <r>
    <x v="13"/>
    <m/>
    <x v="1"/>
    <s v="Centralized"/>
    <s v="Out"/>
    <s v="X"/>
    <m/>
    <m/>
    <m/>
    <n v="3"/>
    <s v="COMPLETE"/>
    <s v="f"/>
    <d v="2022-01-17T00:00:00"/>
    <d v="2022-01-31T00:00:00"/>
    <m/>
    <n v="11.09"/>
    <m/>
    <m/>
    <m/>
    <m/>
    <m/>
    <m/>
    <m/>
    <s v="13. Item 13"/>
    <n v="1"/>
    <x v="1"/>
    <x v="3"/>
    <n v="2022"/>
    <n v="2021"/>
    <b v="1"/>
  </r>
  <r>
    <x v="13"/>
    <m/>
    <x v="1"/>
    <s v="Centralized"/>
    <s v="Out"/>
    <m/>
    <m/>
    <m/>
    <m/>
    <n v="4"/>
    <s v="DOWNLOADED"/>
    <s v="f"/>
    <d v="2022-01-17T00:00:00"/>
    <d v="2022-02-10T00:00:00"/>
    <m/>
    <n v="8935.1200000000008"/>
    <m/>
    <m/>
    <m/>
    <m/>
    <m/>
    <m/>
    <m/>
    <s v="13. Item 13"/>
    <n v="1"/>
    <x v="6"/>
    <x v="3"/>
    <n v="2022"/>
    <n v="2022"/>
    <b v="1"/>
  </r>
  <r>
    <x v="13"/>
    <m/>
    <x v="1"/>
    <s v="Centralized"/>
    <s v="Out"/>
    <s v="X"/>
    <m/>
    <m/>
    <m/>
    <n v="4"/>
    <s v="ACCEPTED"/>
    <s v="f"/>
    <d v="2022-01-17T00:00:00"/>
    <d v="2022-02-03T00:00:00"/>
    <m/>
    <n v="416651.87"/>
    <m/>
    <m/>
    <m/>
    <m/>
    <m/>
    <m/>
    <m/>
    <s v="13. Item 13"/>
    <n v="1"/>
    <x v="6"/>
    <x v="3"/>
    <n v="2022"/>
    <n v="2021"/>
    <b v="1"/>
  </r>
  <r>
    <x v="13"/>
    <m/>
    <x v="1"/>
    <s v="Centralized"/>
    <s v="In"/>
    <m/>
    <m/>
    <m/>
    <m/>
    <m/>
    <s v="COMPLETE"/>
    <s v="f"/>
    <d v="2022-01-21T00:00:00"/>
    <d v="2022-01-21T00:00:00"/>
    <m/>
    <n v="4007595.99"/>
    <m/>
    <m/>
    <m/>
    <m/>
    <m/>
    <m/>
    <m/>
    <s v="13. Item 13"/>
    <n v="1"/>
    <x v="1"/>
    <x v="3"/>
    <n v="2022"/>
    <n v="2022"/>
    <b v="1"/>
  </r>
  <r>
    <x v="13"/>
    <m/>
    <x v="1"/>
    <s v="Centralized"/>
    <s v="In"/>
    <m/>
    <m/>
    <m/>
    <m/>
    <m/>
    <s v="COMPLETE"/>
    <s v="f"/>
    <d v="2022-01-20T00:00:00"/>
    <d v="2022-01-20T00:00:00"/>
    <m/>
    <n v="16266.39"/>
    <m/>
    <m/>
    <m/>
    <m/>
    <m/>
    <m/>
    <m/>
    <s v="13. Item 13"/>
    <n v="1"/>
    <x v="1"/>
    <x v="3"/>
    <n v="2022"/>
    <n v="2022"/>
    <b v="1"/>
  </r>
  <r>
    <x v="13"/>
    <m/>
    <x v="1"/>
    <s v="Centralized"/>
    <s v="In"/>
    <m/>
    <m/>
    <m/>
    <m/>
    <m/>
    <s v="COMPLETE"/>
    <s v="f"/>
    <d v="2022-01-21T00:00:00"/>
    <d v="2022-01-21T00:00:00"/>
    <m/>
    <n v="44060.49"/>
    <m/>
    <m/>
    <m/>
    <m/>
    <m/>
    <m/>
    <m/>
    <s v="13. Item 13"/>
    <n v="1"/>
    <x v="1"/>
    <x v="3"/>
    <n v="2022"/>
    <n v="2022"/>
    <b v="1"/>
  </r>
  <r>
    <x v="13"/>
    <m/>
    <x v="1"/>
    <s v="Decentralized"/>
    <s v="Out"/>
    <m/>
    <m/>
    <m/>
    <m/>
    <n v="4"/>
    <s v="COMPLETE"/>
    <s v="f"/>
    <d v="2022-01-20T00:00:00"/>
    <d v="2022-01-28T00:00:00"/>
    <m/>
    <n v="6195.55"/>
    <m/>
    <m/>
    <m/>
    <m/>
    <m/>
    <m/>
    <m/>
    <s v="13. Item 13"/>
    <n v="1"/>
    <x v="1"/>
    <x v="3"/>
    <n v="2022"/>
    <n v="2022"/>
    <b v="1"/>
  </r>
  <r>
    <x v="13"/>
    <m/>
    <x v="1"/>
    <s v="Decentralized"/>
    <s v="Out"/>
    <m/>
    <m/>
    <m/>
    <m/>
    <n v="4"/>
    <s v="COMPLETE"/>
    <s v="f"/>
    <d v="2022-01-20T00:00:00"/>
    <d v="2022-01-28T00:00:00"/>
    <m/>
    <n v="4690.4799999999996"/>
    <m/>
    <m/>
    <m/>
    <m/>
    <m/>
    <m/>
    <m/>
    <s v="13. Item 13"/>
    <n v="1"/>
    <x v="1"/>
    <x v="3"/>
    <n v="2022"/>
    <n v="2022"/>
    <b v="1"/>
  </r>
  <r>
    <x v="13"/>
    <m/>
    <x v="1"/>
    <s v="Centralized"/>
    <s v="Out"/>
    <s v="X"/>
    <m/>
    <m/>
    <m/>
    <n v="4"/>
    <s v="COMPLETE"/>
    <s v="f"/>
    <d v="2022-01-20T00:00:00"/>
    <d v="2022-01-31T00:00:00"/>
    <m/>
    <n v="2785443.46"/>
    <m/>
    <m/>
    <m/>
    <m/>
    <m/>
    <m/>
    <m/>
    <s v="13. Item 13"/>
    <n v="1"/>
    <x v="1"/>
    <x v="3"/>
    <n v="2022"/>
    <n v="2021"/>
    <b v="1"/>
  </r>
  <r>
    <x v="13"/>
    <m/>
    <x v="1"/>
    <s v="Centralized"/>
    <s v="Out"/>
    <m/>
    <m/>
    <m/>
    <m/>
    <n v="4"/>
    <s v="ACCEPTED"/>
    <s v="f"/>
    <d v="2022-01-18T00:00:00"/>
    <d v="2022-02-02T00:00:00"/>
    <m/>
    <n v="11099.37"/>
    <m/>
    <m/>
    <m/>
    <m/>
    <m/>
    <m/>
    <m/>
    <s v="13. Item 13"/>
    <n v="1"/>
    <x v="6"/>
    <x v="3"/>
    <n v="2022"/>
    <n v="2022"/>
    <b v="1"/>
  </r>
  <r>
    <x v="13"/>
    <m/>
    <x v="1"/>
    <s v="Centralized"/>
    <s v="Out"/>
    <m/>
    <m/>
    <m/>
    <m/>
    <n v="1"/>
    <s v="COMPLETE"/>
    <s v="f"/>
    <d v="2022-01-20T00:00:00"/>
    <d v="2022-01-28T00:00:00"/>
    <m/>
    <n v="120357.14"/>
    <m/>
    <m/>
    <m/>
    <m/>
    <m/>
    <m/>
    <m/>
    <s v="13. Item 13"/>
    <n v="1"/>
    <x v="1"/>
    <x v="3"/>
    <n v="2022"/>
    <n v="2022"/>
    <b v="1"/>
  </r>
  <r>
    <x v="15"/>
    <m/>
    <x v="1"/>
    <s v="Centralized"/>
    <s v="Out"/>
    <m/>
    <m/>
    <m/>
    <m/>
    <n v="3"/>
    <s v="COMPLETE"/>
    <s v="f"/>
    <d v="2022-01-17T00:00:00"/>
    <d v="2022-01-31T00:00:00"/>
    <m/>
    <n v="4546.34"/>
    <m/>
    <m/>
    <m/>
    <m/>
    <m/>
    <m/>
    <m/>
    <s v="06. Item 06"/>
    <n v="1"/>
    <x v="1"/>
    <x v="3"/>
    <n v="2022"/>
    <n v="2022"/>
    <b v="1"/>
  </r>
  <r>
    <x v="15"/>
    <m/>
    <x v="1"/>
    <s v="Centralized"/>
    <s v="Out"/>
    <s v="X"/>
    <m/>
    <m/>
    <m/>
    <n v="4"/>
    <s v="COMPLETE"/>
    <s v="f"/>
    <d v="2022-01-20T00:00:00"/>
    <d v="2022-01-31T00:00:00"/>
    <m/>
    <n v="106753.32"/>
    <m/>
    <m/>
    <m/>
    <m/>
    <m/>
    <m/>
    <m/>
    <s v="06. Item 06"/>
    <n v="1"/>
    <x v="1"/>
    <x v="3"/>
    <n v="2022"/>
    <n v="2021"/>
    <b v="1"/>
  </r>
  <r>
    <x v="36"/>
    <m/>
    <x v="1"/>
    <s v="Centralized"/>
    <s v="Out"/>
    <s v="X"/>
    <m/>
    <m/>
    <m/>
    <n v="3"/>
    <s v="COMPLETE"/>
    <s v="f"/>
    <d v="2022-01-17T00:00:00"/>
    <d v="2022-01-31T00:00:00"/>
    <m/>
    <n v="8791.5300000000007"/>
    <m/>
    <m/>
    <m/>
    <m/>
    <m/>
    <m/>
    <m/>
    <s v="_3. Item _3"/>
    <n v="1"/>
    <x v="1"/>
    <x v="3"/>
    <n v="2022"/>
    <n v="2021"/>
    <b v="1"/>
  </r>
  <r>
    <x v="20"/>
    <m/>
    <x v="1"/>
    <s v="Centralized"/>
    <s v="Out"/>
    <m/>
    <m/>
    <m/>
    <m/>
    <n v="4"/>
    <s v="ACCEPTED"/>
    <s v="f"/>
    <d v="2022-01-20T00:00:00"/>
    <d v="2022-02-07T00:00:00"/>
    <m/>
    <n v="25330.57"/>
    <m/>
    <m/>
    <m/>
    <m/>
    <m/>
    <m/>
    <m/>
    <s v="14. Item 14"/>
    <n v="1"/>
    <x v="6"/>
    <x v="3"/>
    <n v="2022"/>
    <n v="2022"/>
    <b v="1"/>
  </r>
  <r>
    <x v="20"/>
    <m/>
    <x v="1"/>
    <s v="Centralized"/>
    <s v="Out"/>
    <m/>
    <m/>
    <m/>
    <m/>
    <n v="3"/>
    <s v="ACCEPTED"/>
    <s v="f"/>
    <d v="2022-01-24T00:00:00"/>
    <d v="2022-02-02T00:00:00"/>
    <m/>
    <n v="1143.5899999999999"/>
    <m/>
    <m/>
    <m/>
    <m/>
    <m/>
    <m/>
    <m/>
    <s v="14. Item 14"/>
    <n v="1"/>
    <x v="6"/>
    <x v="3"/>
    <n v="2022"/>
    <n v="2022"/>
    <b v="1"/>
  </r>
  <r>
    <x v="35"/>
    <m/>
    <x v="1"/>
    <s v="Centralized"/>
    <s v="Out"/>
    <s v="X"/>
    <m/>
    <m/>
    <m/>
    <n v="3"/>
    <s v="ACCEPTED"/>
    <s v="f"/>
    <d v="2022-01-24T00:00:00"/>
    <d v="2022-02-02T00:00:00"/>
    <m/>
    <n v="37094.43"/>
    <m/>
    <m/>
    <m/>
    <m/>
    <m/>
    <m/>
    <m/>
    <s v="17. Item 17"/>
    <n v="1"/>
    <x v="6"/>
    <x v="3"/>
    <n v="2022"/>
    <n v="2021"/>
    <b v="1"/>
  </r>
  <r>
    <x v="22"/>
    <m/>
    <x v="1"/>
    <s v="Centralized"/>
    <s v="Out"/>
    <m/>
    <m/>
    <m/>
    <m/>
    <n v="3"/>
    <s v="ACCEPTED"/>
    <s v="f"/>
    <d v="2022-01-24T00:00:00"/>
    <d v="2022-02-02T00:00:00"/>
    <m/>
    <n v="77036.399999999994"/>
    <m/>
    <m/>
    <m/>
    <m/>
    <m/>
    <m/>
    <m/>
    <s v="04. Item 04"/>
    <n v="1"/>
    <x v="6"/>
    <x v="3"/>
    <n v="2022"/>
    <n v="2022"/>
    <b v="1"/>
  </r>
  <r>
    <x v="7"/>
    <m/>
    <x v="1"/>
    <s v="Centralized"/>
    <s v="Out"/>
    <m/>
    <m/>
    <m/>
    <s v="X"/>
    <n v="3"/>
    <s v="ACCEPTED"/>
    <s v="f"/>
    <d v="2022-01-24T00:00:00"/>
    <d v="2022-02-02T00:00:00"/>
    <m/>
    <n v="94176.51"/>
    <m/>
    <m/>
    <m/>
    <m/>
    <m/>
    <m/>
    <m/>
    <s v="08. Item 08"/>
    <n v="1"/>
    <x v="6"/>
    <x v="3"/>
    <n v="2022"/>
    <n v="2022"/>
    <b v="1"/>
  </r>
  <r>
    <x v="29"/>
    <m/>
    <x v="1"/>
    <s v="Centralized"/>
    <s v="Out"/>
    <m/>
    <m/>
    <m/>
    <m/>
    <n v="3"/>
    <s v="ACCEPTED"/>
    <s v="f"/>
    <d v="2022-01-24T00:00:00"/>
    <d v="2022-02-03T00:00:00"/>
    <m/>
    <n v="2196.09"/>
    <m/>
    <m/>
    <m/>
    <m/>
    <m/>
    <m/>
    <m/>
    <s v="13. Item 13"/>
    <n v="1"/>
    <x v="6"/>
    <x v="3"/>
    <n v="2022"/>
    <n v="2022"/>
    <b v="1"/>
  </r>
  <r>
    <x v="7"/>
    <m/>
    <x v="1"/>
    <s v="Centralized"/>
    <s v="Out"/>
    <m/>
    <m/>
    <m/>
    <m/>
    <n v="4"/>
    <s v="COMPLETE"/>
    <s v="f"/>
    <d v="2022-01-17T00:00:00"/>
    <d v="2022-01-31T00:00:00"/>
    <m/>
    <n v="23147.439999999999"/>
    <m/>
    <m/>
    <m/>
    <m/>
    <m/>
    <m/>
    <m/>
    <s v="08. Item 08"/>
    <n v="1"/>
    <x v="1"/>
    <x v="3"/>
    <n v="2022"/>
    <n v="2022"/>
    <b v="1"/>
  </r>
  <r>
    <x v="22"/>
    <m/>
    <x v="1"/>
    <s v="Centralized"/>
    <s v="Out"/>
    <s v="X"/>
    <m/>
    <m/>
    <m/>
    <n v="4"/>
    <s v="COMPLETE"/>
    <s v="f"/>
    <d v="2022-01-17T00:00:00"/>
    <d v="2022-01-31T00:00:00"/>
    <m/>
    <n v="1811797.66"/>
    <m/>
    <m/>
    <m/>
    <m/>
    <m/>
    <m/>
    <m/>
    <s v="04. Item 04"/>
    <n v="1"/>
    <x v="1"/>
    <x v="3"/>
    <n v="2022"/>
    <n v="2021"/>
    <b v="1"/>
  </r>
  <r>
    <x v="21"/>
    <m/>
    <x v="1"/>
    <s v="Centralized"/>
    <s v="In"/>
    <m/>
    <m/>
    <m/>
    <m/>
    <m/>
    <s v="COMPLETE"/>
    <s v="f"/>
    <d v="2022-01-24T00:00:00"/>
    <d v="2022-01-24T00:00:00"/>
    <m/>
    <n v="88933.57"/>
    <m/>
    <m/>
    <m/>
    <m/>
    <m/>
    <m/>
    <m/>
    <s v="09. Item 09"/>
    <n v="1"/>
    <x v="1"/>
    <x v="3"/>
    <n v="2022"/>
    <n v="2022"/>
    <b v="1"/>
  </r>
  <r>
    <x v="23"/>
    <m/>
    <x v="1"/>
    <s v="Centralized"/>
    <s v="In"/>
    <m/>
    <m/>
    <m/>
    <m/>
    <m/>
    <s v="COMPLETE"/>
    <s v="f"/>
    <d v="2022-01-25T00:00:00"/>
    <d v="2022-01-25T00:00:00"/>
    <m/>
    <n v="3003719.55"/>
    <m/>
    <m/>
    <m/>
    <m/>
    <m/>
    <m/>
    <m/>
    <s v="21. Item 21"/>
    <n v="1"/>
    <x v="1"/>
    <x v="3"/>
    <n v="2022"/>
    <n v="2022"/>
    <b v="1"/>
  </r>
  <r>
    <x v="16"/>
    <m/>
    <x v="1"/>
    <s v="Centralized"/>
    <s v="In"/>
    <m/>
    <m/>
    <m/>
    <m/>
    <m/>
    <s v="COMPLETE"/>
    <s v="f"/>
    <d v="2022-01-26T00:00:00"/>
    <d v="2022-01-26T00:00:00"/>
    <m/>
    <n v="4703889.42"/>
    <m/>
    <m/>
    <m/>
    <m/>
    <m/>
    <m/>
    <m/>
    <s v="_1. Item _1"/>
    <n v="1"/>
    <x v="1"/>
    <x v="3"/>
    <n v="2022"/>
    <n v="2022"/>
    <b v="1"/>
  </r>
  <r>
    <x v="13"/>
    <m/>
    <x v="1"/>
    <s v="Centralized"/>
    <s v="In"/>
    <m/>
    <m/>
    <m/>
    <m/>
    <m/>
    <s v="COMPLETE"/>
    <s v="f"/>
    <d v="2022-01-27T00:00:00"/>
    <d v="2022-01-27T00:00:00"/>
    <m/>
    <n v="7660967.2300000004"/>
    <m/>
    <m/>
    <m/>
    <m/>
    <m/>
    <m/>
    <m/>
    <s v="13. Item 13"/>
    <n v="1"/>
    <x v="1"/>
    <x v="3"/>
    <n v="2022"/>
    <n v="2022"/>
    <b v="1"/>
  </r>
  <r>
    <x v="25"/>
    <m/>
    <x v="1"/>
    <s v="Centralized"/>
    <s v="Out"/>
    <s v="X"/>
    <m/>
    <m/>
    <m/>
    <n v="3"/>
    <s v="ACCEPTED"/>
    <s v="f"/>
    <d v="2022-01-24T00:00:00"/>
    <d v="2022-02-08T00:00:00"/>
    <m/>
    <n v="115675.16"/>
    <m/>
    <m/>
    <m/>
    <m/>
    <m/>
    <m/>
    <m/>
    <s v="03. Item 03"/>
    <n v="1"/>
    <x v="6"/>
    <x v="3"/>
    <n v="2022"/>
    <n v="2021"/>
    <b v="1"/>
  </r>
  <r>
    <x v="8"/>
    <m/>
    <x v="2"/>
    <s v="Centralized"/>
    <s v="Out"/>
    <m/>
    <m/>
    <m/>
    <m/>
    <m/>
    <m/>
    <s v="f"/>
    <d v="2022-01-01T00:00:00"/>
    <d v="2022-01-01T00:00:00"/>
    <m/>
    <n v="453529.97"/>
    <m/>
    <m/>
    <m/>
    <m/>
    <m/>
    <m/>
    <m/>
    <s v="09. Item 09"/>
    <n v="1"/>
    <x v="1"/>
    <x v="3"/>
    <n v="2022"/>
    <n v="2022"/>
    <b v="1"/>
  </r>
  <r>
    <x v="22"/>
    <m/>
    <x v="2"/>
    <s v="Centralized"/>
    <s v="Out"/>
    <m/>
    <m/>
    <m/>
    <m/>
    <m/>
    <m/>
    <s v="f"/>
    <d v="2022-01-01T00:00:00"/>
    <d v="2022-01-01T00:00:00"/>
    <m/>
    <n v="10143686.640000001"/>
    <m/>
    <m/>
    <m/>
    <m/>
    <m/>
    <m/>
    <m/>
    <s v="04. Item 04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m/>
    <n v="6860616"/>
    <m/>
    <m/>
    <m/>
    <m/>
    <m/>
    <m/>
    <m/>
    <s v="09. Item 09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n v="80.81"/>
    <n v="9976.1299999999992"/>
    <m/>
    <m/>
    <m/>
    <m/>
    <m/>
    <m/>
    <m/>
    <s v="09. Item 09"/>
    <n v="1"/>
    <x v="1"/>
    <x v="3"/>
    <n v="2022"/>
    <n v="2022"/>
    <b v="1"/>
  </r>
  <r>
    <x v="29"/>
    <m/>
    <x v="2"/>
    <s v="Centralized"/>
    <s v="Out"/>
    <m/>
    <m/>
    <m/>
    <m/>
    <m/>
    <m/>
    <s v="f"/>
    <d v="2022-01-01T00:00:00"/>
    <d v="2022-01-01T00:00:00"/>
    <m/>
    <n v="243606.51"/>
    <m/>
    <m/>
    <m/>
    <m/>
    <m/>
    <m/>
    <m/>
    <s v="13. Item 13"/>
    <n v="1"/>
    <x v="1"/>
    <x v="3"/>
    <n v="2022"/>
    <n v="2022"/>
    <b v="1"/>
  </r>
  <r>
    <x v="29"/>
    <m/>
    <x v="2"/>
    <s v="Centralized"/>
    <s v="Out"/>
    <m/>
    <m/>
    <m/>
    <m/>
    <m/>
    <m/>
    <s v="f"/>
    <d v="2022-01-01T00:00:00"/>
    <d v="2022-01-01T00:00:00"/>
    <m/>
    <n v="9437914.2400000002"/>
    <m/>
    <m/>
    <m/>
    <m/>
    <m/>
    <m/>
    <m/>
    <s v="13. Item 13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m/>
    <n v="588186.49"/>
    <m/>
    <m/>
    <m/>
    <m/>
    <m/>
    <m/>
    <m/>
    <s v="09. Item 09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m/>
    <n v="3791949.2"/>
    <m/>
    <m/>
    <m/>
    <m/>
    <m/>
    <m/>
    <m/>
    <s v="09. Item 09"/>
    <n v="1"/>
    <x v="1"/>
    <x v="3"/>
    <n v="2022"/>
    <n v="2022"/>
    <b v="1"/>
  </r>
  <r>
    <x v="22"/>
    <m/>
    <x v="2"/>
    <s v="Centralized"/>
    <s v="Out"/>
    <m/>
    <m/>
    <m/>
    <m/>
    <m/>
    <m/>
    <s v="f"/>
    <d v="2022-01-01T00:00:00"/>
    <d v="2022-01-01T00:00:00"/>
    <m/>
    <n v="315978.59000000003"/>
    <m/>
    <m/>
    <m/>
    <m/>
    <m/>
    <m/>
    <m/>
    <s v="04. Item 04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n v="5960.47"/>
    <n v="1083623.5"/>
    <m/>
    <m/>
    <m/>
    <m/>
    <m/>
    <m/>
    <m/>
    <s v="09. Item 09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m/>
    <n v="4482.33"/>
    <m/>
    <m/>
    <m/>
    <m/>
    <m/>
    <m/>
    <m/>
    <s v="09. Item 09"/>
    <n v="1"/>
    <x v="1"/>
    <x v="3"/>
    <n v="2022"/>
    <n v="2022"/>
    <b v="1"/>
  </r>
  <r>
    <x v="7"/>
    <m/>
    <x v="2"/>
    <s v="Centralized"/>
    <s v="Out"/>
    <m/>
    <m/>
    <m/>
    <m/>
    <m/>
    <m/>
    <s v="f"/>
    <d v="2022-01-01T00:00:00"/>
    <d v="2022-01-01T00:00:00"/>
    <m/>
    <n v="74573.05"/>
    <m/>
    <m/>
    <m/>
    <m/>
    <m/>
    <m/>
    <m/>
    <s v="08. Item 08"/>
    <n v="1"/>
    <x v="1"/>
    <x v="3"/>
    <n v="2022"/>
    <n v="2022"/>
    <b v="1"/>
  </r>
  <r>
    <x v="29"/>
    <m/>
    <x v="2"/>
    <s v="Centralized"/>
    <s v="Out"/>
    <m/>
    <m/>
    <m/>
    <m/>
    <m/>
    <m/>
    <s v="f"/>
    <d v="2022-01-01T00:00:00"/>
    <d v="2022-01-01T00:00:00"/>
    <m/>
    <n v="31279.200000000001"/>
    <m/>
    <m/>
    <m/>
    <m/>
    <m/>
    <m/>
    <m/>
    <s v="13. Item 13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m/>
    <n v="731820.97"/>
    <m/>
    <m/>
    <m/>
    <m/>
    <m/>
    <m/>
    <m/>
    <s v="09. Item 09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m/>
    <n v="223817.55"/>
    <m/>
    <m/>
    <m/>
    <m/>
    <m/>
    <m/>
    <m/>
    <s v="09. Item 09"/>
    <n v="1"/>
    <x v="1"/>
    <x v="3"/>
    <n v="2022"/>
    <n v="2022"/>
    <b v="1"/>
  </r>
  <r>
    <x v="8"/>
    <m/>
    <x v="2"/>
    <s v="Centralized"/>
    <s v="Out"/>
    <m/>
    <m/>
    <m/>
    <m/>
    <m/>
    <m/>
    <s v="f"/>
    <d v="2022-01-01T00:00:00"/>
    <d v="2022-01-01T00:00:00"/>
    <m/>
    <n v="143.57"/>
    <m/>
    <m/>
    <m/>
    <m/>
    <m/>
    <m/>
    <m/>
    <s v="09. Item 09"/>
    <n v="1"/>
    <x v="1"/>
    <x v="3"/>
    <n v="2022"/>
    <n v="2022"/>
    <b v="1"/>
  </r>
  <r>
    <x v="22"/>
    <m/>
    <x v="2"/>
    <s v="Centralized"/>
    <s v="Out"/>
    <m/>
    <m/>
    <m/>
    <m/>
    <m/>
    <m/>
    <s v="f"/>
    <d v="2022-01-01T00:00:00"/>
    <d v="2022-01-01T00:00:00"/>
    <m/>
    <n v="57945.87"/>
    <m/>
    <m/>
    <m/>
    <m/>
    <m/>
    <m/>
    <m/>
    <s v="04. Item 04"/>
    <n v="1"/>
    <x v="1"/>
    <x v="3"/>
    <n v="2022"/>
    <n v="2022"/>
    <b v="1"/>
  </r>
  <r>
    <x v="7"/>
    <m/>
    <x v="2"/>
    <s v="Centralized"/>
    <s v="Out"/>
    <m/>
    <m/>
    <m/>
    <m/>
    <m/>
    <m/>
    <s v="f"/>
    <d v="2022-01-01T00:00:00"/>
    <d v="2022-01-01T00:00:00"/>
    <m/>
    <n v="8565.43"/>
    <m/>
    <m/>
    <m/>
    <m/>
    <m/>
    <m/>
    <m/>
    <s v="08. Item 08"/>
    <n v="1"/>
    <x v="1"/>
    <x v="3"/>
    <n v="2022"/>
    <n v="2022"/>
    <b v="1"/>
  </r>
  <r>
    <x v="21"/>
    <m/>
    <x v="2"/>
    <s v="Centralized"/>
    <s v="Out"/>
    <m/>
    <m/>
    <m/>
    <m/>
    <m/>
    <m/>
    <s v="f"/>
    <d v="2022-01-01T00:00:00"/>
    <d v="2022-01-01T00:00:00"/>
    <n v="23878.799999999999"/>
    <n v="757000.22"/>
    <m/>
    <m/>
    <m/>
    <m/>
    <m/>
    <m/>
    <m/>
    <s v="09. Item 09"/>
    <n v="1"/>
    <x v="1"/>
    <x v="3"/>
    <n v="2022"/>
    <n v="2022"/>
    <b v="1"/>
  </r>
  <r>
    <x v="28"/>
    <m/>
    <x v="2"/>
    <s v="Centralized"/>
    <s v="Out"/>
    <m/>
    <m/>
    <m/>
    <m/>
    <m/>
    <m/>
    <s v="f"/>
    <d v="2022-01-01T00:00:00"/>
    <d v="2022-01-01T00:00:00"/>
    <m/>
    <n v="3910723.45"/>
    <m/>
    <m/>
    <m/>
    <m/>
    <m/>
    <m/>
    <m/>
    <s v="03. Item 03"/>
    <n v="1"/>
    <x v="1"/>
    <x v="3"/>
    <n v="2022"/>
    <n v="2022"/>
    <b v="1"/>
  </r>
  <r>
    <x v="22"/>
    <m/>
    <x v="2"/>
    <s v="Centralized"/>
    <s v="Out"/>
    <m/>
    <m/>
    <m/>
    <m/>
    <m/>
    <m/>
    <s v="f"/>
    <d v="2022-01-01T00:00:00"/>
    <d v="2022-01-01T00:00:00"/>
    <m/>
    <n v="9642.86"/>
    <m/>
    <m/>
    <m/>
    <m/>
    <m/>
    <m/>
    <m/>
    <s v="04. Item 04"/>
    <n v="1"/>
    <x v="1"/>
    <x v="3"/>
    <n v="2022"/>
    <n v="2022"/>
    <b v="1"/>
  </r>
  <r>
    <x v="7"/>
    <m/>
    <x v="1"/>
    <s v="Centralized"/>
    <s v="In"/>
    <m/>
    <m/>
    <m/>
    <m/>
    <m/>
    <s v="COMPLETE"/>
    <s v="f"/>
    <d v="2022-01-28T00:00:00"/>
    <d v="2022-01-28T00:00:00"/>
    <m/>
    <n v="18032717.329999998"/>
    <m/>
    <m/>
    <m/>
    <m/>
    <m/>
    <m/>
    <m/>
    <s v="08. Item 08"/>
    <n v="1"/>
    <x v="1"/>
    <x v="3"/>
    <n v="2022"/>
    <n v="2022"/>
    <b v="1"/>
  </r>
  <r>
    <x v="7"/>
    <m/>
    <x v="1"/>
    <s v="Centralized"/>
    <s v="In"/>
    <m/>
    <m/>
    <m/>
    <m/>
    <m/>
    <s v="COMPLETE"/>
    <s v="f"/>
    <d v="2022-01-28T00:00:00"/>
    <d v="2022-01-28T00:00:00"/>
    <m/>
    <n v="6195.55"/>
    <m/>
    <m/>
    <m/>
    <m/>
    <m/>
    <m/>
    <m/>
    <s v="08. Item 08"/>
    <n v="1"/>
    <x v="1"/>
    <x v="3"/>
    <n v="2022"/>
    <n v="2022"/>
    <b v="1"/>
  </r>
  <r>
    <x v="21"/>
    <m/>
    <x v="1"/>
    <s v="Centralized"/>
    <s v="In"/>
    <m/>
    <m/>
    <m/>
    <m/>
    <m/>
    <s v="COMPLETE"/>
    <s v="f"/>
    <d v="2022-01-28T00:00:00"/>
    <d v="2022-01-28T00:00:00"/>
    <m/>
    <n v="4690.4799999999996"/>
    <m/>
    <m/>
    <m/>
    <m/>
    <m/>
    <m/>
    <m/>
    <s v="09. Item 09"/>
    <n v="1"/>
    <x v="1"/>
    <x v="3"/>
    <n v="2022"/>
    <n v="2022"/>
    <b v="1"/>
  </r>
  <r>
    <x v="21"/>
    <m/>
    <x v="1"/>
    <s v="Centralized"/>
    <s v="Out"/>
    <m/>
    <m/>
    <m/>
    <m/>
    <n v="4"/>
    <s v="ACCEPTED"/>
    <s v="f"/>
    <d v="2022-01-28T00:00:00"/>
    <d v="2022-02-04T00:00:00"/>
    <m/>
    <n v="130.09"/>
    <m/>
    <m/>
    <m/>
    <m/>
    <m/>
    <m/>
    <m/>
    <s v="09. Item 09"/>
    <n v="1"/>
    <x v="6"/>
    <x v="3"/>
    <n v="2022"/>
    <n v="2022"/>
    <b v="1"/>
  </r>
  <r>
    <x v="20"/>
    <m/>
    <x v="1"/>
    <s v="Centralized"/>
    <s v="Out"/>
    <m/>
    <m/>
    <m/>
    <m/>
    <n v="4"/>
    <s v="ACCEPTED"/>
    <s v="f"/>
    <d v="2022-01-28T00:00:00"/>
    <d v="2022-02-04T00:00:00"/>
    <m/>
    <n v="27849.31"/>
    <m/>
    <m/>
    <m/>
    <m/>
    <m/>
    <m/>
    <m/>
    <s v="14. Item 14"/>
    <n v="1"/>
    <x v="6"/>
    <x v="3"/>
    <n v="2022"/>
    <n v="2022"/>
    <b v="1"/>
  </r>
  <r>
    <x v="20"/>
    <m/>
    <x v="1"/>
    <s v="Centralized"/>
    <s v="Out"/>
    <m/>
    <m/>
    <m/>
    <m/>
    <n v="4"/>
    <s v="ACCEPTED"/>
    <s v="f"/>
    <d v="2022-01-28T00:00:00"/>
    <d v="2022-02-08T00:00:00"/>
    <m/>
    <n v="2821.52"/>
    <m/>
    <m/>
    <m/>
    <m/>
    <m/>
    <m/>
    <m/>
    <s v="14. Item 14"/>
    <n v="1"/>
    <x v="6"/>
    <x v="3"/>
    <n v="2022"/>
    <n v="2022"/>
    <b v="1"/>
  </r>
  <r>
    <x v="16"/>
    <m/>
    <x v="1"/>
    <s v="Centralized"/>
    <s v="Out"/>
    <s v="X"/>
    <m/>
    <m/>
    <m/>
    <n v="4"/>
    <s v="ACCEPTED"/>
    <s v="f"/>
    <d v="2022-01-31T00:00:00"/>
    <d v="2022-02-08T00:00:00"/>
    <m/>
    <n v="325339.06"/>
    <m/>
    <m/>
    <m/>
    <m/>
    <m/>
    <m/>
    <m/>
    <s v="_1. Item _1"/>
    <n v="1"/>
    <x v="6"/>
    <x v="3"/>
    <n v="2022"/>
    <n v="2021"/>
    <b v="1"/>
  </r>
  <r>
    <x v="16"/>
    <m/>
    <x v="1"/>
    <s v="Centralized"/>
    <s v="In"/>
    <m/>
    <m/>
    <m/>
    <m/>
    <m/>
    <s v="COMPLETE"/>
    <s v="f"/>
    <d v="2022-01-31T00:00:00"/>
    <d v="2022-01-31T00:00:00"/>
    <m/>
    <n v="4783014.17"/>
    <m/>
    <m/>
    <m/>
    <m/>
    <m/>
    <m/>
    <m/>
    <s v="_1. Item _1"/>
    <n v="1"/>
    <x v="1"/>
    <x v="3"/>
    <n v="2022"/>
    <n v="2022"/>
    <b v="1"/>
  </r>
  <r>
    <x v="36"/>
    <m/>
    <x v="1"/>
    <s v="Centralized"/>
    <s v="Out"/>
    <m/>
    <m/>
    <m/>
    <m/>
    <n v="3"/>
    <s v="ACCEPTED"/>
    <s v="f"/>
    <d v="2022-01-17T00:00:00"/>
    <d v="2022-02-08T00:00:00"/>
    <m/>
    <n v="201832.89"/>
    <m/>
    <m/>
    <m/>
    <m/>
    <m/>
    <m/>
    <m/>
    <s v="_3. Item _3"/>
    <n v="1"/>
    <x v="6"/>
    <x v="3"/>
    <n v="2022"/>
    <n v="2022"/>
    <b v="1"/>
  </r>
  <r>
    <x v="35"/>
    <m/>
    <x v="1"/>
    <s v="Centralized"/>
    <s v="Out"/>
    <m/>
    <m/>
    <m/>
    <s v="X"/>
    <n v="3"/>
    <s v="ACCEPTED"/>
    <s v="f"/>
    <d v="2022-01-17T00:00:00"/>
    <d v="2022-02-08T00:00:00"/>
    <m/>
    <n v="968671.57"/>
    <m/>
    <m/>
    <m/>
    <m/>
    <m/>
    <m/>
    <m/>
    <s v="17. Item 17"/>
    <n v="1"/>
    <x v="6"/>
    <x v="3"/>
    <n v="2022"/>
    <n v="2022"/>
    <b v="1"/>
  </r>
  <r>
    <x v="35"/>
    <m/>
    <x v="1"/>
    <s v="Centralized"/>
    <s v="Out"/>
    <m/>
    <m/>
    <m/>
    <m/>
    <n v="4"/>
    <s v="DOWNLOADED"/>
    <s v="f"/>
    <d v="2022-01-17T00:00:00"/>
    <d v="2022-02-10T00:00:00"/>
    <m/>
    <n v="522.6"/>
    <m/>
    <m/>
    <m/>
    <m/>
    <m/>
    <m/>
    <m/>
    <s v="17. Item 17"/>
    <n v="1"/>
    <x v="6"/>
    <x v="3"/>
    <n v="2022"/>
    <n v="2022"/>
    <b v="1"/>
  </r>
  <r>
    <x v="22"/>
    <m/>
    <x v="1"/>
    <s v="Centralized"/>
    <s v="Out"/>
    <s v="X"/>
    <m/>
    <m/>
    <m/>
    <n v="4"/>
    <s v="DOWNLOADED"/>
    <s v="f"/>
    <d v="2022-01-17T00:00:00"/>
    <d v="2022-02-10T00:00:00"/>
    <m/>
    <n v="13393.48"/>
    <m/>
    <m/>
    <m/>
    <m/>
    <m/>
    <m/>
    <m/>
    <s v="04. Item 04"/>
    <n v="1"/>
    <x v="6"/>
    <x v="3"/>
    <n v="2022"/>
    <n v="2021"/>
    <b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127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outline="1" outlineData="1" multipleFieldFilters="0" chartFormat="1">
  <location ref="A5:N7" firstHeaderRow="1" firstDataRow="2" firstDataCol="1" rowPageCount="3" colPageCount="1"/>
  <pivotFields count="30">
    <pivotField axis="axisPage" showAll="0">
      <items count="42">
        <item x="16"/>
        <item x="19"/>
        <item x="36"/>
        <item x="37"/>
        <item x="0"/>
        <item x="1"/>
        <item x="25"/>
        <item x="24"/>
        <item x="38"/>
        <item x="27"/>
        <item x="39"/>
        <item x="28"/>
        <item x="22"/>
        <item x="3"/>
        <item x="4"/>
        <item x="5"/>
        <item x="15"/>
        <item x="6"/>
        <item x="7"/>
        <item x="8"/>
        <item x="9"/>
        <item x="17"/>
        <item x="21"/>
        <item x="30"/>
        <item x="31"/>
        <item x="10"/>
        <item x="32"/>
        <item x="29"/>
        <item x="11"/>
        <item x="33"/>
        <item x="12"/>
        <item x="34"/>
        <item x="13"/>
        <item x="20"/>
        <item x="18"/>
        <item x="26"/>
        <item x="35"/>
        <item x="40"/>
        <item x="14"/>
        <item x="23"/>
        <item x="2"/>
        <item t="default"/>
      </items>
    </pivotField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3">
        <item x="1"/>
        <item x="6"/>
        <item x="8"/>
        <item x="10"/>
        <item x="11"/>
        <item x="9"/>
        <item x="7"/>
        <item x="5"/>
        <item x="4"/>
        <item x="3"/>
        <item x="2"/>
        <item x="0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</pivotFields>
  <rowItems count="1">
    <i/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0" item="0" hier="-1"/>
    <pageField fld="26" item="2" hier="-1"/>
    <pageField fld="2" item="1" hier="-1"/>
  </pageFields>
  <dataFields count="1">
    <dataField name="Сумма по полю SumFact" fld="15" baseField="25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ash_BI.accdb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CashFlowType" tableColumnId="1"/>
    </queryTableFields>
  </queryTableRefresh>
</queryTable>
</file>

<file path=xl/queryTables/queryTable2.xml><?xml version="1.0" encoding="utf-8"?>
<queryTable xmlns="http://schemas.openxmlformats.org/spreadsheetml/2006/main" name="Cash_BI.accdb_1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DataType" tableColumnId="1"/>
    </queryTableFields>
  </queryTableRefresh>
</queryTable>
</file>

<file path=xl/queryTables/queryTable3.xml><?xml version="1.0" encoding="utf-8"?>
<queryTable xmlns="http://schemas.openxmlformats.org/spreadsheetml/2006/main" name="Cash_BI.accdb_2" connectionId="7" autoFormatId="16" applyNumberFormats="0" applyBorderFormats="0" applyFontFormats="0" applyPatternFormats="0" applyAlignmentFormats="0" applyWidthHeightFormats="0">
  <queryTableRefresh nextId="2">
    <queryTableFields count="1">
      <queryTableField id="1" name="ERPItem" tableColumnId="1"/>
    </queryTableFields>
  </queryTableRefresh>
</queryTable>
</file>

<file path=xl/queryTables/queryTable4.xml><?xml version="1.0" encoding="utf-8"?>
<queryTable xmlns="http://schemas.openxmlformats.org/spreadsheetml/2006/main" name="Cash_BI.accdb_3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ERPItem" tableColumnId="1"/>
      <queryTableField id="2" name="ItemExtra" tableColumnId="2"/>
      <queryTableField id="3" name="ItemExtraPast" tableColumnId="3"/>
      <queryTableField id="4" name="ItemExtraOffbalance" tableColumnId="4"/>
      <queryTableField id="5" name="ItemExtraDecentralized" tableColumnId="5"/>
    </queryTableFields>
  </queryTableRefresh>
</queryTable>
</file>

<file path=xl/queryTables/queryTable5.xml><?xml version="1.0" encoding="utf-8"?>
<queryTable xmlns="http://schemas.openxmlformats.org/spreadsheetml/2006/main" name="Cash_BI.accdb_4" connectionId="9" autoFormatId="16" applyNumberFormats="0" applyBorderFormats="0" applyFontFormats="0" applyPatternFormats="0" applyAlignmentFormats="0" applyWidthHeightFormats="0">
  <queryTableRefresh nextId="3">
    <queryTableFields count="2">
      <queryTableField id="1" name="Item" tableColumnId="1"/>
      <queryTableField id="2" name="ReportPart" tableColumnId="2"/>
    </queryTableFields>
  </queryTableRefresh>
</queryTable>
</file>

<file path=xl/queryTables/queryTable6.xml><?xml version="1.0" encoding="utf-8"?>
<queryTable xmlns="http://schemas.openxmlformats.org/spreadsheetml/2006/main" name="Cash_BI.accdb_5" connectionId="10" autoFormatId="16" applyNumberFormats="0" applyBorderFormats="0" applyFontFormats="0" applyPatternFormats="0" applyAlignmentFormats="0" applyWidthHeightFormats="0">
  <queryTableRefresh nextId="8">
    <queryTableFields count="7">
      <queryTableField id="1" name="ItemExtraNumber" tableColumnId="1"/>
      <queryTableField id="2" name="ItemExtraName" tableColumnId="2"/>
      <queryTableField id="3" name="ItemExtra" tableColumnId="3"/>
      <queryTableField id="4" name="TMSIndex" tableColumnId="4"/>
      <queryTableField id="5" name="1TrancheDate" tableColumnId="5"/>
      <queryTableField id="6" name="AccountShift" tableColumnId="6"/>
      <queryTableField id="7" name="2TrancheDate" tableColumnId="7"/>
    </queryTableFields>
  </queryTableRefresh>
</queryTable>
</file>

<file path=xl/queryTables/queryTable7.xml><?xml version="1.0" encoding="utf-8"?>
<queryTable xmlns="http://schemas.openxmlformats.org/spreadsheetml/2006/main" name="Cash_BI.accdb_6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ItemExtra" tableColumnId="1"/>
      <queryTableField id="2" name="SubItem" tableColumnId="2"/>
    </queryTableFields>
  </queryTableRefresh>
</queryTable>
</file>

<file path=xl/queryTables/queryTable8.xml><?xml version="1.0" encoding="utf-8"?>
<queryTable xmlns="http://schemas.openxmlformats.org/spreadsheetml/2006/main" name="Cash_BI.accdb_7" connectionId="12" autoFormatId="16" applyNumberFormats="0" applyBorderFormats="0" applyFontFormats="0" applyPatternFormats="0" applyAlignmentFormats="0" applyWidthHeightFormats="0">
  <queryTableRefresh nextId="2">
    <queryTableFields count="1">
      <queryTableField id="1" name="Plan_Fact" tableColumnId="1"/>
    </queryTableFields>
  </queryTableRefresh>
</queryTable>
</file>

<file path=xl/queryTables/queryTable9.xml><?xml version="1.0" encoding="utf-8"?>
<queryTable xmlns="http://schemas.openxmlformats.org/spreadsheetml/2006/main" name="Cash_BI.accdb_8" connectionId="13" autoFormatId="16" applyNumberFormats="0" applyBorderFormats="0" applyFontFormats="0" applyPatternFormats="0" applyAlignmentFormats="0" applyWidthHeightFormats="0">
  <queryTableRefresh nextId="2">
    <queryTableFields count="1">
      <queryTableField id="1" name="ReportPart" tableColumnId="1"/>
    </queryTableFields>
  </queryTableRefresh>
</queryTable>
</file>

<file path=xl/queryTables/queryTable10.xml><?xml version="1.0" encoding="utf-8"?>
<queryTable xmlns="http://schemas.openxmlformats.org/spreadsheetml/2006/main" name="Cash_BI.accdb_9" connectionId="14" autoFormatId="16" applyNumberFormats="0" applyBorderFormats="0" applyFontFormats="0" applyPatternFormats="0" applyAlignmentFormats="0" applyWidthHeightFormats="0">
  <queryTableRefresh nextId="2">
    <queryTableFields count="1">
      <queryTableField id="1" name="Source" tableColumnId="1"/>
    </queryTableFields>
  </queryTableRefresh>
</queryTable>
</file>

<file path=xl/queryTables/queryTable11.xml><?xml version="1.0" encoding="utf-8"?>
<queryTable xmlns="http://schemas.openxmlformats.org/spreadsheetml/2006/main" name="Cash_BI.accdb_10" connectionId="3" autoFormatId="16" applyNumberFormats="0" applyBorderFormats="0" applyFontFormats="0" applyPatternFormats="0" applyAlignmentFormats="0" applyWidthHeightFormats="0">
  <queryTableRefresh nextId="2">
    <queryTableFields count="1">
      <queryTableField id="1" name="SubItem" tableColumnId="1"/>
    </queryTableFields>
  </queryTableRefresh>
</queryTable>
</file>

<file path=xl/queryTables/queryTable12.xml><?xml version="1.0" encoding="utf-8"?>
<queryTable xmlns="http://schemas.openxmlformats.org/spreadsheetml/2006/main" name="Cash_BI.accdb_11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SubItem" tableColumnId="1"/>
      <queryTableField id="2" name="Item" tableColumnId="2"/>
    </queryTableFields>
  </queryTableRefresh>
</queryTable>
</file>

<file path=xl/queryTables/queryTable13.xml><?xml version="1.0" encoding="utf-8"?>
<queryTable xmlns="http://schemas.openxmlformats.org/spreadsheetml/2006/main" name="Cash_BI.accdb_12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SystemState" tableColumnId="1"/>
    </queryTableFields>
  </queryTableRefresh>
</queryTable>
</file>

<file path=xl/queryTables/queryTable14.xml><?xml version="1.0" encoding="utf-8"?>
<queryTable xmlns="http://schemas.openxmlformats.org/spreadsheetml/2006/main" name="Cash_BI.accdb_13" connectionId="6" autoFormatId="16" applyNumberFormats="0" applyBorderFormats="0" applyFontFormats="0" applyPatternFormats="0" applyAlignmentFormats="0" applyWidthHeightFormats="0">
  <queryTableRefresh nextId="2">
    <queryTableFields count="1">
      <queryTableField id="1" name="Tranche" tableColumnId="1"/>
    </queryTableFields>
  </queryTableRefresh>
</queryTable>
</file>

<file path=xl/queryTables/queryTable15.xml><?xml version="1.0" encoding="utf-8"?>
<queryTable xmlns="http://schemas.openxmlformats.org/spreadsheetml/2006/main" name="Запрос из MS Access Database" connectionId="15" autoFormatId="16" applyNumberFormats="0" applyBorderFormats="0" applyFontFormats="0" applyPatternFormats="0" applyAlignmentFormats="0" applyWidthHeightFormats="0">
  <queryTableRefresh nextId="3">
    <queryTableFields count="2">
      <queryTableField id="1" name="FundsCenter" tableColumnId="1"/>
      <queryTableField id="2" name="FundsCenter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id="1" name="refCashFlowType" displayName="refCashFlowType" ref="A1:A6" tableType="queryTable" totalsRowShown="0">
  <autoFilter ref="A1:A6"/>
  <tableColumns count="1">
    <tableColumn id="1" uniqueName="1" name="CashFlowType" queryTableField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fDataType" displayName="refDataType" ref="C1:C9" tableType="queryTable" totalsRowShown="0">
  <autoFilter ref="C1:C9"/>
  <tableColumns count="1">
    <tableColumn id="1" uniqueName="1" name="DataType" queryTableField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refERPItem" displayName="refERPItem" ref="E1:E224" tableType="queryTable" totalsRowShown="0">
  <autoFilter ref="E1:E224"/>
  <tableColumns count="1">
    <tableColumn id="1" uniqueName="1" name="ERPItem" queryTableField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refERPItem_ItemExtra" displayName="refERPItem_ItemExtra" ref="G1:K224" tableType="queryTable" totalsRowShown="0">
  <autoFilter ref="G1:K224"/>
  <tableColumns count="5">
    <tableColumn id="1" uniqueName="1" name="ERPItem" queryTableFieldId="1"/>
    <tableColumn id="2" uniqueName="2" name="ItemExtra" queryTableFieldId="2"/>
    <tableColumn id="3" uniqueName="3" name="ItemExtraPast" queryTableFieldId="3"/>
    <tableColumn id="4" uniqueName="4" name="ItemExtraOffbalance" queryTableFieldId="4"/>
    <tableColumn id="5" uniqueName="5" name="ItemExtraDecentralized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refItem" displayName="refItem" ref="M1:N27" tableType="queryTable" totalsRowShown="0">
  <autoFilter ref="M1:N27"/>
  <tableColumns count="2">
    <tableColumn id="1" uniqueName="1" name="Item" queryTableFieldId="1"/>
    <tableColumn id="2" uniqueName="2" name="ReportPart" queryTableField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refItemExtra" displayName="refItemExtra" ref="P1:V235" tableType="queryTable" totalsRowShown="0">
  <autoFilter ref="P1:V235"/>
  <tableColumns count="7">
    <tableColumn id="1" uniqueName="1" name="ItemExtraNumber" queryTableFieldId="1"/>
    <tableColumn id="2" uniqueName="2" name="ItemExtraName" queryTableFieldId="2"/>
    <tableColumn id="3" uniqueName="3" name="ItemExtra" queryTableFieldId="3"/>
    <tableColumn id="4" uniqueName="4" name="TMSIndex" queryTableFieldId="4"/>
    <tableColumn id="5" uniqueName="5" name="1TrancheDate" queryTableFieldId="5"/>
    <tableColumn id="6" uniqueName="6" name="AccountShift" queryTableFieldId="6"/>
    <tableColumn id="7" uniqueName="7" name="2TrancheDate" queryTableField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refItemExtra_SubItem" displayName="refItemExtra_SubItem" ref="X1:Y182" tableType="queryTable" totalsRowShown="0">
  <autoFilter ref="X1:Y182"/>
  <tableColumns count="2">
    <tableColumn id="1" uniqueName="1" name="ItemExtra" queryTableFieldId="1"/>
    <tableColumn id="2" uniqueName="2" name="SubItem" queryTableField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Таблица_Cash_BI.accdb_7" displayName="Таблица_Cash_BI.accdb_7" ref="AA1:AA3" tableType="queryTable" totalsRowShown="0">
  <autoFilter ref="AA1:AA3"/>
  <tableColumns count="1">
    <tableColumn id="1" uniqueName="1" name="Plan_Fact" queryTableFieldId="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refReportPart" displayName="refReportPart" ref="AC1:AC3" tableType="queryTable" totalsRowShown="0">
  <autoFilter ref="AC1:AC3"/>
  <tableColumns count="1">
    <tableColumn id="1" uniqueName="1" name="ReportPart" queryTableField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refSource" displayName="refSource" ref="AE1:AE3" tableType="queryTable" totalsRowShown="0">
  <autoFilter ref="AE1:AE3"/>
  <tableColumns count="1">
    <tableColumn id="1" uniqueName="1" name="Source" queryTableFieldId="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refSubItem" displayName="refSubItem" ref="AG1:AG54" tableType="queryTable" totalsRowShown="0">
  <autoFilter ref="AG1:AG54"/>
  <tableColumns count="1">
    <tableColumn id="1" uniqueName="1" name="SubItem" queryTableField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refSubItem_Item" displayName="refSubItem_Item" ref="AI1:AJ53" tableType="queryTable" totalsRowShown="0">
  <autoFilter ref="AI1:AJ53"/>
  <tableColumns count="2">
    <tableColumn id="1" uniqueName="1" name="SubItem" queryTableFieldId="1"/>
    <tableColumn id="2" uniqueName="2" name="Item" queryTableFieldId="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refSystemState" displayName="refSystemState" ref="AL1:AL5" tableType="queryTable" totalsRowShown="0">
  <autoFilter ref="AL1:AL5"/>
  <tableColumns count="1">
    <tableColumn id="1" uniqueName="1" name="SystemState" queryTableField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refTranche" displayName="refTranche" ref="AN1:AN6" tableType="queryTable" totalsRowShown="0">
  <autoFilter ref="AN1:AN6"/>
  <tableColumns count="1">
    <tableColumn id="1" uniqueName="1" name="Tranche" queryTableField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Таблица_Запрос_из_MS_Access_Database" displayName="Таблица_Запрос_из_MS_Access_Database" ref="AP1:AQ49" tableType="queryTable" totalsRowShown="0">
  <autoFilter ref="AP1:AQ49"/>
  <tableColumns count="2">
    <tableColumn id="1" uniqueName="1" name="FundsCenter" queryTableFieldId="1"/>
    <tableColumn id="2" uniqueName="2" name="FundsCenterName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7"/>
  <sheetViews>
    <sheetView workbookViewId="0">
      <selection activeCell="C7" sqref="C7"/>
    </sheetView>
  </sheetViews>
  <sheetFormatPr defaultRowHeight="12.75" x14ac:dyDescent="0.2"/>
  <cols>
    <col min="1" max="1" width="24.42578125" customWidth="1"/>
    <col min="2" max="2" width="22" customWidth="1"/>
    <col min="3" max="3" width="9" customWidth="1"/>
    <col min="4" max="4" width="12" customWidth="1"/>
    <col min="5" max="5" width="11" customWidth="1"/>
    <col min="6" max="6" width="10" customWidth="1"/>
    <col min="7" max="7" width="12" customWidth="1"/>
    <col min="8" max="9" width="11" customWidth="1"/>
    <col min="10" max="10" width="12" customWidth="1"/>
    <col min="11" max="13" width="11" customWidth="1"/>
    <col min="14" max="14" width="11.7109375" bestFit="1" customWidth="1"/>
  </cols>
  <sheetData>
    <row r="1" spans="1:14" x14ac:dyDescent="0.2">
      <c r="A1" s="35" t="s">
        <v>610</v>
      </c>
      <c r="B1" t="s">
        <v>683</v>
      </c>
    </row>
    <row r="2" spans="1:14" x14ac:dyDescent="0.2">
      <c r="A2" s="35" t="s">
        <v>634</v>
      </c>
      <c r="B2" s="36">
        <v>2021</v>
      </c>
    </row>
    <row r="3" spans="1:14" x14ac:dyDescent="0.2">
      <c r="A3" s="35" t="s">
        <v>612</v>
      </c>
      <c r="B3" t="s">
        <v>641</v>
      </c>
    </row>
    <row r="5" spans="1:14" x14ac:dyDescent="0.2">
      <c r="B5" s="35" t="s">
        <v>1235</v>
      </c>
    </row>
    <row r="6" spans="1:14" x14ac:dyDescent="0.2"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 t="s">
        <v>1236</v>
      </c>
    </row>
    <row r="7" spans="1:14" x14ac:dyDescent="0.2">
      <c r="A7" t="s">
        <v>1237</v>
      </c>
      <c r="B7" s="31">
        <v>2571.4299999999998</v>
      </c>
      <c r="C7" s="31">
        <v>47506.79</v>
      </c>
      <c r="D7" s="31">
        <v>20790113.349999998</v>
      </c>
      <c r="E7" s="31">
        <v>8079018.2299999986</v>
      </c>
      <c r="F7" s="31">
        <v>1356624.5</v>
      </c>
      <c r="G7" s="31">
        <v>10366689.51</v>
      </c>
      <c r="H7" s="31">
        <v>9633129.8399999999</v>
      </c>
      <c r="I7" s="31">
        <v>3756904.2800000003</v>
      </c>
      <c r="J7" s="31">
        <v>23584415.689999994</v>
      </c>
      <c r="K7" s="31">
        <v>3400700.6100000003</v>
      </c>
      <c r="L7" s="31">
        <v>3694001.88</v>
      </c>
      <c r="M7" s="31">
        <v>1958059.99</v>
      </c>
      <c r="N7" s="31">
        <v>86669736.099999979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AL2172"/>
  <sheetViews>
    <sheetView tabSelected="1" zoomScaleNormal="100" zoomScaleSheetLayoutView="100" workbookViewId="0">
      <pane xSplit="1" ySplit="1" topLeftCell="B2" activePane="bottomRight" state="frozen"/>
      <selection pane="topRight" activeCell="F1" sqref="F1"/>
      <selection pane="bottomLeft" activeCell="A2" sqref="A2"/>
      <selection pane="bottomRight" activeCell="K2169" sqref="K2169"/>
    </sheetView>
  </sheetViews>
  <sheetFormatPr defaultColWidth="9.140625" defaultRowHeight="12.75" x14ac:dyDescent="0.2"/>
  <cols>
    <col min="1" max="1" width="26.85546875" style="2" customWidth="1"/>
    <col min="2" max="2" width="14.85546875" style="2" customWidth="1"/>
    <col min="3" max="3" width="11.85546875" style="2" customWidth="1"/>
    <col min="4" max="4" width="18.42578125" style="2" customWidth="1"/>
    <col min="5" max="5" width="8.28515625" style="5" customWidth="1"/>
    <col min="6" max="6" width="7.28515625" style="2" customWidth="1"/>
    <col min="7" max="7" width="8" style="2" customWidth="1"/>
    <col min="8" max="8" width="12.42578125" style="2" customWidth="1"/>
    <col min="9" max="9" width="7" style="2" customWidth="1"/>
    <col min="10" max="10" width="3.42578125" style="2" customWidth="1"/>
    <col min="11" max="11" width="10.140625" style="2" customWidth="1"/>
    <col min="12" max="12" width="6.5703125" style="2" customWidth="1"/>
    <col min="13" max="14" width="9.85546875" style="2" customWidth="1"/>
    <col min="15" max="15" width="15.85546875" style="14" customWidth="1"/>
    <col min="16" max="16" width="15.7109375" style="14" customWidth="1"/>
    <col min="17" max="17" width="17.85546875" style="10" customWidth="1"/>
    <col min="18" max="18" width="6.5703125" style="10" customWidth="1"/>
    <col min="19" max="19" width="8.42578125" style="10" customWidth="1"/>
    <col min="20" max="20" width="10.140625" style="10" customWidth="1"/>
    <col min="21" max="21" width="9.140625" style="10" customWidth="1"/>
    <col min="22" max="24" width="17.7109375" style="1" customWidth="1"/>
    <col min="25" max="25" width="6.85546875" style="1" customWidth="1"/>
    <col min="26" max="29" width="9.140625" style="1"/>
    <col min="30" max="30" width="10.5703125" style="1" customWidth="1"/>
    <col min="31" max="31" width="95.140625" style="1" customWidth="1"/>
    <col min="32" max="32" width="27.7109375" style="1" bestFit="1" customWidth="1"/>
    <col min="33" max="33" width="13.140625" style="1" bestFit="1" customWidth="1"/>
    <col min="34" max="34" width="13.28515625" style="1" customWidth="1"/>
    <col min="35" max="35" width="15.5703125" style="1" bestFit="1" customWidth="1"/>
    <col min="36" max="36" width="13.28515625" style="1" customWidth="1"/>
    <col min="37" max="37" width="15.5703125" style="1" bestFit="1" customWidth="1"/>
    <col min="38" max="38" width="20.5703125" style="1" customWidth="1"/>
    <col min="39" max="16384" width="9.140625" style="1"/>
  </cols>
  <sheetData>
    <row r="1" spans="1:38" s="12" customFormat="1" ht="99.75" customHeight="1" x14ac:dyDescent="0.2">
      <c r="A1" s="11" t="s">
        <v>610</v>
      </c>
      <c r="B1" s="11" t="s">
        <v>611</v>
      </c>
      <c r="C1" s="11" t="s">
        <v>612</v>
      </c>
      <c r="D1" s="11" t="s">
        <v>613</v>
      </c>
      <c r="E1" s="11" t="s">
        <v>614</v>
      </c>
      <c r="F1" s="11" t="s">
        <v>615</v>
      </c>
      <c r="G1" s="11" t="s">
        <v>616</v>
      </c>
      <c r="H1" s="11" t="s">
        <v>638</v>
      </c>
      <c r="I1" s="11" t="s">
        <v>639</v>
      </c>
      <c r="J1" s="11" t="s">
        <v>617</v>
      </c>
      <c r="K1" s="11" t="s">
        <v>618</v>
      </c>
      <c r="L1" s="11" t="s">
        <v>619</v>
      </c>
      <c r="M1" s="11" t="s">
        <v>620</v>
      </c>
      <c r="N1" s="11" t="s">
        <v>621</v>
      </c>
      <c r="O1" s="11" t="s">
        <v>622</v>
      </c>
      <c r="P1" s="11" t="s">
        <v>623</v>
      </c>
      <c r="Q1" s="11" t="s">
        <v>624</v>
      </c>
      <c r="R1" s="11" t="s">
        <v>625</v>
      </c>
      <c r="S1" s="11" t="s">
        <v>626</v>
      </c>
      <c r="T1" s="11" t="s">
        <v>627</v>
      </c>
      <c r="U1" s="11" t="s">
        <v>628</v>
      </c>
      <c r="V1" s="11" t="s">
        <v>629</v>
      </c>
      <c r="W1" s="11" t="s">
        <v>630</v>
      </c>
      <c r="X1" s="11" t="s">
        <v>631</v>
      </c>
      <c r="Y1" s="11" t="s">
        <v>632</v>
      </c>
      <c r="Z1" s="11" t="s">
        <v>633</v>
      </c>
      <c r="AA1" s="11" t="s">
        <v>634</v>
      </c>
      <c r="AB1" s="11" t="s">
        <v>635</v>
      </c>
      <c r="AC1" s="11" t="s">
        <v>636</v>
      </c>
      <c r="AD1" s="11" t="s">
        <v>637</v>
      </c>
      <c r="AE1" s="17" t="s">
        <v>664</v>
      </c>
      <c r="AF1" s="12" t="s">
        <v>665</v>
      </c>
      <c r="AG1" s="30">
        <f>AK1-AI1</f>
        <v>0</v>
      </c>
      <c r="AH1" s="17" t="s">
        <v>666</v>
      </c>
      <c r="AI1" s="19">
        <f>SUMIFS(input!P:P,input!D:D,"Centralized",input!C:C,"CFStatement",input!A:A,"_1. SubItem _1.")</f>
        <v>99014686.349999994</v>
      </c>
      <c r="AJ1" s="17" t="s">
        <v>667</v>
      </c>
      <c r="AK1" s="19">
        <f>SUMIFS(input!P:P,input!C:C,"CFStatement",input!D:D,"Centralized",input!E:E,"Out",input!H:H,"",input!K:K,"COMPLETE",input!A:A,"&lt;&gt;16. SubItem 16.")</f>
        <v>99014686.349999994</v>
      </c>
      <c r="AL1" s="30"/>
    </row>
    <row r="2" spans="1:38" s="12" customFormat="1" ht="99.75" hidden="1" customHeight="1" x14ac:dyDescent="0.2">
      <c r="A2" s="7" t="s">
        <v>668</v>
      </c>
      <c r="B2" s="7"/>
      <c r="C2" s="2" t="s">
        <v>642</v>
      </c>
      <c r="D2" s="6"/>
      <c r="E2" s="32" t="s">
        <v>652</v>
      </c>
      <c r="F2" s="7"/>
      <c r="G2" s="7"/>
      <c r="H2" s="7"/>
      <c r="I2" s="7"/>
      <c r="J2" s="7"/>
      <c r="K2" s="7"/>
      <c r="L2" s="7" t="s">
        <v>662</v>
      </c>
      <c r="M2" s="8">
        <v>43800</v>
      </c>
      <c r="N2" s="8">
        <v>43800</v>
      </c>
      <c r="O2" s="13">
        <v>6566642.8600000003</v>
      </c>
      <c r="P2" s="13"/>
      <c r="Q2" s="33"/>
      <c r="R2" s="9"/>
      <c r="S2" s="9"/>
      <c r="T2" s="9"/>
      <c r="U2" s="9"/>
      <c r="V2" s="1"/>
      <c r="W2" s="1"/>
      <c r="X2" s="15" t="str">
        <f>IF(B2="",VLOOKUP(A2,items_lookup!A:B,2,FALSE),B2)</f>
        <v>01. Item 01</v>
      </c>
      <c r="Y2" s="15">
        <f t="shared" ref="Y2:Z17" si="0">MONTH(M2)</f>
        <v>12</v>
      </c>
      <c r="Z2" s="15">
        <f t="shared" si="0"/>
        <v>12</v>
      </c>
      <c r="AA2" s="15">
        <f t="shared" ref="AA2:AA55" si="1">YEAR(N2)</f>
        <v>2019</v>
      </c>
      <c r="AB2" s="15">
        <f t="shared" ref="AB2:AB55" si="2">YEAR(M2)</f>
        <v>2019</v>
      </c>
      <c r="AC2" s="15">
        <f t="shared" ref="AC2:AC55" si="3">IF(F2="X",AA2-1,AA2)</f>
        <v>2019</v>
      </c>
      <c r="AD2" s="18" t="b">
        <f>AND(ROUND(O2,2)=O2,ROUND(P2,2)=P2,OR(AND(O2&lt;&gt;0,L2="p"),AND(P2&lt;&gt;0,L2="f")),_xlfn.ISFORMULA(X2),_xlfn.ISFORMULA(Y2),_xlfn.ISFORMULA(Z2),_xlfn.ISFORMULA(AA2),_xlfn.ISFORMULA(AB2),_xlfn.ISFORMULA(AC2),NOT(_xlfn.ISFORMULA(O2)),NOT(_xlfn.ISFORMULA(P2)),M2&lt;&gt;0,N2&lt;&gt;0)</f>
        <v>1</v>
      </c>
      <c r="AE2" s="17"/>
      <c r="AG2" s="30"/>
      <c r="AH2" s="17"/>
      <c r="AI2" s="19"/>
      <c r="AJ2" s="17"/>
      <c r="AK2" s="19"/>
    </row>
    <row r="3" spans="1:38" ht="15" hidden="1" customHeight="1" x14ac:dyDescent="0.2">
      <c r="A3" s="7" t="s">
        <v>668</v>
      </c>
      <c r="B3" s="7"/>
      <c r="C3" s="2" t="s">
        <v>642</v>
      </c>
      <c r="D3" s="6"/>
      <c r="E3" s="32" t="s">
        <v>652</v>
      </c>
      <c r="F3" s="7"/>
      <c r="G3" s="7"/>
      <c r="H3" s="7"/>
      <c r="I3" s="7"/>
      <c r="J3" s="7"/>
      <c r="K3" s="7"/>
      <c r="L3" s="7" t="s">
        <v>663</v>
      </c>
      <c r="M3" s="8">
        <v>43800</v>
      </c>
      <c r="N3" s="8">
        <v>43800</v>
      </c>
      <c r="O3" s="13"/>
      <c r="P3" s="13">
        <v>6703452.3799999999</v>
      </c>
      <c r="Q3" s="33"/>
      <c r="R3" s="9"/>
      <c r="S3" s="9"/>
      <c r="T3" s="9"/>
      <c r="U3" s="9"/>
      <c r="X3" s="15" t="str">
        <f>IF(B3="",VLOOKUP(A3,items_lookup!A:B,2,FALSE),B3)</f>
        <v>01. Item 01</v>
      </c>
      <c r="Y3" s="15">
        <f t="shared" si="0"/>
        <v>12</v>
      </c>
      <c r="Z3" s="15">
        <f t="shared" si="0"/>
        <v>12</v>
      </c>
      <c r="AA3" s="15">
        <f t="shared" si="1"/>
        <v>2019</v>
      </c>
      <c r="AB3" s="15">
        <f t="shared" si="2"/>
        <v>2019</v>
      </c>
      <c r="AC3" s="15">
        <f t="shared" si="3"/>
        <v>2019</v>
      </c>
      <c r="AD3" s="18" t="b">
        <f t="shared" ref="AD3:AD66" si="4">AND(ROUND(O3,2)=O3,ROUND(P3,2)=P3,OR(AND(O3&lt;&gt;0,L3="p"),AND(P3&lt;&gt;0,L3="f")),_xlfn.ISFORMULA(X3),_xlfn.ISFORMULA(Y3),_xlfn.ISFORMULA(Z3),_xlfn.ISFORMULA(AA3),_xlfn.ISFORMULA(AB3),_xlfn.ISFORMULA(AC3),NOT(_xlfn.ISFORMULA(O3)),NOT(_xlfn.ISFORMULA(P3)),M3&lt;&gt;0,N3&lt;&gt;0)</f>
        <v>1</v>
      </c>
    </row>
    <row r="4" spans="1:38" ht="15" hidden="1" customHeight="1" x14ac:dyDescent="0.2">
      <c r="A4" s="7" t="s">
        <v>669</v>
      </c>
      <c r="B4" s="7"/>
      <c r="C4" s="2" t="s">
        <v>642</v>
      </c>
      <c r="D4" s="6"/>
      <c r="E4" s="32" t="s">
        <v>652</v>
      </c>
      <c r="F4" s="7"/>
      <c r="G4" s="7"/>
      <c r="H4" s="7"/>
      <c r="I4" s="7"/>
      <c r="J4" s="7"/>
      <c r="K4" s="7"/>
      <c r="L4" s="7" t="s">
        <v>662</v>
      </c>
      <c r="M4" s="8">
        <v>43800</v>
      </c>
      <c r="N4" s="8">
        <v>43800</v>
      </c>
      <c r="O4" s="13">
        <v>1624595.24</v>
      </c>
      <c r="P4" s="13"/>
      <c r="Q4" s="33"/>
      <c r="R4" s="9"/>
      <c r="S4" s="9"/>
      <c r="T4" s="9"/>
      <c r="U4" s="9"/>
      <c r="X4" s="15" t="str">
        <f>IF(B4="",VLOOKUP(A4,items_lookup!A:B,2,FALSE),B4)</f>
        <v>02. Item 02</v>
      </c>
      <c r="Y4" s="15">
        <f t="shared" si="0"/>
        <v>12</v>
      </c>
      <c r="Z4" s="15">
        <f t="shared" si="0"/>
        <v>12</v>
      </c>
      <c r="AA4" s="15">
        <f t="shared" si="1"/>
        <v>2019</v>
      </c>
      <c r="AB4" s="15">
        <f t="shared" si="2"/>
        <v>2019</v>
      </c>
      <c r="AC4" s="15">
        <f t="shared" si="3"/>
        <v>2019</v>
      </c>
      <c r="AD4" s="18" t="b">
        <f t="shared" si="4"/>
        <v>1</v>
      </c>
    </row>
    <row r="5" spans="1:38" ht="15" hidden="1" customHeight="1" x14ac:dyDescent="0.2">
      <c r="A5" s="7" t="s">
        <v>669</v>
      </c>
      <c r="B5" s="7"/>
      <c r="C5" s="2" t="s">
        <v>642</v>
      </c>
      <c r="D5" s="6"/>
      <c r="E5" s="32" t="s">
        <v>652</v>
      </c>
      <c r="F5" s="7"/>
      <c r="G5" s="7"/>
      <c r="H5" s="7"/>
      <c r="I5" s="7"/>
      <c r="J5" s="7"/>
      <c r="K5" s="7"/>
      <c r="L5" s="7" t="s">
        <v>663</v>
      </c>
      <c r="M5" s="8">
        <v>43800</v>
      </c>
      <c r="N5" s="8">
        <v>43800</v>
      </c>
      <c r="O5" s="13"/>
      <c r="P5" s="13">
        <v>1650666.67</v>
      </c>
      <c r="Q5" s="33"/>
      <c r="R5" s="9"/>
      <c r="S5" s="9"/>
      <c r="T5" s="9"/>
      <c r="U5" s="9"/>
      <c r="X5" s="15" t="str">
        <f>IF(B5="",VLOOKUP(A5,items_lookup!A:B,2,FALSE),B5)</f>
        <v>02. Item 02</v>
      </c>
      <c r="Y5" s="15">
        <f t="shared" si="0"/>
        <v>12</v>
      </c>
      <c r="Z5" s="15">
        <f t="shared" si="0"/>
        <v>12</v>
      </c>
      <c r="AA5" s="15">
        <f t="shared" si="1"/>
        <v>2019</v>
      </c>
      <c r="AB5" s="15">
        <f t="shared" si="2"/>
        <v>2019</v>
      </c>
      <c r="AC5" s="15">
        <f t="shared" si="3"/>
        <v>2019</v>
      </c>
      <c r="AD5" s="18" t="b">
        <f t="shared" si="4"/>
        <v>1</v>
      </c>
    </row>
    <row r="6" spans="1:38" ht="15" hidden="1" customHeight="1" x14ac:dyDescent="0.2">
      <c r="A6" s="7"/>
      <c r="B6" s="7" t="s">
        <v>708</v>
      </c>
      <c r="C6" s="2" t="s">
        <v>642</v>
      </c>
      <c r="D6" s="6"/>
      <c r="E6" s="32" t="s">
        <v>652</v>
      </c>
      <c r="F6" s="7"/>
      <c r="G6" s="7"/>
      <c r="H6" s="7"/>
      <c r="I6" s="7"/>
      <c r="J6" s="7"/>
      <c r="K6" s="7"/>
      <c r="L6" s="7" t="s">
        <v>662</v>
      </c>
      <c r="M6" s="8">
        <v>43800</v>
      </c>
      <c r="N6" s="8">
        <v>43800</v>
      </c>
      <c r="O6" s="13">
        <v>724738.1</v>
      </c>
      <c r="P6" s="13"/>
      <c r="Q6" s="33"/>
      <c r="R6" s="9"/>
      <c r="S6" s="9"/>
      <c r="T6" s="9"/>
      <c r="U6" s="9"/>
      <c r="X6" s="15" t="str">
        <f>IF(B6="",VLOOKUP(A6,items_lookup!A:B,2,FALSE),B6)</f>
        <v>03. Item 03</v>
      </c>
      <c r="Y6" s="15">
        <f t="shared" si="0"/>
        <v>12</v>
      </c>
      <c r="Z6" s="15">
        <f t="shared" si="0"/>
        <v>12</v>
      </c>
      <c r="AA6" s="15">
        <f t="shared" si="1"/>
        <v>2019</v>
      </c>
      <c r="AB6" s="15">
        <f t="shared" si="2"/>
        <v>2019</v>
      </c>
      <c r="AC6" s="15">
        <f t="shared" si="3"/>
        <v>2019</v>
      </c>
      <c r="AD6" s="18" t="b">
        <f t="shared" si="4"/>
        <v>1</v>
      </c>
    </row>
    <row r="7" spans="1:38" ht="15" hidden="1" customHeight="1" x14ac:dyDescent="0.2">
      <c r="A7" s="7"/>
      <c r="B7" s="7" t="s">
        <v>708</v>
      </c>
      <c r="C7" s="2" t="s">
        <v>642</v>
      </c>
      <c r="D7" s="6"/>
      <c r="E7" s="32" t="s">
        <v>652</v>
      </c>
      <c r="F7" s="7"/>
      <c r="G7" s="7"/>
      <c r="H7" s="7"/>
      <c r="I7" s="7"/>
      <c r="J7" s="7"/>
      <c r="K7" s="7"/>
      <c r="L7" s="7" t="s">
        <v>663</v>
      </c>
      <c r="M7" s="8">
        <v>43800</v>
      </c>
      <c r="N7" s="8">
        <v>43800</v>
      </c>
      <c r="O7" s="13"/>
      <c r="P7" s="13">
        <v>622690.48</v>
      </c>
      <c r="Q7" s="33"/>
      <c r="R7" s="9"/>
      <c r="S7" s="9"/>
      <c r="T7" s="9"/>
      <c r="U7" s="9"/>
      <c r="X7" s="15" t="str">
        <f>IF(B7="",VLOOKUP(A7,items_lookup!A:B,2,FALSE),B7)</f>
        <v>03. Item 03</v>
      </c>
      <c r="Y7" s="15">
        <f t="shared" si="0"/>
        <v>12</v>
      </c>
      <c r="Z7" s="15">
        <f t="shared" si="0"/>
        <v>12</v>
      </c>
      <c r="AA7" s="15">
        <f t="shared" si="1"/>
        <v>2019</v>
      </c>
      <c r="AB7" s="15">
        <f t="shared" si="2"/>
        <v>2019</v>
      </c>
      <c r="AC7" s="15">
        <f t="shared" si="3"/>
        <v>2019</v>
      </c>
      <c r="AD7" s="18" t="b">
        <f t="shared" si="4"/>
        <v>1</v>
      </c>
    </row>
    <row r="8" spans="1:38" ht="15" hidden="1" customHeight="1" x14ac:dyDescent="0.2">
      <c r="A8" s="7" t="s">
        <v>670</v>
      </c>
      <c r="B8" s="7" t="s">
        <v>709</v>
      </c>
      <c r="C8" s="2" t="s">
        <v>642</v>
      </c>
      <c r="D8" s="6"/>
      <c r="E8" s="32" t="s">
        <v>652</v>
      </c>
      <c r="F8" s="7"/>
      <c r="G8" s="7"/>
      <c r="H8" s="7"/>
      <c r="I8" s="7"/>
      <c r="J8" s="7"/>
      <c r="K8" s="7"/>
      <c r="L8" s="7" t="s">
        <v>662</v>
      </c>
      <c r="M8" s="8">
        <v>43800</v>
      </c>
      <c r="N8" s="8">
        <v>43800</v>
      </c>
      <c r="O8" s="13">
        <v>14525380.949999999</v>
      </c>
      <c r="P8" s="13"/>
      <c r="Q8" s="33"/>
      <c r="R8" s="22"/>
      <c r="S8" s="22"/>
      <c r="T8" s="22"/>
      <c r="U8" s="22"/>
      <c r="X8" s="15" t="str">
        <f>IF(B8="",VLOOKUP(A8,items_lookup!A:B,2,FALSE),B8)</f>
        <v>04. Item 04</v>
      </c>
      <c r="Y8" s="15">
        <f t="shared" si="0"/>
        <v>12</v>
      </c>
      <c r="Z8" s="15">
        <f t="shared" si="0"/>
        <v>12</v>
      </c>
      <c r="AA8" s="15">
        <f t="shared" si="1"/>
        <v>2019</v>
      </c>
      <c r="AB8" s="15">
        <f t="shared" si="2"/>
        <v>2019</v>
      </c>
      <c r="AC8" s="15">
        <f t="shared" si="3"/>
        <v>2019</v>
      </c>
      <c r="AD8" s="18" t="b">
        <f t="shared" si="4"/>
        <v>1</v>
      </c>
    </row>
    <row r="9" spans="1:38" ht="23.25" hidden="1" customHeight="1" x14ac:dyDescent="0.2">
      <c r="A9" s="7" t="s">
        <v>670</v>
      </c>
      <c r="B9" s="7" t="s">
        <v>709</v>
      </c>
      <c r="C9" s="2" t="s">
        <v>642</v>
      </c>
      <c r="D9" s="6"/>
      <c r="E9" s="32" t="s">
        <v>652</v>
      </c>
      <c r="F9" s="7"/>
      <c r="G9" s="7"/>
      <c r="H9" s="7"/>
      <c r="I9" s="7"/>
      <c r="J9" s="7"/>
      <c r="K9" s="7"/>
      <c r="L9" s="7" t="s">
        <v>663</v>
      </c>
      <c r="M9" s="8">
        <v>43800</v>
      </c>
      <c r="N9" s="8">
        <v>43800</v>
      </c>
      <c r="O9" s="13"/>
      <c r="P9" s="13">
        <v>14280857.140000001</v>
      </c>
      <c r="Q9" s="33"/>
      <c r="R9" s="22"/>
      <c r="S9" s="22"/>
      <c r="T9" s="22"/>
      <c r="U9" s="22"/>
      <c r="X9" s="15" t="str">
        <f>IF(B9="",VLOOKUP(A9,items_lookup!A:B,2,FALSE),B9)</f>
        <v>04. Item 04</v>
      </c>
      <c r="Y9" s="15">
        <f t="shared" si="0"/>
        <v>12</v>
      </c>
      <c r="Z9" s="15">
        <f t="shared" si="0"/>
        <v>12</v>
      </c>
      <c r="AA9" s="15">
        <f t="shared" si="1"/>
        <v>2019</v>
      </c>
      <c r="AB9" s="15">
        <f t="shared" si="2"/>
        <v>2019</v>
      </c>
      <c r="AC9" s="15">
        <f t="shared" si="3"/>
        <v>2019</v>
      </c>
      <c r="AD9" s="18" t="b">
        <f t="shared" si="4"/>
        <v>1</v>
      </c>
    </row>
    <row r="10" spans="1:38" ht="23.25" hidden="1" customHeight="1" x14ac:dyDescent="0.2">
      <c r="A10" s="7" t="s">
        <v>671</v>
      </c>
      <c r="B10" s="7"/>
      <c r="C10" s="2" t="s">
        <v>642</v>
      </c>
      <c r="D10" s="6"/>
      <c r="E10" s="32" t="s">
        <v>652</v>
      </c>
      <c r="F10" s="7"/>
      <c r="G10" s="7"/>
      <c r="H10" s="7"/>
      <c r="I10" s="7"/>
      <c r="J10" s="7"/>
      <c r="K10" s="7"/>
      <c r="L10" s="7" t="s">
        <v>662</v>
      </c>
      <c r="M10" s="8">
        <v>43800</v>
      </c>
      <c r="N10" s="8">
        <v>43800</v>
      </c>
      <c r="O10" s="13">
        <v>5943761.9000000004</v>
      </c>
      <c r="P10" s="13"/>
      <c r="Q10" s="33"/>
      <c r="R10" s="22"/>
      <c r="S10" s="22"/>
      <c r="T10" s="22"/>
      <c r="U10" s="22"/>
      <c r="X10" s="15" t="str">
        <f>IF(B10="",VLOOKUP(A10,items_lookup!A:B,2,FALSE),B10)</f>
        <v>05. Item 05</v>
      </c>
      <c r="Y10" s="15">
        <f t="shared" si="0"/>
        <v>12</v>
      </c>
      <c r="Z10" s="15">
        <f t="shared" si="0"/>
        <v>12</v>
      </c>
      <c r="AA10" s="15">
        <f t="shared" si="1"/>
        <v>2019</v>
      </c>
      <c r="AB10" s="15">
        <f t="shared" si="2"/>
        <v>2019</v>
      </c>
      <c r="AC10" s="15">
        <f t="shared" si="3"/>
        <v>2019</v>
      </c>
      <c r="AD10" s="18" t="b">
        <f t="shared" si="4"/>
        <v>1</v>
      </c>
    </row>
    <row r="11" spans="1:38" ht="15" hidden="1" customHeight="1" x14ac:dyDescent="0.2">
      <c r="A11" s="7" t="s">
        <v>671</v>
      </c>
      <c r="B11" s="7"/>
      <c r="C11" s="2" t="s">
        <v>642</v>
      </c>
      <c r="D11" s="6"/>
      <c r="E11" s="32" t="s">
        <v>652</v>
      </c>
      <c r="F11" s="7"/>
      <c r="G11" s="7"/>
      <c r="H11" s="7"/>
      <c r="I11" s="7"/>
      <c r="J11" s="7"/>
      <c r="K11" s="7"/>
      <c r="L11" s="7" t="s">
        <v>663</v>
      </c>
      <c r="M11" s="8">
        <v>43800</v>
      </c>
      <c r="N11" s="8">
        <v>43800</v>
      </c>
      <c r="O11" s="13"/>
      <c r="P11" s="13">
        <v>6353095.2400000002</v>
      </c>
      <c r="Q11" s="33"/>
      <c r="R11" s="22"/>
      <c r="S11" s="22"/>
      <c r="T11" s="22"/>
      <c r="U11" s="22"/>
      <c r="X11" s="15" t="str">
        <f>IF(B11="",VLOOKUP(A11,items_lookup!A:B,2,FALSE),B11)</f>
        <v>05. Item 05</v>
      </c>
      <c r="Y11" s="15">
        <f t="shared" si="0"/>
        <v>12</v>
      </c>
      <c r="Z11" s="15">
        <f t="shared" si="0"/>
        <v>12</v>
      </c>
      <c r="AA11" s="15">
        <f t="shared" si="1"/>
        <v>2019</v>
      </c>
      <c r="AB11" s="15">
        <f t="shared" si="2"/>
        <v>2019</v>
      </c>
      <c r="AC11" s="15">
        <f t="shared" si="3"/>
        <v>2019</v>
      </c>
      <c r="AD11" s="18" t="b">
        <f t="shared" si="4"/>
        <v>1</v>
      </c>
    </row>
    <row r="12" spans="1:38" ht="15" hidden="1" customHeight="1" x14ac:dyDescent="0.2">
      <c r="A12" s="7" t="s">
        <v>672</v>
      </c>
      <c r="B12" s="7"/>
      <c r="C12" s="2" t="s">
        <v>642</v>
      </c>
      <c r="D12" s="6"/>
      <c r="E12" s="32" t="s">
        <v>652</v>
      </c>
      <c r="F12" s="7"/>
      <c r="G12" s="7"/>
      <c r="H12" s="7"/>
      <c r="I12" s="7"/>
      <c r="J12" s="7"/>
      <c r="K12" s="7"/>
      <c r="L12" s="7" t="s">
        <v>662</v>
      </c>
      <c r="M12" s="8">
        <v>43800</v>
      </c>
      <c r="N12" s="8">
        <v>43800</v>
      </c>
      <c r="O12" s="13">
        <v>68261.899999999994</v>
      </c>
      <c r="P12" s="13"/>
      <c r="Q12" s="33"/>
      <c r="R12" s="22"/>
      <c r="S12" s="22"/>
      <c r="T12" s="22"/>
      <c r="U12" s="22"/>
      <c r="X12" s="15" t="str">
        <f>IF(B12="",VLOOKUP(A12,items_lookup!A:B,2,FALSE),B12)</f>
        <v>05. Item 05</v>
      </c>
      <c r="Y12" s="15">
        <f t="shared" si="0"/>
        <v>12</v>
      </c>
      <c r="Z12" s="15">
        <f t="shared" si="0"/>
        <v>12</v>
      </c>
      <c r="AA12" s="15">
        <f t="shared" si="1"/>
        <v>2019</v>
      </c>
      <c r="AB12" s="15">
        <f t="shared" si="2"/>
        <v>2019</v>
      </c>
      <c r="AC12" s="15">
        <f t="shared" si="3"/>
        <v>2019</v>
      </c>
      <c r="AD12" s="18" t="b">
        <f t="shared" si="4"/>
        <v>1</v>
      </c>
    </row>
    <row r="13" spans="1:38" ht="15" hidden="1" customHeight="1" x14ac:dyDescent="0.2">
      <c r="A13" s="7" t="s">
        <v>672</v>
      </c>
      <c r="B13" s="7"/>
      <c r="C13" s="2" t="s">
        <v>642</v>
      </c>
      <c r="D13" s="6"/>
      <c r="E13" s="32" t="s">
        <v>652</v>
      </c>
      <c r="F13" s="7"/>
      <c r="G13" s="7"/>
      <c r="H13" s="7"/>
      <c r="I13" s="7"/>
      <c r="J13" s="7"/>
      <c r="K13" s="7"/>
      <c r="L13" s="7" t="s">
        <v>663</v>
      </c>
      <c r="M13" s="8">
        <v>43800</v>
      </c>
      <c r="N13" s="8">
        <v>43800</v>
      </c>
      <c r="O13" s="13"/>
      <c r="P13" s="13">
        <v>66857.14</v>
      </c>
      <c r="Q13" s="33"/>
      <c r="R13" s="22"/>
      <c r="S13" s="22"/>
      <c r="T13" s="22"/>
      <c r="U13" s="22"/>
      <c r="X13" s="15" t="str">
        <f>IF(B13="",VLOOKUP(A13,items_lookup!A:B,2,FALSE),B13)</f>
        <v>05. Item 05</v>
      </c>
      <c r="Y13" s="15">
        <f t="shared" si="0"/>
        <v>12</v>
      </c>
      <c r="Z13" s="15">
        <f t="shared" si="0"/>
        <v>12</v>
      </c>
      <c r="AA13" s="15">
        <f t="shared" si="1"/>
        <v>2019</v>
      </c>
      <c r="AB13" s="15">
        <f t="shared" si="2"/>
        <v>2019</v>
      </c>
      <c r="AC13" s="15">
        <f t="shared" si="3"/>
        <v>2019</v>
      </c>
      <c r="AD13" s="18" t="b">
        <f t="shared" si="4"/>
        <v>1</v>
      </c>
    </row>
    <row r="14" spans="1:38" ht="15" hidden="1" customHeight="1" x14ac:dyDescent="0.2">
      <c r="A14" s="7" t="s">
        <v>673</v>
      </c>
      <c r="B14" s="7"/>
      <c r="C14" s="2" t="s">
        <v>642</v>
      </c>
      <c r="D14" s="6"/>
      <c r="E14" s="32" t="s">
        <v>652</v>
      </c>
      <c r="F14" s="7"/>
      <c r="G14" s="7"/>
      <c r="H14" s="7"/>
      <c r="I14" s="7"/>
      <c r="J14" s="7"/>
      <c r="K14" s="7"/>
      <c r="L14" s="7" t="s">
        <v>662</v>
      </c>
      <c r="M14" s="8">
        <v>43800</v>
      </c>
      <c r="N14" s="8">
        <v>43800</v>
      </c>
      <c r="O14" s="13">
        <v>8486571.4299999997</v>
      </c>
      <c r="P14" s="13"/>
      <c r="Q14" s="33"/>
      <c r="R14" s="22"/>
      <c r="S14" s="22"/>
      <c r="T14" s="22"/>
      <c r="U14" s="22"/>
      <c r="X14" s="15" t="str">
        <f>IF(B14="",VLOOKUP(A14,items_lookup!A:B,2,FALSE),B14)</f>
        <v>07. Item 07</v>
      </c>
      <c r="Y14" s="15">
        <f t="shared" si="0"/>
        <v>12</v>
      </c>
      <c r="Z14" s="15">
        <f t="shared" si="0"/>
        <v>12</v>
      </c>
      <c r="AA14" s="15">
        <f t="shared" si="1"/>
        <v>2019</v>
      </c>
      <c r="AB14" s="15">
        <f t="shared" si="2"/>
        <v>2019</v>
      </c>
      <c r="AC14" s="15">
        <f t="shared" si="3"/>
        <v>2019</v>
      </c>
      <c r="AD14" s="18" t="b">
        <f t="shared" si="4"/>
        <v>1</v>
      </c>
    </row>
    <row r="15" spans="1:38" ht="15" hidden="1" customHeight="1" x14ac:dyDescent="0.2">
      <c r="A15" s="7" t="s">
        <v>673</v>
      </c>
      <c r="B15" s="7"/>
      <c r="C15" s="2" t="s">
        <v>642</v>
      </c>
      <c r="D15" s="6"/>
      <c r="E15" s="32" t="s">
        <v>652</v>
      </c>
      <c r="F15" s="7"/>
      <c r="G15" s="7"/>
      <c r="H15" s="7"/>
      <c r="I15" s="7"/>
      <c r="J15" s="7"/>
      <c r="K15" s="7"/>
      <c r="L15" s="7" t="s">
        <v>663</v>
      </c>
      <c r="M15" s="8">
        <v>43800</v>
      </c>
      <c r="N15" s="8">
        <v>43800</v>
      </c>
      <c r="O15" s="13"/>
      <c r="P15" s="13">
        <v>6530976.1900000004</v>
      </c>
      <c r="Q15" s="33"/>
      <c r="R15" s="22"/>
      <c r="S15" s="22"/>
      <c r="T15" s="22"/>
      <c r="U15" s="22"/>
      <c r="X15" s="15" t="str">
        <f>IF(B15="",VLOOKUP(A15,items_lookup!A:B,2,FALSE),B15)</f>
        <v>07. Item 07</v>
      </c>
      <c r="Y15" s="15">
        <f t="shared" si="0"/>
        <v>12</v>
      </c>
      <c r="Z15" s="15">
        <f t="shared" si="0"/>
        <v>12</v>
      </c>
      <c r="AA15" s="15">
        <f t="shared" si="1"/>
        <v>2019</v>
      </c>
      <c r="AB15" s="15">
        <f t="shared" si="2"/>
        <v>2019</v>
      </c>
      <c r="AC15" s="15">
        <f t="shared" si="3"/>
        <v>2019</v>
      </c>
      <c r="AD15" s="18" t="b">
        <f t="shared" si="4"/>
        <v>1</v>
      </c>
    </row>
    <row r="16" spans="1:38" ht="15" hidden="1" customHeight="1" x14ac:dyDescent="0.2">
      <c r="A16" s="7" t="s">
        <v>674</v>
      </c>
      <c r="B16" s="7"/>
      <c r="C16" s="2" t="s">
        <v>642</v>
      </c>
      <c r="D16" s="6"/>
      <c r="E16" s="32" t="s">
        <v>652</v>
      </c>
      <c r="F16" s="7"/>
      <c r="G16" s="7"/>
      <c r="H16" s="7"/>
      <c r="I16" s="7"/>
      <c r="J16" s="7"/>
      <c r="K16" s="7"/>
      <c r="L16" s="7" t="s">
        <v>662</v>
      </c>
      <c r="M16" s="8">
        <v>43800</v>
      </c>
      <c r="N16" s="8">
        <v>43800</v>
      </c>
      <c r="O16" s="13">
        <v>642238.1</v>
      </c>
      <c r="P16" s="13"/>
      <c r="Q16" s="33"/>
      <c r="R16" s="22"/>
      <c r="S16" s="22"/>
      <c r="T16" s="22"/>
      <c r="U16" s="22"/>
      <c r="X16" s="15" t="str">
        <f>IF(B16="",VLOOKUP(A16,items_lookup!A:B,2,FALSE),B16)</f>
        <v>08. Item 08</v>
      </c>
      <c r="Y16" s="15">
        <f t="shared" si="0"/>
        <v>12</v>
      </c>
      <c r="Z16" s="15">
        <f t="shared" si="0"/>
        <v>12</v>
      </c>
      <c r="AA16" s="15">
        <f t="shared" si="1"/>
        <v>2019</v>
      </c>
      <c r="AB16" s="15">
        <f t="shared" si="2"/>
        <v>2019</v>
      </c>
      <c r="AC16" s="15">
        <f t="shared" si="3"/>
        <v>2019</v>
      </c>
      <c r="AD16" s="18" t="b">
        <f t="shared" si="4"/>
        <v>1</v>
      </c>
    </row>
    <row r="17" spans="1:30" ht="12.6" hidden="1" customHeight="1" x14ac:dyDescent="0.2">
      <c r="A17" s="7" t="s">
        <v>674</v>
      </c>
      <c r="B17" s="7"/>
      <c r="C17" s="2" t="s">
        <v>642</v>
      </c>
      <c r="D17" s="6"/>
      <c r="E17" s="32" t="s">
        <v>652</v>
      </c>
      <c r="F17" s="7"/>
      <c r="G17" s="7"/>
      <c r="H17" s="7"/>
      <c r="I17" s="7"/>
      <c r="J17" s="7"/>
      <c r="K17" s="7"/>
      <c r="L17" s="7" t="s">
        <v>663</v>
      </c>
      <c r="M17" s="8">
        <v>43800</v>
      </c>
      <c r="N17" s="8">
        <v>43800</v>
      </c>
      <c r="O17" s="13"/>
      <c r="P17" s="13">
        <v>689071.43</v>
      </c>
      <c r="Q17" s="33"/>
      <c r="R17" s="22"/>
      <c r="S17" s="22"/>
      <c r="T17" s="22"/>
      <c r="U17" s="22"/>
      <c r="X17" s="15" t="str">
        <f>IF(B17="",VLOOKUP(A17,items_lookup!A:B,2,FALSE),B17)</f>
        <v>08. Item 08</v>
      </c>
      <c r="Y17" s="15">
        <f t="shared" si="0"/>
        <v>12</v>
      </c>
      <c r="Z17" s="15">
        <f t="shared" si="0"/>
        <v>12</v>
      </c>
      <c r="AA17" s="15">
        <f t="shared" si="1"/>
        <v>2019</v>
      </c>
      <c r="AB17" s="15">
        <f t="shared" si="2"/>
        <v>2019</v>
      </c>
      <c r="AC17" s="15">
        <f t="shared" si="3"/>
        <v>2019</v>
      </c>
      <c r="AD17" s="18" t="b">
        <f t="shared" si="4"/>
        <v>1</v>
      </c>
    </row>
    <row r="18" spans="1:30" ht="12.6" hidden="1" customHeight="1" x14ac:dyDescent="0.2">
      <c r="A18" s="7" t="s">
        <v>675</v>
      </c>
      <c r="B18" s="7"/>
      <c r="C18" s="2" t="s">
        <v>642</v>
      </c>
      <c r="D18" s="6"/>
      <c r="E18" s="32" t="s">
        <v>652</v>
      </c>
      <c r="F18" s="7"/>
      <c r="G18" s="7"/>
      <c r="H18" s="7"/>
      <c r="I18" s="7"/>
      <c r="J18" s="7"/>
      <c r="K18" s="7"/>
      <c r="L18" s="7" t="s">
        <v>662</v>
      </c>
      <c r="M18" s="8">
        <v>43800</v>
      </c>
      <c r="N18" s="8">
        <v>43800</v>
      </c>
      <c r="O18" s="13">
        <v>7589857.1399999997</v>
      </c>
      <c r="P18" s="13"/>
      <c r="Q18" s="33"/>
      <c r="R18" s="22"/>
      <c r="S18" s="22"/>
      <c r="T18" s="22"/>
      <c r="U18" s="22"/>
      <c r="X18" s="15" t="str">
        <f>IF(B18="",VLOOKUP(A18,items_lookup!A:B,2,FALSE),B18)</f>
        <v>09. Item 09</v>
      </c>
      <c r="Y18" s="15">
        <f t="shared" ref="Y18:Z66" si="5">MONTH(M18)</f>
        <v>12</v>
      </c>
      <c r="Z18" s="15">
        <f t="shared" si="5"/>
        <v>12</v>
      </c>
      <c r="AA18" s="15">
        <f t="shared" si="1"/>
        <v>2019</v>
      </c>
      <c r="AB18" s="15">
        <f t="shared" si="2"/>
        <v>2019</v>
      </c>
      <c r="AC18" s="15">
        <f t="shared" si="3"/>
        <v>2019</v>
      </c>
      <c r="AD18" s="18" t="b">
        <f t="shared" si="4"/>
        <v>1</v>
      </c>
    </row>
    <row r="19" spans="1:30" ht="12.6" hidden="1" customHeight="1" x14ac:dyDescent="0.2">
      <c r="A19" s="7" t="s">
        <v>675</v>
      </c>
      <c r="B19" s="7"/>
      <c r="C19" s="2" t="s">
        <v>642</v>
      </c>
      <c r="D19" s="6"/>
      <c r="E19" s="32" t="s">
        <v>652</v>
      </c>
      <c r="F19" s="7"/>
      <c r="G19" s="7"/>
      <c r="H19" s="7"/>
      <c r="I19" s="7"/>
      <c r="J19" s="7"/>
      <c r="K19" s="7"/>
      <c r="L19" s="7" t="s">
        <v>663</v>
      </c>
      <c r="M19" s="8">
        <v>43800</v>
      </c>
      <c r="N19" s="8">
        <v>43800</v>
      </c>
      <c r="O19" s="13"/>
      <c r="P19" s="13">
        <v>8401976.1899999995</v>
      </c>
      <c r="Q19" s="33"/>
      <c r="R19" s="22"/>
      <c r="S19" s="22"/>
      <c r="T19" s="22"/>
      <c r="U19" s="22"/>
      <c r="X19" s="15" t="str">
        <f>IF(B19="",VLOOKUP(A19,items_lookup!A:B,2,FALSE),B19)</f>
        <v>09. Item 09</v>
      </c>
      <c r="Y19" s="15">
        <f t="shared" si="5"/>
        <v>12</v>
      </c>
      <c r="Z19" s="15">
        <f t="shared" si="5"/>
        <v>12</v>
      </c>
      <c r="AA19" s="15">
        <f t="shared" si="1"/>
        <v>2019</v>
      </c>
      <c r="AB19" s="15">
        <f t="shared" si="2"/>
        <v>2019</v>
      </c>
      <c r="AC19" s="15">
        <f t="shared" si="3"/>
        <v>2019</v>
      </c>
      <c r="AD19" s="18" t="b">
        <f t="shared" si="4"/>
        <v>1</v>
      </c>
    </row>
    <row r="20" spans="1:30" ht="12.6" hidden="1" customHeight="1" x14ac:dyDescent="0.2">
      <c r="A20" s="7" t="s">
        <v>676</v>
      </c>
      <c r="B20" s="7"/>
      <c r="C20" s="2" t="s">
        <v>642</v>
      </c>
      <c r="D20" s="6"/>
      <c r="E20" s="32" t="s">
        <v>652</v>
      </c>
      <c r="F20" s="7"/>
      <c r="G20" s="7"/>
      <c r="H20" s="7"/>
      <c r="I20" s="7"/>
      <c r="J20" s="7"/>
      <c r="K20" s="7"/>
      <c r="L20" s="7" t="s">
        <v>662</v>
      </c>
      <c r="M20" s="8">
        <v>43800</v>
      </c>
      <c r="N20" s="8">
        <v>43800</v>
      </c>
      <c r="O20" s="13">
        <v>195785.71</v>
      </c>
      <c r="P20" s="13"/>
      <c r="Q20" s="33"/>
      <c r="R20" s="22"/>
      <c r="S20" s="22"/>
      <c r="T20" s="22"/>
      <c r="U20" s="22"/>
      <c r="X20" s="15" t="str">
        <f>IF(B20="",VLOOKUP(A20,items_lookup!A:B,2,FALSE),B20)</f>
        <v>09. Item 09</v>
      </c>
      <c r="Y20" s="15">
        <f t="shared" si="5"/>
        <v>12</v>
      </c>
      <c r="Z20" s="15">
        <f t="shared" si="5"/>
        <v>12</v>
      </c>
      <c r="AA20" s="15">
        <f t="shared" si="1"/>
        <v>2019</v>
      </c>
      <c r="AB20" s="15">
        <f t="shared" si="2"/>
        <v>2019</v>
      </c>
      <c r="AC20" s="15">
        <f t="shared" si="3"/>
        <v>2019</v>
      </c>
      <c r="AD20" s="18" t="b">
        <f t="shared" si="4"/>
        <v>1</v>
      </c>
    </row>
    <row r="21" spans="1:30" ht="12.6" hidden="1" customHeight="1" x14ac:dyDescent="0.2">
      <c r="A21" s="7" t="s">
        <v>676</v>
      </c>
      <c r="B21" s="7"/>
      <c r="C21" s="2" t="s">
        <v>642</v>
      </c>
      <c r="D21" s="6"/>
      <c r="E21" s="32" t="s">
        <v>652</v>
      </c>
      <c r="F21" s="7"/>
      <c r="G21" s="7"/>
      <c r="H21" s="7"/>
      <c r="I21" s="7"/>
      <c r="J21" s="7"/>
      <c r="K21" s="7"/>
      <c r="L21" s="7" t="s">
        <v>663</v>
      </c>
      <c r="M21" s="8">
        <v>43800</v>
      </c>
      <c r="N21" s="8">
        <v>43800</v>
      </c>
      <c r="O21" s="13"/>
      <c r="P21" s="13">
        <v>867452.38</v>
      </c>
      <c r="Q21" s="33"/>
      <c r="R21" s="22"/>
      <c r="S21" s="22"/>
      <c r="T21" s="22"/>
      <c r="U21" s="22"/>
      <c r="X21" s="15" t="str">
        <f>IF(B21="",VLOOKUP(A21,items_lookup!A:B,2,FALSE),B21)</f>
        <v>09. Item 09</v>
      </c>
      <c r="Y21" s="15">
        <f t="shared" si="5"/>
        <v>12</v>
      </c>
      <c r="Z21" s="15">
        <f t="shared" si="5"/>
        <v>12</v>
      </c>
      <c r="AA21" s="15">
        <f t="shared" si="1"/>
        <v>2019</v>
      </c>
      <c r="AB21" s="15">
        <f t="shared" si="2"/>
        <v>2019</v>
      </c>
      <c r="AC21" s="15">
        <f t="shared" si="3"/>
        <v>2019</v>
      </c>
      <c r="AD21" s="18" t="b">
        <f t="shared" si="4"/>
        <v>1</v>
      </c>
    </row>
    <row r="22" spans="1:30" ht="12.6" hidden="1" customHeight="1" x14ac:dyDescent="0.2">
      <c r="A22" s="7" t="s">
        <v>677</v>
      </c>
      <c r="B22" s="7"/>
      <c r="C22" s="2" t="s">
        <v>642</v>
      </c>
      <c r="D22" s="6"/>
      <c r="E22" s="32" t="s">
        <v>652</v>
      </c>
      <c r="F22" s="7"/>
      <c r="G22" s="7"/>
      <c r="H22" s="7"/>
      <c r="I22" s="7"/>
      <c r="J22" s="7"/>
      <c r="K22" s="7"/>
      <c r="L22" s="7" t="s">
        <v>662</v>
      </c>
      <c r="M22" s="8">
        <v>43800</v>
      </c>
      <c r="N22" s="8">
        <v>43800</v>
      </c>
      <c r="O22" s="13">
        <v>58738.1</v>
      </c>
      <c r="P22" s="13"/>
      <c r="Q22" s="33"/>
      <c r="R22" s="22"/>
      <c r="S22" s="22"/>
      <c r="T22" s="22"/>
      <c r="U22" s="22"/>
      <c r="X22" s="15" t="str">
        <f>IF(B22="",VLOOKUP(A22,items_lookup!A:B,2,FALSE),B22)</f>
        <v>11. Item 11</v>
      </c>
      <c r="Y22" s="15">
        <f t="shared" si="5"/>
        <v>12</v>
      </c>
      <c r="Z22" s="15">
        <f t="shared" si="5"/>
        <v>12</v>
      </c>
      <c r="AA22" s="15">
        <f t="shared" si="1"/>
        <v>2019</v>
      </c>
      <c r="AB22" s="15">
        <f t="shared" si="2"/>
        <v>2019</v>
      </c>
      <c r="AC22" s="15">
        <f t="shared" si="3"/>
        <v>2019</v>
      </c>
      <c r="AD22" s="18" t="b">
        <f t="shared" si="4"/>
        <v>1</v>
      </c>
    </row>
    <row r="23" spans="1:30" ht="12.6" hidden="1" customHeight="1" x14ac:dyDescent="0.2">
      <c r="A23" s="7" t="s">
        <v>677</v>
      </c>
      <c r="B23" s="7"/>
      <c r="C23" s="2" t="s">
        <v>642</v>
      </c>
      <c r="D23" s="6"/>
      <c r="E23" s="32" t="s">
        <v>652</v>
      </c>
      <c r="F23" s="7"/>
      <c r="G23" s="7"/>
      <c r="H23" s="7"/>
      <c r="I23" s="7"/>
      <c r="J23" s="7"/>
      <c r="K23" s="7"/>
      <c r="L23" s="7" t="s">
        <v>663</v>
      </c>
      <c r="M23" s="8">
        <v>43800</v>
      </c>
      <c r="N23" s="8">
        <v>43800</v>
      </c>
      <c r="O23" s="13"/>
      <c r="P23" s="13">
        <v>116785.71</v>
      </c>
      <c r="Q23" s="33"/>
      <c r="R23" s="22"/>
      <c r="S23" s="22"/>
      <c r="T23" s="22"/>
      <c r="U23" s="22"/>
      <c r="X23" s="15" t="str">
        <f>IF(B23="",VLOOKUP(A23,items_lookup!A:B,2,FALSE),B23)</f>
        <v>11. Item 11</v>
      </c>
      <c r="Y23" s="15">
        <f t="shared" si="5"/>
        <v>12</v>
      </c>
      <c r="Z23" s="15">
        <f t="shared" si="5"/>
        <v>12</v>
      </c>
      <c r="AA23" s="15">
        <f t="shared" si="1"/>
        <v>2019</v>
      </c>
      <c r="AB23" s="15">
        <f t="shared" si="2"/>
        <v>2019</v>
      </c>
      <c r="AC23" s="15">
        <f t="shared" si="3"/>
        <v>2019</v>
      </c>
      <c r="AD23" s="18" t="b">
        <f t="shared" si="4"/>
        <v>1</v>
      </c>
    </row>
    <row r="24" spans="1:30" ht="12.6" hidden="1" customHeight="1" x14ac:dyDescent="0.2">
      <c r="A24" s="7" t="s">
        <v>678</v>
      </c>
      <c r="B24" s="7" t="s">
        <v>710</v>
      </c>
      <c r="C24" s="2" t="s">
        <v>642</v>
      </c>
      <c r="D24" s="6"/>
      <c r="E24" s="32" t="s">
        <v>652</v>
      </c>
      <c r="F24" s="7"/>
      <c r="G24" s="7"/>
      <c r="H24" s="7"/>
      <c r="I24" s="7"/>
      <c r="J24" s="7"/>
      <c r="K24" s="7"/>
      <c r="L24" s="7" t="s">
        <v>662</v>
      </c>
      <c r="M24" s="8">
        <v>43800</v>
      </c>
      <c r="N24" s="8">
        <v>43800</v>
      </c>
      <c r="O24" s="13">
        <v>1492238.1</v>
      </c>
      <c r="P24" s="13"/>
      <c r="Q24" s="33"/>
      <c r="R24" s="22"/>
      <c r="S24" s="22"/>
      <c r="T24" s="22"/>
      <c r="U24" s="22"/>
      <c r="X24" s="15" t="str">
        <f>IF(B24="",VLOOKUP(A24,items_lookup!A:B,2,FALSE),B24)</f>
        <v>13. Item 13</v>
      </c>
      <c r="Y24" s="15">
        <f t="shared" si="5"/>
        <v>12</v>
      </c>
      <c r="Z24" s="15">
        <f t="shared" si="5"/>
        <v>12</v>
      </c>
      <c r="AA24" s="15">
        <f t="shared" si="1"/>
        <v>2019</v>
      </c>
      <c r="AB24" s="15">
        <f t="shared" si="2"/>
        <v>2019</v>
      </c>
      <c r="AC24" s="15">
        <f t="shared" si="3"/>
        <v>2019</v>
      </c>
      <c r="AD24" s="18" t="b">
        <f t="shared" si="4"/>
        <v>1</v>
      </c>
    </row>
    <row r="25" spans="1:30" ht="12.6" hidden="1" customHeight="1" x14ac:dyDescent="0.2">
      <c r="A25" s="7" t="s">
        <v>679</v>
      </c>
      <c r="B25" s="7" t="s">
        <v>710</v>
      </c>
      <c r="C25" s="2" t="s">
        <v>642</v>
      </c>
      <c r="D25" s="6"/>
      <c r="E25" s="32" t="s">
        <v>652</v>
      </c>
      <c r="F25" s="7"/>
      <c r="G25" s="7"/>
      <c r="H25" s="7"/>
      <c r="I25" s="7"/>
      <c r="J25" s="7"/>
      <c r="K25" s="7"/>
      <c r="L25" s="7" t="s">
        <v>662</v>
      </c>
      <c r="M25" s="8">
        <v>43800</v>
      </c>
      <c r="N25" s="8">
        <v>43800</v>
      </c>
      <c r="O25" s="13">
        <v>69976.19</v>
      </c>
      <c r="P25" s="13"/>
      <c r="Q25" s="33"/>
      <c r="R25" s="22"/>
      <c r="S25" s="22"/>
      <c r="T25" s="22"/>
      <c r="U25" s="22"/>
      <c r="X25" s="15" t="str">
        <f>IF(B25="",VLOOKUP(A25,items_lookup!A:B,2,FALSE),B25)</f>
        <v>13. Item 13</v>
      </c>
      <c r="Y25" s="15">
        <f t="shared" si="5"/>
        <v>12</v>
      </c>
      <c r="Z25" s="15">
        <f t="shared" si="5"/>
        <v>12</v>
      </c>
      <c r="AA25" s="15">
        <f t="shared" si="1"/>
        <v>2019</v>
      </c>
      <c r="AB25" s="15">
        <f t="shared" si="2"/>
        <v>2019</v>
      </c>
      <c r="AC25" s="15">
        <f t="shared" si="3"/>
        <v>2019</v>
      </c>
      <c r="AD25" s="18" t="b">
        <f t="shared" si="4"/>
        <v>1</v>
      </c>
    </row>
    <row r="26" spans="1:30" ht="12.6" hidden="1" customHeight="1" x14ac:dyDescent="0.2">
      <c r="A26" s="7" t="s">
        <v>680</v>
      </c>
      <c r="B26" s="7" t="s">
        <v>710</v>
      </c>
      <c r="C26" s="2" t="s">
        <v>642</v>
      </c>
      <c r="D26" s="6"/>
      <c r="E26" s="32" t="s">
        <v>652</v>
      </c>
      <c r="F26" s="7"/>
      <c r="G26" s="7"/>
      <c r="H26" s="7"/>
      <c r="I26" s="7"/>
      <c r="J26" s="7"/>
      <c r="K26" s="7"/>
      <c r="L26" s="7" t="s">
        <v>662</v>
      </c>
      <c r="M26" s="8">
        <v>43800</v>
      </c>
      <c r="N26" s="8">
        <v>43800</v>
      </c>
      <c r="O26" s="13">
        <v>1778095.24</v>
      </c>
      <c r="P26" s="13"/>
      <c r="Q26" s="33"/>
      <c r="R26" s="22"/>
      <c r="S26" s="22"/>
      <c r="T26" s="22"/>
      <c r="U26" s="22"/>
      <c r="X26" s="15" t="str">
        <f>IF(B26="",VLOOKUP(A26,items_lookup!A:B,2,FALSE),B26)</f>
        <v>13. Item 13</v>
      </c>
      <c r="Y26" s="15">
        <f t="shared" si="5"/>
        <v>12</v>
      </c>
      <c r="Z26" s="15">
        <f t="shared" si="5"/>
        <v>12</v>
      </c>
      <c r="AA26" s="15">
        <f t="shared" si="1"/>
        <v>2019</v>
      </c>
      <c r="AB26" s="15">
        <f t="shared" si="2"/>
        <v>2019</v>
      </c>
      <c r="AC26" s="15">
        <f t="shared" si="3"/>
        <v>2019</v>
      </c>
      <c r="AD26" s="18" t="b">
        <f t="shared" si="4"/>
        <v>1</v>
      </c>
    </row>
    <row r="27" spans="1:30" ht="12.6" hidden="1" customHeight="1" x14ac:dyDescent="0.2">
      <c r="A27" s="7" t="s">
        <v>678</v>
      </c>
      <c r="B27" s="7" t="s">
        <v>710</v>
      </c>
      <c r="C27" s="2" t="s">
        <v>642</v>
      </c>
      <c r="D27" s="6"/>
      <c r="E27" s="32" t="s">
        <v>652</v>
      </c>
      <c r="F27" s="7"/>
      <c r="G27" s="7"/>
      <c r="H27" s="7"/>
      <c r="I27" s="7"/>
      <c r="J27" s="7"/>
      <c r="K27" s="7"/>
      <c r="L27" s="7" t="s">
        <v>663</v>
      </c>
      <c r="M27" s="8">
        <v>43800</v>
      </c>
      <c r="N27" s="8">
        <v>43800</v>
      </c>
      <c r="O27" s="13"/>
      <c r="P27" s="13">
        <v>1454666.67</v>
      </c>
      <c r="Q27" s="33"/>
      <c r="R27" s="22"/>
      <c r="S27" s="22"/>
      <c r="T27" s="22"/>
      <c r="U27" s="22"/>
      <c r="X27" s="15" t="str">
        <f>IF(B27="",VLOOKUP(A27,items_lookup!A:B,2,FALSE),B27)</f>
        <v>13. Item 13</v>
      </c>
      <c r="Y27" s="15">
        <f t="shared" si="5"/>
        <v>12</v>
      </c>
      <c r="Z27" s="15">
        <f t="shared" si="5"/>
        <v>12</v>
      </c>
      <c r="AA27" s="15">
        <f t="shared" si="1"/>
        <v>2019</v>
      </c>
      <c r="AB27" s="15">
        <f t="shared" si="2"/>
        <v>2019</v>
      </c>
      <c r="AC27" s="15">
        <f t="shared" si="3"/>
        <v>2019</v>
      </c>
      <c r="AD27" s="18" t="b">
        <f t="shared" si="4"/>
        <v>1</v>
      </c>
    </row>
    <row r="28" spans="1:30" ht="12.6" hidden="1" customHeight="1" x14ac:dyDescent="0.2">
      <c r="A28" s="7" t="s">
        <v>679</v>
      </c>
      <c r="B28" s="7" t="s">
        <v>710</v>
      </c>
      <c r="C28" s="2" t="s">
        <v>642</v>
      </c>
      <c r="D28" s="6"/>
      <c r="E28" s="32" t="s">
        <v>652</v>
      </c>
      <c r="F28" s="7"/>
      <c r="G28" s="7"/>
      <c r="H28" s="7"/>
      <c r="I28" s="7"/>
      <c r="J28" s="7"/>
      <c r="K28" s="7"/>
      <c r="L28" s="7" t="s">
        <v>663</v>
      </c>
      <c r="M28" s="8">
        <v>43800</v>
      </c>
      <c r="N28" s="8">
        <v>43800</v>
      </c>
      <c r="O28" s="13"/>
      <c r="P28" s="13">
        <v>76404.759999999995</v>
      </c>
      <c r="Q28" s="33"/>
      <c r="R28" s="22"/>
      <c r="S28" s="22"/>
      <c r="T28" s="22"/>
      <c r="U28" s="22"/>
      <c r="X28" s="15" t="str">
        <f>IF(B28="",VLOOKUP(A28,items_lookup!A:B,2,FALSE),B28)</f>
        <v>13. Item 13</v>
      </c>
      <c r="Y28" s="15">
        <f t="shared" si="5"/>
        <v>12</v>
      </c>
      <c r="Z28" s="15">
        <f t="shared" si="5"/>
        <v>12</v>
      </c>
      <c r="AA28" s="15">
        <f t="shared" si="1"/>
        <v>2019</v>
      </c>
      <c r="AB28" s="15">
        <f t="shared" si="2"/>
        <v>2019</v>
      </c>
      <c r="AC28" s="15">
        <f t="shared" si="3"/>
        <v>2019</v>
      </c>
      <c r="AD28" s="18" t="b">
        <f t="shared" si="4"/>
        <v>1</v>
      </c>
    </row>
    <row r="29" spans="1:30" ht="12.6" hidden="1" customHeight="1" x14ac:dyDescent="0.2">
      <c r="A29" s="7" t="s">
        <v>680</v>
      </c>
      <c r="B29" s="7" t="s">
        <v>710</v>
      </c>
      <c r="C29" s="2" t="s">
        <v>642</v>
      </c>
      <c r="D29" s="6"/>
      <c r="E29" s="32" t="s">
        <v>652</v>
      </c>
      <c r="F29" s="7"/>
      <c r="G29" s="7"/>
      <c r="H29" s="7"/>
      <c r="I29" s="7"/>
      <c r="J29" s="7"/>
      <c r="K29" s="7"/>
      <c r="L29" s="7" t="s">
        <v>663</v>
      </c>
      <c r="M29" s="8">
        <v>43800</v>
      </c>
      <c r="N29" s="8">
        <v>43800</v>
      </c>
      <c r="O29" s="13"/>
      <c r="P29" s="13">
        <v>12515166.67</v>
      </c>
      <c r="Q29" s="33"/>
      <c r="R29" s="22"/>
      <c r="S29" s="22"/>
      <c r="T29" s="22"/>
      <c r="U29" s="22"/>
      <c r="X29" s="15" t="str">
        <f>IF(B29="",VLOOKUP(A29,items_lookup!A:B,2,FALSE),B29)</f>
        <v>13. Item 13</v>
      </c>
      <c r="Y29" s="15">
        <f t="shared" si="5"/>
        <v>12</v>
      </c>
      <c r="Z29" s="15">
        <f t="shared" si="5"/>
        <v>12</v>
      </c>
      <c r="AA29" s="15">
        <f t="shared" si="1"/>
        <v>2019</v>
      </c>
      <c r="AB29" s="15">
        <f t="shared" si="2"/>
        <v>2019</v>
      </c>
      <c r="AC29" s="15">
        <f t="shared" si="3"/>
        <v>2019</v>
      </c>
      <c r="AD29" s="18" t="b">
        <f t="shared" si="4"/>
        <v>1</v>
      </c>
    </row>
    <row r="30" spans="1:30" ht="12.6" hidden="1" customHeight="1" x14ac:dyDescent="0.2">
      <c r="A30" s="7" t="s">
        <v>681</v>
      </c>
      <c r="B30" s="7"/>
      <c r="C30" s="2" t="s">
        <v>642</v>
      </c>
      <c r="D30" s="6"/>
      <c r="E30" s="32" t="s">
        <v>652</v>
      </c>
      <c r="F30" s="7"/>
      <c r="G30" s="7"/>
      <c r="H30" s="7"/>
      <c r="I30" s="7"/>
      <c r="J30" s="7"/>
      <c r="K30" s="7"/>
      <c r="L30" s="7" t="s">
        <v>662</v>
      </c>
      <c r="M30" s="8">
        <v>43800</v>
      </c>
      <c r="N30" s="8">
        <v>43800</v>
      </c>
      <c r="O30" s="13">
        <v>1336500</v>
      </c>
      <c r="P30" s="13"/>
      <c r="Q30" s="33"/>
      <c r="R30" s="22"/>
      <c r="S30" s="22"/>
      <c r="T30" s="22"/>
      <c r="U30" s="22"/>
      <c r="X30" s="15" t="str">
        <f>IF(B30="",VLOOKUP(A30,items_lookup!A:B,2,FALSE),B30)</f>
        <v>19. Item 19</v>
      </c>
      <c r="Y30" s="15">
        <f t="shared" si="5"/>
        <v>12</v>
      </c>
      <c r="Z30" s="15">
        <f t="shared" si="5"/>
        <v>12</v>
      </c>
      <c r="AA30" s="15">
        <f t="shared" si="1"/>
        <v>2019</v>
      </c>
      <c r="AB30" s="15">
        <f t="shared" si="2"/>
        <v>2019</v>
      </c>
      <c r="AC30" s="15">
        <f t="shared" si="3"/>
        <v>2019</v>
      </c>
      <c r="AD30" s="18" t="b">
        <f t="shared" si="4"/>
        <v>1</v>
      </c>
    </row>
    <row r="31" spans="1:30" ht="12.6" hidden="1" customHeight="1" x14ac:dyDescent="0.2">
      <c r="A31" s="7" t="s">
        <v>681</v>
      </c>
      <c r="B31" s="7"/>
      <c r="C31" s="2" t="s">
        <v>642</v>
      </c>
      <c r="D31" s="6"/>
      <c r="E31" s="32" t="s">
        <v>652</v>
      </c>
      <c r="F31" s="7"/>
      <c r="G31" s="7"/>
      <c r="H31" s="7"/>
      <c r="I31" s="7"/>
      <c r="J31" s="7"/>
      <c r="K31" s="7"/>
      <c r="L31" s="7" t="s">
        <v>663</v>
      </c>
      <c r="M31" s="8">
        <v>43800</v>
      </c>
      <c r="N31" s="8">
        <v>43800</v>
      </c>
      <c r="O31" s="13"/>
      <c r="P31" s="13">
        <v>7301357.1399999997</v>
      </c>
      <c r="Q31" s="33"/>
      <c r="R31" s="22"/>
      <c r="S31" s="22"/>
      <c r="T31" s="22"/>
      <c r="U31" s="22"/>
      <c r="X31" s="15" t="str">
        <f>IF(B31="",VLOOKUP(A31,items_lookup!A:B,2,FALSE),B31)</f>
        <v>19. Item 19</v>
      </c>
      <c r="Y31" s="15">
        <f t="shared" si="5"/>
        <v>12</v>
      </c>
      <c r="Z31" s="15">
        <f t="shared" si="5"/>
        <v>12</v>
      </c>
      <c r="AA31" s="15">
        <f t="shared" si="1"/>
        <v>2019</v>
      </c>
      <c r="AB31" s="15">
        <f t="shared" si="2"/>
        <v>2019</v>
      </c>
      <c r="AC31" s="15">
        <f t="shared" si="3"/>
        <v>2019</v>
      </c>
      <c r="AD31" s="18" t="b">
        <f t="shared" si="4"/>
        <v>1</v>
      </c>
    </row>
    <row r="32" spans="1:30" ht="12.6" hidden="1" customHeight="1" x14ac:dyDescent="0.2">
      <c r="A32" s="7" t="s">
        <v>673</v>
      </c>
      <c r="B32" s="20"/>
      <c r="C32" s="2" t="s">
        <v>642</v>
      </c>
      <c r="D32" s="6"/>
      <c r="E32" s="32" t="s">
        <v>652</v>
      </c>
      <c r="F32" s="7"/>
      <c r="G32" s="7"/>
      <c r="H32" s="7"/>
      <c r="I32" s="7"/>
      <c r="J32" s="7"/>
      <c r="K32" s="7"/>
      <c r="L32" s="7" t="s">
        <v>662</v>
      </c>
      <c r="M32" s="8">
        <v>44166</v>
      </c>
      <c r="N32" s="8">
        <v>44166</v>
      </c>
      <c r="O32" s="13">
        <v>7385714.29</v>
      </c>
      <c r="P32" s="13"/>
      <c r="Q32" s="33"/>
      <c r="R32" s="9"/>
      <c r="S32" s="9"/>
      <c r="T32" s="9"/>
      <c r="U32" s="9"/>
      <c r="X32" s="15" t="str">
        <f>IF(B32="",VLOOKUP(A32,items_lookup!A:B,2,FALSE),B32)</f>
        <v>07. Item 07</v>
      </c>
      <c r="Y32" s="15">
        <f t="shared" si="5"/>
        <v>12</v>
      </c>
      <c r="Z32" s="15">
        <f t="shared" si="5"/>
        <v>12</v>
      </c>
      <c r="AA32" s="15">
        <f t="shared" si="1"/>
        <v>2020</v>
      </c>
      <c r="AB32" s="15">
        <f t="shared" si="2"/>
        <v>2020</v>
      </c>
      <c r="AC32" s="15">
        <f t="shared" si="3"/>
        <v>2020</v>
      </c>
      <c r="AD32" s="18" t="b">
        <f t="shared" si="4"/>
        <v>1</v>
      </c>
    </row>
    <row r="33" spans="1:30" ht="12.6" customHeight="1" x14ac:dyDescent="0.2">
      <c r="A33" s="7" t="s">
        <v>682</v>
      </c>
      <c r="B33" s="7"/>
      <c r="C33" s="2" t="s">
        <v>641</v>
      </c>
      <c r="D33" s="6" t="s">
        <v>649</v>
      </c>
      <c r="E33" s="32" t="s">
        <v>652</v>
      </c>
      <c r="F33" s="7"/>
      <c r="G33" s="7"/>
      <c r="H33" s="7"/>
      <c r="I33" s="7"/>
      <c r="J33" s="7"/>
      <c r="K33" s="7"/>
      <c r="L33" s="7" t="s">
        <v>662</v>
      </c>
      <c r="M33" s="8">
        <v>43831</v>
      </c>
      <c r="N33" s="8">
        <v>43831</v>
      </c>
      <c r="O33" s="13">
        <v>4309523.8099999996</v>
      </c>
      <c r="P33" s="13"/>
      <c r="Q33" s="33"/>
      <c r="R33" s="9"/>
      <c r="S33" s="9"/>
      <c r="T33" s="9"/>
      <c r="U33" s="9"/>
      <c r="X33" s="15" t="str">
        <f>IF(B33="",VLOOKUP(A33,items_lookup!A:B,2,FALSE),B33)</f>
        <v>06. Item 06</v>
      </c>
      <c r="Y33" s="15">
        <f t="shared" si="5"/>
        <v>1</v>
      </c>
      <c r="Z33" s="15">
        <f t="shared" si="5"/>
        <v>1</v>
      </c>
      <c r="AA33" s="15">
        <f t="shared" si="1"/>
        <v>2020</v>
      </c>
      <c r="AB33" s="15">
        <f t="shared" si="2"/>
        <v>2020</v>
      </c>
      <c r="AC33" s="15">
        <f t="shared" si="3"/>
        <v>2020</v>
      </c>
      <c r="AD33" s="18" t="b">
        <f t="shared" si="4"/>
        <v>1</v>
      </c>
    </row>
    <row r="34" spans="1:30" ht="11.25" hidden="1" customHeight="1" x14ac:dyDescent="0.2">
      <c r="A34" s="7" t="s">
        <v>672</v>
      </c>
      <c r="B34" s="20"/>
      <c r="C34" s="2" t="s">
        <v>642</v>
      </c>
      <c r="D34" s="6"/>
      <c r="E34" s="32" t="s">
        <v>652</v>
      </c>
      <c r="F34" s="7"/>
      <c r="G34" s="7"/>
      <c r="H34" s="7"/>
      <c r="I34" s="7"/>
      <c r="J34" s="7"/>
      <c r="K34" s="7"/>
      <c r="L34" s="7" t="s">
        <v>662</v>
      </c>
      <c r="M34" s="8">
        <v>44166</v>
      </c>
      <c r="N34" s="8">
        <v>44166</v>
      </c>
      <c r="O34" s="13">
        <v>67214.289999999994</v>
      </c>
      <c r="P34" s="13"/>
      <c r="Q34" s="33"/>
      <c r="R34" s="9"/>
      <c r="S34" s="9"/>
      <c r="T34" s="9"/>
      <c r="U34" s="9"/>
      <c r="X34" s="15" t="str">
        <f>IF(B34="",VLOOKUP(A34,items_lookup!A:B,2,FALSE),B34)</f>
        <v>05. Item 05</v>
      </c>
      <c r="Y34" s="15">
        <f t="shared" si="5"/>
        <v>12</v>
      </c>
      <c r="Z34" s="15">
        <f t="shared" si="5"/>
        <v>12</v>
      </c>
      <c r="AA34" s="15">
        <f t="shared" si="1"/>
        <v>2020</v>
      </c>
      <c r="AB34" s="15">
        <f t="shared" si="2"/>
        <v>2020</v>
      </c>
      <c r="AC34" s="15">
        <f t="shared" si="3"/>
        <v>2020</v>
      </c>
      <c r="AD34" s="18" t="b">
        <f t="shared" si="4"/>
        <v>1</v>
      </c>
    </row>
    <row r="35" spans="1:30" ht="12.6" hidden="1" customHeight="1" x14ac:dyDescent="0.2">
      <c r="A35" s="7" t="s">
        <v>668</v>
      </c>
      <c r="B35" s="20"/>
      <c r="C35" s="2" t="s">
        <v>642</v>
      </c>
      <c r="D35" s="6"/>
      <c r="E35" s="32" t="s">
        <v>652</v>
      </c>
      <c r="F35" s="7"/>
      <c r="G35" s="7"/>
      <c r="H35" s="7"/>
      <c r="I35" s="7"/>
      <c r="J35" s="7"/>
      <c r="K35" s="7"/>
      <c r="L35" s="7" t="s">
        <v>662</v>
      </c>
      <c r="M35" s="8">
        <v>44166</v>
      </c>
      <c r="N35" s="8">
        <v>44166</v>
      </c>
      <c r="O35" s="13">
        <v>1819928.57</v>
      </c>
      <c r="P35" s="13"/>
      <c r="Q35" s="33"/>
      <c r="R35" s="9"/>
      <c r="S35" s="9"/>
      <c r="T35" s="9"/>
      <c r="U35" s="9"/>
      <c r="X35" s="15" t="str">
        <f>IF(B35="",VLOOKUP(A35,items_lookup!A:B,2,FALSE),B35)</f>
        <v>01. Item 01</v>
      </c>
      <c r="Y35" s="15">
        <f t="shared" si="5"/>
        <v>12</v>
      </c>
      <c r="Z35" s="15">
        <f t="shared" si="5"/>
        <v>12</v>
      </c>
      <c r="AA35" s="15">
        <f t="shared" si="1"/>
        <v>2020</v>
      </c>
      <c r="AB35" s="15">
        <f t="shared" si="2"/>
        <v>2020</v>
      </c>
      <c r="AC35" s="15">
        <f t="shared" si="3"/>
        <v>2020</v>
      </c>
      <c r="AD35" s="18" t="b">
        <f t="shared" si="4"/>
        <v>1</v>
      </c>
    </row>
    <row r="36" spans="1:30" ht="12.6" hidden="1" customHeight="1" x14ac:dyDescent="0.2">
      <c r="A36" s="7" t="s">
        <v>669</v>
      </c>
      <c r="B36" s="7" t="s">
        <v>708</v>
      </c>
      <c r="C36" s="2" t="s">
        <v>642</v>
      </c>
      <c r="D36" s="6"/>
      <c r="E36" s="32" t="s">
        <v>652</v>
      </c>
      <c r="F36" s="7"/>
      <c r="G36" s="7"/>
      <c r="H36" s="7"/>
      <c r="I36" s="7"/>
      <c r="J36" s="7"/>
      <c r="K36" s="7"/>
      <c r="L36" s="7" t="s">
        <v>662</v>
      </c>
      <c r="M36" s="8">
        <v>44166</v>
      </c>
      <c r="N36" s="8">
        <v>44166</v>
      </c>
      <c r="O36" s="13">
        <v>200952.38</v>
      </c>
      <c r="P36" s="13"/>
      <c r="Q36" s="33"/>
      <c r="R36" s="9"/>
      <c r="S36" s="9"/>
      <c r="T36" s="9"/>
      <c r="U36" s="9"/>
      <c r="X36" s="15" t="str">
        <f>IF(B36="",VLOOKUP(A36,items_lookup!A:B,2,FALSE),B36)</f>
        <v>03. Item 03</v>
      </c>
      <c r="Y36" s="15">
        <f t="shared" si="5"/>
        <v>12</v>
      </c>
      <c r="Z36" s="15">
        <f t="shared" si="5"/>
        <v>12</v>
      </c>
      <c r="AA36" s="15">
        <f t="shared" si="1"/>
        <v>2020</v>
      </c>
      <c r="AB36" s="15">
        <f t="shared" si="2"/>
        <v>2020</v>
      </c>
      <c r="AC36" s="15">
        <f t="shared" si="3"/>
        <v>2020</v>
      </c>
      <c r="AD36" s="18" t="b">
        <f t="shared" si="4"/>
        <v>1</v>
      </c>
    </row>
    <row r="37" spans="1:30" ht="12.6" hidden="1" customHeight="1" x14ac:dyDescent="0.2">
      <c r="A37" s="7"/>
      <c r="B37" s="7" t="s">
        <v>709</v>
      </c>
      <c r="C37" s="2" t="s">
        <v>642</v>
      </c>
      <c r="D37" s="6"/>
      <c r="E37" s="32" t="s">
        <v>652</v>
      </c>
      <c r="F37" s="7"/>
      <c r="G37" s="7"/>
      <c r="H37" s="7"/>
      <c r="I37" s="7"/>
      <c r="J37" s="7"/>
      <c r="K37" s="7"/>
      <c r="L37" s="7" t="s">
        <v>662</v>
      </c>
      <c r="M37" s="8">
        <v>44166</v>
      </c>
      <c r="N37" s="8">
        <v>44166</v>
      </c>
      <c r="O37" s="13">
        <v>1098690.48</v>
      </c>
      <c r="P37" s="13"/>
      <c r="Q37" s="33"/>
      <c r="R37" s="22"/>
      <c r="S37" s="22"/>
      <c r="T37" s="22"/>
      <c r="U37" s="22"/>
      <c r="X37" s="15" t="str">
        <f>IF(B37="",VLOOKUP(A37,items_lookup!A:B,2,FALSE),B37)</f>
        <v>04. Item 04</v>
      </c>
      <c r="Y37" s="15">
        <f t="shared" si="5"/>
        <v>12</v>
      </c>
      <c r="Z37" s="15">
        <f t="shared" si="5"/>
        <v>12</v>
      </c>
      <c r="AA37" s="15">
        <f t="shared" si="1"/>
        <v>2020</v>
      </c>
      <c r="AB37" s="15">
        <f t="shared" si="2"/>
        <v>2020</v>
      </c>
      <c r="AC37" s="15">
        <f t="shared" si="3"/>
        <v>2020</v>
      </c>
      <c r="AD37" s="18" t="b">
        <f t="shared" si="4"/>
        <v>1</v>
      </c>
    </row>
    <row r="38" spans="1:30" ht="15" hidden="1" customHeight="1" x14ac:dyDescent="0.2">
      <c r="A38" s="7" t="s">
        <v>670</v>
      </c>
      <c r="B38" s="7"/>
      <c r="C38" s="2" t="s">
        <v>642</v>
      </c>
      <c r="D38" s="6"/>
      <c r="E38" s="32" t="s">
        <v>652</v>
      </c>
      <c r="F38" s="7"/>
      <c r="G38" s="7"/>
      <c r="H38" s="7"/>
      <c r="I38" s="7"/>
      <c r="J38" s="7"/>
      <c r="K38" s="7"/>
      <c r="L38" s="7" t="s">
        <v>662</v>
      </c>
      <c r="M38" s="8">
        <v>44166</v>
      </c>
      <c r="N38" s="8">
        <v>44166</v>
      </c>
      <c r="O38" s="13">
        <v>279595.24</v>
      </c>
      <c r="P38" s="13"/>
      <c r="Q38" s="33"/>
      <c r="R38" s="9"/>
      <c r="S38" s="9"/>
      <c r="T38" s="9"/>
      <c r="U38" s="9"/>
      <c r="X38" s="15" t="str">
        <f>IF(B38="",VLOOKUP(A38,items_lookup!A:B,2,FALSE),B38)</f>
        <v>04. Item 04</v>
      </c>
      <c r="Y38" s="15">
        <f t="shared" si="5"/>
        <v>12</v>
      </c>
      <c r="Z38" s="15">
        <f t="shared" si="5"/>
        <v>12</v>
      </c>
      <c r="AA38" s="15">
        <f t="shared" si="1"/>
        <v>2020</v>
      </c>
      <c r="AB38" s="15">
        <f t="shared" si="2"/>
        <v>2020</v>
      </c>
      <c r="AC38" s="15">
        <f t="shared" si="3"/>
        <v>2020</v>
      </c>
      <c r="AD38" s="18" t="b">
        <f t="shared" si="4"/>
        <v>1</v>
      </c>
    </row>
    <row r="39" spans="1:30" ht="15" hidden="1" customHeight="1" x14ac:dyDescent="0.2">
      <c r="A39" s="7" t="s">
        <v>671</v>
      </c>
      <c r="B39" s="7"/>
      <c r="C39" s="2" t="s">
        <v>642</v>
      </c>
      <c r="D39" s="6"/>
      <c r="E39" s="32" t="s">
        <v>652</v>
      </c>
      <c r="F39" s="7"/>
      <c r="G39" s="7"/>
      <c r="H39" s="7"/>
      <c r="I39" s="7"/>
      <c r="J39" s="7"/>
      <c r="K39" s="7"/>
      <c r="L39" s="7" t="s">
        <v>662</v>
      </c>
      <c r="M39" s="8">
        <v>44166</v>
      </c>
      <c r="N39" s="8">
        <v>44166</v>
      </c>
      <c r="O39" s="13">
        <v>40023.81</v>
      </c>
      <c r="P39" s="13"/>
      <c r="Q39" s="33"/>
      <c r="R39" s="9"/>
      <c r="S39" s="9"/>
      <c r="T39" s="9"/>
      <c r="U39" s="9"/>
      <c r="X39" s="15" t="str">
        <f>IF(B39="",VLOOKUP(A39,items_lookup!A:B,2,FALSE),B39)</f>
        <v>05. Item 05</v>
      </c>
      <c r="Y39" s="15">
        <f t="shared" si="5"/>
        <v>12</v>
      </c>
      <c r="Z39" s="15">
        <f t="shared" si="5"/>
        <v>12</v>
      </c>
      <c r="AA39" s="15">
        <f t="shared" si="1"/>
        <v>2020</v>
      </c>
      <c r="AB39" s="15">
        <f t="shared" si="2"/>
        <v>2020</v>
      </c>
      <c r="AC39" s="15">
        <f t="shared" si="3"/>
        <v>2020</v>
      </c>
      <c r="AD39" s="18" t="b">
        <f t="shared" si="4"/>
        <v>1</v>
      </c>
    </row>
    <row r="40" spans="1:30" ht="15" hidden="1" customHeight="1" x14ac:dyDescent="0.2">
      <c r="A40" s="7" t="s">
        <v>674</v>
      </c>
      <c r="B40" s="7"/>
      <c r="C40" s="2" t="s">
        <v>642</v>
      </c>
      <c r="D40" s="6"/>
      <c r="E40" s="32" t="s">
        <v>652</v>
      </c>
      <c r="F40" s="7"/>
      <c r="G40" s="7"/>
      <c r="H40" s="7"/>
      <c r="I40" s="7"/>
      <c r="J40" s="7"/>
      <c r="K40" s="7"/>
      <c r="L40" s="7" t="s">
        <v>662</v>
      </c>
      <c r="M40" s="8">
        <v>44166</v>
      </c>
      <c r="N40" s="8">
        <v>44166</v>
      </c>
      <c r="O40" s="13">
        <v>322809.52</v>
      </c>
      <c r="P40" s="13"/>
      <c r="Q40" s="33"/>
      <c r="R40" s="9"/>
      <c r="S40" s="9"/>
      <c r="T40" s="9"/>
      <c r="U40" s="9"/>
      <c r="X40" s="15" t="str">
        <f>IF(B40="",VLOOKUP(A40,items_lookup!A:B,2,FALSE),B40)</f>
        <v>08. Item 08</v>
      </c>
      <c r="Y40" s="15">
        <f t="shared" si="5"/>
        <v>12</v>
      </c>
      <c r="Z40" s="15">
        <f t="shared" si="5"/>
        <v>12</v>
      </c>
      <c r="AA40" s="15">
        <f t="shared" si="1"/>
        <v>2020</v>
      </c>
      <c r="AB40" s="15">
        <f t="shared" si="2"/>
        <v>2020</v>
      </c>
      <c r="AC40" s="15">
        <f t="shared" si="3"/>
        <v>2020</v>
      </c>
      <c r="AD40" s="18" t="b">
        <f t="shared" si="4"/>
        <v>1</v>
      </c>
    </row>
    <row r="41" spans="1:30" ht="15" hidden="1" customHeight="1" x14ac:dyDescent="0.2">
      <c r="A41" s="7" t="s">
        <v>677</v>
      </c>
      <c r="B41" s="7"/>
      <c r="C41" s="2" t="s">
        <v>642</v>
      </c>
      <c r="D41" s="6"/>
      <c r="E41" s="32" t="s">
        <v>652</v>
      </c>
      <c r="F41" s="7"/>
      <c r="G41" s="7"/>
      <c r="H41" s="7"/>
      <c r="I41" s="7"/>
      <c r="J41" s="7"/>
      <c r="K41" s="7"/>
      <c r="L41" s="7" t="s">
        <v>662</v>
      </c>
      <c r="M41" s="8">
        <v>44166</v>
      </c>
      <c r="N41" s="8">
        <v>44166</v>
      </c>
      <c r="O41" s="13">
        <v>4316523.8099999996</v>
      </c>
      <c r="P41" s="13"/>
      <c r="Q41" s="33"/>
      <c r="R41" s="9"/>
      <c r="S41" s="9"/>
      <c r="T41" s="9"/>
      <c r="U41" s="9"/>
      <c r="X41" s="15" t="str">
        <f>IF(B41="",VLOOKUP(A41,items_lookup!A:B,2,FALSE),B41)</f>
        <v>11. Item 11</v>
      </c>
      <c r="Y41" s="15">
        <f t="shared" si="5"/>
        <v>12</v>
      </c>
      <c r="Z41" s="15">
        <f t="shared" si="5"/>
        <v>12</v>
      </c>
      <c r="AA41" s="15">
        <f t="shared" si="1"/>
        <v>2020</v>
      </c>
      <c r="AB41" s="15">
        <f t="shared" si="2"/>
        <v>2020</v>
      </c>
      <c r="AC41" s="15">
        <f t="shared" si="3"/>
        <v>2020</v>
      </c>
      <c r="AD41" s="18" t="b">
        <f t="shared" si="4"/>
        <v>1</v>
      </c>
    </row>
    <row r="42" spans="1:30" ht="15" hidden="1" customHeight="1" x14ac:dyDescent="0.2">
      <c r="A42" s="7" t="s">
        <v>676</v>
      </c>
      <c r="B42" s="7" t="s">
        <v>711</v>
      </c>
      <c r="C42" s="2" t="s">
        <v>642</v>
      </c>
      <c r="D42" s="6"/>
      <c r="E42" s="32" t="s">
        <v>652</v>
      </c>
      <c r="F42" s="7"/>
      <c r="G42" s="7"/>
      <c r="H42" s="7"/>
      <c r="I42" s="7"/>
      <c r="J42" s="7"/>
      <c r="K42" s="7"/>
      <c r="L42" s="7" t="s">
        <v>662</v>
      </c>
      <c r="M42" s="8">
        <v>44166</v>
      </c>
      <c r="N42" s="8">
        <v>44166</v>
      </c>
      <c r="O42" s="13">
        <v>325595.24</v>
      </c>
      <c r="P42" s="13"/>
      <c r="Q42" s="33"/>
      <c r="R42" s="9"/>
      <c r="S42" s="9"/>
      <c r="T42" s="9"/>
      <c r="U42" s="9"/>
      <c r="X42" s="15" t="str">
        <f>IF(B42="",VLOOKUP(A42,items_lookup!A:B,2,FALSE),B42)</f>
        <v>12. Item 12</v>
      </c>
      <c r="Y42" s="15">
        <f t="shared" si="5"/>
        <v>12</v>
      </c>
      <c r="Z42" s="15">
        <f t="shared" si="5"/>
        <v>12</v>
      </c>
      <c r="AA42" s="15">
        <f t="shared" si="1"/>
        <v>2020</v>
      </c>
      <c r="AB42" s="15">
        <f t="shared" si="2"/>
        <v>2020</v>
      </c>
      <c r="AC42" s="15">
        <f t="shared" si="3"/>
        <v>2020</v>
      </c>
      <c r="AD42" s="18" t="b">
        <f t="shared" si="4"/>
        <v>1</v>
      </c>
    </row>
    <row r="43" spans="1:30" ht="15" hidden="1" customHeight="1" x14ac:dyDescent="0.2">
      <c r="A43" s="7" t="s">
        <v>675</v>
      </c>
      <c r="B43" s="20"/>
      <c r="C43" s="2" t="s">
        <v>642</v>
      </c>
      <c r="D43" s="6"/>
      <c r="E43" s="32" t="s">
        <v>652</v>
      </c>
      <c r="F43" s="7"/>
      <c r="G43" s="7"/>
      <c r="H43" s="7"/>
      <c r="I43" s="7"/>
      <c r="J43" s="7"/>
      <c r="K43" s="7"/>
      <c r="L43" s="7" t="s">
        <v>662</v>
      </c>
      <c r="M43" s="8">
        <v>44136</v>
      </c>
      <c r="N43" s="8">
        <v>44136</v>
      </c>
      <c r="O43" s="13">
        <v>7899047.6200000001</v>
      </c>
      <c r="P43" s="13"/>
      <c r="Q43" s="33"/>
      <c r="R43" s="9"/>
      <c r="S43" s="9"/>
      <c r="T43" s="9"/>
      <c r="U43" s="9"/>
      <c r="X43" s="15" t="str">
        <f>IF(B43="",VLOOKUP(A43,items_lookup!A:B,2,FALSE),B43)</f>
        <v>09. Item 09</v>
      </c>
      <c r="Y43" s="15">
        <f t="shared" si="5"/>
        <v>11</v>
      </c>
      <c r="Z43" s="15">
        <f t="shared" si="5"/>
        <v>11</v>
      </c>
      <c r="AA43" s="15">
        <f t="shared" si="1"/>
        <v>2020</v>
      </c>
      <c r="AB43" s="15">
        <f t="shared" si="2"/>
        <v>2020</v>
      </c>
      <c r="AC43" s="15">
        <f t="shared" si="3"/>
        <v>2020</v>
      </c>
      <c r="AD43" s="18" t="b">
        <f t="shared" si="4"/>
        <v>1</v>
      </c>
    </row>
    <row r="44" spans="1:30" ht="15" hidden="1" customHeight="1" x14ac:dyDescent="0.2">
      <c r="A44" s="7" t="s">
        <v>673</v>
      </c>
      <c r="B44" s="20"/>
      <c r="C44" s="2" t="s">
        <v>642</v>
      </c>
      <c r="D44" s="6"/>
      <c r="E44" s="32" t="s">
        <v>652</v>
      </c>
      <c r="F44" s="7"/>
      <c r="G44" s="7"/>
      <c r="H44" s="7"/>
      <c r="I44" s="7"/>
      <c r="J44" s="7"/>
      <c r="K44" s="7"/>
      <c r="L44" s="7" t="s">
        <v>662</v>
      </c>
      <c r="M44" s="8">
        <v>44136</v>
      </c>
      <c r="N44" s="8">
        <v>44136</v>
      </c>
      <c r="O44" s="13">
        <v>67214.289999999994</v>
      </c>
      <c r="P44" s="13"/>
      <c r="Q44" s="33"/>
      <c r="R44" s="9"/>
      <c r="S44" s="9"/>
      <c r="T44" s="9"/>
      <c r="U44" s="9"/>
      <c r="X44" s="15" t="str">
        <f>IF(B44="",VLOOKUP(A44,items_lookup!A:B,2,FALSE),B44)</f>
        <v>07. Item 07</v>
      </c>
      <c r="Y44" s="15">
        <f t="shared" si="5"/>
        <v>11</v>
      </c>
      <c r="Z44" s="15">
        <f t="shared" si="5"/>
        <v>11</v>
      </c>
      <c r="AA44" s="15">
        <f t="shared" si="1"/>
        <v>2020</v>
      </c>
      <c r="AB44" s="15">
        <f t="shared" si="2"/>
        <v>2020</v>
      </c>
      <c r="AC44" s="15">
        <f t="shared" si="3"/>
        <v>2020</v>
      </c>
      <c r="AD44" s="18" t="b">
        <f t="shared" si="4"/>
        <v>1</v>
      </c>
    </row>
    <row r="45" spans="1:30" ht="15" hidden="1" customHeight="1" x14ac:dyDescent="0.2">
      <c r="A45" s="7" t="s">
        <v>682</v>
      </c>
      <c r="B45" s="20"/>
      <c r="C45" s="2" t="s">
        <v>642</v>
      </c>
      <c r="D45" s="6"/>
      <c r="E45" s="32" t="s">
        <v>652</v>
      </c>
      <c r="F45" s="7"/>
      <c r="G45" s="7"/>
      <c r="H45" s="7"/>
      <c r="I45" s="7"/>
      <c r="J45" s="7"/>
      <c r="K45" s="7"/>
      <c r="L45" s="7" t="s">
        <v>662</v>
      </c>
      <c r="M45" s="8">
        <v>44136</v>
      </c>
      <c r="N45" s="8">
        <v>44136</v>
      </c>
      <c r="O45" s="13">
        <v>6711285.71</v>
      </c>
      <c r="P45" s="13"/>
      <c r="Q45" s="33"/>
      <c r="R45" s="9"/>
      <c r="S45" s="9"/>
      <c r="T45" s="9"/>
      <c r="U45" s="9"/>
      <c r="X45" s="15" t="str">
        <f>IF(B45="",VLOOKUP(A45,items_lookup!A:B,2,FALSE),B45)</f>
        <v>06. Item 06</v>
      </c>
      <c r="Y45" s="15">
        <f t="shared" si="5"/>
        <v>11</v>
      </c>
      <c r="Z45" s="15">
        <f t="shared" si="5"/>
        <v>11</v>
      </c>
      <c r="AA45" s="15">
        <f t="shared" si="1"/>
        <v>2020</v>
      </c>
      <c r="AB45" s="15">
        <f t="shared" si="2"/>
        <v>2020</v>
      </c>
      <c r="AC45" s="15">
        <f t="shared" si="3"/>
        <v>2020</v>
      </c>
      <c r="AD45" s="18" t="b">
        <f t="shared" si="4"/>
        <v>1</v>
      </c>
    </row>
    <row r="46" spans="1:30" ht="15" hidden="1" customHeight="1" x14ac:dyDescent="0.2">
      <c r="A46" s="7" t="s">
        <v>672</v>
      </c>
      <c r="B46" s="20"/>
      <c r="C46" s="2" t="s">
        <v>642</v>
      </c>
      <c r="D46" s="6"/>
      <c r="E46" s="32" t="s">
        <v>652</v>
      </c>
      <c r="F46" s="7"/>
      <c r="G46" s="7"/>
      <c r="H46" s="7"/>
      <c r="I46" s="7"/>
      <c r="J46" s="7"/>
      <c r="K46" s="7"/>
      <c r="L46" s="7" t="s">
        <v>662</v>
      </c>
      <c r="M46" s="8">
        <v>44136</v>
      </c>
      <c r="N46" s="8">
        <v>44136</v>
      </c>
      <c r="O46" s="13">
        <v>1811428.57</v>
      </c>
      <c r="P46" s="13"/>
      <c r="Q46" s="33"/>
      <c r="R46" s="9"/>
      <c r="S46" s="9"/>
      <c r="T46" s="9"/>
      <c r="U46" s="9"/>
      <c r="X46" s="15" t="str">
        <f>IF(B46="",VLOOKUP(A46,items_lookup!A:B,2,FALSE),B46)</f>
        <v>05. Item 05</v>
      </c>
      <c r="Y46" s="15">
        <f t="shared" si="5"/>
        <v>11</v>
      </c>
      <c r="Z46" s="15">
        <f t="shared" si="5"/>
        <v>11</v>
      </c>
      <c r="AA46" s="15">
        <f t="shared" si="1"/>
        <v>2020</v>
      </c>
      <c r="AB46" s="15">
        <f t="shared" si="2"/>
        <v>2020</v>
      </c>
      <c r="AC46" s="15">
        <f t="shared" si="3"/>
        <v>2020</v>
      </c>
      <c r="AD46" s="18" t="b">
        <f t="shared" si="4"/>
        <v>1</v>
      </c>
    </row>
    <row r="47" spans="1:30" ht="15" hidden="1" customHeight="1" x14ac:dyDescent="0.2">
      <c r="A47" s="7"/>
      <c r="B47" s="7" t="s">
        <v>708</v>
      </c>
      <c r="C47" s="2" t="s">
        <v>642</v>
      </c>
      <c r="D47" s="6"/>
      <c r="E47" s="32" t="s">
        <v>652</v>
      </c>
      <c r="F47" s="7"/>
      <c r="G47" s="7"/>
      <c r="H47" s="7"/>
      <c r="I47" s="7"/>
      <c r="J47" s="7"/>
      <c r="K47" s="7"/>
      <c r="L47" s="7" t="s">
        <v>662</v>
      </c>
      <c r="M47" s="8">
        <v>44136</v>
      </c>
      <c r="N47" s="8">
        <v>44136</v>
      </c>
      <c r="O47" s="13">
        <v>200952.38</v>
      </c>
      <c r="P47" s="13"/>
      <c r="Q47" s="33"/>
      <c r="R47" s="9"/>
      <c r="S47" s="9"/>
      <c r="T47" s="9"/>
      <c r="U47" s="9"/>
      <c r="X47" s="15" t="str">
        <f>IF(B47="",VLOOKUP(A47,items_lookup!A:B,2,FALSE),B47)</f>
        <v>03. Item 03</v>
      </c>
      <c r="Y47" s="15">
        <f t="shared" si="5"/>
        <v>11</v>
      </c>
      <c r="Z47" s="15">
        <f t="shared" si="5"/>
        <v>11</v>
      </c>
      <c r="AA47" s="15">
        <f t="shared" si="1"/>
        <v>2020</v>
      </c>
      <c r="AB47" s="15">
        <f t="shared" si="2"/>
        <v>2020</v>
      </c>
      <c r="AC47" s="15">
        <f t="shared" si="3"/>
        <v>2020</v>
      </c>
      <c r="AD47" s="18" t="b">
        <f t="shared" si="4"/>
        <v>1</v>
      </c>
    </row>
    <row r="48" spans="1:30" ht="15" hidden="1" customHeight="1" x14ac:dyDescent="0.2">
      <c r="A48" s="7" t="s">
        <v>668</v>
      </c>
      <c r="B48" s="7" t="s">
        <v>709</v>
      </c>
      <c r="C48" s="2" t="s">
        <v>642</v>
      </c>
      <c r="D48" s="6"/>
      <c r="E48" s="32" t="s">
        <v>652</v>
      </c>
      <c r="F48" s="7"/>
      <c r="G48" s="7"/>
      <c r="H48" s="7"/>
      <c r="I48" s="7"/>
      <c r="J48" s="7"/>
      <c r="K48" s="7"/>
      <c r="L48" s="7" t="s">
        <v>662</v>
      </c>
      <c r="M48" s="8">
        <v>44136</v>
      </c>
      <c r="N48" s="8">
        <v>44136</v>
      </c>
      <c r="O48" s="13">
        <v>2543142.86</v>
      </c>
      <c r="P48" s="13"/>
      <c r="Q48" s="33"/>
      <c r="R48" s="22"/>
      <c r="S48" s="22"/>
      <c r="T48" s="22"/>
      <c r="U48" s="22"/>
      <c r="X48" s="15" t="str">
        <f>IF(B48="",VLOOKUP(A48,items_lookup!A:B,2,FALSE),B48)</f>
        <v>04. Item 04</v>
      </c>
      <c r="Y48" s="15">
        <f t="shared" si="5"/>
        <v>11</v>
      </c>
      <c r="Z48" s="15">
        <f t="shared" si="5"/>
        <v>11</v>
      </c>
      <c r="AA48" s="15">
        <f t="shared" si="1"/>
        <v>2020</v>
      </c>
      <c r="AB48" s="15">
        <f t="shared" si="2"/>
        <v>2020</v>
      </c>
      <c r="AC48" s="15">
        <f t="shared" si="3"/>
        <v>2020</v>
      </c>
      <c r="AD48" s="18" t="b">
        <f t="shared" si="4"/>
        <v>1</v>
      </c>
    </row>
    <row r="49" spans="1:30" ht="15" hidden="1" customHeight="1" x14ac:dyDescent="0.2">
      <c r="A49" s="7" t="s">
        <v>669</v>
      </c>
      <c r="B49" s="7"/>
      <c r="C49" s="2" t="s">
        <v>642</v>
      </c>
      <c r="D49" s="6"/>
      <c r="E49" s="32" t="s">
        <v>652</v>
      </c>
      <c r="F49" s="7"/>
      <c r="G49" s="7"/>
      <c r="H49" s="7"/>
      <c r="I49" s="7"/>
      <c r="J49" s="7"/>
      <c r="K49" s="7"/>
      <c r="L49" s="7" t="s">
        <v>662</v>
      </c>
      <c r="M49" s="8">
        <v>44136</v>
      </c>
      <c r="N49" s="8">
        <v>44136</v>
      </c>
      <c r="O49" s="13">
        <v>4844428.57</v>
      </c>
      <c r="P49" s="13"/>
      <c r="Q49" s="33"/>
      <c r="R49" s="9"/>
      <c r="S49" s="9"/>
      <c r="T49" s="9"/>
      <c r="U49" s="9"/>
      <c r="X49" s="15" t="str">
        <f>IF(B49="",VLOOKUP(A49,items_lookup!A:B,2,FALSE),B49)</f>
        <v>02. Item 02</v>
      </c>
      <c r="Y49" s="15">
        <f t="shared" si="5"/>
        <v>11</v>
      </c>
      <c r="Z49" s="15">
        <f t="shared" si="5"/>
        <v>11</v>
      </c>
      <c r="AA49" s="15">
        <f t="shared" si="1"/>
        <v>2020</v>
      </c>
      <c r="AB49" s="15">
        <f t="shared" si="2"/>
        <v>2020</v>
      </c>
      <c r="AC49" s="15">
        <f t="shared" si="3"/>
        <v>2020</v>
      </c>
      <c r="AD49" s="18" t="b">
        <f t="shared" si="4"/>
        <v>1</v>
      </c>
    </row>
    <row r="50" spans="1:30" ht="15" hidden="1" customHeight="1" x14ac:dyDescent="0.2">
      <c r="A50" s="7" t="s">
        <v>670</v>
      </c>
      <c r="B50" s="7"/>
      <c r="C50" s="2" t="s">
        <v>642</v>
      </c>
      <c r="D50" s="6"/>
      <c r="E50" s="32" t="s">
        <v>652</v>
      </c>
      <c r="F50" s="7"/>
      <c r="G50" s="7"/>
      <c r="H50" s="7"/>
      <c r="I50" s="7"/>
      <c r="J50" s="7"/>
      <c r="K50" s="7"/>
      <c r="L50" s="7" t="s">
        <v>662</v>
      </c>
      <c r="M50" s="8">
        <v>44136</v>
      </c>
      <c r="N50" s="8">
        <v>44136</v>
      </c>
      <c r="O50" s="13">
        <v>322809.52</v>
      </c>
      <c r="P50" s="13"/>
      <c r="Q50" s="33"/>
      <c r="R50" s="9"/>
      <c r="S50" s="9"/>
      <c r="T50" s="9"/>
      <c r="U50" s="9"/>
      <c r="X50" s="15" t="str">
        <f>IF(B50="",VLOOKUP(A50,items_lookup!A:B,2,FALSE),B50)</f>
        <v>04. Item 04</v>
      </c>
      <c r="Y50" s="15">
        <f t="shared" si="5"/>
        <v>11</v>
      </c>
      <c r="Z50" s="15">
        <f t="shared" si="5"/>
        <v>11</v>
      </c>
      <c r="AA50" s="15">
        <f t="shared" si="1"/>
        <v>2020</v>
      </c>
      <c r="AB50" s="15">
        <f t="shared" si="2"/>
        <v>2020</v>
      </c>
      <c r="AC50" s="15">
        <f t="shared" si="3"/>
        <v>2020</v>
      </c>
      <c r="AD50" s="18" t="b">
        <f t="shared" si="4"/>
        <v>1</v>
      </c>
    </row>
    <row r="51" spans="1:30" ht="15" hidden="1" customHeight="1" x14ac:dyDescent="0.2">
      <c r="A51" s="7" t="s">
        <v>671</v>
      </c>
      <c r="B51" s="7"/>
      <c r="C51" s="2" t="s">
        <v>642</v>
      </c>
      <c r="D51" s="6"/>
      <c r="E51" s="32" t="s">
        <v>652</v>
      </c>
      <c r="F51" s="7"/>
      <c r="G51" s="7"/>
      <c r="H51" s="7"/>
      <c r="I51" s="7"/>
      <c r="J51" s="7"/>
      <c r="K51" s="7"/>
      <c r="L51" s="7" t="s">
        <v>662</v>
      </c>
      <c r="M51" s="8">
        <v>44136</v>
      </c>
      <c r="N51" s="8">
        <v>44136</v>
      </c>
      <c r="O51" s="13">
        <v>2091619.05</v>
      </c>
      <c r="P51" s="13"/>
      <c r="Q51" s="33"/>
      <c r="R51" s="9"/>
      <c r="S51" s="9"/>
      <c r="T51" s="9"/>
      <c r="U51" s="9"/>
      <c r="X51" s="15" t="str">
        <f>IF(B51="",VLOOKUP(A51,items_lookup!A:B,2,FALSE),B51)</f>
        <v>05. Item 05</v>
      </c>
      <c r="Y51" s="15">
        <f t="shared" si="5"/>
        <v>11</v>
      </c>
      <c r="Z51" s="15">
        <f t="shared" si="5"/>
        <v>11</v>
      </c>
      <c r="AA51" s="15">
        <f t="shared" si="1"/>
        <v>2020</v>
      </c>
      <c r="AB51" s="15">
        <f t="shared" si="2"/>
        <v>2020</v>
      </c>
      <c r="AC51" s="15">
        <f t="shared" si="3"/>
        <v>2020</v>
      </c>
      <c r="AD51" s="18" t="b">
        <f t="shared" si="4"/>
        <v>1</v>
      </c>
    </row>
    <row r="52" spans="1:30" ht="15" hidden="1" customHeight="1" x14ac:dyDescent="0.2">
      <c r="A52" s="7" t="s">
        <v>674</v>
      </c>
      <c r="B52" s="7" t="s">
        <v>711</v>
      </c>
      <c r="C52" s="2" t="s">
        <v>642</v>
      </c>
      <c r="D52" s="6"/>
      <c r="E52" s="32" t="s">
        <v>652</v>
      </c>
      <c r="F52" s="7"/>
      <c r="G52" s="7"/>
      <c r="H52" s="7"/>
      <c r="I52" s="7"/>
      <c r="J52" s="7"/>
      <c r="K52" s="7"/>
      <c r="L52" s="7" t="s">
        <v>662</v>
      </c>
      <c r="M52" s="8">
        <v>44136</v>
      </c>
      <c r="N52" s="8">
        <v>44136</v>
      </c>
      <c r="O52" s="13">
        <v>325595.24</v>
      </c>
      <c r="P52" s="13"/>
      <c r="Q52" s="33"/>
      <c r="R52" s="9"/>
      <c r="S52" s="9"/>
      <c r="T52" s="9"/>
      <c r="U52" s="9"/>
      <c r="X52" s="15" t="str">
        <f>IF(B52="",VLOOKUP(A52,items_lookup!A:B,2,FALSE),B52)</f>
        <v>12. Item 12</v>
      </c>
      <c r="Y52" s="15">
        <f t="shared" si="5"/>
        <v>11</v>
      </c>
      <c r="Z52" s="15">
        <f t="shared" si="5"/>
        <v>11</v>
      </c>
      <c r="AA52" s="15">
        <f t="shared" si="1"/>
        <v>2020</v>
      </c>
      <c r="AB52" s="15">
        <f t="shared" si="2"/>
        <v>2020</v>
      </c>
      <c r="AC52" s="15">
        <f t="shared" si="3"/>
        <v>2020</v>
      </c>
      <c r="AD52" s="18" t="b">
        <f t="shared" si="4"/>
        <v>1</v>
      </c>
    </row>
    <row r="53" spans="1:30" ht="15" hidden="1" customHeight="1" x14ac:dyDescent="0.2">
      <c r="A53" s="7" t="s">
        <v>677</v>
      </c>
      <c r="B53" s="20"/>
      <c r="C53" s="2" t="s">
        <v>642</v>
      </c>
      <c r="D53" s="6"/>
      <c r="E53" s="32" t="s">
        <v>652</v>
      </c>
      <c r="F53" s="7"/>
      <c r="G53" s="7"/>
      <c r="H53" s="7"/>
      <c r="I53" s="7"/>
      <c r="J53" s="7"/>
      <c r="K53" s="7"/>
      <c r="L53" s="7" t="s">
        <v>662</v>
      </c>
      <c r="M53" s="8">
        <v>44105</v>
      </c>
      <c r="N53" s="8">
        <v>44105</v>
      </c>
      <c r="O53" s="13">
        <v>8512619.0500000007</v>
      </c>
      <c r="P53" s="13"/>
      <c r="Q53" s="33"/>
      <c r="R53" s="9"/>
      <c r="S53" s="9"/>
      <c r="T53" s="9"/>
      <c r="U53" s="9"/>
      <c r="X53" s="15" t="str">
        <f>IF(B53="",VLOOKUP(A53,items_lookup!A:B,2,FALSE),B53)</f>
        <v>11. Item 11</v>
      </c>
      <c r="Y53" s="15">
        <f t="shared" si="5"/>
        <v>10</v>
      </c>
      <c r="Z53" s="15">
        <f t="shared" si="5"/>
        <v>10</v>
      </c>
      <c r="AA53" s="15">
        <f t="shared" si="1"/>
        <v>2020</v>
      </c>
      <c r="AB53" s="15">
        <f t="shared" si="2"/>
        <v>2020</v>
      </c>
      <c r="AC53" s="15">
        <f t="shared" si="3"/>
        <v>2020</v>
      </c>
      <c r="AD53" s="18" t="b">
        <f t="shared" si="4"/>
        <v>1</v>
      </c>
    </row>
    <row r="54" spans="1:30" ht="15" hidden="1" customHeight="1" x14ac:dyDescent="0.2">
      <c r="A54" s="7" t="s">
        <v>676</v>
      </c>
      <c r="B54" s="20"/>
      <c r="C54" s="2" t="s">
        <v>642</v>
      </c>
      <c r="D54" s="6"/>
      <c r="E54" s="32" t="s">
        <v>652</v>
      </c>
      <c r="F54" s="7"/>
      <c r="G54" s="7"/>
      <c r="H54" s="7"/>
      <c r="I54" s="7"/>
      <c r="J54" s="7"/>
      <c r="K54" s="7"/>
      <c r="L54" s="7" t="s">
        <v>663</v>
      </c>
      <c r="M54" s="8">
        <v>43831</v>
      </c>
      <c r="N54" s="8">
        <v>43831</v>
      </c>
      <c r="P54" s="13">
        <v>3150238.1</v>
      </c>
      <c r="Q54" s="33"/>
      <c r="R54" s="9"/>
      <c r="S54" s="9"/>
      <c r="T54" s="9"/>
      <c r="U54" s="9"/>
      <c r="X54" s="15" t="str">
        <f>IF(B54="",VLOOKUP(A54,items_lookup!A:B,2,FALSE),B54)</f>
        <v>09. Item 09</v>
      </c>
      <c r="Y54" s="15">
        <f t="shared" si="5"/>
        <v>1</v>
      </c>
      <c r="Z54" s="15">
        <f t="shared" si="5"/>
        <v>1</v>
      </c>
      <c r="AA54" s="15">
        <f t="shared" si="1"/>
        <v>2020</v>
      </c>
      <c r="AB54" s="15">
        <f t="shared" si="2"/>
        <v>2020</v>
      </c>
      <c r="AC54" s="15">
        <f t="shared" si="3"/>
        <v>2020</v>
      </c>
      <c r="AD54" s="18" t="b">
        <f t="shared" si="4"/>
        <v>1</v>
      </c>
    </row>
    <row r="55" spans="1:30" ht="15" hidden="1" customHeight="1" x14ac:dyDescent="0.2">
      <c r="A55" s="7" t="s">
        <v>675</v>
      </c>
      <c r="B55" s="20"/>
      <c r="C55" s="2" t="s">
        <v>642</v>
      </c>
      <c r="D55" s="6"/>
      <c r="E55" s="32" t="s">
        <v>652</v>
      </c>
      <c r="F55" s="7"/>
      <c r="G55" s="7"/>
      <c r="H55" s="7"/>
      <c r="I55" s="7"/>
      <c r="J55" s="7"/>
      <c r="K55" s="7"/>
      <c r="L55" s="7" t="s">
        <v>662</v>
      </c>
      <c r="M55" s="8">
        <v>44105</v>
      </c>
      <c r="N55" s="8">
        <v>44105</v>
      </c>
      <c r="O55" s="13">
        <v>67214.289999999994</v>
      </c>
      <c r="P55" s="13"/>
      <c r="Q55" s="33"/>
      <c r="R55" s="9"/>
      <c r="S55" s="9"/>
      <c r="T55" s="9"/>
      <c r="U55" s="9"/>
      <c r="X55" s="15" t="str">
        <f>IF(B55="",VLOOKUP(A55,items_lookup!A:B,2,FALSE),B55)</f>
        <v>09. Item 09</v>
      </c>
      <c r="Y55" s="15">
        <f t="shared" si="5"/>
        <v>10</v>
      </c>
      <c r="Z55" s="15">
        <f t="shared" si="5"/>
        <v>10</v>
      </c>
      <c r="AA55" s="15">
        <f t="shared" si="1"/>
        <v>2020</v>
      </c>
      <c r="AB55" s="15">
        <f t="shared" si="2"/>
        <v>2020</v>
      </c>
      <c r="AC55" s="15">
        <f t="shared" si="3"/>
        <v>2020</v>
      </c>
      <c r="AD55" s="18" t="b">
        <f t="shared" si="4"/>
        <v>1</v>
      </c>
    </row>
    <row r="56" spans="1:30" ht="15" hidden="1" customHeight="1" x14ac:dyDescent="0.2">
      <c r="A56" s="7" t="s">
        <v>673</v>
      </c>
      <c r="B56" s="20"/>
      <c r="C56" s="2" t="s">
        <v>642</v>
      </c>
      <c r="D56" s="6"/>
      <c r="E56" s="32" t="s">
        <v>652</v>
      </c>
      <c r="F56" s="7"/>
      <c r="G56" s="7"/>
      <c r="H56" s="7"/>
      <c r="I56" s="7"/>
      <c r="J56" s="7"/>
      <c r="K56" s="7"/>
      <c r="L56" s="7" t="s">
        <v>662</v>
      </c>
      <c r="M56" s="8">
        <v>44105</v>
      </c>
      <c r="N56" s="8">
        <v>44105</v>
      </c>
      <c r="O56" s="13">
        <v>2073857.14</v>
      </c>
      <c r="P56" s="13"/>
      <c r="Q56" s="33"/>
      <c r="R56" s="9"/>
      <c r="S56" s="9"/>
      <c r="T56" s="9"/>
      <c r="U56" s="9"/>
      <c r="X56" s="15" t="str">
        <f>IF(B56="",VLOOKUP(A56,items_lookup!A:B,2,FALSE),B56)</f>
        <v>07. Item 07</v>
      </c>
      <c r="Y56" s="15">
        <f t="shared" si="5"/>
        <v>10</v>
      </c>
      <c r="Z56" s="15">
        <f t="shared" si="5"/>
        <v>10</v>
      </c>
      <c r="AA56" s="15">
        <f t="shared" ref="AA56:AA102" si="6">YEAR(N56)</f>
        <v>2020</v>
      </c>
      <c r="AB56" s="15">
        <f t="shared" ref="AB56:AB102" si="7">YEAR(M56)</f>
        <v>2020</v>
      </c>
      <c r="AC56" s="15">
        <f t="shared" ref="AC56:AC102" si="8">IF(F56="X",AA56-1,AA56)</f>
        <v>2020</v>
      </c>
      <c r="AD56" s="18" t="b">
        <f t="shared" si="4"/>
        <v>1</v>
      </c>
    </row>
    <row r="57" spans="1:30" ht="15" hidden="1" customHeight="1" x14ac:dyDescent="0.2">
      <c r="A57" s="7" t="s">
        <v>682</v>
      </c>
      <c r="B57" s="7" t="s">
        <v>708</v>
      </c>
      <c r="C57" s="2" t="s">
        <v>642</v>
      </c>
      <c r="D57" s="6"/>
      <c r="E57" s="32" t="s">
        <v>652</v>
      </c>
      <c r="F57" s="7"/>
      <c r="G57" s="7"/>
      <c r="H57" s="7"/>
      <c r="I57" s="7"/>
      <c r="J57" s="7"/>
      <c r="K57" s="7"/>
      <c r="L57" s="7" t="s">
        <v>662</v>
      </c>
      <c r="M57" s="8">
        <v>44105</v>
      </c>
      <c r="N57" s="8">
        <v>44105</v>
      </c>
      <c r="O57" s="13">
        <v>200952.38</v>
      </c>
      <c r="P57" s="13"/>
      <c r="Q57" s="33"/>
      <c r="R57" s="9"/>
      <c r="S57" s="9"/>
      <c r="T57" s="9"/>
      <c r="U57" s="9"/>
      <c r="X57" s="15" t="str">
        <f>IF(B57="",VLOOKUP(A57,items_lookup!A:B,2,FALSE),B57)</f>
        <v>03. Item 03</v>
      </c>
      <c r="Y57" s="15">
        <f t="shared" si="5"/>
        <v>10</v>
      </c>
      <c r="Z57" s="15">
        <f t="shared" si="5"/>
        <v>10</v>
      </c>
      <c r="AA57" s="15">
        <f t="shared" si="6"/>
        <v>2020</v>
      </c>
      <c r="AB57" s="15">
        <f t="shared" si="7"/>
        <v>2020</v>
      </c>
      <c r="AC57" s="15">
        <f t="shared" si="8"/>
        <v>2020</v>
      </c>
      <c r="AD57" s="18" t="b">
        <f t="shared" si="4"/>
        <v>1</v>
      </c>
    </row>
    <row r="58" spans="1:30" ht="15" hidden="1" customHeight="1" x14ac:dyDescent="0.2">
      <c r="A58" s="7" t="s">
        <v>672</v>
      </c>
      <c r="B58" s="7" t="s">
        <v>709</v>
      </c>
      <c r="C58" s="2" t="s">
        <v>642</v>
      </c>
      <c r="D58" s="6"/>
      <c r="E58" s="32" t="s">
        <v>652</v>
      </c>
      <c r="F58" s="7"/>
      <c r="G58" s="7"/>
      <c r="H58" s="7"/>
      <c r="I58" s="7"/>
      <c r="J58" s="7"/>
      <c r="K58" s="7"/>
      <c r="L58" s="7" t="s">
        <v>662</v>
      </c>
      <c r="M58" s="8">
        <v>44105</v>
      </c>
      <c r="N58" s="8">
        <v>44105</v>
      </c>
      <c r="O58" s="13">
        <v>3072023.81</v>
      </c>
      <c r="P58" s="13"/>
      <c r="Q58" s="33"/>
      <c r="R58" s="22"/>
      <c r="S58" s="22"/>
      <c r="T58" s="22"/>
      <c r="U58" s="22"/>
      <c r="X58" s="15" t="str">
        <f>IF(B58="",VLOOKUP(A58,items_lookup!A:B,2,FALSE),B58)</f>
        <v>04. Item 04</v>
      </c>
      <c r="Y58" s="15">
        <f t="shared" si="5"/>
        <v>10</v>
      </c>
      <c r="Z58" s="15">
        <f t="shared" si="5"/>
        <v>10</v>
      </c>
      <c r="AA58" s="15">
        <f t="shared" si="6"/>
        <v>2020</v>
      </c>
      <c r="AB58" s="15">
        <f t="shared" si="7"/>
        <v>2020</v>
      </c>
      <c r="AC58" s="15">
        <f t="shared" si="8"/>
        <v>2020</v>
      </c>
      <c r="AD58" s="18" t="b">
        <f t="shared" si="4"/>
        <v>1</v>
      </c>
    </row>
    <row r="59" spans="1:30" ht="15" hidden="1" customHeight="1" x14ac:dyDescent="0.2">
      <c r="A59" s="7" t="s">
        <v>668</v>
      </c>
      <c r="B59" s="7"/>
      <c r="C59" s="2" t="s">
        <v>642</v>
      </c>
      <c r="D59" s="6"/>
      <c r="E59" s="32" t="s">
        <v>652</v>
      </c>
      <c r="F59" s="7"/>
      <c r="G59" s="7"/>
      <c r="H59" s="7"/>
      <c r="I59" s="7"/>
      <c r="J59" s="7"/>
      <c r="K59" s="7"/>
      <c r="L59" s="7" t="s">
        <v>662</v>
      </c>
      <c r="M59" s="8">
        <v>44105</v>
      </c>
      <c r="N59" s="8">
        <v>44105</v>
      </c>
      <c r="O59" s="13">
        <v>237523.81</v>
      </c>
      <c r="P59" s="13"/>
      <c r="Q59" s="33"/>
      <c r="R59" s="9"/>
      <c r="S59" s="9"/>
      <c r="T59" s="9"/>
      <c r="U59" s="9"/>
      <c r="X59" s="15" t="str">
        <f>IF(B59="",VLOOKUP(A59,items_lookup!A:B,2,FALSE),B59)</f>
        <v>01. Item 01</v>
      </c>
      <c r="Y59" s="15">
        <f t="shared" si="5"/>
        <v>10</v>
      </c>
      <c r="Z59" s="15">
        <f t="shared" si="5"/>
        <v>10</v>
      </c>
      <c r="AA59" s="15">
        <f t="shared" si="6"/>
        <v>2020</v>
      </c>
      <c r="AB59" s="15">
        <f t="shared" si="7"/>
        <v>2020</v>
      </c>
      <c r="AC59" s="15">
        <f t="shared" si="8"/>
        <v>2020</v>
      </c>
      <c r="AD59" s="18" t="b">
        <f t="shared" si="4"/>
        <v>1</v>
      </c>
    </row>
    <row r="60" spans="1:30" ht="15" hidden="1" customHeight="1" x14ac:dyDescent="0.2">
      <c r="A60" s="7" t="s">
        <v>669</v>
      </c>
      <c r="B60" s="7"/>
      <c r="C60" s="2" t="s">
        <v>642</v>
      </c>
      <c r="D60" s="6"/>
      <c r="E60" s="32" t="s">
        <v>652</v>
      </c>
      <c r="F60" s="7"/>
      <c r="G60" s="7"/>
      <c r="H60" s="7"/>
      <c r="I60" s="7"/>
      <c r="J60" s="7"/>
      <c r="K60" s="7"/>
      <c r="L60" s="7" t="s">
        <v>662</v>
      </c>
      <c r="M60" s="8">
        <v>44105</v>
      </c>
      <c r="N60" s="8">
        <v>44105</v>
      </c>
      <c r="O60" s="13">
        <v>40023.81</v>
      </c>
      <c r="P60" s="13"/>
      <c r="Q60" s="33"/>
      <c r="R60" s="9"/>
      <c r="S60" s="9"/>
      <c r="T60" s="9"/>
      <c r="U60" s="9"/>
      <c r="X60" s="15" t="str">
        <f>IF(B60="",VLOOKUP(A60,items_lookup!A:B,2,FALSE),B60)</f>
        <v>02. Item 02</v>
      </c>
      <c r="Y60" s="15">
        <f t="shared" si="5"/>
        <v>10</v>
      </c>
      <c r="Z60" s="15">
        <f t="shared" si="5"/>
        <v>10</v>
      </c>
      <c r="AA60" s="15">
        <f t="shared" si="6"/>
        <v>2020</v>
      </c>
      <c r="AB60" s="15">
        <f t="shared" si="7"/>
        <v>2020</v>
      </c>
      <c r="AC60" s="15">
        <f t="shared" si="8"/>
        <v>2020</v>
      </c>
      <c r="AD60" s="18" t="b">
        <f t="shared" si="4"/>
        <v>1</v>
      </c>
    </row>
    <row r="61" spans="1:30" ht="15" hidden="1" customHeight="1" x14ac:dyDescent="0.2">
      <c r="A61" s="7" t="s">
        <v>670</v>
      </c>
      <c r="B61" s="7" t="s">
        <v>711</v>
      </c>
      <c r="C61" s="2" t="s">
        <v>642</v>
      </c>
      <c r="D61" s="6"/>
      <c r="E61" s="32" t="s">
        <v>652</v>
      </c>
      <c r="F61" s="7"/>
      <c r="G61" s="7"/>
      <c r="H61" s="7"/>
      <c r="I61" s="7"/>
      <c r="J61" s="7"/>
      <c r="K61" s="7"/>
      <c r="L61" s="7" t="s">
        <v>662</v>
      </c>
      <c r="M61" s="8">
        <v>44105</v>
      </c>
      <c r="N61" s="8">
        <v>44105</v>
      </c>
      <c r="O61" s="13">
        <v>325595.24</v>
      </c>
      <c r="P61" s="13"/>
      <c r="Q61" s="33"/>
      <c r="R61" s="9"/>
      <c r="S61" s="9"/>
      <c r="T61" s="9"/>
      <c r="U61" s="9"/>
      <c r="X61" s="15" t="str">
        <f>IF(B61="",VLOOKUP(A61,items_lookup!A:B,2,FALSE),B61)</f>
        <v>12. Item 12</v>
      </c>
      <c r="Y61" s="15">
        <f t="shared" si="5"/>
        <v>10</v>
      </c>
      <c r="Z61" s="15">
        <f t="shared" si="5"/>
        <v>10</v>
      </c>
      <c r="AA61" s="15">
        <f t="shared" si="6"/>
        <v>2020</v>
      </c>
      <c r="AB61" s="15">
        <f t="shared" si="7"/>
        <v>2020</v>
      </c>
      <c r="AC61" s="15">
        <f t="shared" si="8"/>
        <v>2020</v>
      </c>
      <c r="AD61" s="18" t="b">
        <f t="shared" si="4"/>
        <v>1</v>
      </c>
    </row>
    <row r="62" spans="1:30" ht="15" customHeight="1" x14ac:dyDescent="0.2">
      <c r="A62" s="7" t="s">
        <v>671</v>
      </c>
      <c r="B62" s="7"/>
      <c r="C62" s="2" t="s">
        <v>641</v>
      </c>
      <c r="D62" s="6" t="s">
        <v>649</v>
      </c>
      <c r="E62" s="32" t="s">
        <v>652</v>
      </c>
      <c r="F62" s="7"/>
      <c r="G62" s="7"/>
      <c r="H62" s="7"/>
      <c r="I62" s="7"/>
      <c r="J62" s="7"/>
      <c r="K62" s="7"/>
      <c r="L62" s="7" t="s">
        <v>662</v>
      </c>
      <c r="M62" s="8">
        <v>44104</v>
      </c>
      <c r="N62" s="8">
        <v>44104</v>
      </c>
      <c r="O62" s="13">
        <v>48895000</v>
      </c>
      <c r="P62" s="13"/>
      <c r="Q62" s="33"/>
      <c r="R62" s="22"/>
      <c r="S62" s="22"/>
      <c r="T62" s="22"/>
      <c r="U62" s="22"/>
      <c r="X62" s="15" t="str">
        <f>IF(B62="",VLOOKUP(A62,items_lookup!A:B,2,FALSE),B62)</f>
        <v>05. Item 05</v>
      </c>
      <c r="Y62" s="15">
        <f t="shared" si="5"/>
        <v>9</v>
      </c>
      <c r="Z62" s="15">
        <f t="shared" si="5"/>
        <v>9</v>
      </c>
      <c r="AA62" s="15">
        <f t="shared" si="6"/>
        <v>2020</v>
      </c>
      <c r="AB62" s="15">
        <f t="shared" si="7"/>
        <v>2020</v>
      </c>
      <c r="AC62" s="15">
        <f t="shared" si="8"/>
        <v>2020</v>
      </c>
      <c r="AD62" s="18" t="b">
        <f t="shared" si="4"/>
        <v>1</v>
      </c>
    </row>
    <row r="63" spans="1:30" ht="15" customHeight="1" x14ac:dyDescent="0.2">
      <c r="A63" s="7" t="s">
        <v>674</v>
      </c>
      <c r="B63" s="20"/>
      <c r="C63" s="2" t="s">
        <v>641</v>
      </c>
      <c r="D63" s="6" t="s">
        <v>649</v>
      </c>
      <c r="E63" s="32" t="s">
        <v>652</v>
      </c>
      <c r="F63" s="7"/>
      <c r="G63" s="7"/>
      <c r="H63" s="7"/>
      <c r="I63" s="7"/>
      <c r="J63" s="7"/>
      <c r="K63" s="7"/>
      <c r="L63" s="7" t="s">
        <v>662</v>
      </c>
      <c r="M63" s="8">
        <v>44075</v>
      </c>
      <c r="N63" s="8">
        <v>44075</v>
      </c>
      <c r="O63" s="13">
        <v>330476.19</v>
      </c>
      <c r="P63" s="13"/>
      <c r="Q63" s="33"/>
      <c r="R63" s="9"/>
      <c r="S63" s="9"/>
      <c r="T63" s="9"/>
      <c r="U63" s="9"/>
      <c r="X63" s="15" t="str">
        <f>IF(B63="",VLOOKUP(A63,items_lookup!A:B,2,FALSE),B63)</f>
        <v>08. Item 08</v>
      </c>
      <c r="Y63" s="15">
        <f t="shared" si="5"/>
        <v>9</v>
      </c>
      <c r="Z63" s="15">
        <f t="shared" si="5"/>
        <v>9</v>
      </c>
      <c r="AA63" s="15">
        <f t="shared" si="6"/>
        <v>2020</v>
      </c>
      <c r="AB63" s="15">
        <f t="shared" si="7"/>
        <v>2020</v>
      </c>
      <c r="AC63" s="15">
        <f t="shared" si="8"/>
        <v>2020</v>
      </c>
      <c r="AD63" s="18" t="b">
        <f t="shared" si="4"/>
        <v>1</v>
      </c>
    </row>
    <row r="64" spans="1:30" ht="15" customHeight="1" x14ac:dyDescent="0.2">
      <c r="A64" s="7" t="s">
        <v>677</v>
      </c>
      <c r="B64" s="20"/>
      <c r="C64" s="2" t="s">
        <v>641</v>
      </c>
      <c r="D64" s="6" t="s">
        <v>649</v>
      </c>
      <c r="E64" s="32" t="s">
        <v>652</v>
      </c>
      <c r="F64" s="7"/>
      <c r="G64" s="7"/>
      <c r="H64" s="7"/>
      <c r="I64" s="7"/>
      <c r="J64" s="7"/>
      <c r="K64" s="7"/>
      <c r="L64" s="7" t="s">
        <v>662</v>
      </c>
      <c r="M64" s="8">
        <v>44075</v>
      </c>
      <c r="N64" s="8">
        <v>44075</v>
      </c>
      <c r="O64" s="13">
        <v>1008095.24</v>
      </c>
      <c r="P64" s="13"/>
      <c r="Q64" s="33"/>
      <c r="R64" s="9"/>
      <c r="S64" s="9"/>
      <c r="T64" s="9"/>
      <c r="U64" s="9"/>
      <c r="X64" s="15" t="str">
        <f>IF(B64="",VLOOKUP(A64,items_lookup!A:B,2,FALSE),B64)</f>
        <v>11. Item 11</v>
      </c>
      <c r="Y64" s="15">
        <f t="shared" si="5"/>
        <v>9</v>
      </c>
      <c r="Z64" s="15">
        <f t="shared" si="5"/>
        <v>9</v>
      </c>
      <c r="AA64" s="15">
        <f t="shared" si="6"/>
        <v>2020</v>
      </c>
      <c r="AB64" s="15">
        <f t="shared" si="7"/>
        <v>2020</v>
      </c>
      <c r="AC64" s="15">
        <f t="shared" si="8"/>
        <v>2020</v>
      </c>
      <c r="AD64" s="18" t="b">
        <f t="shared" si="4"/>
        <v>1</v>
      </c>
    </row>
    <row r="65" spans="1:30" ht="15" customHeight="1" x14ac:dyDescent="0.2">
      <c r="A65" s="7" t="s">
        <v>676</v>
      </c>
      <c r="B65" s="20"/>
      <c r="C65" s="2" t="s">
        <v>641</v>
      </c>
      <c r="D65" s="6" t="s">
        <v>649</v>
      </c>
      <c r="E65" s="32" t="s">
        <v>652</v>
      </c>
      <c r="F65" s="7"/>
      <c r="G65" s="7"/>
      <c r="H65" s="7"/>
      <c r="I65" s="7"/>
      <c r="J65" s="7"/>
      <c r="K65" s="7"/>
      <c r="L65" s="7" t="s">
        <v>662</v>
      </c>
      <c r="M65" s="8">
        <v>44075</v>
      </c>
      <c r="N65" s="8">
        <v>44075</v>
      </c>
      <c r="O65" s="13">
        <v>105000</v>
      </c>
      <c r="P65" s="13"/>
      <c r="Q65" s="33"/>
      <c r="R65" s="22"/>
      <c r="S65" s="22"/>
      <c r="T65" s="22"/>
      <c r="U65" s="22"/>
      <c r="X65" s="15" t="str">
        <f>IF(B65="",VLOOKUP(A65,items_lookup!A:B,2,FALSE),B65)</f>
        <v>09. Item 09</v>
      </c>
      <c r="Y65" s="15">
        <f t="shared" si="5"/>
        <v>9</v>
      </c>
      <c r="Z65" s="15">
        <f t="shared" si="5"/>
        <v>9</v>
      </c>
      <c r="AA65" s="15">
        <f t="shared" si="6"/>
        <v>2020</v>
      </c>
      <c r="AB65" s="15">
        <f t="shared" si="7"/>
        <v>2020</v>
      </c>
      <c r="AC65" s="15">
        <f t="shared" si="8"/>
        <v>2020</v>
      </c>
      <c r="AD65" s="18" t="b">
        <f t="shared" si="4"/>
        <v>1</v>
      </c>
    </row>
    <row r="66" spans="1:30" ht="15" customHeight="1" x14ac:dyDescent="0.2">
      <c r="A66" s="7" t="s">
        <v>675</v>
      </c>
      <c r="B66" s="7" t="s">
        <v>712</v>
      </c>
      <c r="C66" s="2" t="s">
        <v>641</v>
      </c>
      <c r="D66" s="6" t="s">
        <v>649</v>
      </c>
      <c r="E66" s="32" t="s">
        <v>652</v>
      </c>
      <c r="F66" s="7"/>
      <c r="G66" s="7"/>
      <c r="H66" s="7"/>
      <c r="I66" s="7"/>
      <c r="J66" s="7"/>
      <c r="K66" s="7"/>
      <c r="L66" s="7" t="s">
        <v>662</v>
      </c>
      <c r="M66" s="8">
        <v>44075</v>
      </c>
      <c r="N66" s="8">
        <v>44075</v>
      </c>
      <c r="O66" s="13">
        <v>55714.29</v>
      </c>
      <c r="P66" s="13"/>
      <c r="Q66" s="33"/>
      <c r="R66" s="22"/>
      <c r="S66" s="22"/>
      <c r="T66" s="22"/>
      <c r="U66" s="22"/>
      <c r="X66" s="15" t="str">
        <f>IF(B66="",VLOOKUP(A66,items_lookup!A:B,2,FALSE),B66)</f>
        <v>10. Item 10</v>
      </c>
      <c r="Y66" s="15">
        <f t="shared" si="5"/>
        <v>9</v>
      </c>
      <c r="Z66" s="15">
        <f t="shared" si="5"/>
        <v>9</v>
      </c>
      <c r="AA66" s="15">
        <f t="shared" si="6"/>
        <v>2020</v>
      </c>
      <c r="AB66" s="15">
        <f t="shared" si="7"/>
        <v>2020</v>
      </c>
      <c r="AC66" s="15">
        <f t="shared" si="8"/>
        <v>2020</v>
      </c>
      <c r="AD66" s="18" t="b">
        <f t="shared" si="4"/>
        <v>1</v>
      </c>
    </row>
    <row r="67" spans="1:30" ht="15" customHeight="1" x14ac:dyDescent="0.2">
      <c r="A67" s="7"/>
      <c r="B67" s="7" t="s">
        <v>711</v>
      </c>
      <c r="C67" s="2" t="s">
        <v>641</v>
      </c>
      <c r="D67" s="6" t="s">
        <v>649</v>
      </c>
      <c r="E67" s="32" t="s">
        <v>652</v>
      </c>
      <c r="F67" s="7"/>
      <c r="G67" s="7"/>
      <c r="H67" s="7"/>
      <c r="I67" s="7"/>
      <c r="J67" s="7"/>
      <c r="K67" s="7"/>
      <c r="L67" s="7" t="s">
        <v>662</v>
      </c>
      <c r="M67" s="8">
        <v>44075</v>
      </c>
      <c r="N67" s="8">
        <v>44075</v>
      </c>
      <c r="O67" s="13">
        <v>303571.43</v>
      </c>
      <c r="P67" s="13"/>
      <c r="Q67" s="33"/>
      <c r="R67" s="22"/>
      <c r="S67" s="22"/>
      <c r="T67" s="22"/>
      <c r="U67" s="22"/>
      <c r="X67" s="15" t="str">
        <f>IF(B67="",VLOOKUP(A67,items_lookup!A:B,2,FALSE),B67)</f>
        <v>12. Item 12</v>
      </c>
      <c r="Y67" s="15">
        <f t="shared" ref="Y67:Z115" si="9">MONTH(M67)</f>
        <v>9</v>
      </c>
      <c r="Z67" s="15">
        <f t="shared" si="9"/>
        <v>9</v>
      </c>
      <c r="AA67" s="15">
        <f t="shared" si="6"/>
        <v>2020</v>
      </c>
      <c r="AB67" s="15">
        <f t="shared" si="7"/>
        <v>2020</v>
      </c>
      <c r="AC67" s="15">
        <f t="shared" si="8"/>
        <v>2020</v>
      </c>
      <c r="AD67" s="18" t="b">
        <f t="shared" ref="AD67:AD130" si="10">AND(ROUND(O67,2)=O67,ROUND(P67,2)=P67,OR(AND(O67&lt;&gt;0,L67="p"),AND(P67&lt;&gt;0,L67="f")),_xlfn.ISFORMULA(X67),_xlfn.ISFORMULA(Y67),_xlfn.ISFORMULA(Z67),_xlfn.ISFORMULA(AA67),_xlfn.ISFORMULA(AB67),_xlfn.ISFORMULA(AC67),NOT(_xlfn.ISFORMULA(O67)),NOT(_xlfn.ISFORMULA(P67)),M67&lt;&gt;0,N67&lt;&gt;0)</f>
        <v>1</v>
      </c>
    </row>
    <row r="68" spans="1:30" ht="15" hidden="1" customHeight="1" x14ac:dyDescent="0.2">
      <c r="A68" s="7" t="s">
        <v>683</v>
      </c>
      <c r="B68" s="7" t="s">
        <v>710</v>
      </c>
      <c r="C68" s="2" t="s">
        <v>641</v>
      </c>
      <c r="D68" s="6" t="s">
        <v>649</v>
      </c>
      <c r="E68" s="32" t="s">
        <v>651</v>
      </c>
      <c r="F68" s="7"/>
      <c r="G68" s="7"/>
      <c r="H68" s="7"/>
      <c r="I68" s="7"/>
      <c r="J68" s="7"/>
      <c r="K68" s="7"/>
      <c r="L68" s="7" t="s">
        <v>662</v>
      </c>
      <c r="M68" s="8">
        <v>44075</v>
      </c>
      <c r="N68" s="8">
        <v>44075</v>
      </c>
      <c r="O68" s="13">
        <v>1119047.6200000001</v>
      </c>
      <c r="P68" s="13"/>
      <c r="Q68" s="33"/>
      <c r="R68" s="22"/>
      <c r="S68" s="22"/>
      <c r="T68" s="22"/>
      <c r="U68" s="22"/>
      <c r="X68" s="15" t="str">
        <f>IF(B68="",VLOOKUP(A68,items_lookup!A:B,2,FALSE),B68)</f>
        <v>13. Item 13</v>
      </c>
      <c r="Y68" s="15">
        <f t="shared" si="9"/>
        <v>9</v>
      </c>
      <c r="Z68" s="15">
        <f t="shared" si="9"/>
        <v>9</v>
      </c>
      <c r="AA68" s="15">
        <f t="shared" si="6"/>
        <v>2020</v>
      </c>
      <c r="AB68" s="15">
        <f t="shared" si="7"/>
        <v>2020</v>
      </c>
      <c r="AC68" s="15">
        <f t="shared" si="8"/>
        <v>2020</v>
      </c>
      <c r="AD68" s="18" t="b">
        <f t="shared" si="10"/>
        <v>1</v>
      </c>
    </row>
    <row r="69" spans="1:30" ht="15" customHeight="1" x14ac:dyDescent="0.2">
      <c r="A69" s="7" t="s">
        <v>676</v>
      </c>
      <c r="B69" s="20"/>
      <c r="C69" s="2" t="s">
        <v>641</v>
      </c>
      <c r="D69" s="6" t="s">
        <v>649</v>
      </c>
      <c r="E69" s="32" t="s">
        <v>652</v>
      </c>
      <c r="F69" s="7"/>
      <c r="G69" s="7"/>
      <c r="H69" s="7"/>
      <c r="I69" s="7"/>
      <c r="J69" s="7"/>
      <c r="K69" s="7"/>
      <c r="L69" s="7" t="s">
        <v>662</v>
      </c>
      <c r="M69" s="8">
        <v>44075</v>
      </c>
      <c r="N69" s="8">
        <v>44075</v>
      </c>
      <c r="O69" s="13">
        <v>6783809.5199999996</v>
      </c>
      <c r="P69" s="13"/>
      <c r="Q69" s="33"/>
      <c r="R69" s="9"/>
      <c r="S69" s="9"/>
      <c r="T69" s="9"/>
      <c r="U69" s="9"/>
      <c r="X69" s="15" t="str">
        <f>IF(B69="",VLOOKUP(A69,items_lookup!A:B,2,FALSE),B69)</f>
        <v>09. Item 09</v>
      </c>
      <c r="Y69" s="15">
        <f t="shared" si="9"/>
        <v>9</v>
      </c>
      <c r="Z69" s="15">
        <f t="shared" si="9"/>
        <v>9</v>
      </c>
      <c r="AA69" s="15">
        <f t="shared" si="6"/>
        <v>2020</v>
      </c>
      <c r="AB69" s="15">
        <f t="shared" si="7"/>
        <v>2020</v>
      </c>
      <c r="AC69" s="15">
        <f t="shared" si="8"/>
        <v>2020</v>
      </c>
      <c r="AD69" s="18" t="b">
        <f t="shared" si="10"/>
        <v>1</v>
      </c>
    </row>
    <row r="70" spans="1:30" ht="15" customHeight="1" x14ac:dyDescent="0.2">
      <c r="A70" s="7" t="s">
        <v>675</v>
      </c>
      <c r="B70" s="7" t="s">
        <v>708</v>
      </c>
      <c r="C70" s="2" t="s">
        <v>641</v>
      </c>
      <c r="D70" s="6" t="s">
        <v>649</v>
      </c>
      <c r="E70" s="32" t="s">
        <v>652</v>
      </c>
      <c r="F70" s="7"/>
      <c r="G70" s="7"/>
      <c r="H70" s="7"/>
      <c r="I70" s="7"/>
      <c r="J70" s="7"/>
      <c r="K70" s="7"/>
      <c r="L70" s="7" t="s">
        <v>662</v>
      </c>
      <c r="M70" s="8">
        <v>44075</v>
      </c>
      <c r="N70" s="8">
        <v>44075</v>
      </c>
      <c r="O70" s="13">
        <v>1810714.29</v>
      </c>
      <c r="P70" s="13"/>
      <c r="Q70" s="33"/>
      <c r="R70" s="9"/>
      <c r="S70" s="9"/>
      <c r="T70" s="9"/>
      <c r="U70" s="9"/>
      <c r="X70" s="15" t="str">
        <f>IF(B70="",VLOOKUP(A70,items_lookup!A:B,2,FALSE),B70)</f>
        <v>03. Item 03</v>
      </c>
      <c r="Y70" s="15">
        <f t="shared" si="9"/>
        <v>9</v>
      </c>
      <c r="Z70" s="15">
        <f t="shared" si="9"/>
        <v>9</v>
      </c>
      <c r="AA70" s="15">
        <f t="shared" si="6"/>
        <v>2020</v>
      </c>
      <c r="AB70" s="15">
        <f t="shared" si="7"/>
        <v>2020</v>
      </c>
      <c r="AC70" s="15">
        <f t="shared" si="8"/>
        <v>2020</v>
      </c>
      <c r="AD70" s="18" t="b">
        <f t="shared" si="10"/>
        <v>1</v>
      </c>
    </row>
    <row r="71" spans="1:30" ht="15" customHeight="1" x14ac:dyDescent="0.2">
      <c r="A71" s="7" t="s">
        <v>677</v>
      </c>
      <c r="B71" s="7"/>
      <c r="C71" s="2" t="s">
        <v>641</v>
      </c>
      <c r="D71" s="6" t="s">
        <v>649</v>
      </c>
      <c r="E71" s="32" t="s">
        <v>652</v>
      </c>
      <c r="F71" s="7"/>
      <c r="G71" s="7"/>
      <c r="H71" s="7"/>
      <c r="I71" s="7"/>
      <c r="J71" s="7"/>
      <c r="K71" s="7"/>
      <c r="L71" s="7" t="s">
        <v>662</v>
      </c>
      <c r="M71" s="8">
        <v>44075</v>
      </c>
      <c r="N71" s="8">
        <v>44075</v>
      </c>
      <c r="O71" s="13">
        <v>5670714.29</v>
      </c>
      <c r="P71" s="13"/>
      <c r="Q71" s="33"/>
      <c r="R71" s="9"/>
      <c r="S71" s="9"/>
      <c r="T71" s="9"/>
      <c r="U71" s="9"/>
      <c r="X71" s="15" t="str">
        <f>IF(B71="",VLOOKUP(A71,items_lookup!A:B,2,FALSE),B71)</f>
        <v>11. Item 11</v>
      </c>
      <c r="Y71" s="15">
        <f t="shared" si="9"/>
        <v>9</v>
      </c>
      <c r="Z71" s="15">
        <f t="shared" si="9"/>
        <v>9</v>
      </c>
      <c r="AA71" s="15">
        <f t="shared" si="6"/>
        <v>2020</v>
      </c>
      <c r="AB71" s="15">
        <f t="shared" si="7"/>
        <v>2020</v>
      </c>
      <c r="AC71" s="15">
        <f t="shared" si="8"/>
        <v>2020</v>
      </c>
      <c r="AD71" s="18" t="b">
        <f t="shared" si="10"/>
        <v>1</v>
      </c>
    </row>
    <row r="72" spans="1:30" ht="15" customHeight="1" x14ac:dyDescent="0.2">
      <c r="A72" s="7" t="s">
        <v>668</v>
      </c>
      <c r="B72" s="20"/>
      <c r="C72" s="2" t="s">
        <v>641</v>
      </c>
      <c r="D72" s="6" t="s">
        <v>649</v>
      </c>
      <c r="E72" s="32" t="s">
        <v>652</v>
      </c>
      <c r="F72" s="7"/>
      <c r="G72" s="7"/>
      <c r="H72" s="7"/>
      <c r="I72" s="7"/>
      <c r="J72" s="7"/>
      <c r="K72" s="7"/>
      <c r="L72" s="7" t="s">
        <v>662</v>
      </c>
      <c r="M72" s="8">
        <v>44075</v>
      </c>
      <c r="N72" s="8">
        <v>44075</v>
      </c>
      <c r="O72" s="13">
        <v>1666666.67</v>
      </c>
      <c r="P72" s="13"/>
      <c r="Q72" s="33"/>
      <c r="R72" s="22"/>
      <c r="S72" s="22"/>
      <c r="T72" s="22"/>
      <c r="U72" s="22"/>
      <c r="X72" s="15" t="str">
        <f>IF(B72="",VLOOKUP(A72,items_lookup!A:B,2,FALSE),B72)</f>
        <v>01. Item 01</v>
      </c>
      <c r="Y72" s="15">
        <f t="shared" si="9"/>
        <v>9</v>
      </c>
      <c r="Z72" s="15">
        <f t="shared" si="9"/>
        <v>9</v>
      </c>
      <c r="AA72" s="15">
        <f t="shared" si="6"/>
        <v>2020</v>
      </c>
      <c r="AB72" s="15">
        <f t="shared" si="7"/>
        <v>2020</v>
      </c>
      <c r="AC72" s="15">
        <f t="shared" si="8"/>
        <v>2020</v>
      </c>
      <c r="AD72" s="18" t="b">
        <f t="shared" si="10"/>
        <v>1</v>
      </c>
    </row>
    <row r="73" spans="1:30" ht="15" customHeight="1" x14ac:dyDescent="0.2">
      <c r="A73" s="7" t="s">
        <v>671</v>
      </c>
      <c r="B73" s="7"/>
      <c r="C73" s="2" t="s">
        <v>641</v>
      </c>
      <c r="D73" s="6" t="s">
        <v>650</v>
      </c>
      <c r="E73" s="32" t="s">
        <v>652</v>
      </c>
      <c r="F73" s="7"/>
      <c r="G73" s="7"/>
      <c r="H73" s="7"/>
      <c r="I73" s="7"/>
      <c r="J73" s="7"/>
      <c r="K73" s="7"/>
      <c r="L73" s="7" t="s">
        <v>662</v>
      </c>
      <c r="M73" s="8">
        <v>44075</v>
      </c>
      <c r="N73" s="8">
        <v>44075</v>
      </c>
      <c r="O73" s="13">
        <v>42380.95</v>
      </c>
      <c r="P73" s="13"/>
      <c r="Q73" s="33"/>
      <c r="R73" s="22"/>
      <c r="S73" s="22"/>
      <c r="T73" s="22"/>
      <c r="U73" s="22"/>
      <c r="X73" s="15" t="str">
        <f>IF(B73="",VLOOKUP(A73,items_lookup!A:B,2,FALSE),B73)</f>
        <v>05. Item 05</v>
      </c>
      <c r="Y73" s="15">
        <f t="shared" si="9"/>
        <v>9</v>
      </c>
      <c r="Z73" s="15">
        <f t="shared" si="9"/>
        <v>9</v>
      </c>
      <c r="AA73" s="15">
        <f t="shared" si="6"/>
        <v>2020</v>
      </c>
      <c r="AB73" s="15">
        <f t="shared" si="7"/>
        <v>2020</v>
      </c>
      <c r="AC73" s="15">
        <f t="shared" si="8"/>
        <v>2020</v>
      </c>
      <c r="AD73" s="18" t="b">
        <f t="shared" si="10"/>
        <v>1</v>
      </c>
    </row>
    <row r="74" spans="1:30" ht="15" customHeight="1" x14ac:dyDescent="0.2">
      <c r="A74" s="7" t="s">
        <v>672</v>
      </c>
      <c r="B74" s="7"/>
      <c r="C74" s="2" t="s">
        <v>641</v>
      </c>
      <c r="D74" s="6" t="s">
        <v>650</v>
      </c>
      <c r="E74" s="32" t="s">
        <v>652</v>
      </c>
      <c r="F74" s="7"/>
      <c r="G74" s="7"/>
      <c r="H74" s="7"/>
      <c r="I74" s="7"/>
      <c r="J74" s="7"/>
      <c r="K74" s="7"/>
      <c r="L74" s="7" t="s">
        <v>662</v>
      </c>
      <c r="M74" s="8">
        <v>44075</v>
      </c>
      <c r="N74" s="8">
        <v>44075</v>
      </c>
      <c r="O74" s="13">
        <v>360000</v>
      </c>
      <c r="P74" s="13"/>
      <c r="Q74" s="33"/>
      <c r="R74" s="22"/>
      <c r="S74" s="22"/>
      <c r="T74" s="22"/>
      <c r="U74" s="22"/>
      <c r="X74" s="15" t="str">
        <f>IF(B74="",VLOOKUP(A74,items_lookup!A:B,2,FALSE),B74)</f>
        <v>05. Item 05</v>
      </c>
      <c r="Y74" s="15">
        <f t="shared" si="9"/>
        <v>9</v>
      </c>
      <c r="Z74" s="15">
        <f t="shared" si="9"/>
        <v>9</v>
      </c>
      <c r="AA74" s="15">
        <f t="shared" si="6"/>
        <v>2020</v>
      </c>
      <c r="AB74" s="15">
        <f t="shared" si="7"/>
        <v>2020</v>
      </c>
      <c r="AC74" s="15">
        <f t="shared" si="8"/>
        <v>2020</v>
      </c>
      <c r="AD74" s="18" t="b">
        <f t="shared" si="10"/>
        <v>1</v>
      </c>
    </row>
    <row r="75" spans="1:30" ht="15" hidden="1" customHeight="1" x14ac:dyDescent="0.2">
      <c r="A75" s="7" t="s">
        <v>669</v>
      </c>
      <c r="B75" s="20"/>
      <c r="C75" s="2" t="s">
        <v>642</v>
      </c>
      <c r="D75" s="6"/>
      <c r="E75" s="32" t="s">
        <v>652</v>
      </c>
      <c r="F75" s="7"/>
      <c r="G75" s="7"/>
      <c r="H75" s="7"/>
      <c r="I75" s="7"/>
      <c r="J75" s="7"/>
      <c r="K75" s="7"/>
      <c r="L75" s="7" t="s">
        <v>662</v>
      </c>
      <c r="M75" s="8">
        <v>44075</v>
      </c>
      <c r="N75" s="8">
        <v>44075</v>
      </c>
      <c r="O75" s="13">
        <v>7354285.71</v>
      </c>
      <c r="P75" s="13"/>
      <c r="Q75" s="33"/>
      <c r="R75" s="9"/>
      <c r="S75" s="9"/>
      <c r="T75" s="9"/>
      <c r="U75" s="9"/>
      <c r="X75" s="15" t="str">
        <f>IF(B75="",VLOOKUP(A75,items_lookup!A:B,2,FALSE),B75)</f>
        <v>02. Item 02</v>
      </c>
      <c r="Y75" s="15">
        <f t="shared" si="9"/>
        <v>9</v>
      </c>
      <c r="Z75" s="15">
        <f t="shared" si="9"/>
        <v>9</v>
      </c>
      <c r="AA75" s="15">
        <f t="shared" si="6"/>
        <v>2020</v>
      </c>
      <c r="AB75" s="15">
        <f t="shared" si="7"/>
        <v>2020</v>
      </c>
      <c r="AC75" s="15">
        <f t="shared" si="8"/>
        <v>2020</v>
      </c>
      <c r="AD75" s="18" t="b">
        <f t="shared" si="10"/>
        <v>1</v>
      </c>
    </row>
    <row r="76" spans="1:30" ht="15" hidden="1" customHeight="1" x14ac:dyDescent="0.2">
      <c r="A76" s="7" t="s">
        <v>684</v>
      </c>
      <c r="B76" s="20"/>
      <c r="C76" s="2" t="s">
        <v>642</v>
      </c>
      <c r="D76" s="6"/>
      <c r="E76" s="32" t="s">
        <v>652</v>
      </c>
      <c r="F76" s="7"/>
      <c r="G76" s="7"/>
      <c r="H76" s="7"/>
      <c r="I76" s="7"/>
      <c r="J76" s="7"/>
      <c r="K76" s="7"/>
      <c r="L76" s="7" t="s">
        <v>662</v>
      </c>
      <c r="M76" s="8">
        <v>44075</v>
      </c>
      <c r="N76" s="8">
        <v>44075</v>
      </c>
      <c r="O76" s="13">
        <v>48238.1</v>
      </c>
      <c r="P76" s="13"/>
      <c r="Q76" s="33"/>
      <c r="R76" s="9"/>
      <c r="S76" s="9"/>
      <c r="T76" s="9"/>
      <c r="U76" s="9"/>
      <c r="X76" s="15" t="str">
        <f>IF(B76="",VLOOKUP(A76,items_lookup!A:B,2,FALSE),B76)</f>
        <v>09. Item 09</v>
      </c>
      <c r="Y76" s="15">
        <f t="shared" si="9"/>
        <v>9</v>
      </c>
      <c r="Z76" s="15">
        <f t="shared" si="9"/>
        <v>9</v>
      </c>
      <c r="AA76" s="15">
        <f t="shared" si="6"/>
        <v>2020</v>
      </c>
      <c r="AB76" s="15">
        <f t="shared" si="7"/>
        <v>2020</v>
      </c>
      <c r="AC76" s="15">
        <f t="shared" si="8"/>
        <v>2020</v>
      </c>
      <c r="AD76" s="18" t="b">
        <f t="shared" si="10"/>
        <v>1</v>
      </c>
    </row>
    <row r="77" spans="1:30" ht="15" hidden="1" customHeight="1" x14ac:dyDescent="0.2">
      <c r="A77" s="7" t="s">
        <v>685</v>
      </c>
      <c r="B77" s="20"/>
      <c r="C77" s="2" t="s">
        <v>642</v>
      </c>
      <c r="D77" s="6"/>
      <c r="E77" s="32" t="s">
        <v>652</v>
      </c>
      <c r="F77" s="7"/>
      <c r="G77" s="7"/>
      <c r="H77" s="7"/>
      <c r="I77" s="7"/>
      <c r="J77" s="7"/>
      <c r="K77" s="7"/>
      <c r="L77" s="7" t="s">
        <v>662</v>
      </c>
      <c r="M77" s="8">
        <v>44075</v>
      </c>
      <c r="N77" s="8">
        <v>44075</v>
      </c>
      <c r="O77" s="13">
        <v>6622523.8099999996</v>
      </c>
      <c r="P77" s="13"/>
      <c r="Q77" s="33"/>
      <c r="R77" s="9"/>
      <c r="S77" s="9"/>
      <c r="T77" s="9"/>
      <c r="U77" s="9"/>
      <c r="X77" s="15" t="str">
        <f>IF(B77="",VLOOKUP(A77,items_lookup!A:B,2,FALSE),B77)</f>
        <v>15. Item 15</v>
      </c>
      <c r="Y77" s="15">
        <f t="shared" si="9"/>
        <v>9</v>
      </c>
      <c r="Z77" s="15">
        <f t="shared" si="9"/>
        <v>9</v>
      </c>
      <c r="AA77" s="15">
        <f t="shared" si="6"/>
        <v>2020</v>
      </c>
      <c r="AB77" s="15">
        <f t="shared" si="7"/>
        <v>2020</v>
      </c>
      <c r="AC77" s="15">
        <f t="shared" si="8"/>
        <v>2020</v>
      </c>
      <c r="AD77" s="18" t="b">
        <f t="shared" si="10"/>
        <v>1</v>
      </c>
    </row>
    <row r="78" spans="1:30" ht="12.6" hidden="1" customHeight="1" x14ac:dyDescent="0.2">
      <c r="A78" s="7" t="s">
        <v>671</v>
      </c>
      <c r="B78" s="20"/>
      <c r="C78" s="2" t="s">
        <v>642</v>
      </c>
      <c r="D78" s="6"/>
      <c r="E78" s="32" t="s">
        <v>652</v>
      </c>
      <c r="F78" s="7"/>
      <c r="G78" s="7"/>
      <c r="H78" s="7"/>
      <c r="I78" s="7"/>
      <c r="J78" s="7"/>
      <c r="K78" s="7"/>
      <c r="L78" s="7" t="s">
        <v>662</v>
      </c>
      <c r="M78" s="8">
        <v>44075</v>
      </c>
      <c r="N78" s="8">
        <v>44075</v>
      </c>
      <c r="O78" s="13">
        <v>1655238.1</v>
      </c>
      <c r="P78" s="13"/>
      <c r="Q78" s="33"/>
      <c r="R78" s="9"/>
      <c r="S78" s="9"/>
      <c r="T78" s="9"/>
      <c r="U78" s="9"/>
      <c r="X78" s="15" t="str">
        <f>IF(B78="",VLOOKUP(A78,items_lookup!A:B,2,FALSE),B78)</f>
        <v>05. Item 05</v>
      </c>
      <c r="Y78" s="15">
        <f t="shared" si="9"/>
        <v>9</v>
      </c>
      <c r="Z78" s="15">
        <f t="shared" si="9"/>
        <v>9</v>
      </c>
      <c r="AA78" s="15">
        <f t="shared" si="6"/>
        <v>2020</v>
      </c>
      <c r="AB78" s="15">
        <f t="shared" si="7"/>
        <v>2020</v>
      </c>
      <c r="AC78" s="15">
        <f t="shared" si="8"/>
        <v>2020</v>
      </c>
      <c r="AD78" s="18" t="b">
        <f t="shared" si="10"/>
        <v>1</v>
      </c>
    </row>
    <row r="79" spans="1:30" ht="12.6" hidden="1" customHeight="1" x14ac:dyDescent="0.2">
      <c r="A79" s="7" t="s">
        <v>683</v>
      </c>
      <c r="B79" s="7" t="s">
        <v>709</v>
      </c>
      <c r="C79" s="2" t="s">
        <v>642</v>
      </c>
      <c r="D79" s="6"/>
      <c r="E79" s="32" t="s">
        <v>651</v>
      </c>
      <c r="F79" s="7"/>
      <c r="G79" s="7"/>
      <c r="H79" s="7"/>
      <c r="I79" s="7"/>
      <c r="J79" s="7"/>
      <c r="K79" s="7"/>
      <c r="L79" s="7" t="s">
        <v>662</v>
      </c>
      <c r="M79" s="8">
        <v>44075</v>
      </c>
      <c r="N79" s="8">
        <v>44075</v>
      </c>
      <c r="O79" s="13">
        <v>9599880.9499999993</v>
      </c>
      <c r="P79" s="13"/>
      <c r="Q79" s="33"/>
      <c r="R79" s="22"/>
      <c r="S79" s="22"/>
      <c r="T79" s="22"/>
      <c r="U79" s="22"/>
      <c r="X79" s="15" t="str">
        <f>IF(B79="",VLOOKUP(A79,items_lookup!A:B,2,FALSE),B79)</f>
        <v>04. Item 04</v>
      </c>
      <c r="Y79" s="15">
        <f t="shared" si="9"/>
        <v>9</v>
      </c>
      <c r="Z79" s="15">
        <f t="shared" si="9"/>
        <v>9</v>
      </c>
      <c r="AA79" s="15">
        <f t="shared" si="6"/>
        <v>2020</v>
      </c>
      <c r="AB79" s="15">
        <f t="shared" si="7"/>
        <v>2020</v>
      </c>
      <c r="AC79" s="15">
        <f t="shared" si="8"/>
        <v>2020</v>
      </c>
      <c r="AD79" s="18" t="b">
        <f t="shared" si="10"/>
        <v>1</v>
      </c>
    </row>
    <row r="80" spans="1:30" ht="12.6" hidden="1" customHeight="1" x14ac:dyDescent="0.2">
      <c r="A80" s="7" t="s">
        <v>686</v>
      </c>
      <c r="B80" s="7"/>
      <c r="C80" s="2" t="s">
        <v>642</v>
      </c>
      <c r="D80" s="6"/>
      <c r="E80" s="32" t="s">
        <v>651</v>
      </c>
      <c r="F80" s="7"/>
      <c r="G80" s="7"/>
      <c r="H80" s="7"/>
      <c r="I80" s="7"/>
      <c r="J80" s="7"/>
      <c r="K80" s="7"/>
      <c r="L80" s="7" t="s">
        <v>662</v>
      </c>
      <c r="M80" s="8">
        <v>44075</v>
      </c>
      <c r="N80" s="8">
        <v>44075</v>
      </c>
      <c r="O80" s="13">
        <v>5652904.7599999998</v>
      </c>
      <c r="P80" s="13"/>
      <c r="Q80" s="33"/>
      <c r="R80" s="9"/>
      <c r="S80" s="9"/>
      <c r="T80" s="9"/>
      <c r="U80" s="9"/>
      <c r="X80" s="15" t="str">
        <f>IF(B80="",VLOOKUP(A80,items_lookup!A:B,2,FALSE),B80)</f>
        <v>_2. Item _2</v>
      </c>
      <c r="Y80" s="15">
        <f t="shared" si="9"/>
        <v>9</v>
      </c>
      <c r="Z80" s="15">
        <f t="shared" si="9"/>
        <v>9</v>
      </c>
      <c r="AA80" s="15">
        <f t="shared" si="6"/>
        <v>2020</v>
      </c>
      <c r="AB80" s="15">
        <f t="shared" si="7"/>
        <v>2020</v>
      </c>
      <c r="AC80" s="15">
        <f t="shared" si="8"/>
        <v>2020</v>
      </c>
      <c r="AD80" s="18" t="b">
        <f t="shared" si="10"/>
        <v>1</v>
      </c>
    </row>
    <row r="81" spans="1:30" ht="12.6" hidden="1" customHeight="1" x14ac:dyDescent="0.2">
      <c r="A81" s="7" t="s">
        <v>673</v>
      </c>
      <c r="B81" s="7"/>
      <c r="C81" s="2" t="s">
        <v>642</v>
      </c>
      <c r="D81" s="6"/>
      <c r="E81" s="32" t="s">
        <v>651</v>
      </c>
      <c r="F81" s="7"/>
      <c r="G81" s="7"/>
      <c r="H81" s="7"/>
      <c r="I81" s="7"/>
      <c r="J81" s="7"/>
      <c r="K81" s="7"/>
      <c r="L81" s="7" t="s">
        <v>662</v>
      </c>
      <c r="M81" s="8">
        <v>44075</v>
      </c>
      <c r="N81" s="8">
        <v>44075</v>
      </c>
      <c r="O81" s="13">
        <v>40023.81</v>
      </c>
      <c r="P81" s="13"/>
      <c r="Q81" s="33"/>
      <c r="R81" s="9"/>
      <c r="S81" s="9"/>
      <c r="T81" s="9"/>
      <c r="U81" s="9"/>
      <c r="X81" s="15" t="str">
        <f>IF(B81="",VLOOKUP(A81,items_lookup!A:B,2,FALSE),B81)</f>
        <v>07. Item 07</v>
      </c>
      <c r="Y81" s="15">
        <f t="shared" si="9"/>
        <v>9</v>
      </c>
      <c r="Z81" s="15">
        <f t="shared" si="9"/>
        <v>9</v>
      </c>
      <c r="AA81" s="15">
        <f t="shared" si="6"/>
        <v>2020</v>
      </c>
      <c r="AB81" s="15">
        <f t="shared" si="7"/>
        <v>2020</v>
      </c>
      <c r="AC81" s="15">
        <f t="shared" si="8"/>
        <v>2020</v>
      </c>
      <c r="AD81" s="18" t="b">
        <f t="shared" si="10"/>
        <v>1</v>
      </c>
    </row>
    <row r="82" spans="1:30" ht="12.6" hidden="1" customHeight="1" x14ac:dyDescent="0.2">
      <c r="A82" s="7" t="s">
        <v>672</v>
      </c>
      <c r="B82" s="7"/>
      <c r="C82" s="2" t="s">
        <v>642</v>
      </c>
      <c r="D82" s="6"/>
      <c r="E82" s="32" t="s">
        <v>651</v>
      </c>
      <c r="F82" s="7"/>
      <c r="G82" s="7"/>
      <c r="H82" s="7"/>
      <c r="I82" s="7"/>
      <c r="J82" s="7"/>
      <c r="K82" s="7"/>
      <c r="L82" s="7" t="s">
        <v>662</v>
      </c>
      <c r="M82" s="8">
        <v>44075</v>
      </c>
      <c r="N82" s="8">
        <v>44075</v>
      </c>
      <c r="O82" s="13">
        <v>118928.57</v>
      </c>
      <c r="P82" s="13"/>
      <c r="Q82" s="33"/>
      <c r="R82" s="9"/>
      <c r="S82" s="9"/>
      <c r="T82" s="9"/>
      <c r="U82" s="9"/>
      <c r="X82" s="15" t="str">
        <f>IF(B82="",VLOOKUP(A82,items_lookup!A:B,2,FALSE),B82)</f>
        <v>05. Item 05</v>
      </c>
      <c r="Y82" s="15">
        <f t="shared" si="9"/>
        <v>9</v>
      </c>
      <c r="Z82" s="15">
        <f t="shared" si="9"/>
        <v>9</v>
      </c>
      <c r="AA82" s="15">
        <f t="shared" si="6"/>
        <v>2020</v>
      </c>
      <c r="AB82" s="15">
        <f t="shared" si="7"/>
        <v>2020</v>
      </c>
      <c r="AC82" s="15">
        <f t="shared" si="8"/>
        <v>2020</v>
      </c>
      <c r="AD82" s="18" t="b">
        <f t="shared" si="10"/>
        <v>1</v>
      </c>
    </row>
    <row r="83" spans="1:30" ht="12.6" hidden="1" customHeight="1" x14ac:dyDescent="0.2">
      <c r="A83" s="7" t="s">
        <v>668</v>
      </c>
      <c r="B83" s="7" t="s">
        <v>711</v>
      </c>
      <c r="C83" s="2" t="s">
        <v>642</v>
      </c>
      <c r="D83" s="6"/>
      <c r="E83" s="32" t="s">
        <v>651</v>
      </c>
      <c r="F83" s="7"/>
      <c r="G83" s="7"/>
      <c r="H83" s="7"/>
      <c r="I83" s="7"/>
      <c r="J83" s="7"/>
      <c r="K83" s="7"/>
      <c r="L83" s="7" t="s">
        <v>662</v>
      </c>
      <c r="M83" s="8">
        <v>44075</v>
      </c>
      <c r="N83" s="8">
        <v>44075</v>
      </c>
      <c r="O83" s="13">
        <v>484261.9</v>
      </c>
      <c r="P83" s="13"/>
      <c r="Q83" s="33"/>
      <c r="R83" s="9"/>
      <c r="S83" s="9"/>
      <c r="T83" s="9"/>
      <c r="U83" s="9"/>
      <c r="X83" s="15" t="str">
        <f>IF(B83="",VLOOKUP(A83,items_lookup!A:B,2,FALSE),B83)</f>
        <v>12. Item 12</v>
      </c>
      <c r="Y83" s="15">
        <f t="shared" si="9"/>
        <v>9</v>
      </c>
      <c r="Z83" s="15">
        <f t="shared" si="9"/>
        <v>9</v>
      </c>
      <c r="AA83" s="15">
        <f t="shared" si="6"/>
        <v>2020</v>
      </c>
      <c r="AB83" s="15">
        <f t="shared" si="7"/>
        <v>2020</v>
      </c>
      <c r="AC83" s="15">
        <f t="shared" si="8"/>
        <v>2020</v>
      </c>
      <c r="AD83" s="18" t="b">
        <f t="shared" si="10"/>
        <v>1</v>
      </c>
    </row>
    <row r="84" spans="1:30" ht="12.6" hidden="1" customHeight="1" x14ac:dyDescent="0.2">
      <c r="A84" s="7" t="s">
        <v>669</v>
      </c>
      <c r="B84" s="20"/>
      <c r="C84" s="2" t="s">
        <v>641</v>
      </c>
      <c r="D84" s="6" t="s">
        <v>649</v>
      </c>
      <c r="E84" s="32" t="s">
        <v>651</v>
      </c>
      <c r="F84" s="7"/>
      <c r="G84" s="7"/>
      <c r="H84" s="7"/>
      <c r="I84" s="7"/>
      <c r="J84" s="7"/>
      <c r="K84" s="7"/>
      <c r="L84" s="7" t="s">
        <v>662</v>
      </c>
      <c r="M84" s="8">
        <v>44075</v>
      </c>
      <c r="N84" s="8">
        <v>44075</v>
      </c>
      <c r="O84" s="13">
        <v>456190.48</v>
      </c>
      <c r="P84" s="13"/>
      <c r="Q84" s="33"/>
      <c r="R84" s="22"/>
      <c r="S84" s="22"/>
      <c r="T84" s="22"/>
      <c r="U84" s="22"/>
      <c r="X84" s="15" t="str">
        <f>IF(B84="",VLOOKUP(A84,items_lookup!A:B,2,FALSE),B84)</f>
        <v>02. Item 02</v>
      </c>
      <c r="Y84" s="15">
        <f t="shared" si="9"/>
        <v>9</v>
      </c>
      <c r="Z84" s="15">
        <f t="shared" si="9"/>
        <v>9</v>
      </c>
      <c r="AA84" s="15">
        <f t="shared" si="6"/>
        <v>2020</v>
      </c>
      <c r="AB84" s="15">
        <f t="shared" si="7"/>
        <v>2020</v>
      </c>
      <c r="AC84" s="15">
        <f t="shared" si="8"/>
        <v>2020</v>
      </c>
      <c r="AD84" s="18" t="b">
        <f t="shared" si="10"/>
        <v>1</v>
      </c>
    </row>
    <row r="85" spans="1:30" ht="12.6" hidden="1" customHeight="1" x14ac:dyDescent="0.2">
      <c r="A85" s="7" t="s">
        <v>670</v>
      </c>
      <c r="B85" s="7"/>
      <c r="C85" s="2" t="s">
        <v>641</v>
      </c>
      <c r="D85" s="6" t="s">
        <v>649</v>
      </c>
      <c r="E85" s="32" t="s">
        <v>651</v>
      </c>
      <c r="F85" s="7"/>
      <c r="G85" s="7"/>
      <c r="H85" s="7"/>
      <c r="I85" s="7"/>
      <c r="J85" s="7"/>
      <c r="K85" s="7"/>
      <c r="L85" s="7" t="s">
        <v>662</v>
      </c>
      <c r="M85" s="8">
        <v>44074</v>
      </c>
      <c r="N85" s="8">
        <v>44074</v>
      </c>
      <c r="O85" s="13">
        <v>48345952.380000003</v>
      </c>
      <c r="P85" s="13"/>
      <c r="Q85" s="33"/>
      <c r="R85" s="22"/>
      <c r="S85" s="22"/>
      <c r="T85" s="22"/>
      <c r="U85" s="22"/>
      <c r="X85" s="15" t="str">
        <f>IF(B85="",VLOOKUP(A85,items_lookup!A:B,2,FALSE),B85)</f>
        <v>04. Item 04</v>
      </c>
      <c r="Y85" s="15">
        <f t="shared" si="9"/>
        <v>8</v>
      </c>
      <c r="Z85" s="15">
        <f t="shared" si="9"/>
        <v>8</v>
      </c>
      <c r="AA85" s="15">
        <f t="shared" si="6"/>
        <v>2020</v>
      </c>
      <c r="AB85" s="15">
        <f t="shared" si="7"/>
        <v>2020</v>
      </c>
      <c r="AC85" s="15">
        <f t="shared" si="8"/>
        <v>2020</v>
      </c>
      <c r="AD85" s="18" t="b">
        <f t="shared" si="10"/>
        <v>1</v>
      </c>
    </row>
    <row r="86" spans="1:30" ht="15" hidden="1" customHeight="1" x14ac:dyDescent="0.2">
      <c r="A86" s="7" t="s">
        <v>671</v>
      </c>
      <c r="B86" s="20"/>
      <c r="C86" s="2" t="s">
        <v>642</v>
      </c>
      <c r="D86" s="6"/>
      <c r="E86" s="32" t="s">
        <v>651</v>
      </c>
      <c r="F86" s="7"/>
      <c r="G86" s="7"/>
      <c r="H86" s="7"/>
      <c r="I86" s="7"/>
      <c r="J86" s="7"/>
      <c r="K86" s="7"/>
      <c r="L86" s="7" t="s">
        <v>663</v>
      </c>
      <c r="M86" s="8">
        <v>44057</v>
      </c>
      <c r="N86" s="8">
        <v>44068</v>
      </c>
      <c r="O86" s="13"/>
      <c r="P86" s="13">
        <v>70190.48</v>
      </c>
      <c r="Q86" s="33"/>
      <c r="R86" s="9"/>
      <c r="S86" s="9"/>
      <c r="T86" s="9"/>
      <c r="U86" s="9"/>
      <c r="X86" s="15" t="str">
        <f>IF(B86="",VLOOKUP(A86,items_lookup!A:B,2,FALSE),B86)</f>
        <v>05. Item 05</v>
      </c>
      <c r="Y86" s="15">
        <f t="shared" si="9"/>
        <v>8</v>
      </c>
      <c r="Z86" s="15">
        <f t="shared" si="9"/>
        <v>8</v>
      </c>
      <c r="AA86" s="15">
        <f t="shared" si="6"/>
        <v>2020</v>
      </c>
      <c r="AB86" s="15">
        <f t="shared" si="7"/>
        <v>2020</v>
      </c>
      <c r="AC86" s="15">
        <f t="shared" si="8"/>
        <v>2020</v>
      </c>
      <c r="AD86" s="18" t="b">
        <f t="shared" si="10"/>
        <v>1</v>
      </c>
    </row>
    <row r="87" spans="1:30" ht="15" hidden="1" customHeight="1" x14ac:dyDescent="0.2">
      <c r="A87" s="7" t="s">
        <v>677</v>
      </c>
      <c r="B87" s="7" t="s">
        <v>708</v>
      </c>
      <c r="C87" s="2" t="s">
        <v>641</v>
      </c>
      <c r="D87" s="6" t="s">
        <v>649</v>
      </c>
      <c r="E87" s="32" t="s">
        <v>651</v>
      </c>
      <c r="F87" s="7"/>
      <c r="G87" s="7"/>
      <c r="H87" s="7"/>
      <c r="I87" s="7"/>
      <c r="J87" s="7"/>
      <c r="K87" s="7"/>
      <c r="L87" s="7" t="s">
        <v>662</v>
      </c>
      <c r="M87" s="8">
        <v>44044</v>
      </c>
      <c r="N87" s="8">
        <v>44044</v>
      </c>
      <c r="O87" s="13">
        <v>1809523.81</v>
      </c>
      <c r="P87" s="13"/>
      <c r="Q87" s="33"/>
      <c r="R87" s="9"/>
      <c r="S87" s="9"/>
      <c r="T87" s="9"/>
      <c r="U87" s="9"/>
      <c r="X87" s="15" t="str">
        <f>IF(B87="",VLOOKUP(A87,items_lookup!A:B,2,FALSE),B87)</f>
        <v>03. Item 03</v>
      </c>
      <c r="Y87" s="15">
        <f t="shared" si="9"/>
        <v>8</v>
      </c>
      <c r="Z87" s="15">
        <f t="shared" si="9"/>
        <v>8</v>
      </c>
      <c r="AA87" s="15">
        <f t="shared" si="6"/>
        <v>2020</v>
      </c>
      <c r="AB87" s="15">
        <f t="shared" si="7"/>
        <v>2020</v>
      </c>
      <c r="AC87" s="15">
        <f t="shared" si="8"/>
        <v>2020</v>
      </c>
      <c r="AD87" s="18" t="b">
        <f t="shared" si="10"/>
        <v>1</v>
      </c>
    </row>
    <row r="88" spans="1:30" ht="15" hidden="1" customHeight="1" x14ac:dyDescent="0.2">
      <c r="A88" s="7" t="s">
        <v>676</v>
      </c>
      <c r="B88" s="20"/>
      <c r="C88" s="2" t="s">
        <v>641</v>
      </c>
      <c r="D88" s="6" t="s">
        <v>649</v>
      </c>
      <c r="E88" s="32" t="s">
        <v>651</v>
      </c>
      <c r="F88" s="7"/>
      <c r="G88" s="7"/>
      <c r="H88" s="7"/>
      <c r="I88" s="7"/>
      <c r="J88" s="7"/>
      <c r="K88" s="7"/>
      <c r="L88" s="7" t="s">
        <v>662</v>
      </c>
      <c r="M88" s="8">
        <v>44044</v>
      </c>
      <c r="N88" s="8">
        <v>44044</v>
      </c>
      <c r="O88" s="13">
        <v>64285.71</v>
      </c>
      <c r="P88" s="13"/>
      <c r="Q88" s="33"/>
      <c r="R88" s="9"/>
      <c r="S88" s="9"/>
      <c r="T88" s="9"/>
      <c r="U88" s="9"/>
      <c r="X88" s="15" t="str">
        <f>IF(B88="",VLOOKUP(A88,items_lookup!A:B,2,FALSE),B88)</f>
        <v>09. Item 09</v>
      </c>
      <c r="Y88" s="15">
        <f t="shared" si="9"/>
        <v>8</v>
      </c>
      <c r="Z88" s="15">
        <f t="shared" si="9"/>
        <v>8</v>
      </c>
      <c r="AA88" s="15">
        <f t="shared" si="6"/>
        <v>2020</v>
      </c>
      <c r="AB88" s="15">
        <f t="shared" si="7"/>
        <v>2020</v>
      </c>
      <c r="AC88" s="15">
        <f t="shared" si="8"/>
        <v>2020</v>
      </c>
      <c r="AD88" s="18" t="b">
        <f t="shared" si="10"/>
        <v>1</v>
      </c>
    </row>
    <row r="89" spans="1:30" ht="15" hidden="1" customHeight="1" x14ac:dyDescent="0.2">
      <c r="A89" s="7" t="s">
        <v>675</v>
      </c>
      <c r="B89" s="7"/>
      <c r="C89" s="2" t="s">
        <v>641</v>
      </c>
      <c r="D89" s="6" t="s">
        <v>649</v>
      </c>
      <c r="E89" s="32" t="s">
        <v>651</v>
      </c>
      <c r="F89" s="7"/>
      <c r="G89" s="7"/>
      <c r="H89" s="7"/>
      <c r="I89" s="7"/>
      <c r="J89" s="7"/>
      <c r="K89" s="7"/>
      <c r="L89" s="7" t="s">
        <v>662</v>
      </c>
      <c r="M89" s="8">
        <v>43862</v>
      </c>
      <c r="N89" s="8">
        <v>43862</v>
      </c>
      <c r="O89" s="13">
        <v>3333333.33</v>
      </c>
      <c r="P89" s="13"/>
      <c r="Q89" s="33"/>
      <c r="R89" s="9"/>
      <c r="S89" s="9"/>
      <c r="T89" s="9"/>
      <c r="U89" s="9"/>
      <c r="X89" s="15" t="str">
        <f>IF(B89="",VLOOKUP(A89,items_lookup!A:B,2,FALSE),B89)</f>
        <v>09. Item 09</v>
      </c>
      <c r="Y89" s="15">
        <f t="shared" si="9"/>
        <v>2</v>
      </c>
      <c r="Z89" s="15">
        <f t="shared" si="9"/>
        <v>2</v>
      </c>
      <c r="AA89" s="15">
        <f t="shared" si="6"/>
        <v>2020</v>
      </c>
      <c r="AB89" s="15">
        <f t="shared" si="7"/>
        <v>2020</v>
      </c>
      <c r="AC89" s="15">
        <f t="shared" si="8"/>
        <v>2020</v>
      </c>
      <c r="AD89" s="18" t="b">
        <f t="shared" si="10"/>
        <v>1</v>
      </c>
    </row>
    <row r="90" spans="1:30" ht="15" hidden="1" customHeight="1" x14ac:dyDescent="0.2">
      <c r="A90" s="7" t="s">
        <v>687</v>
      </c>
      <c r="B90" s="20"/>
      <c r="C90" s="2" t="s">
        <v>641</v>
      </c>
      <c r="D90" s="6" t="s">
        <v>649</v>
      </c>
      <c r="E90" s="32" t="s">
        <v>651</v>
      </c>
      <c r="F90" s="7"/>
      <c r="G90" s="7"/>
      <c r="H90" s="7"/>
      <c r="I90" s="7"/>
      <c r="J90" s="7"/>
      <c r="K90" s="7"/>
      <c r="L90" s="7" t="s">
        <v>662</v>
      </c>
      <c r="M90" s="8">
        <v>44044</v>
      </c>
      <c r="N90" s="8">
        <v>44044</v>
      </c>
      <c r="O90" s="13">
        <v>130952.38</v>
      </c>
      <c r="P90" s="13"/>
      <c r="Q90" s="33"/>
      <c r="R90" s="9"/>
      <c r="S90" s="9"/>
      <c r="T90" s="9"/>
      <c r="U90" s="9"/>
      <c r="X90" s="15" t="str">
        <f>IF(B90="",VLOOKUP(A90,items_lookup!A:B,2,FALSE),B90)</f>
        <v>14. Item 14</v>
      </c>
      <c r="Y90" s="15">
        <f t="shared" si="9"/>
        <v>8</v>
      </c>
      <c r="Z90" s="15">
        <f t="shared" si="9"/>
        <v>8</v>
      </c>
      <c r="AA90" s="15">
        <f t="shared" si="6"/>
        <v>2020</v>
      </c>
      <c r="AB90" s="15">
        <f t="shared" si="7"/>
        <v>2020</v>
      </c>
      <c r="AC90" s="15">
        <f t="shared" si="8"/>
        <v>2020</v>
      </c>
      <c r="AD90" s="18" t="b">
        <f t="shared" si="10"/>
        <v>1</v>
      </c>
    </row>
    <row r="91" spans="1:30" ht="15" hidden="1" customHeight="1" x14ac:dyDescent="0.2">
      <c r="A91" s="7" t="s">
        <v>673</v>
      </c>
      <c r="B91" s="20"/>
      <c r="C91" s="2" t="s">
        <v>641</v>
      </c>
      <c r="D91" s="6" t="s">
        <v>649</v>
      </c>
      <c r="E91" s="32" t="s">
        <v>651</v>
      </c>
      <c r="F91" s="7"/>
      <c r="G91" s="7"/>
      <c r="H91" s="7"/>
      <c r="I91" s="7"/>
      <c r="J91" s="7"/>
      <c r="K91" s="7"/>
      <c r="L91" s="7" t="s">
        <v>662</v>
      </c>
      <c r="M91" s="8">
        <v>44044</v>
      </c>
      <c r="N91" s="8">
        <v>44044</v>
      </c>
      <c r="O91" s="13">
        <v>2135952.38</v>
      </c>
      <c r="P91" s="13"/>
      <c r="Q91" s="33"/>
      <c r="R91" s="9"/>
      <c r="S91" s="9"/>
      <c r="T91" s="9"/>
      <c r="U91" s="9"/>
      <c r="X91" s="15" t="str">
        <f>IF(B91="",VLOOKUP(A91,items_lookup!A:B,2,FALSE),B91)</f>
        <v>07. Item 07</v>
      </c>
      <c r="Y91" s="15">
        <f t="shared" si="9"/>
        <v>8</v>
      </c>
      <c r="Z91" s="15">
        <f t="shared" si="9"/>
        <v>8</v>
      </c>
      <c r="AA91" s="15">
        <f t="shared" si="6"/>
        <v>2020</v>
      </c>
      <c r="AB91" s="15">
        <f t="shared" si="7"/>
        <v>2020</v>
      </c>
      <c r="AC91" s="15">
        <f t="shared" si="8"/>
        <v>2020</v>
      </c>
      <c r="AD91" s="18" t="b">
        <f t="shared" si="10"/>
        <v>1</v>
      </c>
    </row>
    <row r="92" spans="1:30" ht="15" hidden="1" customHeight="1" x14ac:dyDescent="0.2">
      <c r="A92" s="7" t="s">
        <v>683</v>
      </c>
      <c r="B92" s="20"/>
      <c r="C92" s="2" t="s">
        <v>641</v>
      </c>
      <c r="D92" s="6" t="s">
        <v>649</v>
      </c>
      <c r="E92" s="32" t="s">
        <v>651</v>
      </c>
      <c r="F92" s="7"/>
      <c r="G92" s="7"/>
      <c r="H92" s="7"/>
      <c r="I92" s="7"/>
      <c r="J92" s="7"/>
      <c r="K92" s="7"/>
      <c r="L92" s="7" t="s">
        <v>662</v>
      </c>
      <c r="M92" s="8">
        <v>44044</v>
      </c>
      <c r="N92" s="8">
        <v>44044</v>
      </c>
      <c r="O92" s="13">
        <v>29523.81</v>
      </c>
      <c r="P92" s="13"/>
      <c r="Q92" s="33"/>
      <c r="R92" s="22"/>
      <c r="S92" s="22"/>
      <c r="T92" s="22"/>
      <c r="U92" s="22"/>
      <c r="X92" s="15" t="str">
        <f>IF(B92="",VLOOKUP(A92,items_lookup!A:B,2,FALSE),B92)</f>
        <v>_1. Item _1</v>
      </c>
      <c r="Y92" s="15">
        <f t="shared" si="9"/>
        <v>8</v>
      </c>
      <c r="Z92" s="15">
        <f t="shared" si="9"/>
        <v>8</v>
      </c>
      <c r="AA92" s="15">
        <f t="shared" si="6"/>
        <v>2020</v>
      </c>
      <c r="AB92" s="15">
        <f t="shared" si="7"/>
        <v>2020</v>
      </c>
      <c r="AC92" s="15">
        <f t="shared" si="8"/>
        <v>2020</v>
      </c>
      <c r="AD92" s="18" t="b">
        <f t="shared" si="10"/>
        <v>1</v>
      </c>
    </row>
    <row r="93" spans="1:30" ht="15.75" hidden="1" customHeight="1" x14ac:dyDescent="0.2">
      <c r="A93" s="7" t="s">
        <v>672</v>
      </c>
      <c r="B93" s="7" t="s">
        <v>712</v>
      </c>
      <c r="C93" s="2" t="s">
        <v>641</v>
      </c>
      <c r="D93" s="6" t="s">
        <v>649</v>
      </c>
      <c r="E93" s="32" t="s">
        <v>651</v>
      </c>
      <c r="F93" s="7"/>
      <c r="G93" s="7"/>
      <c r="H93" s="7"/>
      <c r="I93" s="7"/>
      <c r="J93" s="7"/>
      <c r="K93" s="7"/>
      <c r="L93" s="7" t="s">
        <v>662</v>
      </c>
      <c r="M93" s="8">
        <v>44044</v>
      </c>
      <c r="N93" s="8">
        <v>44044</v>
      </c>
      <c r="O93" s="13">
        <v>88095.24</v>
      </c>
      <c r="P93" s="13"/>
      <c r="Q93" s="33"/>
      <c r="R93" s="22"/>
      <c r="S93" s="22"/>
      <c r="T93" s="22"/>
      <c r="U93" s="22"/>
      <c r="X93" s="15" t="str">
        <f>IF(B93="",VLOOKUP(A93,items_lookup!A:B,2,FALSE),B93)</f>
        <v>10. Item 10</v>
      </c>
      <c r="Y93" s="15">
        <f t="shared" si="9"/>
        <v>8</v>
      </c>
      <c r="Z93" s="15">
        <f t="shared" si="9"/>
        <v>8</v>
      </c>
      <c r="AA93" s="15">
        <f t="shared" si="6"/>
        <v>2020</v>
      </c>
      <c r="AB93" s="15">
        <f t="shared" si="7"/>
        <v>2020</v>
      </c>
      <c r="AC93" s="15">
        <f t="shared" si="8"/>
        <v>2020</v>
      </c>
      <c r="AD93" s="18" t="b">
        <f t="shared" si="10"/>
        <v>1</v>
      </c>
    </row>
    <row r="94" spans="1:30" ht="15" hidden="1" customHeight="1" x14ac:dyDescent="0.2">
      <c r="A94" s="7"/>
      <c r="B94" s="7" t="s">
        <v>711</v>
      </c>
      <c r="C94" s="2" t="s">
        <v>641</v>
      </c>
      <c r="D94" s="6" t="s">
        <v>649</v>
      </c>
      <c r="E94" s="32" t="s">
        <v>651</v>
      </c>
      <c r="F94" s="7"/>
      <c r="G94" s="7"/>
      <c r="H94" s="7"/>
      <c r="I94" s="7"/>
      <c r="J94" s="7"/>
      <c r="K94" s="7"/>
      <c r="L94" s="7" t="s">
        <v>662</v>
      </c>
      <c r="M94" s="8">
        <v>44044</v>
      </c>
      <c r="N94" s="8">
        <v>44044</v>
      </c>
      <c r="O94" s="13">
        <v>569285.71</v>
      </c>
      <c r="P94" s="13"/>
      <c r="Q94" s="33"/>
      <c r="R94" s="22"/>
      <c r="S94" s="22"/>
      <c r="T94" s="22"/>
      <c r="U94" s="22"/>
      <c r="X94" s="15" t="str">
        <f>IF(B94="",VLOOKUP(A94,items_lookup!A:B,2,FALSE),B94)</f>
        <v>12. Item 12</v>
      </c>
      <c r="Y94" s="15">
        <f t="shared" si="9"/>
        <v>8</v>
      </c>
      <c r="Z94" s="15">
        <f t="shared" si="9"/>
        <v>8</v>
      </c>
      <c r="AA94" s="15">
        <f t="shared" si="6"/>
        <v>2020</v>
      </c>
      <c r="AB94" s="15">
        <f t="shared" si="7"/>
        <v>2020</v>
      </c>
      <c r="AC94" s="15">
        <f t="shared" si="8"/>
        <v>2020</v>
      </c>
      <c r="AD94" s="18" t="b">
        <f t="shared" si="10"/>
        <v>1</v>
      </c>
    </row>
    <row r="95" spans="1:30" ht="15" hidden="1" customHeight="1" x14ac:dyDescent="0.2">
      <c r="A95" s="7" t="s">
        <v>672</v>
      </c>
      <c r="B95" s="7" t="s">
        <v>710</v>
      </c>
      <c r="C95" s="2" t="s">
        <v>641</v>
      </c>
      <c r="D95" s="6" t="s">
        <v>649</v>
      </c>
      <c r="E95" s="32" t="s">
        <v>651</v>
      </c>
      <c r="F95" s="7"/>
      <c r="G95" s="7"/>
      <c r="H95" s="7"/>
      <c r="I95" s="7"/>
      <c r="J95" s="7"/>
      <c r="K95" s="7"/>
      <c r="L95" s="7" t="s">
        <v>662</v>
      </c>
      <c r="M95" s="8">
        <v>44044</v>
      </c>
      <c r="N95" s="8">
        <v>44044</v>
      </c>
      <c r="O95" s="13">
        <v>1166666.67</v>
      </c>
      <c r="P95" s="13"/>
      <c r="Q95" s="33"/>
      <c r="R95" s="22"/>
      <c r="S95" s="22"/>
      <c r="T95" s="22"/>
      <c r="U95" s="22"/>
      <c r="X95" s="15" t="str">
        <f>IF(B95="",VLOOKUP(A95,items_lookup!A:B,2,FALSE),B95)</f>
        <v>13. Item 13</v>
      </c>
      <c r="Y95" s="15">
        <f t="shared" si="9"/>
        <v>8</v>
      </c>
      <c r="Z95" s="15">
        <f t="shared" si="9"/>
        <v>8</v>
      </c>
      <c r="AA95" s="15">
        <f t="shared" si="6"/>
        <v>2020</v>
      </c>
      <c r="AB95" s="15">
        <f t="shared" si="7"/>
        <v>2020</v>
      </c>
      <c r="AC95" s="15">
        <f t="shared" si="8"/>
        <v>2020</v>
      </c>
      <c r="AD95" s="18" t="b">
        <f t="shared" si="10"/>
        <v>1</v>
      </c>
    </row>
    <row r="96" spans="1:30" ht="15" hidden="1" customHeight="1" x14ac:dyDescent="0.2">
      <c r="A96" s="7" t="s">
        <v>682</v>
      </c>
      <c r="B96" s="20"/>
      <c r="C96" s="2" t="s">
        <v>641</v>
      </c>
      <c r="D96" s="6" t="s">
        <v>649</v>
      </c>
      <c r="E96" s="32" t="s">
        <v>651</v>
      </c>
      <c r="F96" s="7"/>
      <c r="G96" s="7"/>
      <c r="H96" s="7"/>
      <c r="I96" s="7"/>
      <c r="J96" s="7"/>
      <c r="K96" s="7"/>
      <c r="L96" s="7" t="s">
        <v>662</v>
      </c>
      <c r="M96" s="8">
        <v>44044</v>
      </c>
      <c r="N96" s="8">
        <v>44044</v>
      </c>
      <c r="O96" s="13">
        <v>11190476.189999999</v>
      </c>
      <c r="P96" s="13"/>
      <c r="Q96" s="33"/>
      <c r="R96" s="9"/>
      <c r="S96" s="9"/>
      <c r="T96" s="9"/>
      <c r="U96" s="9"/>
      <c r="X96" s="15" t="str">
        <f>IF(B96="",VLOOKUP(A96,items_lookup!A:B,2,FALSE),B96)</f>
        <v>06. Item 06</v>
      </c>
      <c r="Y96" s="15">
        <f t="shared" si="9"/>
        <v>8</v>
      </c>
      <c r="Z96" s="15">
        <f t="shared" si="9"/>
        <v>8</v>
      </c>
      <c r="AA96" s="15">
        <f t="shared" si="6"/>
        <v>2020</v>
      </c>
      <c r="AB96" s="15">
        <f t="shared" si="7"/>
        <v>2020</v>
      </c>
      <c r="AC96" s="15">
        <f t="shared" si="8"/>
        <v>2020</v>
      </c>
      <c r="AD96" s="18" t="b">
        <f t="shared" si="10"/>
        <v>1</v>
      </c>
    </row>
    <row r="97" spans="1:30" ht="15" hidden="1" customHeight="1" x14ac:dyDescent="0.2">
      <c r="A97" s="7" t="s">
        <v>673</v>
      </c>
      <c r="B97" s="20"/>
      <c r="C97" s="2" t="s">
        <v>641</v>
      </c>
      <c r="D97" s="6" t="s">
        <v>649</v>
      </c>
      <c r="E97" s="32" t="s">
        <v>651</v>
      </c>
      <c r="F97" s="7"/>
      <c r="G97" s="7"/>
      <c r="H97" s="7"/>
      <c r="I97" s="7"/>
      <c r="J97" s="7"/>
      <c r="K97" s="7"/>
      <c r="L97" s="7" t="s">
        <v>662</v>
      </c>
      <c r="M97" s="8">
        <v>44044</v>
      </c>
      <c r="N97" s="8">
        <v>44044</v>
      </c>
      <c r="O97" s="13">
        <v>2190476.19</v>
      </c>
      <c r="P97" s="13"/>
      <c r="Q97" s="33"/>
      <c r="R97" s="9"/>
      <c r="S97" s="9"/>
      <c r="T97" s="9"/>
      <c r="U97" s="9"/>
      <c r="X97" s="15" t="str">
        <f>IF(B97="",VLOOKUP(A97,items_lookup!A:B,2,FALSE),B97)</f>
        <v>07. Item 07</v>
      </c>
      <c r="Y97" s="15">
        <f t="shared" si="9"/>
        <v>8</v>
      </c>
      <c r="Z97" s="15">
        <f t="shared" si="9"/>
        <v>8</v>
      </c>
      <c r="AA97" s="15">
        <f t="shared" si="6"/>
        <v>2020</v>
      </c>
      <c r="AB97" s="15">
        <f t="shared" si="7"/>
        <v>2020</v>
      </c>
      <c r="AC97" s="15">
        <f t="shared" si="8"/>
        <v>2020</v>
      </c>
      <c r="AD97" s="18" t="b">
        <f t="shared" si="10"/>
        <v>1</v>
      </c>
    </row>
    <row r="98" spans="1:30" ht="15" hidden="1" customHeight="1" x14ac:dyDescent="0.2">
      <c r="A98" s="7" t="s">
        <v>676</v>
      </c>
      <c r="B98" s="20"/>
      <c r="C98" s="2" t="s">
        <v>641</v>
      </c>
      <c r="D98" s="6" t="s">
        <v>649</v>
      </c>
      <c r="E98" s="32" t="s">
        <v>651</v>
      </c>
      <c r="F98" s="7"/>
      <c r="G98" s="7"/>
      <c r="H98" s="7"/>
      <c r="I98" s="7"/>
      <c r="J98" s="7"/>
      <c r="K98" s="7"/>
      <c r="L98" s="7" t="s">
        <v>662</v>
      </c>
      <c r="M98" s="8">
        <v>44044</v>
      </c>
      <c r="N98" s="8">
        <v>44044</v>
      </c>
      <c r="O98" s="13">
        <v>171428.57</v>
      </c>
      <c r="P98" s="13"/>
      <c r="Q98" s="33"/>
      <c r="R98" s="22"/>
      <c r="S98" s="22"/>
      <c r="T98" s="22"/>
      <c r="U98" s="22"/>
      <c r="X98" s="15" t="str">
        <f>IF(B98="",VLOOKUP(A98,items_lookup!A:B,2,FALSE),B98)</f>
        <v>09. Item 09</v>
      </c>
      <c r="Y98" s="15">
        <f t="shared" si="9"/>
        <v>8</v>
      </c>
      <c r="Z98" s="15">
        <f t="shared" si="9"/>
        <v>8</v>
      </c>
      <c r="AA98" s="15">
        <f t="shared" si="6"/>
        <v>2020</v>
      </c>
      <c r="AB98" s="15">
        <f t="shared" si="7"/>
        <v>2020</v>
      </c>
      <c r="AC98" s="15">
        <f t="shared" si="8"/>
        <v>2020</v>
      </c>
      <c r="AD98" s="18" t="b">
        <f t="shared" si="10"/>
        <v>1</v>
      </c>
    </row>
    <row r="99" spans="1:30" ht="15" hidden="1" customHeight="1" x14ac:dyDescent="0.2">
      <c r="A99" s="7" t="s">
        <v>675</v>
      </c>
      <c r="B99" s="7"/>
      <c r="C99" s="2" t="s">
        <v>641</v>
      </c>
      <c r="D99" s="6" t="s">
        <v>649</v>
      </c>
      <c r="E99" s="32" t="s">
        <v>651</v>
      </c>
      <c r="F99" s="7"/>
      <c r="G99" s="7"/>
      <c r="H99" s="7"/>
      <c r="I99" s="7"/>
      <c r="J99" s="7"/>
      <c r="K99" s="7"/>
      <c r="L99" s="7" t="s">
        <v>662</v>
      </c>
      <c r="M99" s="8">
        <v>44044</v>
      </c>
      <c r="N99" s="8">
        <v>44044</v>
      </c>
      <c r="O99" s="13">
        <v>25952.38</v>
      </c>
      <c r="P99" s="13"/>
      <c r="Q99" s="33"/>
      <c r="R99" s="9"/>
      <c r="S99" s="9"/>
      <c r="T99" s="9"/>
      <c r="U99" s="9"/>
      <c r="X99" s="15" t="str">
        <f>IF(B99="",VLOOKUP(A99,items_lookup!A:B,2,FALSE),B99)</f>
        <v>09. Item 09</v>
      </c>
      <c r="Y99" s="15">
        <f t="shared" si="9"/>
        <v>8</v>
      </c>
      <c r="Z99" s="15">
        <f t="shared" si="9"/>
        <v>8</v>
      </c>
      <c r="AA99" s="15">
        <f t="shared" si="6"/>
        <v>2020</v>
      </c>
      <c r="AB99" s="15">
        <f t="shared" si="7"/>
        <v>2020</v>
      </c>
      <c r="AC99" s="15">
        <f t="shared" si="8"/>
        <v>2020</v>
      </c>
      <c r="AD99" s="18" t="b">
        <f t="shared" si="10"/>
        <v>1</v>
      </c>
    </row>
    <row r="100" spans="1:30" ht="15" hidden="1" customHeight="1" x14ac:dyDescent="0.2">
      <c r="A100" s="7" t="s">
        <v>677</v>
      </c>
      <c r="B100" s="20"/>
      <c r="C100" s="2" t="s">
        <v>641</v>
      </c>
      <c r="D100" s="6" t="s">
        <v>649</v>
      </c>
      <c r="E100" s="32" t="s">
        <v>651</v>
      </c>
      <c r="F100" s="7"/>
      <c r="G100" s="7"/>
      <c r="H100" s="7"/>
      <c r="I100" s="7"/>
      <c r="J100" s="7"/>
      <c r="K100" s="7"/>
      <c r="L100" s="7" t="s">
        <v>662</v>
      </c>
      <c r="M100" s="8">
        <v>44044</v>
      </c>
      <c r="N100" s="8">
        <v>44044</v>
      </c>
      <c r="O100" s="13">
        <v>3095.24</v>
      </c>
      <c r="P100" s="13"/>
      <c r="Q100" s="33"/>
      <c r="R100" s="22"/>
      <c r="S100" s="22"/>
      <c r="T100" s="22"/>
      <c r="U100" s="22"/>
      <c r="X100" s="15" t="str">
        <f>IF(B100="",VLOOKUP(A100,items_lookup!A:B,2,FALSE),B100)</f>
        <v>11. Item 11</v>
      </c>
      <c r="Y100" s="15">
        <f t="shared" si="9"/>
        <v>8</v>
      </c>
      <c r="Z100" s="15">
        <f t="shared" si="9"/>
        <v>8</v>
      </c>
      <c r="AA100" s="15">
        <f t="shared" si="6"/>
        <v>2020</v>
      </c>
      <c r="AB100" s="15">
        <f t="shared" si="7"/>
        <v>2020</v>
      </c>
      <c r="AC100" s="15">
        <f t="shared" si="8"/>
        <v>2020</v>
      </c>
      <c r="AD100" s="18" t="b">
        <f t="shared" si="10"/>
        <v>1</v>
      </c>
    </row>
    <row r="101" spans="1:30" ht="15" hidden="1" customHeight="1" x14ac:dyDescent="0.2">
      <c r="A101" s="7" t="s">
        <v>668</v>
      </c>
      <c r="B101" s="20"/>
      <c r="C101" s="2" t="s">
        <v>642</v>
      </c>
      <c r="D101" s="6"/>
      <c r="E101" s="32" t="s">
        <v>651</v>
      </c>
      <c r="F101" s="7"/>
      <c r="G101" s="7"/>
      <c r="H101" s="7"/>
      <c r="I101" s="7"/>
      <c r="J101" s="7"/>
      <c r="K101" s="7"/>
      <c r="L101" s="7" t="s">
        <v>662</v>
      </c>
      <c r="M101" s="8">
        <v>44044</v>
      </c>
      <c r="N101" s="8">
        <v>44044</v>
      </c>
      <c r="O101" s="13">
        <v>6820000</v>
      </c>
      <c r="P101" s="13"/>
      <c r="Q101" s="33"/>
      <c r="R101" s="9"/>
      <c r="S101" s="9"/>
      <c r="T101" s="9"/>
      <c r="U101" s="9"/>
      <c r="X101" s="15" t="str">
        <f>IF(B101="",VLOOKUP(A101,items_lookup!A:B,2,FALSE),B101)</f>
        <v>01. Item 01</v>
      </c>
      <c r="Y101" s="15">
        <f t="shared" si="9"/>
        <v>8</v>
      </c>
      <c r="Z101" s="15">
        <f t="shared" si="9"/>
        <v>8</v>
      </c>
      <c r="AA101" s="15">
        <f t="shared" si="6"/>
        <v>2020</v>
      </c>
      <c r="AB101" s="15">
        <f t="shared" si="7"/>
        <v>2020</v>
      </c>
      <c r="AC101" s="15">
        <f t="shared" si="8"/>
        <v>2020</v>
      </c>
      <c r="AD101" s="18" t="b">
        <f t="shared" si="10"/>
        <v>1</v>
      </c>
    </row>
    <row r="102" spans="1:30" ht="15" hidden="1" customHeight="1" x14ac:dyDescent="0.2">
      <c r="A102" s="7" t="s">
        <v>669</v>
      </c>
      <c r="B102" s="20"/>
      <c r="C102" s="2" t="s">
        <v>642</v>
      </c>
      <c r="D102" s="6"/>
      <c r="E102" s="32" t="s">
        <v>651</v>
      </c>
      <c r="F102" s="7"/>
      <c r="G102" s="7"/>
      <c r="H102" s="7"/>
      <c r="I102" s="7"/>
      <c r="J102" s="7"/>
      <c r="K102" s="7"/>
      <c r="L102" s="7" t="s">
        <v>662</v>
      </c>
      <c r="M102" s="8">
        <v>43862</v>
      </c>
      <c r="N102" s="8">
        <v>43862</v>
      </c>
      <c r="O102" s="13">
        <v>3591261.9</v>
      </c>
      <c r="P102" s="13"/>
      <c r="Q102" s="33"/>
      <c r="R102" s="9"/>
      <c r="S102" s="9"/>
      <c r="T102" s="9"/>
      <c r="U102" s="9"/>
      <c r="X102" s="15" t="str">
        <f>IF(B102="",VLOOKUP(A102,items_lookup!A:B,2,FALSE),B102)</f>
        <v>02. Item 02</v>
      </c>
      <c r="Y102" s="15">
        <f t="shared" si="9"/>
        <v>2</v>
      </c>
      <c r="Z102" s="15">
        <f t="shared" si="9"/>
        <v>2</v>
      </c>
      <c r="AA102" s="15">
        <f t="shared" si="6"/>
        <v>2020</v>
      </c>
      <c r="AB102" s="15">
        <f t="shared" si="7"/>
        <v>2020</v>
      </c>
      <c r="AC102" s="15">
        <f t="shared" si="8"/>
        <v>2020</v>
      </c>
      <c r="AD102" s="18" t="b">
        <f t="shared" si="10"/>
        <v>1</v>
      </c>
    </row>
    <row r="103" spans="1:30" ht="15" hidden="1" customHeight="1" x14ac:dyDescent="0.2">
      <c r="A103" s="7" t="s">
        <v>687</v>
      </c>
      <c r="B103" s="20"/>
      <c r="C103" s="2" t="s">
        <v>642</v>
      </c>
      <c r="D103" s="6"/>
      <c r="E103" s="32" t="s">
        <v>651</v>
      </c>
      <c r="F103" s="7"/>
      <c r="G103" s="7"/>
      <c r="H103" s="7"/>
      <c r="I103" s="7"/>
      <c r="J103" s="7"/>
      <c r="K103" s="7"/>
      <c r="L103" s="7" t="s">
        <v>662</v>
      </c>
      <c r="M103" s="8">
        <v>44044</v>
      </c>
      <c r="N103" s="8">
        <v>44044</v>
      </c>
      <c r="O103" s="13">
        <v>48238.1</v>
      </c>
      <c r="P103" s="13"/>
      <c r="Q103" s="33"/>
      <c r="R103" s="9"/>
      <c r="S103" s="9"/>
      <c r="T103" s="9"/>
      <c r="U103" s="9"/>
      <c r="X103" s="15" t="str">
        <f>IF(B103="",VLOOKUP(A103,items_lookup!A:B,2,FALSE),B103)</f>
        <v>14. Item 14</v>
      </c>
      <c r="Y103" s="15">
        <f t="shared" si="9"/>
        <v>8</v>
      </c>
      <c r="Z103" s="15">
        <f t="shared" si="9"/>
        <v>8</v>
      </c>
      <c r="AA103" s="15">
        <f t="shared" ref="AA103:AA151" si="11">YEAR(N103)</f>
        <v>2020</v>
      </c>
      <c r="AB103" s="15">
        <f t="shared" ref="AB103:AB151" si="12">YEAR(M103)</f>
        <v>2020</v>
      </c>
      <c r="AC103" s="15">
        <f t="shared" ref="AC103:AC151" si="13">IF(F103="X",AA103-1,AA103)</f>
        <v>2020</v>
      </c>
      <c r="AD103" s="18" t="b">
        <f t="shared" si="10"/>
        <v>1</v>
      </c>
    </row>
    <row r="104" spans="1:30" ht="15" hidden="1" customHeight="1" x14ac:dyDescent="0.2">
      <c r="A104" s="7" t="s">
        <v>674</v>
      </c>
      <c r="B104" s="20"/>
      <c r="C104" s="2" t="s">
        <v>642</v>
      </c>
      <c r="D104" s="6"/>
      <c r="E104" s="32" t="s">
        <v>651</v>
      </c>
      <c r="F104" s="7"/>
      <c r="G104" s="7"/>
      <c r="H104" s="7"/>
      <c r="I104" s="7"/>
      <c r="J104" s="7"/>
      <c r="K104" s="7"/>
      <c r="L104" s="7" t="s">
        <v>662</v>
      </c>
      <c r="M104" s="8">
        <v>44044</v>
      </c>
      <c r="N104" s="8">
        <v>44044</v>
      </c>
      <c r="O104" s="13">
        <v>11230809.52</v>
      </c>
      <c r="P104" s="13"/>
      <c r="Q104" s="33"/>
      <c r="R104" s="9"/>
      <c r="S104" s="9"/>
      <c r="T104" s="9"/>
      <c r="U104" s="9"/>
      <c r="X104" s="15" t="str">
        <f>IF(B104="",VLOOKUP(A104,items_lookup!A:B,2,FALSE),B104)</f>
        <v>08. Item 08</v>
      </c>
      <c r="Y104" s="15">
        <f t="shared" si="9"/>
        <v>8</v>
      </c>
      <c r="Z104" s="15">
        <f t="shared" si="9"/>
        <v>8</v>
      </c>
      <c r="AA104" s="15">
        <f t="shared" si="11"/>
        <v>2020</v>
      </c>
      <c r="AB104" s="15">
        <f t="shared" si="12"/>
        <v>2020</v>
      </c>
      <c r="AC104" s="15">
        <f t="shared" si="13"/>
        <v>2020</v>
      </c>
      <c r="AD104" s="18" t="b">
        <f t="shared" si="10"/>
        <v>1</v>
      </c>
    </row>
    <row r="105" spans="1:30" ht="15" hidden="1" customHeight="1" x14ac:dyDescent="0.2">
      <c r="A105" s="7" t="s">
        <v>684</v>
      </c>
      <c r="B105" s="20"/>
      <c r="C105" s="2" t="s">
        <v>642</v>
      </c>
      <c r="D105" s="6"/>
      <c r="E105" s="32" t="s">
        <v>651</v>
      </c>
      <c r="F105" s="7"/>
      <c r="G105" s="7"/>
      <c r="H105" s="7"/>
      <c r="I105" s="7"/>
      <c r="J105" s="7"/>
      <c r="K105" s="7"/>
      <c r="L105" s="7" t="s">
        <v>662</v>
      </c>
      <c r="M105" s="8">
        <v>44044</v>
      </c>
      <c r="N105" s="8">
        <v>44044</v>
      </c>
      <c r="O105" s="13">
        <v>3104523.81</v>
      </c>
      <c r="P105" s="13"/>
      <c r="Q105" s="33"/>
      <c r="R105" s="9"/>
      <c r="S105" s="9"/>
      <c r="T105" s="9"/>
      <c r="U105" s="9"/>
      <c r="X105" s="15" t="str">
        <f>IF(B105="",VLOOKUP(A105,items_lookup!A:B,2,FALSE),B105)</f>
        <v>09. Item 09</v>
      </c>
      <c r="Y105" s="15">
        <f t="shared" si="9"/>
        <v>8</v>
      </c>
      <c r="Z105" s="15">
        <f t="shared" si="9"/>
        <v>8</v>
      </c>
      <c r="AA105" s="15">
        <f t="shared" si="11"/>
        <v>2020</v>
      </c>
      <c r="AB105" s="15">
        <f t="shared" si="12"/>
        <v>2020</v>
      </c>
      <c r="AC105" s="15">
        <f t="shared" si="13"/>
        <v>2020</v>
      </c>
      <c r="AD105" s="18" t="b">
        <f t="shared" si="10"/>
        <v>1</v>
      </c>
    </row>
    <row r="106" spans="1:30" ht="15" hidden="1" customHeight="1" x14ac:dyDescent="0.2">
      <c r="A106" s="7" t="s">
        <v>671</v>
      </c>
      <c r="B106" s="7" t="s">
        <v>709</v>
      </c>
      <c r="C106" s="2" t="s">
        <v>642</v>
      </c>
      <c r="D106" s="6"/>
      <c r="E106" s="32" t="s">
        <v>651</v>
      </c>
      <c r="F106" s="7"/>
      <c r="G106" s="7"/>
      <c r="H106" s="7"/>
      <c r="I106" s="7"/>
      <c r="J106" s="7"/>
      <c r="K106" s="7"/>
      <c r="L106" s="7" t="s">
        <v>662</v>
      </c>
      <c r="M106" s="8">
        <v>44044</v>
      </c>
      <c r="N106" s="8">
        <v>44044</v>
      </c>
      <c r="O106" s="13">
        <v>4457214.29</v>
      </c>
      <c r="P106" s="13"/>
      <c r="Q106" s="33"/>
      <c r="R106" s="22"/>
      <c r="S106" s="22"/>
      <c r="T106" s="22"/>
      <c r="U106" s="22"/>
      <c r="X106" s="15" t="str">
        <f>IF(B106="",VLOOKUP(A106,items_lookup!A:B,2,FALSE),B106)</f>
        <v>04. Item 04</v>
      </c>
      <c r="Y106" s="15">
        <f t="shared" si="9"/>
        <v>8</v>
      </c>
      <c r="Z106" s="15">
        <f t="shared" si="9"/>
        <v>8</v>
      </c>
      <c r="AA106" s="15">
        <f t="shared" si="11"/>
        <v>2020</v>
      </c>
      <c r="AB106" s="15">
        <f t="shared" si="12"/>
        <v>2020</v>
      </c>
      <c r="AC106" s="15">
        <f t="shared" si="13"/>
        <v>2020</v>
      </c>
      <c r="AD106" s="18" t="b">
        <f t="shared" si="10"/>
        <v>1</v>
      </c>
    </row>
    <row r="107" spans="1:30" ht="15" hidden="1" customHeight="1" x14ac:dyDescent="0.2">
      <c r="A107" s="7" t="s">
        <v>683</v>
      </c>
      <c r="B107" s="7"/>
      <c r="C107" s="2" t="s">
        <v>642</v>
      </c>
      <c r="D107" s="6"/>
      <c r="E107" s="32" t="s">
        <v>651</v>
      </c>
      <c r="F107" s="7"/>
      <c r="G107" s="7"/>
      <c r="H107" s="7"/>
      <c r="I107" s="7"/>
      <c r="J107" s="7"/>
      <c r="K107" s="7"/>
      <c r="L107" s="7" t="s">
        <v>662</v>
      </c>
      <c r="M107" s="8">
        <v>44044</v>
      </c>
      <c r="N107" s="8">
        <v>44044</v>
      </c>
      <c r="O107" s="13">
        <v>5652904.7599999998</v>
      </c>
      <c r="P107" s="13"/>
      <c r="Q107" s="33"/>
      <c r="R107" s="9"/>
      <c r="S107" s="9"/>
      <c r="T107" s="9"/>
      <c r="U107" s="9"/>
      <c r="X107" s="15" t="str">
        <f>IF(B107="",VLOOKUP(A107,items_lookup!A:B,2,FALSE),B107)</f>
        <v>_1. Item _1</v>
      </c>
      <c r="Y107" s="15">
        <f t="shared" si="9"/>
        <v>8</v>
      </c>
      <c r="Z107" s="15">
        <f t="shared" si="9"/>
        <v>8</v>
      </c>
      <c r="AA107" s="15">
        <f t="shared" si="11"/>
        <v>2020</v>
      </c>
      <c r="AB107" s="15">
        <f t="shared" si="12"/>
        <v>2020</v>
      </c>
      <c r="AC107" s="15">
        <f t="shared" si="13"/>
        <v>2020</v>
      </c>
      <c r="AD107" s="18" t="b">
        <f t="shared" si="10"/>
        <v>1</v>
      </c>
    </row>
    <row r="108" spans="1:30" ht="15" hidden="1" customHeight="1" x14ac:dyDescent="0.2">
      <c r="A108" s="7" t="s">
        <v>686</v>
      </c>
      <c r="B108" s="7"/>
      <c r="C108" s="2" t="s">
        <v>642</v>
      </c>
      <c r="D108" s="6"/>
      <c r="E108" s="32" t="s">
        <v>651</v>
      </c>
      <c r="F108" s="7"/>
      <c r="G108" s="7"/>
      <c r="H108" s="7"/>
      <c r="I108" s="7"/>
      <c r="J108" s="7"/>
      <c r="K108" s="7"/>
      <c r="L108" s="7" t="s">
        <v>662</v>
      </c>
      <c r="M108" s="8">
        <v>44044</v>
      </c>
      <c r="N108" s="8">
        <v>44044</v>
      </c>
      <c r="O108" s="13">
        <v>40023.81</v>
      </c>
      <c r="P108" s="13"/>
      <c r="Q108" s="33"/>
      <c r="R108" s="9"/>
      <c r="S108" s="9"/>
      <c r="T108" s="9"/>
      <c r="U108" s="9"/>
      <c r="X108" s="15" t="str">
        <f>IF(B108="",VLOOKUP(A108,items_lookup!A:B,2,FALSE),B108)</f>
        <v>_2. Item _2</v>
      </c>
      <c r="Y108" s="15">
        <f t="shared" si="9"/>
        <v>8</v>
      </c>
      <c r="Z108" s="15">
        <f t="shared" si="9"/>
        <v>8</v>
      </c>
      <c r="AA108" s="15">
        <f t="shared" si="11"/>
        <v>2020</v>
      </c>
      <c r="AB108" s="15">
        <f t="shared" si="12"/>
        <v>2020</v>
      </c>
      <c r="AC108" s="15">
        <f t="shared" si="13"/>
        <v>2020</v>
      </c>
      <c r="AD108" s="18" t="b">
        <f t="shared" si="10"/>
        <v>1</v>
      </c>
    </row>
    <row r="109" spans="1:30" ht="15" hidden="1" customHeight="1" x14ac:dyDescent="0.2">
      <c r="A109" s="7" t="s">
        <v>673</v>
      </c>
      <c r="B109" s="7"/>
      <c r="C109" s="2" t="s">
        <v>642</v>
      </c>
      <c r="D109" s="6"/>
      <c r="E109" s="32" t="s">
        <v>651</v>
      </c>
      <c r="F109" s="7"/>
      <c r="G109" s="7"/>
      <c r="H109" s="7"/>
      <c r="I109" s="7"/>
      <c r="J109" s="7"/>
      <c r="K109" s="7"/>
      <c r="L109" s="7" t="s">
        <v>662</v>
      </c>
      <c r="M109" s="8">
        <v>44044</v>
      </c>
      <c r="N109" s="8">
        <v>44044</v>
      </c>
      <c r="O109" s="13">
        <v>118928.57</v>
      </c>
      <c r="P109" s="13"/>
      <c r="Q109" s="33"/>
      <c r="R109" s="9"/>
      <c r="S109" s="9"/>
      <c r="T109" s="9"/>
      <c r="U109" s="9"/>
      <c r="X109" s="15" t="str">
        <f>IF(B109="",VLOOKUP(A109,items_lookup!A:B,2,FALSE),B109)</f>
        <v>07. Item 07</v>
      </c>
      <c r="Y109" s="15">
        <f t="shared" si="9"/>
        <v>8</v>
      </c>
      <c r="Z109" s="15">
        <f t="shared" si="9"/>
        <v>8</v>
      </c>
      <c r="AA109" s="15">
        <f t="shared" si="11"/>
        <v>2020</v>
      </c>
      <c r="AB109" s="15">
        <f t="shared" si="12"/>
        <v>2020</v>
      </c>
      <c r="AC109" s="15">
        <f t="shared" si="13"/>
        <v>2020</v>
      </c>
      <c r="AD109" s="18" t="b">
        <f t="shared" si="10"/>
        <v>1</v>
      </c>
    </row>
    <row r="110" spans="1:30" ht="15" hidden="1" customHeight="1" x14ac:dyDescent="0.2">
      <c r="A110" s="7" t="s">
        <v>682</v>
      </c>
      <c r="B110" s="7"/>
      <c r="C110" s="2" t="s">
        <v>642</v>
      </c>
      <c r="D110" s="6"/>
      <c r="E110" s="32" t="s">
        <v>651</v>
      </c>
      <c r="F110" s="7"/>
      <c r="G110" s="7"/>
      <c r="H110" s="7"/>
      <c r="I110" s="7"/>
      <c r="J110" s="7"/>
      <c r="K110" s="7"/>
      <c r="L110" s="7" t="s">
        <v>662</v>
      </c>
      <c r="M110" s="8">
        <v>44044</v>
      </c>
      <c r="N110" s="8">
        <v>44044</v>
      </c>
      <c r="O110" s="13">
        <v>5544380.9500000002</v>
      </c>
      <c r="P110" s="13"/>
      <c r="Q110" s="33"/>
      <c r="R110" s="9"/>
      <c r="S110" s="9"/>
      <c r="T110" s="9"/>
      <c r="U110" s="9"/>
      <c r="X110" s="15" t="str">
        <f>IF(B110="",VLOOKUP(A110,items_lookup!A:B,2,FALSE),B110)</f>
        <v>06. Item 06</v>
      </c>
      <c r="Y110" s="15">
        <f t="shared" si="9"/>
        <v>8</v>
      </c>
      <c r="Z110" s="15">
        <f t="shared" si="9"/>
        <v>8</v>
      </c>
      <c r="AA110" s="15">
        <f t="shared" si="11"/>
        <v>2020</v>
      </c>
      <c r="AB110" s="15">
        <f t="shared" si="12"/>
        <v>2020</v>
      </c>
      <c r="AC110" s="15">
        <f t="shared" si="13"/>
        <v>2020</v>
      </c>
      <c r="AD110" s="18" t="b">
        <f t="shared" si="10"/>
        <v>1</v>
      </c>
    </row>
    <row r="111" spans="1:30" ht="15" hidden="1" customHeight="1" x14ac:dyDescent="0.2">
      <c r="A111" s="7" t="s">
        <v>672</v>
      </c>
      <c r="B111" s="7" t="s">
        <v>711</v>
      </c>
      <c r="C111" s="2" t="s">
        <v>642</v>
      </c>
      <c r="D111" s="6"/>
      <c r="E111" s="32" t="s">
        <v>651</v>
      </c>
      <c r="F111" s="7"/>
      <c r="G111" s="7"/>
      <c r="H111" s="7"/>
      <c r="I111" s="7"/>
      <c r="J111" s="7"/>
      <c r="K111" s="7"/>
      <c r="L111" s="7" t="s">
        <v>662</v>
      </c>
      <c r="M111" s="8">
        <v>44044</v>
      </c>
      <c r="N111" s="8">
        <v>44044</v>
      </c>
      <c r="O111" s="13">
        <v>484261.9</v>
      </c>
      <c r="P111" s="13"/>
      <c r="Q111" s="33"/>
      <c r="R111" s="9"/>
      <c r="S111" s="9"/>
      <c r="T111" s="9"/>
      <c r="U111" s="9"/>
      <c r="X111" s="15" t="str">
        <f>IF(B111="",VLOOKUP(A111,items_lookup!A:B,2,FALSE),B111)</f>
        <v>12. Item 12</v>
      </c>
      <c r="Y111" s="15">
        <f t="shared" si="9"/>
        <v>8</v>
      </c>
      <c r="Z111" s="15">
        <f t="shared" si="9"/>
        <v>8</v>
      </c>
      <c r="AA111" s="15">
        <f t="shared" si="11"/>
        <v>2020</v>
      </c>
      <c r="AB111" s="15">
        <f t="shared" si="12"/>
        <v>2020</v>
      </c>
      <c r="AC111" s="15">
        <f t="shared" si="13"/>
        <v>2020</v>
      </c>
      <c r="AD111" s="18" t="b">
        <f t="shared" si="10"/>
        <v>1</v>
      </c>
    </row>
    <row r="112" spans="1:30" ht="15" hidden="1" customHeight="1" x14ac:dyDescent="0.2">
      <c r="A112" s="7" t="s">
        <v>668</v>
      </c>
      <c r="B112" s="20"/>
      <c r="C112" s="2" t="s">
        <v>642</v>
      </c>
      <c r="D112" s="6"/>
      <c r="E112" s="32" t="s">
        <v>651</v>
      </c>
      <c r="F112" s="7"/>
      <c r="G112" s="7"/>
      <c r="H112" s="7"/>
      <c r="I112" s="7"/>
      <c r="J112" s="7"/>
      <c r="K112" s="7"/>
      <c r="L112" s="7" t="s">
        <v>663</v>
      </c>
      <c r="M112" s="8">
        <v>43862</v>
      </c>
      <c r="N112" s="8">
        <v>43862</v>
      </c>
      <c r="O112" s="13"/>
      <c r="P112" s="13">
        <v>3985523.81</v>
      </c>
      <c r="Q112" s="33"/>
      <c r="R112" s="9"/>
      <c r="S112" s="9"/>
      <c r="T112" s="9"/>
      <c r="U112" s="9"/>
      <c r="X112" s="15" t="str">
        <f>IF(B112="",VLOOKUP(A112,items_lookup!A:B,2,FALSE),B112)</f>
        <v>01. Item 01</v>
      </c>
      <c r="Y112" s="15">
        <f t="shared" si="9"/>
        <v>2</v>
      </c>
      <c r="Z112" s="15">
        <f t="shared" si="9"/>
        <v>2</v>
      </c>
      <c r="AA112" s="15">
        <f t="shared" si="11"/>
        <v>2020</v>
      </c>
      <c r="AB112" s="15">
        <f t="shared" si="12"/>
        <v>2020</v>
      </c>
      <c r="AC112" s="15">
        <f t="shared" si="13"/>
        <v>2020</v>
      </c>
      <c r="AD112" s="18" t="b">
        <f t="shared" si="10"/>
        <v>1</v>
      </c>
    </row>
    <row r="113" spans="1:30" ht="15" hidden="1" customHeight="1" x14ac:dyDescent="0.2">
      <c r="A113" s="7" t="s">
        <v>669</v>
      </c>
      <c r="B113" s="7"/>
      <c r="C113" s="2" t="s">
        <v>641</v>
      </c>
      <c r="D113" s="6" t="s">
        <v>649</v>
      </c>
      <c r="E113" s="32" t="s">
        <v>651</v>
      </c>
      <c r="F113" s="7"/>
      <c r="G113" s="7"/>
      <c r="H113" s="7"/>
      <c r="I113" s="7"/>
      <c r="J113" s="7"/>
      <c r="K113" s="7"/>
      <c r="L113" s="7" t="s">
        <v>662</v>
      </c>
      <c r="M113" s="8">
        <v>44042</v>
      </c>
      <c r="N113" s="8">
        <v>44042</v>
      </c>
      <c r="O113" s="13">
        <v>38109761.899999999</v>
      </c>
      <c r="P113" s="13"/>
      <c r="Q113" s="33"/>
      <c r="R113" s="22"/>
      <c r="S113" s="22"/>
      <c r="T113" s="22"/>
      <c r="U113" s="22"/>
      <c r="X113" s="15" t="str">
        <f>IF(B113="",VLOOKUP(A113,items_lookup!A:B,2,FALSE),B113)</f>
        <v>02. Item 02</v>
      </c>
      <c r="Y113" s="15">
        <f t="shared" si="9"/>
        <v>7</v>
      </c>
      <c r="Z113" s="15">
        <f t="shared" si="9"/>
        <v>7</v>
      </c>
      <c r="AA113" s="15">
        <f t="shared" si="11"/>
        <v>2020</v>
      </c>
      <c r="AB113" s="15">
        <f t="shared" si="12"/>
        <v>2020</v>
      </c>
      <c r="AC113" s="15">
        <f t="shared" si="13"/>
        <v>2020</v>
      </c>
      <c r="AD113" s="18" t="b">
        <f t="shared" si="10"/>
        <v>1</v>
      </c>
    </row>
    <row r="114" spans="1:30" ht="15" hidden="1" customHeight="1" x14ac:dyDescent="0.2">
      <c r="A114" s="7"/>
      <c r="B114" s="7" t="s">
        <v>708</v>
      </c>
      <c r="C114" s="2" t="s">
        <v>641</v>
      </c>
      <c r="D114" s="6" t="s">
        <v>649</v>
      </c>
      <c r="E114" s="32" t="s">
        <v>651</v>
      </c>
      <c r="F114" s="7"/>
      <c r="G114" s="7"/>
      <c r="H114" s="7"/>
      <c r="I114" s="7"/>
      <c r="J114" s="7"/>
      <c r="K114" s="7"/>
      <c r="L114" s="7" t="s">
        <v>662</v>
      </c>
      <c r="M114" s="8">
        <v>44013</v>
      </c>
      <c r="N114" s="8">
        <v>44013</v>
      </c>
      <c r="O114" s="13">
        <v>2406755.5499999998</v>
      </c>
      <c r="P114" s="13"/>
      <c r="Q114" s="33"/>
      <c r="R114" s="9"/>
      <c r="S114" s="9"/>
      <c r="T114" s="9"/>
      <c r="U114" s="9"/>
      <c r="X114" s="15" t="str">
        <f>IF(B114="",VLOOKUP(A114,items_lookup!A:B,2,FALSE),B114)</f>
        <v>03. Item 03</v>
      </c>
      <c r="Y114" s="15">
        <f t="shared" si="9"/>
        <v>7</v>
      </c>
      <c r="Z114" s="15">
        <f t="shared" si="9"/>
        <v>7</v>
      </c>
      <c r="AA114" s="15">
        <f t="shared" si="11"/>
        <v>2020</v>
      </c>
      <c r="AB114" s="15">
        <f t="shared" si="12"/>
        <v>2020</v>
      </c>
      <c r="AC114" s="15">
        <f t="shared" si="13"/>
        <v>2020</v>
      </c>
      <c r="AD114" s="18" t="b">
        <f t="shared" si="10"/>
        <v>1</v>
      </c>
    </row>
    <row r="115" spans="1:30" ht="12.75" hidden="1" customHeight="1" x14ac:dyDescent="0.2">
      <c r="A115" s="7" t="s">
        <v>670</v>
      </c>
      <c r="B115" s="7"/>
      <c r="C115" s="2" t="s">
        <v>641</v>
      </c>
      <c r="D115" s="6" t="s">
        <v>649</v>
      </c>
      <c r="E115" s="32" t="s">
        <v>651</v>
      </c>
      <c r="F115" s="7"/>
      <c r="G115" s="7"/>
      <c r="H115" s="7"/>
      <c r="I115" s="7"/>
      <c r="J115" s="7"/>
      <c r="K115" s="7"/>
      <c r="L115" s="7" t="s">
        <v>662</v>
      </c>
      <c r="M115" s="8">
        <v>44013</v>
      </c>
      <c r="N115" s="8">
        <v>44013</v>
      </c>
      <c r="O115" s="13">
        <v>5872380.9500000002</v>
      </c>
      <c r="P115" s="13"/>
      <c r="Q115" s="33"/>
      <c r="R115" s="9"/>
      <c r="S115" s="9"/>
      <c r="T115" s="9"/>
      <c r="U115" s="9"/>
      <c r="X115" s="15" t="str">
        <f>IF(B115="",VLOOKUP(A115,items_lookup!A:B,2,FALSE),B115)</f>
        <v>04. Item 04</v>
      </c>
      <c r="Y115" s="15">
        <f t="shared" si="9"/>
        <v>7</v>
      </c>
      <c r="Z115" s="15">
        <f t="shared" si="9"/>
        <v>7</v>
      </c>
      <c r="AA115" s="15">
        <f t="shared" si="11"/>
        <v>2020</v>
      </c>
      <c r="AB115" s="15">
        <f t="shared" si="12"/>
        <v>2020</v>
      </c>
      <c r="AC115" s="15">
        <f t="shared" si="13"/>
        <v>2020</v>
      </c>
      <c r="AD115" s="18" t="b">
        <f t="shared" si="10"/>
        <v>1</v>
      </c>
    </row>
    <row r="116" spans="1:30" ht="12.75" hidden="1" customHeight="1" x14ac:dyDescent="0.2">
      <c r="A116" s="7" t="s">
        <v>671</v>
      </c>
      <c r="B116" s="20"/>
      <c r="C116" s="2" t="s">
        <v>641</v>
      </c>
      <c r="D116" s="6" t="s">
        <v>649</v>
      </c>
      <c r="E116" s="32" t="s">
        <v>651</v>
      </c>
      <c r="F116" s="7"/>
      <c r="G116" s="7"/>
      <c r="H116" s="7"/>
      <c r="I116" s="7"/>
      <c r="J116" s="7"/>
      <c r="K116" s="7"/>
      <c r="L116" s="7" t="s">
        <v>662</v>
      </c>
      <c r="M116" s="8">
        <v>44013</v>
      </c>
      <c r="N116" s="8">
        <v>44013</v>
      </c>
      <c r="O116" s="13">
        <v>60476.19</v>
      </c>
      <c r="P116" s="13"/>
      <c r="Q116" s="33"/>
      <c r="R116" s="9"/>
      <c r="S116" s="9"/>
      <c r="T116" s="9"/>
      <c r="U116" s="9"/>
      <c r="X116" s="15" t="str">
        <f>IF(B116="",VLOOKUP(A116,items_lookup!A:B,2,FALSE),B116)</f>
        <v>05. Item 05</v>
      </c>
      <c r="Y116" s="15">
        <f t="shared" ref="Y116:Z163" si="14">MONTH(M116)</f>
        <v>7</v>
      </c>
      <c r="Z116" s="15">
        <f t="shared" si="14"/>
        <v>7</v>
      </c>
      <c r="AA116" s="15">
        <f t="shared" si="11"/>
        <v>2020</v>
      </c>
      <c r="AB116" s="15">
        <f t="shared" si="12"/>
        <v>2020</v>
      </c>
      <c r="AC116" s="15">
        <f t="shared" si="13"/>
        <v>2020</v>
      </c>
      <c r="AD116" s="18" t="b">
        <f t="shared" si="10"/>
        <v>1</v>
      </c>
    </row>
    <row r="117" spans="1:30" ht="12.75" hidden="1" customHeight="1" x14ac:dyDescent="0.2">
      <c r="A117" s="7" t="s">
        <v>677</v>
      </c>
      <c r="B117" s="20"/>
      <c r="C117" s="2" t="s">
        <v>641</v>
      </c>
      <c r="D117" s="6" t="s">
        <v>649</v>
      </c>
      <c r="E117" s="32" t="s">
        <v>651</v>
      </c>
      <c r="F117" s="7"/>
      <c r="G117" s="7"/>
      <c r="H117" s="7"/>
      <c r="I117" s="7"/>
      <c r="J117" s="7"/>
      <c r="K117" s="7"/>
      <c r="L117" s="7" t="s">
        <v>662</v>
      </c>
      <c r="M117" s="8">
        <v>44013</v>
      </c>
      <c r="N117" s="8">
        <v>44013</v>
      </c>
      <c r="O117" s="13">
        <v>7214285.71</v>
      </c>
      <c r="P117" s="13"/>
      <c r="Q117" s="33"/>
      <c r="R117" s="9"/>
      <c r="S117" s="9"/>
      <c r="T117" s="9"/>
      <c r="U117" s="9"/>
      <c r="X117" s="15" t="str">
        <f>IF(B117="",VLOOKUP(A117,items_lookup!A:B,2,FALSE),B117)</f>
        <v>11. Item 11</v>
      </c>
      <c r="Y117" s="15">
        <f t="shared" si="14"/>
        <v>7</v>
      </c>
      <c r="Z117" s="15">
        <f t="shared" si="14"/>
        <v>7</v>
      </c>
      <c r="AA117" s="15">
        <f t="shared" si="11"/>
        <v>2020</v>
      </c>
      <c r="AB117" s="15">
        <f t="shared" si="12"/>
        <v>2020</v>
      </c>
      <c r="AC117" s="15">
        <f t="shared" si="13"/>
        <v>2020</v>
      </c>
      <c r="AD117" s="18" t="b">
        <f t="shared" si="10"/>
        <v>1</v>
      </c>
    </row>
    <row r="118" spans="1:30" ht="12.75" hidden="1" customHeight="1" x14ac:dyDescent="0.2">
      <c r="A118" s="7" t="s">
        <v>676</v>
      </c>
      <c r="B118" s="20"/>
      <c r="C118" s="2" t="s">
        <v>641</v>
      </c>
      <c r="D118" s="6" t="s">
        <v>649</v>
      </c>
      <c r="E118" s="32" t="s">
        <v>651</v>
      </c>
      <c r="F118" s="7"/>
      <c r="G118" s="7"/>
      <c r="H118" s="7"/>
      <c r="I118" s="7"/>
      <c r="J118" s="7"/>
      <c r="K118" s="7"/>
      <c r="L118" s="7" t="s">
        <v>662</v>
      </c>
      <c r="M118" s="8">
        <v>44013</v>
      </c>
      <c r="N118" s="8">
        <v>44013</v>
      </c>
      <c r="O118" s="13">
        <v>343333.33</v>
      </c>
      <c r="P118" s="13"/>
      <c r="Q118" s="33"/>
      <c r="R118" s="9"/>
      <c r="S118" s="9"/>
      <c r="T118" s="9"/>
      <c r="U118" s="9"/>
      <c r="X118" s="15" t="str">
        <f>IF(B118="",VLOOKUP(A118,items_lookup!A:B,2,FALSE),B118)</f>
        <v>09. Item 09</v>
      </c>
      <c r="Y118" s="15">
        <f t="shared" si="14"/>
        <v>7</v>
      </c>
      <c r="Z118" s="15">
        <f t="shared" si="14"/>
        <v>7</v>
      </c>
      <c r="AA118" s="15">
        <f t="shared" si="11"/>
        <v>2020</v>
      </c>
      <c r="AB118" s="15">
        <f t="shared" si="12"/>
        <v>2020</v>
      </c>
      <c r="AC118" s="15">
        <f t="shared" si="13"/>
        <v>2020</v>
      </c>
      <c r="AD118" s="18" t="b">
        <f t="shared" si="10"/>
        <v>1</v>
      </c>
    </row>
    <row r="119" spans="1:30" ht="12.75" hidden="1" customHeight="1" x14ac:dyDescent="0.2">
      <c r="A119" s="7" t="s">
        <v>675</v>
      </c>
      <c r="B119" s="20"/>
      <c r="C119" s="2" t="s">
        <v>641</v>
      </c>
      <c r="D119" s="6" t="s">
        <v>649</v>
      </c>
      <c r="E119" s="32" t="s">
        <v>651</v>
      </c>
      <c r="F119" s="7"/>
      <c r="G119" s="7"/>
      <c r="H119" s="7"/>
      <c r="I119" s="7"/>
      <c r="J119" s="7"/>
      <c r="K119" s="7"/>
      <c r="L119" s="7" t="s">
        <v>662</v>
      </c>
      <c r="M119" s="8">
        <v>44013</v>
      </c>
      <c r="N119" s="8">
        <v>44013</v>
      </c>
      <c r="O119" s="13">
        <v>4714285.71</v>
      </c>
      <c r="P119" s="13"/>
      <c r="Q119" s="33"/>
      <c r="R119" s="9"/>
      <c r="S119" s="9"/>
      <c r="T119" s="9"/>
      <c r="U119" s="9"/>
      <c r="X119" s="15" t="str">
        <f>IF(B119="",VLOOKUP(A119,items_lookup!A:B,2,FALSE),B119)</f>
        <v>09. Item 09</v>
      </c>
      <c r="Y119" s="15">
        <f t="shared" si="14"/>
        <v>7</v>
      </c>
      <c r="Z119" s="15">
        <f t="shared" si="14"/>
        <v>7</v>
      </c>
      <c r="AA119" s="15">
        <f t="shared" si="11"/>
        <v>2020</v>
      </c>
      <c r="AB119" s="15">
        <f t="shared" si="12"/>
        <v>2020</v>
      </c>
      <c r="AC119" s="15">
        <f t="shared" si="13"/>
        <v>2020</v>
      </c>
      <c r="AD119" s="18" t="b">
        <f t="shared" si="10"/>
        <v>1</v>
      </c>
    </row>
    <row r="120" spans="1:30" ht="13.5" hidden="1" customHeight="1" x14ac:dyDescent="0.2">
      <c r="A120" s="7" t="s">
        <v>688</v>
      </c>
      <c r="B120" s="7" t="s">
        <v>712</v>
      </c>
      <c r="C120" s="2" t="s">
        <v>641</v>
      </c>
      <c r="D120" s="6" t="s">
        <v>649</v>
      </c>
      <c r="E120" s="32" t="s">
        <v>651</v>
      </c>
      <c r="F120" s="7"/>
      <c r="G120" s="7"/>
      <c r="H120" s="7"/>
      <c r="I120" s="7"/>
      <c r="J120" s="7"/>
      <c r="K120" s="7"/>
      <c r="L120" s="7" t="s">
        <v>662</v>
      </c>
      <c r="M120" s="8">
        <v>44013</v>
      </c>
      <c r="N120" s="8">
        <v>44013</v>
      </c>
      <c r="O120" s="13">
        <v>211904.76</v>
      </c>
      <c r="P120" s="13"/>
      <c r="Q120" s="33"/>
      <c r="R120" s="22"/>
      <c r="S120" s="22"/>
      <c r="T120" s="22"/>
      <c r="U120" s="22"/>
      <c r="X120" s="15" t="str">
        <f>IF(B120="",VLOOKUP(A120,items_lookup!A:B,2,FALSE),B120)</f>
        <v>10. Item 10</v>
      </c>
      <c r="Y120" s="15">
        <f t="shared" si="14"/>
        <v>7</v>
      </c>
      <c r="Z120" s="15">
        <f t="shared" si="14"/>
        <v>7</v>
      </c>
      <c r="AA120" s="15">
        <f t="shared" si="11"/>
        <v>2020</v>
      </c>
      <c r="AB120" s="15">
        <f t="shared" si="12"/>
        <v>2020</v>
      </c>
      <c r="AC120" s="15">
        <f t="shared" si="13"/>
        <v>2020</v>
      </c>
      <c r="AD120" s="18" t="b">
        <f t="shared" si="10"/>
        <v>1</v>
      </c>
    </row>
    <row r="121" spans="1:30" ht="13.5" hidden="1" customHeight="1" x14ac:dyDescent="0.2">
      <c r="A121" s="7" t="s">
        <v>682</v>
      </c>
      <c r="B121" s="7" t="s">
        <v>711</v>
      </c>
      <c r="C121" s="2" t="s">
        <v>641</v>
      </c>
      <c r="D121" s="6" t="s">
        <v>649</v>
      </c>
      <c r="E121" s="32" t="s">
        <v>651</v>
      </c>
      <c r="F121" s="7"/>
      <c r="G121" s="7"/>
      <c r="H121" s="7"/>
      <c r="I121" s="7"/>
      <c r="J121" s="7"/>
      <c r="K121" s="7"/>
      <c r="L121" s="7" t="s">
        <v>662</v>
      </c>
      <c r="M121" s="8">
        <v>44013</v>
      </c>
      <c r="N121" s="8">
        <v>44013</v>
      </c>
      <c r="O121" s="13">
        <v>285714.28999999998</v>
      </c>
      <c r="P121" s="13"/>
      <c r="Q121" s="33"/>
      <c r="R121" s="22"/>
      <c r="S121" s="22"/>
      <c r="T121" s="22"/>
      <c r="U121" s="22"/>
      <c r="X121" s="15" t="str">
        <f>IF(B121="",VLOOKUP(A121,items_lookup!A:B,2,FALSE),B121)</f>
        <v>12. Item 12</v>
      </c>
      <c r="Y121" s="15">
        <f t="shared" si="14"/>
        <v>7</v>
      </c>
      <c r="Z121" s="15">
        <f t="shared" si="14"/>
        <v>7</v>
      </c>
      <c r="AA121" s="15">
        <f t="shared" si="11"/>
        <v>2020</v>
      </c>
      <c r="AB121" s="15">
        <f t="shared" si="12"/>
        <v>2020</v>
      </c>
      <c r="AC121" s="15">
        <f t="shared" si="13"/>
        <v>2020</v>
      </c>
      <c r="AD121" s="18" t="b">
        <f t="shared" si="10"/>
        <v>1</v>
      </c>
    </row>
    <row r="122" spans="1:30" ht="13.5" hidden="1" customHeight="1" x14ac:dyDescent="0.2">
      <c r="A122" s="7" t="s">
        <v>683</v>
      </c>
      <c r="B122" s="7" t="s">
        <v>710</v>
      </c>
      <c r="C122" s="2" t="s">
        <v>641</v>
      </c>
      <c r="D122" s="6" t="s">
        <v>649</v>
      </c>
      <c r="E122" s="32" t="s">
        <v>651</v>
      </c>
      <c r="F122" s="7"/>
      <c r="G122" s="7"/>
      <c r="H122" s="7"/>
      <c r="I122" s="7"/>
      <c r="J122" s="7"/>
      <c r="K122" s="7"/>
      <c r="L122" s="7" t="s">
        <v>662</v>
      </c>
      <c r="M122" s="8">
        <v>44013</v>
      </c>
      <c r="N122" s="8">
        <v>44013</v>
      </c>
      <c r="O122" s="13">
        <v>2392857.14</v>
      </c>
      <c r="P122" s="13"/>
      <c r="Q122" s="33"/>
      <c r="R122" s="22"/>
      <c r="S122" s="22"/>
      <c r="T122" s="22"/>
      <c r="U122" s="22"/>
      <c r="X122" s="15" t="str">
        <f>IF(B122="",VLOOKUP(A122,items_lookup!A:B,2,FALSE),B122)</f>
        <v>13. Item 13</v>
      </c>
      <c r="Y122" s="15">
        <f t="shared" si="14"/>
        <v>7</v>
      </c>
      <c r="Z122" s="15">
        <f t="shared" si="14"/>
        <v>7</v>
      </c>
      <c r="AA122" s="15">
        <f t="shared" si="11"/>
        <v>2020</v>
      </c>
      <c r="AB122" s="15">
        <f t="shared" si="12"/>
        <v>2020</v>
      </c>
      <c r="AC122" s="15">
        <f t="shared" si="13"/>
        <v>2020</v>
      </c>
      <c r="AD122" s="18" t="b">
        <f t="shared" si="10"/>
        <v>1</v>
      </c>
    </row>
    <row r="123" spans="1:30" ht="12.75" hidden="1" customHeight="1" x14ac:dyDescent="0.2">
      <c r="A123" s="7" t="s">
        <v>671</v>
      </c>
      <c r="B123" s="20"/>
      <c r="C123" s="2" t="s">
        <v>641</v>
      </c>
      <c r="D123" s="6" t="s">
        <v>649</v>
      </c>
      <c r="E123" s="32" t="s">
        <v>651</v>
      </c>
      <c r="F123" s="7"/>
      <c r="G123" s="7"/>
      <c r="H123" s="7"/>
      <c r="I123" s="7"/>
      <c r="J123" s="7"/>
      <c r="K123" s="7"/>
      <c r="L123" s="7" t="s">
        <v>662</v>
      </c>
      <c r="M123" s="8">
        <v>44013</v>
      </c>
      <c r="N123" s="8">
        <v>44013</v>
      </c>
      <c r="O123" s="13">
        <v>2261904.7599999998</v>
      </c>
      <c r="P123" s="13"/>
      <c r="Q123" s="33"/>
      <c r="R123" s="9"/>
      <c r="S123" s="9"/>
      <c r="T123" s="9"/>
      <c r="U123" s="9"/>
      <c r="X123" s="15" t="str">
        <f>IF(B123="",VLOOKUP(A123,items_lookup!A:B,2,FALSE),B123)</f>
        <v>05. Item 05</v>
      </c>
      <c r="Y123" s="15">
        <f t="shared" si="14"/>
        <v>7</v>
      </c>
      <c r="Z123" s="15">
        <f t="shared" si="14"/>
        <v>7</v>
      </c>
      <c r="AA123" s="15">
        <f t="shared" si="11"/>
        <v>2020</v>
      </c>
      <c r="AB123" s="15">
        <f t="shared" si="12"/>
        <v>2020</v>
      </c>
      <c r="AC123" s="15">
        <f t="shared" si="13"/>
        <v>2020</v>
      </c>
      <c r="AD123" s="18" t="b">
        <f t="shared" si="10"/>
        <v>1</v>
      </c>
    </row>
    <row r="124" spans="1:30" ht="12.75" hidden="1" customHeight="1" x14ac:dyDescent="0.2">
      <c r="A124" s="7" t="s">
        <v>672</v>
      </c>
      <c r="B124" s="20"/>
      <c r="C124" s="2" t="s">
        <v>641</v>
      </c>
      <c r="D124" s="6" t="s">
        <v>649</v>
      </c>
      <c r="E124" s="32" t="s">
        <v>651</v>
      </c>
      <c r="F124" s="7"/>
      <c r="G124" s="7"/>
      <c r="H124" s="7"/>
      <c r="I124" s="7"/>
      <c r="J124" s="7"/>
      <c r="K124" s="7"/>
      <c r="L124" s="7" t="s">
        <v>662</v>
      </c>
      <c r="M124" s="8">
        <v>44013</v>
      </c>
      <c r="N124" s="8">
        <v>44013</v>
      </c>
      <c r="O124" s="13">
        <v>300000</v>
      </c>
      <c r="P124" s="13"/>
      <c r="Q124" s="33"/>
      <c r="R124" s="22"/>
      <c r="S124" s="22"/>
      <c r="T124" s="22"/>
      <c r="U124" s="22"/>
      <c r="X124" s="15" t="str">
        <f>IF(B124="",VLOOKUP(A124,items_lookup!A:B,2,FALSE),B124)</f>
        <v>05. Item 05</v>
      </c>
      <c r="Y124" s="15">
        <f t="shared" si="14"/>
        <v>7</v>
      </c>
      <c r="Z124" s="15">
        <f t="shared" si="14"/>
        <v>7</v>
      </c>
      <c r="AA124" s="15">
        <f t="shared" si="11"/>
        <v>2020</v>
      </c>
      <c r="AB124" s="15">
        <f t="shared" si="12"/>
        <v>2020</v>
      </c>
      <c r="AC124" s="15">
        <f t="shared" si="13"/>
        <v>2020</v>
      </c>
      <c r="AD124" s="18" t="b">
        <f t="shared" si="10"/>
        <v>1</v>
      </c>
    </row>
    <row r="125" spans="1:30" ht="13.5" hidden="1" customHeight="1" x14ac:dyDescent="0.2">
      <c r="A125" s="7" t="s">
        <v>673</v>
      </c>
      <c r="B125" s="7"/>
      <c r="C125" s="2" t="s">
        <v>641</v>
      </c>
      <c r="D125" s="6" t="s">
        <v>649</v>
      </c>
      <c r="E125" s="32" t="s">
        <v>651</v>
      </c>
      <c r="F125" s="7"/>
      <c r="G125" s="7"/>
      <c r="H125" s="7"/>
      <c r="I125" s="7"/>
      <c r="J125" s="7"/>
      <c r="K125" s="7"/>
      <c r="L125" s="7" t="s">
        <v>662</v>
      </c>
      <c r="M125" s="8">
        <v>44013</v>
      </c>
      <c r="N125" s="8">
        <v>44013</v>
      </c>
      <c r="O125" s="13">
        <v>116904.76</v>
      </c>
      <c r="P125" s="13"/>
      <c r="Q125" s="33"/>
      <c r="R125" s="9"/>
      <c r="S125" s="9"/>
      <c r="T125" s="9"/>
      <c r="U125" s="9"/>
      <c r="X125" s="15" t="str">
        <f>IF(B125="",VLOOKUP(A125,items_lookup!A:B,2,FALSE),B125)</f>
        <v>07. Item 07</v>
      </c>
      <c r="Y125" s="15">
        <f t="shared" si="14"/>
        <v>7</v>
      </c>
      <c r="Z125" s="15">
        <f t="shared" si="14"/>
        <v>7</v>
      </c>
      <c r="AA125" s="15">
        <f t="shared" si="11"/>
        <v>2020</v>
      </c>
      <c r="AB125" s="15">
        <f t="shared" si="12"/>
        <v>2020</v>
      </c>
      <c r="AC125" s="15">
        <f t="shared" si="13"/>
        <v>2020</v>
      </c>
      <c r="AD125" s="18" t="b">
        <f t="shared" si="10"/>
        <v>1</v>
      </c>
    </row>
    <row r="126" spans="1:30" ht="12.75" hidden="1" customHeight="1" x14ac:dyDescent="0.2">
      <c r="A126" s="7" t="s">
        <v>676</v>
      </c>
      <c r="B126" s="7"/>
      <c r="C126" s="2" t="s">
        <v>641</v>
      </c>
      <c r="D126" s="6" t="s">
        <v>650</v>
      </c>
      <c r="E126" s="32" t="s">
        <v>651</v>
      </c>
      <c r="F126" s="7"/>
      <c r="G126" s="7"/>
      <c r="H126" s="7"/>
      <c r="I126" s="7"/>
      <c r="J126" s="7"/>
      <c r="K126" s="7"/>
      <c r="L126" s="7" t="s">
        <v>662</v>
      </c>
      <c r="M126" s="8">
        <v>44013</v>
      </c>
      <c r="N126" s="8">
        <v>44013</v>
      </c>
      <c r="O126" s="13">
        <v>673809.52</v>
      </c>
      <c r="P126" s="13"/>
      <c r="Q126" s="33"/>
      <c r="R126" s="9"/>
      <c r="S126" s="9"/>
      <c r="T126" s="9"/>
      <c r="U126" s="9"/>
      <c r="X126" s="15" t="str">
        <f>IF(B126="",VLOOKUP(A126,items_lookup!A:B,2,FALSE),B126)</f>
        <v>09. Item 09</v>
      </c>
      <c r="Y126" s="15">
        <f t="shared" si="14"/>
        <v>7</v>
      </c>
      <c r="Z126" s="15">
        <f t="shared" si="14"/>
        <v>7</v>
      </c>
      <c r="AA126" s="15">
        <f t="shared" si="11"/>
        <v>2020</v>
      </c>
      <c r="AB126" s="15">
        <f t="shared" si="12"/>
        <v>2020</v>
      </c>
      <c r="AC126" s="15">
        <f t="shared" si="13"/>
        <v>2020</v>
      </c>
      <c r="AD126" s="18" t="b">
        <f t="shared" si="10"/>
        <v>1</v>
      </c>
    </row>
    <row r="127" spans="1:30" ht="12.75" hidden="1" customHeight="1" x14ac:dyDescent="0.2">
      <c r="A127" s="7" t="s">
        <v>675</v>
      </c>
      <c r="B127" s="7"/>
      <c r="C127" s="2" t="s">
        <v>641</v>
      </c>
      <c r="D127" s="6" t="s">
        <v>650</v>
      </c>
      <c r="E127" s="32" t="s">
        <v>651</v>
      </c>
      <c r="F127" s="7"/>
      <c r="G127" s="7"/>
      <c r="H127" s="7"/>
      <c r="I127" s="7"/>
      <c r="J127" s="7"/>
      <c r="K127" s="7"/>
      <c r="L127" s="7" t="s">
        <v>662</v>
      </c>
      <c r="M127" s="8">
        <v>44013</v>
      </c>
      <c r="N127" s="8">
        <v>44013</v>
      </c>
      <c r="O127" s="13">
        <v>40714.29</v>
      </c>
      <c r="P127" s="13"/>
      <c r="Q127" s="33"/>
      <c r="R127" s="22"/>
      <c r="S127" s="22"/>
      <c r="T127" s="22"/>
      <c r="U127" s="22"/>
      <c r="X127" s="15" t="str">
        <f>IF(B127="",VLOOKUP(A127,items_lookup!A:B,2,FALSE),B127)</f>
        <v>09. Item 09</v>
      </c>
      <c r="Y127" s="15">
        <f t="shared" si="14"/>
        <v>7</v>
      </c>
      <c r="Z127" s="15">
        <f t="shared" si="14"/>
        <v>7</v>
      </c>
      <c r="AA127" s="15">
        <f t="shared" si="11"/>
        <v>2020</v>
      </c>
      <c r="AB127" s="15">
        <f t="shared" si="12"/>
        <v>2020</v>
      </c>
      <c r="AC127" s="15">
        <f t="shared" si="13"/>
        <v>2020</v>
      </c>
      <c r="AD127" s="18" t="b">
        <f t="shared" si="10"/>
        <v>1</v>
      </c>
    </row>
    <row r="128" spans="1:30" ht="25.5" hidden="1" customHeight="1" x14ac:dyDescent="0.2">
      <c r="A128" s="7" t="s">
        <v>677</v>
      </c>
      <c r="B128" s="7"/>
      <c r="C128" s="2" t="s">
        <v>641</v>
      </c>
      <c r="D128" s="6" t="s">
        <v>650</v>
      </c>
      <c r="E128" s="32" t="s">
        <v>651</v>
      </c>
      <c r="F128" s="7"/>
      <c r="G128" s="7"/>
      <c r="H128" s="7"/>
      <c r="I128" s="7"/>
      <c r="J128" s="7"/>
      <c r="K128" s="7"/>
      <c r="L128" s="7" t="s">
        <v>662</v>
      </c>
      <c r="M128" s="8">
        <v>44013</v>
      </c>
      <c r="N128" s="8">
        <v>44013</v>
      </c>
      <c r="O128" s="13">
        <v>633095.24</v>
      </c>
      <c r="P128" s="13"/>
      <c r="Q128" s="33"/>
      <c r="R128" s="22"/>
      <c r="S128" s="22"/>
      <c r="T128" s="22"/>
      <c r="U128" s="22"/>
      <c r="X128" s="15" t="str">
        <f>IF(B128="",VLOOKUP(A128,items_lookup!A:B,2,FALSE),B128)</f>
        <v>11. Item 11</v>
      </c>
      <c r="Y128" s="15">
        <f t="shared" si="14"/>
        <v>7</v>
      </c>
      <c r="Z128" s="15">
        <f t="shared" si="14"/>
        <v>7</v>
      </c>
      <c r="AA128" s="15">
        <f t="shared" si="11"/>
        <v>2020</v>
      </c>
      <c r="AB128" s="15">
        <f t="shared" si="12"/>
        <v>2020</v>
      </c>
      <c r="AC128" s="15">
        <f t="shared" si="13"/>
        <v>2020</v>
      </c>
      <c r="AD128" s="18" t="b">
        <f t="shared" si="10"/>
        <v>1</v>
      </c>
    </row>
    <row r="129" spans="1:30" ht="12.6" hidden="1" customHeight="1" x14ac:dyDescent="0.2">
      <c r="A129" s="7" t="s">
        <v>668</v>
      </c>
      <c r="B129" s="20"/>
      <c r="C129" s="2" t="s">
        <v>642</v>
      </c>
      <c r="D129" s="6"/>
      <c r="E129" s="32" t="s">
        <v>651</v>
      </c>
      <c r="F129" s="7"/>
      <c r="G129" s="7"/>
      <c r="H129" s="7"/>
      <c r="I129" s="7"/>
      <c r="J129" s="7"/>
      <c r="K129" s="7"/>
      <c r="L129" s="7" t="s">
        <v>662</v>
      </c>
      <c r="M129" s="8">
        <v>44013</v>
      </c>
      <c r="N129" s="8">
        <v>44013</v>
      </c>
      <c r="O129" s="13">
        <v>8805690.4800000004</v>
      </c>
      <c r="P129" s="13"/>
      <c r="Q129" s="33"/>
      <c r="R129" s="9"/>
      <c r="S129" s="9"/>
      <c r="T129" s="9"/>
      <c r="U129" s="9"/>
      <c r="X129" s="15" t="str">
        <f>IF(B129="",VLOOKUP(A129,items_lookup!A:B,2,FALSE),B129)</f>
        <v>01. Item 01</v>
      </c>
      <c r="Y129" s="15">
        <f t="shared" si="14"/>
        <v>7</v>
      </c>
      <c r="Z129" s="15">
        <f t="shared" si="14"/>
        <v>7</v>
      </c>
      <c r="AA129" s="15">
        <f t="shared" si="11"/>
        <v>2020</v>
      </c>
      <c r="AB129" s="15">
        <f t="shared" si="12"/>
        <v>2020</v>
      </c>
      <c r="AC129" s="15">
        <f t="shared" si="13"/>
        <v>2020</v>
      </c>
      <c r="AD129" s="18" t="b">
        <f t="shared" si="10"/>
        <v>1</v>
      </c>
    </row>
    <row r="130" spans="1:30" ht="12.6" hidden="1" customHeight="1" x14ac:dyDescent="0.2">
      <c r="A130" s="7" t="s">
        <v>669</v>
      </c>
      <c r="B130" s="20"/>
      <c r="C130" s="2" t="s">
        <v>642</v>
      </c>
      <c r="D130" s="6"/>
      <c r="E130" s="32" t="s">
        <v>651</v>
      </c>
      <c r="F130" s="7"/>
      <c r="G130" s="7"/>
      <c r="H130" s="7"/>
      <c r="I130" s="7"/>
      <c r="J130" s="7"/>
      <c r="K130" s="7"/>
      <c r="L130" s="7" t="s">
        <v>662</v>
      </c>
      <c r="M130" s="8">
        <v>44013</v>
      </c>
      <c r="N130" s="8">
        <v>44013</v>
      </c>
      <c r="O130" s="13">
        <v>2171428.5699999998</v>
      </c>
      <c r="P130" s="13"/>
      <c r="Q130" s="33"/>
      <c r="R130" s="9"/>
      <c r="S130" s="9"/>
      <c r="T130" s="9"/>
      <c r="U130" s="9"/>
      <c r="X130" s="15" t="str">
        <f>IF(B130="",VLOOKUP(A130,items_lookup!A:B,2,FALSE),B130)</f>
        <v>02. Item 02</v>
      </c>
      <c r="Y130" s="15">
        <f t="shared" si="14"/>
        <v>7</v>
      </c>
      <c r="Z130" s="15">
        <f t="shared" si="14"/>
        <v>7</v>
      </c>
      <c r="AA130" s="15">
        <f t="shared" si="11"/>
        <v>2020</v>
      </c>
      <c r="AB130" s="15">
        <f t="shared" si="12"/>
        <v>2020</v>
      </c>
      <c r="AC130" s="15">
        <f t="shared" si="13"/>
        <v>2020</v>
      </c>
      <c r="AD130" s="18" t="b">
        <f t="shared" si="10"/>
        <v>1</v>
      </c>
    </row>
    <row r="131" spans="1:30" ht="12.6" hidden="1" customHeight="1" x14ac:dyDescent="0.2">
      <c r="A131" s="7" t="s">
        <v>687</v>
      </c>
      <c r="B131" s="7" t="s">
        <v>709</v>
      </c>
      <c r="C131" s="2" t="s">
        <v>642</v>
      </c>
      <c r="D131" s="6"/>
      <c r="E131" s="32" t="s">
        <v>651</v>
      </c>
      <c r="F131" s="7"/>
      <c r="G131" s="7"/>
      <c r="H131" s="7"/>
      <c r="I131" s="7"/>
      <c r="J131" s="7"/>
      <c r="K131" s="7"/>
      <c r="L131" s="7" t="s">
        <v>662</v>
      </c>
      <c r="M131" s="8">
        <v>44013</v>
      </c>
      <c r="N131" s="8">
        <v>44013</v>
      </c>
      <c r="O131" s="13">
        <v>5612904.7599999998</v>
      </c>
      <c r="P131" s="13"/>
      <c r="Q131" s="33"/>
      <c r="R131" s="22"/>
      <c r="S131" s="22"/>
      <c r="T131" s="22"/>
      <c r="U131" s="22"/>
      <c r="X131" s="15" t="str">
        <f>IF(B131="",VLOOKUP(A131,items_lookup!A:B,2,FALSE),B131)</f>
        <v>04. Item 04</v>
      </c>
      <c r="Y131" s="15">
        <f t="shared" si="14"/>
        <v>7</v>
      </c>
      <c r="Z131" s="15">
        <f t="shared" si="14"/>
        <v>7</v>
      </c>
      <c r="AA131" s="15">
        <f t="shared" si="11"/>
        <v>2020</v>
      </c>
      <c r="AB131" s="15">
        <f t="shared" si="12"/>
        <v>2020</v>
      </c>
      <c r="AC131" s="15">
        <f t="shared" si="13"/>
        <v>2020</v>
      </c>
      <c r="AD131" s="18" t="b">
        <f t="shared" ref="AD131:AD194" si="15">AND(ROUND(O131,2)=O131,ROUND(P131,2)=P131,OR(AND(O131&lt;&gt;0,L131="p"),AND(P131&lt;&gt;0,L131="f")),_xlfn.ISFORMULA(X131),_xlfn.ISFORMULA(Y131),_xlfn.ISFORMULA(Z131),_xlfn.ISFORMULA(AA131),_xlfn.ISFORMULA(AB131),_xlfn.ISFORMULA(AC131),NOT(_xlfn.ISFORMULA(O131)),NOT(_xlfn.ISFORMULA(P131)),M131&lt;&gt;0,N131&lt;&gt;0)</f>
        <v>1</v>
      </c>
    </row>
    <row r="132" spans="1:30" ht="12.6" hidden="1" customHeight="1" x14ac:dyDescent="0.2">
      <c r="A132" s="7" t="s">
        <v>674</v>
      </c>
      <c r="B132" s="7"/>
      <c r="C132" s="2" t="s">
        <v>642</v>
      </c>
      <c r="D132" s="6"/>
      <c r="E132" s="32" t="s">
        <v>651</v>
      </c>
      <c r="F132" s="7"/>
      <c r="G132" s="7"/>
      <c r="H132" s="7"/>
      <c r="I132" s="7"/>
      <c r="J132" s="7"/>
      <c r="K132" s="7"/>
      <c r="L132" s="7" t="s">
        <v>662</v>
      </c>
      <c r="M132" s="8">
        <v>44013</v>
      </c>
      <c r="N132" s="8">
        <v>44013</v>
      </c>
      <c r="O132" s="13">
        <v>5652904.7599999998</v>
      </c>
      <c r="P132" s="13"/>
      <c r="Q132" s="33"/>
      <c r="R132" s="9"/>
      <c r="S132" s="9"/>
      <c r="T132" s="9"/>
      <c r="U132" s="9"/>
      <c r="X132" s="15" t="str">
        <f>IF(B132="",VLOOKUP(A132,items_lookup!A:B,2,FALSE),B132)</f>
        <v>08. Item 08</v>
      </c>
      <c r="Y132" s="15">
        <f t="shared" si="14"/>
        <v>7</v>
      </c>
      <c r="Z132" s="15">
        <f t="shared" si="14"/>
        <v>7</v>
      </c>
      <c r="AA132" s="15">
        <f t="shared" si="11"/>
        <v>2020</v>
      </c>
      <c r="AB132" s="15">
        <f t="shared" si="12"/>
        <v>2020</v>
      </c>
      <c r="AC132" s="15">
        <f t="shared" si="13"/>
        <v>2020</v>
      </c>
      <c r="AD132" s="18" t="b">
        <f t="shared" si="15"/>
        <v>1</v>
      </c>
    </row>
    <row r="133" spans="1:30" ht="12.6" hidden="1" customHeight="1" x14ac:dyDescent="0.2">
      <c r="A133" s="7" t="s">
        <v>671</v>
      </c>
      <c r="B133" s="7"/>
      <c r="C133" s="2" t="s">
        <v>642</v>
      </c>
      <c r="D133" s="6"/>
      <c r="E133" s="32" t="s">
        <v>651</v>
      </c>
      <c r="F133" s="7"/>
      <c r="G133" s="7"/>
      <c r="H133" s="7"/>
      <c r="I133" s="7"/>
      <c r="J133" s="7"/>
      <c r="K133" s="7"/>
      <c r="L133" s="7" t="s">
        <v>662</v>
      </c>
      <c r="M133" s="8">
        <v>44013</v>
      </c>
      <c r="N133" s="8">
        <v>44013</v>
      </c>
      <c r="O133" s="13">
        <v>21476.19</v>
      </c>
      <c r="P133" s="13"/>
      <c r="Q133" s="33"/>
      <c r="R133" s="9"/>
      <c r="S133" s="9"/>
      <c r="T133" s="9"/>
      <c r="U133" s="9"/>
      <c r="X133" s="15" t="str">
        <f>IF(B133="",VLOOKUP(A133,items_lookup!A:B,2,FALSE),B133)</f>
        <v>05. Item 05</v>
      </c>
      <c r="Y133" s="15">
        <f t="shared" si="14"/>
        <v>7</v>
      </c>
      <c r="Z133" s="15">
        <f t="shared" si="14"/>
        <v>7</v>
      </c>
      <c r="AA133" s="15">
        <f t="shared" si="11"/>
        <v>2020</v>
      </c>
      <c r="AB133" s="15">
        <f t="shared" si="12"/>
        <v>2020</v>
      </c>
      <c r="AC133" s="15">
        <f t="shared" si="13"/>
        <v>2020</v>
      </c>
      <c r="AD133" s="18" t="b">
        <f t="shared" si="15"/>
        <v>1</v>
      </c>
    </row>
    <row r="134" spans="1:30" ht="13.5" hidden="1" customHeight="1" x14ac:dyDescent="0.2">
      <c r="A134" s="7" t="s">
        <v>683</v>
      </c>
      <c r="B134" s="7"/>
      <c r="C134" s="2" t="s">
        <v>642</v>
      </c>
      <c r="D134" s="6"/>
      <c r="E134" s="32" t="s">
        <v>651</v>
      </c>
      <c r="F134" s="7"/>
      <c r="G134" s="7"/>
      <c r="H134" s="7"/>
      <c r="I134" s="7"/>
      <c r="J134" s="7"/>
      <c r="K134" s="7"/>
      <c r="L134" s="7" t="s">
        <v>662</v>
      </c>
      <c r="M134" s="8">
        <v>44013</v>
      </c>
      <c r="N134" s="8">
        <v>44013</v>
      </c>
      <c r="O134" s="13">
        <v>40023.81</v>
      </c>
      <c r="P134" s="13"/>
      <c r="Q134" s="33"/>
      <c r="R134" s="9"/>
      <c r="S134" s="9"/>
      <c r="T134" s="9"/>
      <c r="U134" s="9"/>
      <c r="X134" s="15" t="str">
        <f>IF(B134="",VLOOKUP(A134,items_lookup!A:B,2,FALSE),B134)</f>
        <v>_1. Item _1</v>
      </c>
      <c r="Y134" s="15">
        <f t="shared" si="14"/>
        <v>7</v>
      </c>
      <c r="Z134" s="15">
        <f t="shared" si="14"/>
        <v>7</v>
      </c>
      <c r="AA134" s="15">
        <f t="shared" si="11"/>
        <v>2020</v>
      </c>
      <c r="AB134" s="15">
        <f t="shared" si="12"/>
        <v>2020</v>
      </c>
      <c r="AC134" s="15">
        <f t="shared" si="13"/>
        <v>2020</v>
      </c>
      <c r="AD134" s="18" t="b">
        <f t="shared" si="15"/>
        <v>1</v>
      </c>
    </row>
    <row r="135" spans="1:30" ht="12.6" hidden="1" customHeight="1" x14ac:dyDescent="0.2">
      <c r="A135" s="7" t="s">
        <v>686</v>
      </c>
      <c r="B135" s="7"/>
      <c r="C135" s="2" t="s">
        <v>642</v>
      </c>
      <c r="D135" s="6"/>
      <c r="E135" s="32" t="s">
        <v>651</v>
      </c>
      <c r="F135" s="7"/>
      <c r="G135" s="7"/>
      <c r="H135" s="7"/>
      <c r="I135" s="7"/>
      <c r="J135" s="7"/>
      <c r="K135" s="7"/>
      <c r="L135" s="7" t="s">
        <v>662</v>
      </c>
      <c r="M135" s="8">
        <v>44013</v>
      </c>
      <c r="N135" s="8">
        <v>44013</v>
      </c>
      <c r="O135" s="13">
        <v>118928.57</v>
      </c>
      <c r="P135" s="13"/>
      <c r="Q135" s="33"/>
      <c r="R135" s="9"/>
      <c r="S135" s="9"/>
      <c r="T135" s="9"/>
      <c r="U135" s="9"/>
      <c r="X135" s="15" t="str">
        <f>IF(B135="",VLOOKUP(A135,items_lookup!A:B,2,FALSE),B135)</f>
        <v>_2. Item _2</v>
      </c>
      <c r="Y135" s="15">
        <f t="shared" si="14"/>
        <v>7</v>
      </c>
      <c r="Z135" s="15">
        <f t="shared" si="14"/>
        <v>7</v>
      </c>
      <c r="AA135" s="15">
        <f t="shared" si="11"/>
        <v>2020</v>
      </c>
      <c r="AB135" s="15">
        <f t="shared" si="12"/>
        <v>2020</v>
      </c>
      <c r="AC135" s="15">
        <f t="shared" si="13"/>
        <v>2020</v>
      </c>
      <c r="AD135" s="18" t="b">
        <f t="shared" si="15"/>
        <v>1</v>
      </c>
    </row>
    <row r="136" spans="1:30" ht="12.6" hidden="1" customHeight="1" x14ac:dyDescent="0.2">
      <c r="A136" s="7" t="s">
        <v>673</v>
      </c>
      <c r="B136" s="7"/>
      <c r="C136" s="2" t="s">
        <v>642</v>
      </c>
      <c r="D136" s="6"/>
      <c r="E136" s="32" t="s">
        <v>651</v>
      </c>
      <c r="F136" s="7"/>
      <c r="G136" s="7"/>
      <c r="H136" s="7"/>
      <c r="I136" s="7"/>
      <c r="J136" s="7"/>
      <c r="K136" s="7"/>
      <c r="L136" s="7" t="s">
        <v>662</v>
      </c>
      <c r="M136" s="8">
        <v>44013</v>
      </c>
      <c r="N136" s="8">
        <v>44013</v>
      </c>
      <c r="O136" s="13">
        <v>954547.62</v>
      </c>
      <c r="P136" s="13"/>
      <c r="Q136" s="33"/>
      <c r="R136" s="9"/>
      <c r="S136" s="9"/>
      <c r="T136" s="9"/>
      <c r="U136" s="9"/>
      <c r="X136" s="15" t="str">
        <f>IF(B136="",VLOOKUP(A136,items_lookup!A:B,2,FALSE),B136)</f>
        <v>07. Item 07</v>
      </c>
      <c r="Y136" s="15">
        <f t="shared" si="14"/>
        <v>7</v>
      </c>
      <c r="Z136" s="15">
        <f t="shared" si="14"/>
        <v>7</v>
      </c>
      <c r="AA136" s="15">
        <f t="shared" si="11"/>
        <v>2020</v>
      </c>
      <c r="AB136" s="15">
        <f t="shared" si="12"/>
        <v>2020</v>
      </c>
      <c r="AC136" s="15">
        <f t="shared" si="13"/>
        <v>2020</v>
      </c>
      <c r="AD136" s="18" t="b">
        <f t="shared" si="15"/>
        <v>1</v>
      </c>
    </row>
    <row r="137" spans="1:30" ht="12.6" hidden="1" customHeight="1" x14ac:dyDescent="0.2">
      <c r="A137" s="7" t="s">
        <v>682</v>
      </c>
      <c r="B137" s="7" t="s">
        <v>711</v>
      </c>
      <c r="C137" s="2" t="s">
        <v>642</v>
      </c>
      <c r="D137" s="6"/>
      <c r="E137" s="32" t="s">
        <v>651</v>
      </c>
      <c r="F137" s="7"/>
      <c r="G137" s="7"/>
      <c r="H137" s="7"/>
      <c r="I137" s="7"/>
      <c r="J137" s="7"/>
      <c r="K137" s="7"/>
      <c r="L137" s="7" t="s">
        <v>662</v>
      </c>
      <c r="M137" s="8">
        <v>44013</v>
      </c>
      <c r="N137" s="8">
        <v>44013</v>
      </c>
      <c r="O137" s="13">
        <v>484261.9</v>
      </c>
      <c r="P137" s="13"/>
      <c r="Q137" s="33"/>
      <c r="R137" s="9"/>
      <c r="S137" s="9"/>
      <c r="T137" s="9"/>
      <c r="U137" s="9"/>
      <c r="X137" s="15" t="str">
        <f>IF(B137="",VLOOKUP(A137,items_lookup!A:B,2,FALSE),B137)</f>
        <v>12. Item 12</v>
      </c>
      <c r="Y137" s="15">
        <f t="shared" si="14"/>
        <v>7</v>
      </c>
      <c r="Z137" s="15">
        <f t="shared" si="14"/>
        <v>7</v>
      </c>
      <c r="AA137" s="15">
        <f t="shared" si="11"/>
        <v>2020</v>
      </c>
      <c r="AB137" s="15">
        <f t="shared" si="12"/>
        <v>2020</v>
      </c>
      <c r="AC137" s="15">
        <f t="shared" si="13"/>
        <v>2020</v>
      </c>
      <c r="AD137" s="18" t="b">
        <f t="shared" si="15"/>
        <v>1</v>
      </c>
    </row>
    <row r="138" spans="1:30" ht="12.6" hidden="1" customHeight="1" x14ac:dyDescent="0.2">
      <c r="A138" s="7" t="s">
        <v>672</v>
      </c>
      <c r="B138" s="20"/>
      <c r="C138" s="2" t="s">
        <v>642</v>
      </c>
      <c r="D138" s="6"/>
      <c r="E138" s="32" t="s">
        <v>651</v>
      </c>
      <c r="F138" s="7"/>
      <c r="G138" s="7"/>
      <c r="H138" s="7"/>
      <c r="I138" s="7"/>
      <c r="J138" s="7"/>
      <c r="K138" s="7"/>
      <c r="L138" s="7" t="s">
        <v>662</v>
      </c>
      <c r="M138" s="8">
        <v>43891</v>
      </c>
      <c r="N138" s="8">
        <v>43891</v>
      </c>
      <c r="O138" s="13">
        <v>3591261.9</v>
      </c>
      <c r="P138" s="13"/>
      <c r="Q138" s="33"/>
      <c r="R138" s="9"/>
      <c r="S138" s="9"/>
      <c r="T138" s="9"/>
      <c r="U138" s="9"/>
      <c r="X138" s="15" t="str">
        <f>IF(B138="",VLOOKUP(A138,items_lookup!A:B,2,FALSE),B138)</f>
        <v>05. Item 05</v>
      </c>
      <c r="Y138" s="15">
        <f t="shared" si="14"/>
        <v>3</v>
      </c>
      <c r="Z138" s="15">
        <f t="shared" si="14"/>
        <v>3</v>
      </c>
      <c r="AA138" s="15">
        <f t="shared" si="11"/>
        <v>2020</v>
      </c>
      <c r="AB138" s="15">
        <f t="shared" si="12"/>
        <v>2020</v>
      </c>
      <c r="AC138" s="15">
        <f t="shared" si="13"/>
        <v>2020</v>
      </c>
      <c r="AD138" s="18" t="b">
        <f t="shared" si="15"/>
        <v>1</v>
      </c>
    </row>
    <row r="139" spans="1:30" ht="12.6" hidden="1" customHeight="1" x14ac:dyDescent="0.2">
      <c r="A139" s="7" t="s">
        <v>668</v>
      </c>
      <c r="B139" s="7"/>
      <c r="C139" s="2" t="s">
        <v>641</v>
      </c>
      <c r="D139" s="6" t="s">
        <v>649</v>
      </c>
      <c r="E139" s="32" t="s">
        <v>651</v>
      </c>
      <c r="F139" s="7"/>
      <c r="G139" s="7"/>
      <c r="H139" s="7"/>
      <c r="I139" s="7"/>
      <c r="J139" s="7"/>
      <c r="K139" s="7"/>
      <c r="L139" s="7" t="s">
        <v>662</v>
      </c>
      <c r="M139" s="8">
        <v>44012</v>
      </c>
      <c r="N139" s="8">
        <v>44012</v>
      </c>
      <c r="O139" s="13">
        <v>40383333.329999998</v>
      </c>
      <c r="P139" s="13"/>
      <c r="Q139" s="33"/>
      <c r="R139" s="22"/>
      <c r="S139" s="22"/>
      <c r="T139" s="22"/>
      <c r="U139" s="22"/>
      <c r="X139" s="15" t="str">
        <f>IF(B139="",VLOOKUP(A139,items_lookup!A:B,2,FALSE),B139)</f>
        <v>01. Item 01</v>
      </c>
      <c r="Y139" s="15">
        <f t="shared" si="14"/>
        <v>6</v>
      </c>
      <c r="Z139" s="15">
        <f t="shared" si="14"/>
        <v>6</v>
      </c>
      <c r="AA139" s="15">
        <f t="shared" si="11"/>
        <v>2020</v>
      </c>
      <c r="AB139" s="15">
        <f t="shared" si="12"/>
        <v>2020</v>
      </c>
      <c r="AC139" s="15">
        <f t="shared" si="13"/>
        <v>2020</v>
      </c>
      <c r="AD139" s="18" t="b">
        <f t="shared" si="15"/>
        <v>1</v>
      </c>
    </row>
    <row r="140" spans="1:30" ht="15" hidden="1" customHeight="1" x14ac:dyDescent="0.2">
      <c r="A140" s="7" t="s">
        <v>669</v>
      </c>
      <c r="B140" s="7"/>
      <c r="C140" s="2" t="s">
        <v>641</v>
      </c>
      <c r="D140" s="6" t="s">
        <v>650</v>
      </c>
      <c r="E140" s="32" t="s">
        <v>651</v>
      </c>
      <c r="F140" s="7"/>
      <c r="G140" s="7"/>
      <c r="H140" s="7"/>
      <c r="I140" s="7"/>
      <c r="J140" s="7"/>
      <c r="K140" s="7"/>
      <c r="L140" s="7" t="s">
        <v>662</v>
      </c>
      <c r="M140" s="8">
        <v>44012</v>
      </c>
      <c r="N140" s="8">
        <v>44012</v>
      </c>
      <c r="O140" s="13">
        <v>40238.1</v>
      </c>
      <c r="P140" s="13"/>
      <c r="Q140" s="33"/>
      <c r="R140" s="22"/>
      <c r="S140" s="22"/>
      <c r="T140" s="22"/>
      <c r="U140" s="22"/>
      <c r="X140" s="15" t="str">
        <f>IF(B140="",VLOOKUP(A140,items_lookup!A:B,2,FALSE),B140)</f>
        <v>02. Item 02</v>
      </c>
      <c r="Y140" s="15">
        <f t="shared" si="14"/>
        <v>6</v>
      </c>
      <c r="Z140" s="15">
        <f t="shared" si="14"/>
        <v>6</v>
      </c>
      <c r="AA140" s="15">
        <f t="shared" si="11"/>
        <v>2020</v>
      </c>
      <c r="AB140" s="15">
        <f t="shared" si="12"/>
        <v>2020</v>
      </c>
      <c r="AC140" s="15">
        <f t="shared" si="13"/>
        <v>2020</v>
      </c>
      <c r="AD140" s="18" t="b">
        <f t="shared" si="15"/>
        <v>1</v>
      </c>
    </row>
    <row r="141" spans="1:30" ht="15" hidden="1" customHeight="1" x14ac:dyDescent="0.2">
      <c r="A141" s="7" t="s">
        <v>670</v>
      </c>
      <c r="B141" s="7" t="s">
        <v>708</v>
      </c>
      <c r="C141" s="2" t="s">
        <v>641</v>
      </c>
      <c r="D141" s="6" t="s">
        <v>649</v>
      </c>
      <c r="E141" s="32" t="s">
        <v>651</v>
      </c>
      <c r="F141" s="7"/>
      <c r="G141" s="7"/>
      <c r="H141" s="7"/>
      <c r="I141" s="7"/>
      <c r="J141" s="7"/>
      <c r="K141" s="7"/>
      <c r="L141" s="7" t="s">
        <v>662</v>
      </c>
      <c r="M141" s="8">
        <v>43983</v>
      </c>
      <c r="N141" s="8">
        <v>43983</v>
      </c>
      <c r="O141" s="13">
        <v>3607154.04</v>
      </c>
      <c r="P141" s="13"/>
      <c r="Q141" s="33"/>
      <c r="R141" s="9"/>
      <c r="S141" s="9"/>
      <c r="T141" s="9"/>
      <c r="U141" s="9"/>
      <c r="X141" s="15" t="str">
        <f>IF(B141="",VLOOKUP(A141,items_lookup!A:B,2,FALSE),B141)</f>
        <v>03. Item 03</v>
      </c>
      <c r="Y141" s="15">
        <f t="shared" si="14"/>
        <v>6</v>
      </c>
      <c r="Z141" s="15">
        <f t="shared" si="14"/>
        <v>6</v>
      </c>
      <c r="AA141" s="15">
        <f t="shared" si="11"/>
        <v>2020</v>
      </c>
      <c r="AB141" s="15">
        <f t="shared" si="12"/>
        <v>2020</v>
      </c>
      <c r="AC141" s="15">
        <f t="shared" si="13"/>
        <v>2020</v>
      </c>
      <c r="AD141" s="18" t="b">
        <f t="shared" si="15"/>
        <v>1</v>
      </c>
    </row>
    <row r="142" spans="1:30" ht="15" hidden="1" customHeight="1" x14ac:dyDescent="0.2">
      <c r="A142" s="7" t="s">
        <v>671</v>
      </c>
      <c r="B142" s="7" t="s">
        <v>709</v>
      </c>
      <c r="C142" s="2" t="s">
        <v>641</v>
      </c>
      <c r="D142" s="6" t="s">
        <v>649</v>
      </c>
      <c r="E142" s="32" t="s">
        <v>651</v>
      </c>
      <c r="F142" s="7"/>
      <c r="G142" s="7"/>
      <c r="H142" s="7"/>
      <c r="I142" s="7"/>
      <c r="J142" s="7"/>
      <c r="K142" s="7"/>
      <c r="L142" s="7" t="s">
        <v>662</v>
      </c>
      <c r="M142" s="8">
        <v>43983</v>
      </c>
      <c r="N142" s="8">
        <v>43983</v>
      </c>
      <c r="O142" s="13">
        <v>5000000</v>
      </c>
      <c r="P142" s="13"/>
      <c r="Q142" s="33"/>
      <c r="R142" s="9"/>
      <c r="S142" s="9"/>
      <c r="T142" s="9"/>
      <c r="U142" s="9"/>
      <c r="X142" s="15" t="str">
        <f>IF(B142="",VLOOKUP(A142,items_lookup!A:B,2,FALSE),B142)</f>
        <v>04. Item 04</v>
      </c>
      <c r="Y142" s="15">
        <f t="shared" si="14"/>
        <v>6</v>
      </c>
      <c r="Z142" s="15">
        <f t="shared" si="14"/>
        <v>6</v>
      </c>
      <c r="AA142" s="15">
        <f t="shared" si="11"/>
        <v>2020</v>
      </c>
      <c r="AB142" s="15">
        <f t="shared" si="12"/>
        <v>2020</v>
      </c>
      <c r="AC142" s="15">
        <f t="shared" si="13"/>
        <v>2020</v>
      </c>
      <c r="AD142" s="18" t="b">
        <f t="shared" si="15"/>
        <v>1</v>
      </c>
    </row>
    <row r="143" spans="1:30" ht="15" hidden="1" customHeight="1" x14ac:dyDescent="0.2">
      <c r="A143" s="7" t="s">
        <v>674</v>
      </c>
      <c r="B143" s="7"/>
      <c r="C143" s="2" t="s">
        <v>641</v>
      </c>
      <c r="D143" s="6" t="s">
        <v>649</v>
      </c>
      <c r="E143" s="32" t="s">
        <v>651</v>
      </c>
      <c r="F143" s="7"/>
      <c r="G143" s="7"/>
      <c r="H143" s="7"/>
      <c r="I143" s="7"/>
      <c r="J143" s="7"/>
      <c r="K143" s="7"/>
      <c r="L143" s="7" t="s">
        <v>662</v>
      </c>
      <c r="M143" s="8">
        <v>43983</v>
      </c>
      <c r="N143" s="8">
        <v>43983</v>
      </c>
      <c r="O143" s="13">
        <v>5689523.8099999996</v>
      </c>
      <c r="P143" s="13"/>
      <c r="Q143" s="33"/>
      <c r="R143" s="9"/>
      <c r="S143" s="9"/>
      <c r="T143" s="9"/>
      <c r="U143" s="9"/>
      <c r="X143" s="15" t="str">
        <f>IF(B143="",VLOOKUP(A143,items_lookup!A:B,2,FALSE),B143)</f>
        <v>08. Item 08</v>
      </c>
      <c r="Y143" s="15">
        <f t="shared" si="14"/>
        <v>6</v>
      </c>
      <c r="Z143" s="15">
        <f t="shared" si="14"/>
        <v>6</v>
      </c>
      <c r="AA143" s="15">
        <f t="shared" si="11"/>
        <v>2020</v>
      </c>
      <c r="AB143" s="15">
        <f t="shared" si="12"/>
        <v>2020</v>
      </c>
      <c r="AC143" s="15">
        <f t="shared" si="13"/>
        <v>2020</v>
      </c>
      <c r="AD143" s="18" t="b">
        <f t="shared" si="15"/>
        <v>1</v>
      </c>
    </row>
    <row r="144" spans="1:30" ht="15" hidden="1" customHeight="1" x14ac:dyDescent="0.2">
      <c r="A144" s="7" t="s">
        <v>677</v>
      </c>
      <c r="B144" s="20"/>
      <c r="C144" s="2" t="s">
        <v>641</v>
      </c>
      <c r="D144" s="6" t="s">
        <v>649</v>
      </c>
      <c r="E144" s="32" t="s">
        <v>651</v>
      </c>
      <c r="F144" s="7"/>
      <c r="G144" s="7"/>
      <c r="H144" s="7"/>
      <c r="I144" s="7"/>
      <c r="J144" s="7"/>
      <c r="K144" s="7"/>
      <c r="L144" s="7" t="s">
        <v>662</v>
      </c>
      <c r="M144" s="8">
        <v>43983</v>
      </c>
      <c r="N144" s="8">
        <v>43983</v>
      </c>
      <c r="O144" s="13">
        <v>83333.33</v>
      </c>
      <c r="P144" s="13"/>
      <c r="Q144" s="33"/>
      <c r="R144" s="9"/>
      <c r="S144" s="9"/>
      <c r="T144" s="9"/>
      <c r="U144" s="9"/>
      <c r="X144" s="15" t="str">
        <f>IF(B144="",VLOOKUP(A144,items_lookup!A:B,2,FALSE),B144)</f>
        <v>11. Item 11</v>
      </c>
      <c r="Y144" s="15">
        <f t="shared" si="14"/>
        <v>6</v>
      </c>
      <c r="Z144" s="15">
        <f t="shared" si="14"/>
        <v>6</v>
      </c>
      <c r="AA144" s="15">
        <f t="shared" si="11"/>
        <v>2020</v>
      </c>
      <c r="AB144" s="15">
        <f t="shared" si="12"/>
        <v>2020</v>
      </c>
      <c r="AC144" s="15">
        <f t="shared" si="13"/>
        <v>2020</v>
      </c>
      <c r="AD144" s="18" t="b">
        <f t="shared" si="15"/>
        <v>1</v>
      </c>
    </row>
    <row r="145" spans="1:30" ht="15" hidden="1" customHeight="1" x14ac:dyDescent="0.2">
      <c r="A145" s="7" t="s">
        <v>676</v>
      </c>
      <c r="B145" s="20"/>
      <c r="C145" s="2" t="s">
        <v>641</v>
      </c>
      <c r="D145" s="6" t="s">
        <v>649</v>
      </c>
      <c r="E145" s="32" t="s">
        <v>651</v>
      </c>
      <c r="F145" s="7"/>
      <c r="G145" s="7"/>
      <c r="H145" s="7"/>
      <c r="I145" s="7"/>
      <c r="J145" s="7"/>
      <c r="K145" s="7"/>
      <c r="L145" s="7" t="s">
        <v>662</v>
      </c>
      <c r="M145" s="8">
        <v>43983</v>
      </c>
      <c r="N145" s="8">
        <v>43983</v>
      </c>
      <c r="O145" s="13">
        <v>6107619.0499999998</v>
      </c>
      <c r="P145" s="13"/>
      <c r="Q145" s="33"/>
      <c r="R145" s="9"/>
      <c r="S145" s="9"/>
      <c r="T145" s="9"/>
      <c r="U145" s="9"/>
      <c r="X145" s="15" t="str">
        <f>IF(B145="",VLOOKUP(A145,items_lookup!A:B,2,FALSE),B145)</f>
        <v>09. Item 09</v>
      </c>
      <c r="Y145" s="15">
        <f t="shared" si="14"/>
        <v>6</v>
      </c>
      <c r="Z145" s="15">
        <f t="shared" si="14"/>
        <v>6</v>
      </c>
      <c r="AA145" s="15">
        <f t="shared" si="11"/>
        <v>2020</v>
      </c>
      <c r="AB145" s="15">
        <f t="shared" si="12"/>
        <v>2020</v>
      </c>
      <c r="AC145" s="15">
        <f t="shared" si="13"/>
        <v>2020</v>
      </c>
      <c r="AD145" s="18" t="b">
        <f t="shared" si="15"/>
        <v>1</v>
      </c>
    </row>
    <row r="146" spans="1:30" ht="15" hidden="1" customHeight="1" x14ac:dyDescent="0.2">
      <c r="A146" s="7" t="s">
        <v>675</v>
      </c>
      <c r="B146" s="20"/>
      <c r="C146" s="2" t="s">
        <v>641</v>
      </c>
      <c r="D146" s="6" t="s">
        <v>649</v>
      </c>
      <c r="E146" s="32" t="s">
        <v>651</v>
      </c>
      <c r="F146" s="7"/>
      <c r="G146" s="7"/>
      <c r="H146" s="7"/>
      <c r="I146" s="7"/>
      <c r="J146" s="7"/>
      <c r="K146" s="7"/>
      <c r="L146" s="7" t="s">
        <v>662</v>
      </c>
      <c r="M146" s="8">
        <v>43983</v>
      </c>
      <c r="N146" s="8">
        <v>43983</v>
      </c>
      <c r="O146" s="13">
        <v>9523.81</v>
      </c>
      <c r="P146" s="13"/>
      <c r="Q146" s="33"/>
      <c r="R146" s="22"/>
      <c r="S146" s="22"/>
      <c r="T146" s="22"/>
      <c r="U146" s="22"/>
      <c r="X146" s="15" t="str">
        <f>IF(B146="",VLOOKUP(A146,items_lookup!A:B,2,FALSE),B146)</f>
        <v>09. Item 09</v>
      </c>
      <c r="Y146" s="15">
        <f t="shared" si="14"/>
        <v>6</v>
      </c>
      <c r="Z146" s="15">
        <f t="shared" si="14"/>
        <v>6</v>
      </c>
      <c r="AA146" s="15">
        <f t="shared" si="11"/>
        <v>2020</v>
      </c>
      <c r="AB146" s="15">
        <f t="shared" si="12"/>
        <v>2020</v>
      </c>
      <c r="AC146" s="15">
        <f t="shared" si="13"/>
        <v>2020</v>
      </c>
      <c r="AD146" s="18" t="b">
        <f t="shared" si="15"/>
        <v>1</v>
      </c>
    </row>
    <row r="147" spans="1:30" ht="15" hidden="1" customHeight="1" x14ac:dyDescent="0.2">
      <c r="A147" s="7" t="s">
        <v>682</v>
      </c>
      <c r="B147" s="20"/>
      <c r="C147" s="2" t="s">
        <v>641</v>
      </c>
      <c r="D147" s="6" t="s">
        <v>649</v>
      </c>
      <c r="E147" s="32" t="s">
        <v>651</v>
      </c>
      <c r="F147" s="7"/>
      <c r="G147" s="7"/>
      <c r="H147" s="7"/>
      <c r="I147" s="7"/>
      <c r="J147" s="7"/>
      <c r="K147" s="7"/>
      <c r="L147" s="7" t="s">
        <v>662</v>
      </c>
      <c r="M147" s="8">
        <v>43983</v>
      </c>
      <c r="N147" s="8">
        <v>43983</v>
      </c>
      <c r="O147" s="13">
        <v>5952380.9500000002</v>
      </c>
      <c r="P147" s="13"/>
      <c r="Q147" s="33"/>
      <c r="R147" s="9"/>
      <c r="S147" s="9"/>
      <c r="T147" s="9"/>
      <c r="U147" s="9"/>
      <c r="X147" s="15" t="str">
        <f>IF(B147="",VLOOKUP(A147,items_lookup!A:B,2,FALSE),B147)</f>
        <v>06. Item 06</v>
      </c>
      <c r="Y147" s="15">
        <f t="shared" si="14"/>
        <v>6</v>
      </c>
      <c r="Z147" s="15">
        <f t="shared" si="14"/>
        <v>6</v>
      </c>
      <c r="AA147" s="15">
        <f t="shared" si="11"/>
        <v>2020</v>
      </c>
      <c r="AB147" s="15">
        <f t="shared" si="12"/>
        <v>2020</v>
      </c>
      <c r="AC147" s="15">
        <f t="shared" si="13"/>
        <v>2020</v>
      </c>
      <c r="AD147" s="18" t="b">
        <f t="shared" si="15"/>
        <v>1</v>
      </c>
    </row>
    <row r="148" spans="1:30" ht="15" hidden="1" customHeight="1" x14ac:dyDescent="0.2">
      <c r="A148" s="7" t="s">
        <v>682</v>
      </c>
      <c r="B148" s="20"/>
      <c r="C148" s="2" t="s">
        <v>641</v>
      </c>
      <c r="D148" s="6" t="s">
        <v>649</v>
      </c>
      <c r="E148" s="32" t="s">
        <v>651</v>
      </c>
      <c r="F148" s="7"/>
      <c r="G148" s="7"/>
      <c r="H148" s="7"/>
      <c r="I148" s="7"/>
      <c r="J148" s="7"/>
      <c r="K148" s="7"/>
      <c r="L148" s="7" t="s">
        <v>662</v>
      </c>
      <c r="M148" s="8">
        <v>43983</v>
      </c>
      <c r="N148" s="8">
        <v>43983</v>
      </c>
      <c r="O148" s="13">
        <v>31904.76</v>
      </c>
      <c r="P148" s="13"/>
      <c r="Q148" s="33"/>
      <c r="R148" s="22"/>
      <c r="S148" s="22"/>
      <c r="T148" s="22"/>
      <c r="U148" s="22"/>
      <c r="X148" s="15" t="str">
        <f>IF(B148="",VLOOKUP(A148,items_lookup!A:B,2,FALSE),B148)</f>
        <v>06. Item 06</v>
      </c>
      <c r="Y148" s="15">
        <f t="shared" si="14"/>
        <v>6</v>
      </c>
      <c r="Z148" s="15">
        <f t="shared" si="14"/>
        <v>6</v>
      </c>
      <c r="AA148" s="15">
        <f t="shared" si="11"/>
        <v>2020</v>
      </c>
      <c r="AB148" s="15">
        <f t="shared" si="12"/>
        <v>2020</v>
      </c>
      <c r="AC148" s="15">
        <f t="shared" si="13"/>
        <v>2020</v>
      </c>
      <c r="AD148" s="18" t="b">
        <f t="shared" si="15"/>
        <v>1</v>
      </c>
    </row>
    <row r="149" spans="1:30" ht="15" hidden="1" customHeight="1" x14ac:dyDescent="0.2">
      <c r="A149" s="7" t="s">
        <v>683</v>
      </c>
      <c r="B149" s="7" t="s">
        <v>712</v>
      </c>
      <c r="C149" s="2" t="s">
        <v>641</v>
      </c>
      <c r="D149" s="6" t="s">
        <v>649</v>
      </c>
      <c r="E149" s="32" t="s">
        <v>651</v>
      </c>
      <c r="F149" s="7"/>
      <c r="G149" s="7"/>
      <c r="H149" s="7"/>
      <c r="I149" s="7"/>
      <c r="J149" s="7"/>
      <c r="K149" s="7"/>
      <c r="L149" s="7" t="s">
        <v>662</v>
      </c>
      <c r="M149" s="8">
        <v>43983</v>
      </c>
      <c r="N149" s="8">
        <v>43983</v>
      </c>
      <c r="O149" s="13">
        <v>171428.57</v>
      </c>
      <c r="P149" s="13"/>
      <c r="Q149" s="33"/>
      <c r="R149" s="22"/>
      <c r="S149" s="22"/>
      <c r="T149" s="22"/>
      <c r="U149" s="22"/>
      <c r="X149" s="15" t="str">
        <f>IF(B149="",VLOOKUP(A149,items_lookup!A:B,2,FALSE),B149)</f>
        <v>10. Item 10</v>
      </c>
      <c r="Y149" s="15">
        <f t="shared" si="14"/>
        <v>6</v>
      </c>
      <c r="Z149" s="15">
        <f t="shared" si="14"/>
        <v>6</v>
      </c>
      <c r="AA149" s="15">
        <f t="shared" si="11"/>
        <v>2020</v>
      </c>
      <c r="AB149" s="15">
        <f t="shared" si="12"/>
        <v>2020</v>
      </c>
      <c r="AC149" s="15">
        <f t="shared" si="13"/>
        <v>2020</v>
      </c>
      <c r="AD149" s="18" t="b">
        <f t="shared" si="15"/>
        <v>1</v>
      </c>
    </row>
    <row r="150" spans="1:30" ht="15" hidden="1" customHeight="1" x14ac:dyDescent="0.2">
      <c r="A150" s="7" t="s">
        <v>683</v>
      </c>
      <c r="B150" s="7" t="s">
        <v>711</v>
      </c>
      <c r="C150" s="2" t="s">
        <v>641</v>
      </c>
      <c r="D150" s="6" t="s">
        <v>649</v>
      </c>
      <c r="E150" s="32" t="s">
        <v>651</v>
      </c>
      <c r="F150" s="7"/>
      <c r="G150" s="7"/>
      <c r="H150" s="7"/>
      <c r="I150" s="7"/>
      <c r="J150" s="7"/>
      <c r="K150" s="7"/>
      <c r="L150" s="7" t="s">
        <v>662</v>
      </c>
      <c r="M150" s="8">
        <v>43983</v>
      </c>
      <c r="N150" s="8">
        <v>43983</v>
      </c>
      <c r="O150" s="13">
        <v>373904.76</v>
      </c>
      <c r="P150" s="13"/>
      <c r="Q150" s="33"/>
      <c r="R150" s="22"/>
      <c r="S150" s="22"/>
      <c r="T150" s="22"/>
      <c r="U150" s="22"/>
      <c r="X150" s="15" t="str">
        <f>IF(B150="",VLOOKUP(A150,items_lookup!A:B,2,FALSE),B150)</f>
        <v>12. Item 12</v>
      </c>
      <c r="Y150" s="15">
        <f t="shared" si="14"/>
        <v>6</v>
      </c>
      <c r="Z150" s="15">
        <f t="shared" si="14"/>
        <v>6</v>
      </c>
      <c r="AA150" s="15">
        <f t="shared" si="11"/>
        <v>2020</v>
      </c>
      <c r="AB150" s="15">
        <f t="shared" si="12"/>
        <v>2020</v>
      </c>
      <c r="AC150" s="15">
        <f t="shared" si="13"/>
        <v>2020</v>
      </c>
      <c r="AD150" s="18" t="b">
        <f t="shared" si="15"/>
        <v>1</v>
      </c>
    </row>
    <row r="151" spans="1:30" ht="15" hidden="1" customHeight="1" x14ac:dyDescent="0.2">
      <c r="A151" s="7" t="s">
        <v>686</v>
      </c>
      <c r="B151" s="7" t="s">
        <v>710</v>
      </c>
      <c r="C151" s="2" t="s">
        <v>641</v>
      </c>
      <c r="D151" s="6" t="s">
        <v>649</v>
      </c>
      <c r="E151" s="32" t="s">
        <v>651</v>
      </c>
      <c r="F151" s="7"/>
      <c r="G151" s="7"/>
      <c r="H151" s="7"/>
      <c r="I151" s="7"/>
      <c r="J151" s="7"/>
      <c r="K151" s="7"/>
      <c r="L151" s="7" t="s">
        <v>662</v>
      </c>
      <c r="M151" s="8">
        <v>43983</v>
      </c>
      <c r="N151" s="8">
        <v>43983</v>
      </c>
      <c r="O151" s="13">
        <v>2642857.14</v>
      </c>
      <c r="P151" s="13"/>
      <c r="Q151" s="33"/>
      <c r="R151" s="22"/>
      <c r="S151" s="22"/>
      <c r="T151" s="22"/>
      <c r="U151" s="22"/>
      <c r="X151" s="15" t="str">
        <f>IF(B151="",VLOOKUP(A151,items_lookup!A:B,2,FALSE),B151)</f>
        <v>13. Item 13</v>
      </c>
      <c r="Y151" s="15">
        <f t="shared" si="14"/>
        <v>6</v>
      </c>
      <c r="Z151" s="15">
        <f t="shared" si="14"/>
        <v>6</v>
      </c>
      <c r="AA151" s="15">
        <f t="shared" si="11"/>
        <v>2020</v>
      </c>
      <c r="AB151" s="15">
        <f t="shared" si="12"/>
        <v>2020</v>
      </c>
      <c r="AC151" s="15">
        <f t="shared" si="13"/>
        <v>2020</v>
      </c>
      <c r="AD151" s="18" t="b">
        <f t="shared" si="15"/>
        <v>1</v>
      </c>
    </row>
    <row r="152" spans="1:30" ht="15" hidden="1" customHeight="1" x14ac:dyDescent="0.2">
      <c r="A152" s="7" t="s">
        <v>671</v>
      </c>
      <c r="B152" s="20"/>
      <c r="C152" s="2" t="s">
        <v>641</v>
      </c>
      <c r="D152" s="6" t="s">
        <v>649</v>
      </c>
      <c r="E152" s="32" t="s">
        <v>651</v>
      </c>
      <c r="F152" s="7"/>
      <c r="G152" s="7"/>
      <c r="H152" s="7"/>
      <c r="I152" s="7"/>
      <c r="J152" s="7"/>
      <c r="K152" s="7"/>
      <c r="L152" s="7" t="s">
        <v>662</v>
      </c>
      <c r="M152" s="8">
        <v>43983</v>
      </c>
      <c r="N152" s="8">
        <v>43983</v>
      </c>
      <c r="O152" s="13">
        <v>3690476.19</v>
      </c>
      <c r="P152" s="13"/>
      <c r="Q152" s="33"/>
      <c r="R152" s="9"/>
      <c r="S152" s="9"/>
      <c r="T152" s="9"/>
      <c r="U152" s="9"/>
      <c r="X152" s="15" t="str">
        <f>IF(B152="",VLOOKUP(A152,items_lookup!A:B,2,FALSE),B152)</f>
        <v>05. Item 05</v>
      </c>
      <c r="Y152" s="15">
        <f t="shared" si="14"/>
        <v>6</v>
      </c>
      <c r="Z152" s="15">
        <f t="shared" si="14"/>
        <v>6</v>
      </c>
      <c r="AA152" s="15">
        <f t="shared" ref="AA152:AA202" si="16">YEAR(N152)</f>
        <v>2020</v>
      </c>
      <c r="AB152" s="15">
        <f t="shared" ref="AB152:AB202" si="17">YEAR(M152)</f>
        <v>2020</v>
      </c>
      <c r="AC152" s="15">
        <f t="shared" ref="AC152:AC202" si="18">IF(F152="X",AA152-1,AA152)</f>
        <v>2020</v>
      </c>
      <c r="AD152" s="18" t="b">
        <f t="shared" si="15"/>
        <v>1</v>
      </c>
    </row>
    <row r="153" spans="1:30" ht="13.5" hidden="1" customHeight="1" x14ac:dyDescent="0.2">
      <c r="A153" s="7" t="s">
        <v>672</v>
      </c>
      <c r="B153" s="20"/>
      <c r="C153" s="2" t="s">
        <v>641</v>
      </c>
      <c r="D153" s="6" t="s">
        <v>649</v>
      </c>
      <c r="E153" s="32" t="s">
        <v>651</v>
      </c>
      <c r="F153" s="7"/>
      <c r="G153" s="7"/>
      <c r="H153" s="7"/>
      <c r="I153" s="7"/>
      <c r="J153" s="7"/>
      <c r="K153" s="7"/>
      <c r="L153" s="7" t="s">
        <v>662</v>
      </c>
      <c r="M153" s="8">
        <v>43983</v>
      </c>
      <c r="N153" s="8">
        <v>43983</v>
      </c>
      <c r="O153" s="13">
        <v>619047.62</v>
      </c>
      <c r="P153" s="13"/>
      <c r="Q153" s="33"/>
      <c r="R153" s="22"/>
      <c r="S153" s="22"/>
      <c r="T153" s="22"/>
      <c r="U153" s="22"/>
      <c r="X153" s="15" t="str">
        <f>IF(B153="",VLOOKUP(A153,items_lookup!A:B,2,FALSE),B153)</f>
        <v>05. Item 05</v>
      </c>
      <c r="Y153" s="15">
        <f t="shared" si="14"/>
        <v>6</v>
      </c>
      <c r="Z153" s="15">
        <f t="shared" si="14"/>
        <v>6</v>
      </c>
      <c r="AA153" s="15">
        <f t="shared" si="16"/>
        <v>2020</v>
      </c>
      <c r="AB153" s="15">
        <f t="shared" si="17"/>
        <v>2020</v>
      </c>
      <c r="AC153" s="15">
        <f t="shared" si="18"/>
        <v>2020</v>
      </c>
      <c r="AD153" s="18" t="b">
        <f t="shared" si="15"/>
        <v>1</v>
      </c>
    </row>
    <row r="154" spans="1:30" ht="13.5" hidden="1" customHeight="1" x14ac:dyDescent="0.2">
      <c r="A154" s="7" t="s">
        <v>673</v>
      </c>
      <c r="B154" s="7"/>
      <c r="C154" s="2" t="s">
        <v>641</v>
      </c>
      <c r="D154" s="6" t="s">
        <v>650</v>
      </c>
      <c r="E154" s="32" t="s">
        <v>651</v>
      </c>
      <c r="F154" s="7"/>
      <c r="G154" s="7"/>
      <c r="H154" s="7"/>
      <c r="I154" s="7"/>
      <c r="J154" s="7"/>
      <c r="K154" s="7"/>
      <c r="L154" s="7" t="s">
        <v>662</v>
      </c>
      <c r="M154" s="8">
        <v>43983</v>
      </c>
      <c r="N154" s="8">
        <v>43983</v>
      </c>
      <c r="O154" s="13">
        <v>579761.9</v>
      </c>
      <c r="P154" s="13"/>
      <c r="Q154" s="33"/>
      <c r="R154" s="9"/>
      <c r="S154" s="9"/>
      <c r="T154" s="9"/>
      <c r="U154" s="9"/>
      <c r="X154" s="15" t="str">
        <f>IF(B154="",VLOOKUP(A154,items_lookup!A:B,2,FALSE),B154)</f>
        <v>07. Item 07</v>
      </c>
      <c r="Y154" s="15">
        <f t="shared" si="14"/>
        <v>6</v>
      </c>
      <c r="Z154" s="15">
        <f t="shared" si="14"/>
        <v>6</v>
      </c>
      <c r="AA154" s="15">
        <f t="shared" si="16"/>
        <v>2020</v>
      </c>
      <c r="AB154" s="15">
        <f t="shared" si="17"/>
        <v>2020</v>
      </c>
      <c r="AC154" s="15">
        <f t="shared" si="18"/>
        <v>2020</v>
      </c>
      <c r="AD154" s="18" t="b">
        <f t="shared" si="15"/>
        <v>1</v>
      </c>
    </row>
    <row r="155" spans="1:30" ht="15" hidden="1" customHeight="1" x14ac:dyDescent="0.2">
      <c r="A155" s="7" t="s">
        <v>684</v>
      </c>
      <c r="B155" s="20"/>
      <c r="C155" s="2" t="s">
        <v>642</v>
      </c>
      <c r="D155" s="6"/>
      <c r="E155" s="32" t="s">
        <v>651</v>
      </c>
      <c r="F155" s="7"/>
      <c r="G155" s="7"/>
      <c r="H155" s="7"/>
      <c r="I155" s="7"/>
      <c r="J155" s="7"/>
      <c r="K155" s="7"/>
      <c r="L155" s="7" t="s">
        <v>662</v>
      </c>
      <c r="M155" s="8">
        <v>43983</v>
      </c>
      <c r="N155" s="8">
        <v>43983</v>
      </c>
      <c r="O155" s="13">
        <v>6964047.6200000001</v>
      </c>
      <c r="P155" s="13"/>
      <c r="Q155" s="33"/>
      <c r="R155" s="9"/>
      <c r="S155" s="9"/>
      <c r="T155" s="9"/>
      <c r="U155" s="9"/>
      <c r="X155" s="15" t="str">
        <f>IF(B155="",VLOOKUP(A155,items_lookup!A:B,2,FALSE),B155)</f>
        <v>09. Item 09</v>
      </c>
      <c r="Y155" s="15">
        <f t="shared" si="14"/>
        <v>6</v>
      </c>
      <c r="Z155" s="15">
        <f t="shared" si="14"/>
        <v>6</v>
      </c>
      <c r="AA155" s="15">
        <f t="shared" si="16"/>
        <v>2020</v>
      </c>
      <c r="AB155" s="15">
        <f t="shared" si="17"/>
        <v>2020</v>
      </c>
      <c r="AC155" s="15">
        <f t="shared" si="18"/>
        <v>2020</v>
      </c>
      <c r="AD155" s="18" t="b">
        <f t="shared" si="15"/>
        <v>1</v>
      </c>
    </row>
    <row r="156" spans="1:30" ht="12.75" hidden="1" customHeight="1" x14ac:dyDescent="0.2">
      <c r="A156" s="7" t="s">
        <v>676</v>
      </c>
      <c r="B156" s="20"/>
      <c r="C156" s="2" t="s">
        <v>641</v>
      </c>
      <c r="D156" s="6" t="s">
        <v>649</v>
      </c>
      <c r="E156" s="32" t="s">
        <v>651</v>
      </c>
      <c r="F156" s="7"/>
      <c r="G156" s="7"/>
      <c r="H156" s="7"/>
      <c r="I156" s="7"/>
      <c r="J156" s="7"/>
      <c r="K156" s="7"/>
      <c r="L156" s="7" t="s">
        <v>662</v>
      </c>
      <c r="M156" s="8">
        <v>43922</v>
      </c>
      <c r="N156" s="8">
        <v>43922</v>
      </c>
      <c r="O156" s="13">
        <v>1666666.67</v>
      </c>
      <c r="P156" s="13"/>
      <c r="Q156" s="33"/>
      <c r="R156" s="9"/>
      <c r="S156" s="9"/>
      <c r="T156" s="9"/>
      <c r="U156" s="9"/>
      <c r="X156" s="15" t="str">
        <f>IF(B156="",VLOOKUP(A156,items_lookup!A:B,2,FALSE),B156)</f>
        <v>09. Item 09</v>
      </c>
      <c r="Y156" s="15">
        <f t="shared" si="14"/>
        <v>4</v>
      </c>
      <c r="Z156" s="15">
        <f t="shared" si="14"/>
        <v>4</v>
      </c>
      <c r="AA156" s="15">
        <f t="shared" si="16"/>
        <v>2020</v>
      </c>
      <c r="AB156" s="15">
        <f t="shared" si="17"/>
        <v>2020</v>
      </c>
      <c r="AC156" s="15">
        <f t="shared" si="18"/>
        <v>2020</v>
      </c>
      <c r="AD156" s="18" t="b">
        <f t="shared" si="15"/>
        <v>1</v>
      </c>
    </row>
    <row r="157" spans="1:30" ht="12.75" hidden="1" customHeight="1" x14ac:dyDescent="0.2">
      <c r="A157" s="7" t="s">
        <v>675</v>
      </c>
      <c r="B157" s="20"/>
      <c r="C157" s="2" t="s">
        <v>642</v>
      </c>
      <c r="D157" s="6"/>
      <c r="E157" s="32" t="s">
        <v>651</v>
      </c>
      <c r="F157" s="7"/>
      <c r="G157" s="7"/>
      <c r="H157" s="7"/>
      <c r="I157" s="7"/>
      <c r="J157" s="7"/>
      <c r="K157" s="7"/>
      <c r="L157" s="7" t="s">
        <v>662</v>
      </c>
      <c r="M157" s="8">
        <v>43983</v>
      </c>
      <c r="N157" s="8">
        <v>43983</v>
      </c>
      <c r="O157" s="13">
        <v>75380.95</v>
      </c>
      <c r="P157" s="13"/>
      <c r="Q157" s="33"/>
      <c r="R157" s="9"/>
      <c r="S157" s="9"/>
      <c r="T157" s="9"/>
      <c r="U157" s="9"/>
      <c r="X157" s="15" t="str">
        <f>IF(B157="",VLOOKUP(A157,items_lookup!A:B,2,FALSE),B157)</f>
        <v>09. Item 09</v>
      </c>
      <c r="Y157" s="15">
        <f t="shared" si="14"/>
        <v>6</v>
      </c>
      <c r="Z157" s="15">
        <f t="shared" si="14"/>
        <v>6</v>
      </c>
      <c r="AA157" s="15">
        <f t="shared" si="16"/>
        <v>2020</v>
      </c>
      <c r="AB157" s="15">
        <f t="shared" si="17"/>
        <v>2020</v>
      </c>
      <c r="AC157" s="15">
        <f t="shared" si="18"/>
        <v>2020</v>
      </c>
      <c r="AD157" s="18" t="b">
        <f t="shared" si="15"/>
        <v>1</v>
      </c>
    </row>
    <row r="158" spans="1:30" ht="12.75" hidden="1" customHeight="1" x14ac:dyDescent="0.2">
      <c r="A158" s="7" t="s">
        <v>677</v>
      </c>
      <c r="B158" s="20"/>
      <c r="C158" s="2" t="s">
        <v>642</v>
      </c>
      <c r="D158" s="6"/>
      <c r="E158" s="32" t="s">
        <v>651</v>
      </c>
      <c r="F158" s="7"/>
      <c r="G158" s="7"/>
      <c r="H158" s="7"/>
      <c r="I158" s="7"/>
      <c r="J158" s="7"/>
      <c r="K158" s="7"/>
      <c r="L158" s="7" t="s">
        <v>662</v>
      </c>
      <c r="M158" s="8">
        <v>43983</v>
      </c>
      <c r="N158" s="8">
        <v>43983</v>
      </c>
      <c r="O158" s="13">
        <v>7804571.4299999997</v>
      </c>
      <c r="P158" s="13"/>
      <c r="Q158" s="33"/>
      <c r="R158" s="9"/>
      <c r="S158" s="9"/>
      <c r="T158" s="9"/>
      <c r="U158" s="9"/>
      <c r="X158" s="15" t="str">
        <f>IF(B158="",VLOOKUP(A158,items_lookup!A:B,2,FALSE),B158)</f>
        <v>11. Item 11</v>
      </c>
      <c r="Y158" s="15">
        <f t="shared" si="14"/>
        <v>6</v>
      </c>
      <c r="Z158" s="15">
        <f t="shared" si="14"/>
        <v>6</v>
      </c>
      <c r="AA158" s="15">
        <f t="shared" si="16"/>
        <v>2020</v>
      </c>
      <c r="AB158" s="15">
        <f t="shared" si="17"/>
        <v>2020</v>
      </c>
      <c r="AC158" s="15">
        <f t="shared" si="18"/>
        <v>2020</v>
      </c>
      <c r="AD158" s="18" t="b">
        <f t="shared" si="15"/>
        <v>1</v>
      </c>
    </row>
    <row r="159" spans="1:30" ht="12.75" hidden="1" customHeight="1" x14ac:dyDescent="0.2">
      <c r="A159" s="7"/>
      <c r="B159" s="7" t="s">
        <v>709</v>
      </c>
      <c r="C159" s="2" t="s">
        <v>642</v>
      </c>
      <c r="D159" s="6"/>
      <c r="E159" s="32" t="s">
        <v>651</v>
      </c>
      <c r="F159" s="7"/>
      <c r="G159" s="7"/>
      <c r="H159" s="7"/>
      <c r="I159" s="7"/>
      <c r="J159" s="7"/>
      <c r="K159" s="7"/>
      <c r="L159" s="7" t="s">
        <v>662</v>
      </c>
      <c r="M159" s="8">
        <v>43983</v>
      </c>
      <c r="N159" s="8">
        <v>43983</v>
      </c>
      <c r="O159" s="13">
        <v>3530023.81</v>
      </c>
      <c r="P159" s="13"/>
      <c r="Q159" s="33"/>
      <c r="R159" s="22"/>
      <c r="S159" s="22"/>
      <c r="T159" s="22"/>
      <c r="U159" s="22"/>
      <c r="X159" s="15" t="str">
        <f>IF(B159="",VLOOKUP(A159,items_lookup!A:B,2,FALSE),B159)</f>
        <v>04. Item 04</v>
      </c>
      <c r="Y159" s="15">
        <f t="shared" si="14"/>
        <v>6</v>
      </c>
      <c r="Z159" s="15">
        <f t="shared" si="14"/>
        <v>6</v>
      </c>
      <c r="AA159" s="15">
        <f t="shared" si="16"/>
        <v>2020</v>
      </c>
      <c r="AB159" s="15">
        <f t="shared" si="17"/>
        <v>2020</v>
      </c>
      <c r="AC159" s="15">
        <f t="shared" si="18"/>
        <v>2020</v>
      </c>
      <c r="AD159" s="18" t="b">
        <f t="shared" si="15"/>
        <v>1</v>
      </c>
    </row>
    <row r="160" spans="1:30" ht="12.75" hidden="1" customHeight="1" x14ac:dyDescent="0.2">
      <c r="A160" s="7" t="s">
        <v>681</v>
      </c>
      <c r="B160" s="7"/>
      <c r="C160" s="2" t="s">
        <v>642</v>
      </c>
      <c r="D160" s="6"/>
      <c r="E160" s="32" t="s">
        <v>651</v>
      </c>
      <c r="F160" s="7"/>
      <c r="G160" s="7"/>
      <c r="H160" s="7"/>
      <c r="I160" s="7"/>
      <c r="J160" s="7"/>
      <c r="K160" s="7"/>
      <c r="L160" s="7" t="s">
        <v>662</v>
      </c>
      <c r="M160" s="8">
        <v>43983</v>
      </c>
      <c r="N160" s="8">
        <v>43983</v>
      </c>
      <c r="O160" s="13">
        <v>987595.24</v>
      </c>
      <c r="P160" s="13"/>
      <c r="Q160" s="33"/>
      <c r="R160" s="9"/>
      <c r="S160" s="9"/>
      <c r="T160" s="9"/>
      <c r="U160" s="9"/>
      <c r="X160" s="15" t="str">
        <f>IF(B160="",VLOOKUP(A160,items_lookup!A:B,2,FALSE),B160)</f>
        <v>19. Item 19</v>
      </c>
      <c r="Y160" s="15">
        <f t="shared" si="14"/>
        <v>6</v>
      </c>
      <c r="Z160" s="15">
        <f t="shared" si="14"/>
        <v>6</v>
      </c>
      <c r="AA160" s="15">
        <f t="shared" si="16"/>
        <v>2020</v>
      </c>
      <c r="AB160" s="15">
        <f t="shared" si="17"/>
        <v>2020</v>
      </c>
      <c r="AC160" s="15">
        <f t="shared" si="18"/>
        <v>2020</v>
      </c>
      <c r="AD160" s="18" t="b">
        <f t="shared" si="15"/>
        <v>1</v>
      </c>
    </row>
    <row r="161" spans="1:30" ht="12.75" hidden="1" customHeight="1" x14ac:dyDescent="0.2">
      <c r="A161" s="7" t="s">
        <v>668</v>
      </c>
      <c r="B161" s="7"/>
      <c r="C161" s="2" t="s">
        <v>642</v>
      </c>
      <c r="D161" s="6"/>
      <c r="E161" s="32" t="s">
        <v>651</v>
      </c>
      <c r="F161" s="7"/>
      <c r="G161" s="7"/>
      <c r="H161" s="7"/>
      <c r="I161" s="7"/>
      <c r="J161" s="7"/>
      <c r="K161" s="7"/>
      <c r="L161" s="7" t="s">
        <v>662</v>
      </c>
      <c r="M161" s="8">
        <v>43983</v>
      </c>
      <c r="N161" s="8">
        <v>43983</v>
      </c>
      <c r="O161" s="13">
        <v>40023.81</v>
      </c>
      <c r="P161" s="13"/>
      <c r="Q161" s="33"/>
      <c r="R161" s="9"/>
      <c r="S161" s="9"/>
      <c r="T161" s="9"/>
      <c r="U161" s="9"/>
      <c r="X161" s="15" t="str">
        <f>IF(B161="",VLOOKUP(A161,items_lookup!A:B,2,FALSE),B161)</f>
        <v>01. Item 01</v>
      </c>
      <c r="Y161" s="15">
        <f t="shared" si="14"/>
        <v>6</v>
      </c>
      <c r="Z161" s="15">
        <f t="shared" si="14"/>
        <v>6</v>
      </c>
      <c r="AA161" s="15">
        <f t="shared" si="16"/>
        <v>2020</v>
      </c>
      <c r="AB161" s="15">
        <f t="shared" si="17"/>
        <v>2020</v>
      </c>
      <c r="AC161" s="15">
        <f t="shared" si="18"/>
        <v>2020</v>
      </c>
      <c r="AD161" s="18" t="b">
        <f t="shared" si="15"/>
        <v>1</v>
      </c>
    </row>
    <row r="162" spans="1:30" ht="12.75" hidden="1" customHeight="1" x14ac:dyDescent="0.2">
      <c r="A162" s="7" t="s">
        <v>669</v>
      </c>
      <c r="B162" s="7"/>
      <c r="C162" s="2" t="s">
        <v>642</v>
      </c>
      <c r="D162" s="6"/>
      <c r="E162" s="32" t="s">
        <v>651</v>
      </c>
      <c r="F162" s="7"/>
      <c r="G162" s="7"/>
      <c r="H162" s="7"/>
      <c r="I162" s="7"/>
      <c r="J162" s="7"/>
      <c r="K162" s="7"/>
      <c r="L162" s="7" t="s">
        <v>662</v>
      </c>
      <c r="M162" s="8">
        <v>43983</v>
      </c>
      <c r="N162" s="8">
        <v>43983</v>
      </c>
      <c r="O162" s="13">
        <v>461809.52</v>
      </c>
      <c r="P162" s="13"/>
      <c r="Q162" s="33"/>
      <c r="R162" s="9"/>
      <c r="S162" s="9"/>
      <c r="T162" s="9"/>
      <c r="U162" s="9"/>
      <c r="X162" s="15" t="str">
        <f>IF(B162="",VLOOKUP(A162,items_lookup!A:B,2,FALSE),B162)</f>
        <v>02. Item 02</v>
      </c>
      <c r="Y162" s="15">
        <f t="shared" si="14"/>
        <v>6</v>
      </c>
      <c r="Z162" s="15">
        <f t="shared" si="14"/>
        <v>6</v>
      </c>
      <c r="AA162" s="15">
        <f t="shared" si="16"/>
        <v>2020</v>
      </c>
      <c r="AB162" s="15">
        <f t="shared" si="17"/>
        <v>2020</v>
      </c>
      <c r="AC162" s="15">
        <f t="shared" si="18"/>
        <v>2020</v>
      </c>
      <c r="AD162" s="18" t="b">
        <f t="shared" si="15"/>
        <v>1</v>
      </c>
    </row>
    <row r="163" spans="1:30" ht="12.75" hidden="1" customHeight="1" x14ac:dyDescent="0.2">
      <c r="A163" s="7" t="s">
        <v>687</v>
      </c>
      <c r="B163" s="7"/>
      <c r="C163" s="2" t="s">
        <v>642</v>
      </c>
      <c r="D163" s="6"/>
      <c r="E163" s="32" t="s">
        <v>651</v>
      </c>
      <c r="F163" s="7"/>
      <c r="G163" s="7"/>
      <c r="H163" s="7"/>
      <c r="I163" s="7"/>
      <c r="J163" s="7"/>
      <c r="K163" s="7"/>
      <c r="L163" s="7" t="s">
        <v>662</v>
      </c>
      <c r="M163" s="8">
        <v>43983</v>
      </c>
      <c r="N163" s="8">
        <v>43983</v>
      </c>
      <c r="O163" s="13">
        <v>1353595.24</v>
      </c>
      <c r="P163" s="13"/>
      <c r="Q163" s="33"/>
      <c r="R163" s="9"/>
      <c r="S163" s="9"/>
      <c r="T163" s="9"/>
      <c r="U163" s="9"/>
      <c r="X163" s="15" t="str">
        <f>IF(B163="",VLOOKUP(A163,items_lookup!A:B,2,FALSE),B163)</f>
        <v>14. Item 14</v>
      </c>
      <c r="Y163" s="15">
        <f t="shared" si="14"/>
        <v>6</v>
      </c>
      <c r="Z163" s="15">
        <f t="shared" si="14"/>
        <v>6</v>
      </c>
      <c r="AA163" s="15">
        <f t="shared" si="16"/>
        <v>2020</v>
      </c>
      <c r="AB163" s="15">
        <f t="shared" si="17"/>
        <v>2020</v>
      </c>
      <c r="AC163" s="15">
        <f t="shared" si="18"/>
        <v>2020</v>
      </c>
      <c r="AD163" s="18" t="b">
        <f t="shared" si="15"/>
        <v>1</v>
      </c>
    </row>
    <row r="164" spans="1:30" ht="12.75" hidden="1" customHeight="1" x14ac:dyDescent="0.2">
      <c r="A164" s="7" t="s">
        <v>671</v>
      </c>
      <c r="B164" s="7" t="s">
        <v>711</v>
      </c>
      <c r="C164" s="2" t="s">
        <v>642</v>
      </c>
      <c r="D164" s="6"/>
      <c r="E164" s="32" t="s">
        <v>651</v>
      </c>
      <c r="F164" s="7"/>
      <c r="G164" s="7"/>
      <c r="H164" s="7"/>
      <c r="I164" s="7"/>
      <c r="J164" s="7"/>
      <c r="K164" s="7"/>
      <c r="L164" s="7" t="s">
        <v>662</v>
      </c>
      <c r="M164" s="8">
        <v>43983</v>
      </c>
      <c r="N164" s="8">
        <v>43983</v>
      </c>
      <c r="O164" s="13">
        <v>449357.14</v>
      </c>
      <c r="P164" s="13"/>
      <c r="Q164" s="33"/>
      <c r="R164" s="9"/>
      <c r="S164" s="9"/>
      <c r="T164" s="9"/>
      <c r="U164" s="9"/>
      <c r="X164" s="15" t="str">
        <f>IF(B164="",VLOOKUP(A164,items_lookup!A:B,2,FALSE),B164)</f>
        <v>12. Item 12</v>
      </c>
      <c r="Y164" s="15">
        <f t="shared" ref="Y164:Z214" si="19">MONTH(M164)</f>
        <v>6</v>
      </c>
      <c r="Z164" s="15">
        <f t="shared" si="19"/>
        <v>6</v>
      </c>
      <c r="AA164" s="15">
        <f t="shared" si="16"/>
        <v>2020</v>
      </c>
      <c r="AB164" s="15">
        <f t="shared" si="17"/>
        <v>2020</v>
      </c>
      <c r="AC164" s="15">
        <f t="shared" si="18"/>
        <v>2020</v>
      </c>
      <c r="AD164" s="18" t="b">
        <f t="shared" si="15"/>
        <v>1</v>
      </c>
    </row>
    <row r="165" spans="1:30" ht="25.5" hidden="1" customHeight="1" x14ac:dyDescent="0.2">
      <c r="A165" s="7" t="s">
        <v>673</v>
      </c>
      <c r="C165" s="2" t="s">
        <v>642</v>
      </c>
      <c r="D165" s="6"/>
      <c r="E165" s="32" t="s">
        <v>651</v>
      </c>
      <c r="H165" s="7"/>
      <c r="K165" s="7"/>
      <c r="L165" s="7" t="s">
        <v>662</v>
      </c>
      <c r="M165" s="8">
        <v>43983</v>
      </c>
      <c r="N165" s="8">
        <v>43983</v>
      </c>
      <c r="O165" s="14">
        <v>1560547.62</v>
      </c>
      <c r="Q165" s="33"/>
      <c r="R165" s="23"/>
      <c r="S165" s="23"/>
      <c r="T165" s="23"/>
      <c r="U165" s="23"/>
      <c r="X165" s="15" t="str">
        <f>IF(B165="",VLOOKUP(A165,items_lookup!A:B,2,FALSE),B165)</f>
        <v>07. Item 07</v>
      </c>
      <c r="Y165" s="15">
        <f t="shared" si="19"/>
        <v>6</v>
      </c>
      <c r="Z165" s="15">
        <f t="shared" si="19"/>
        <v>6</v>
      </c>
      <c r="AA165" s="15">
        <f t="shared" si="16"/>
        <v>2020</v>
      </c>
      <c r="AB165" s="15">
        <f t="shared" si="17"/>
        <v>2020</v>
      </c>
      <c r="AC165" s="15">
        <f t="shared" si="18"/>
        <v>2020</v>
      </c>
      <c r="AD165" s="18" t="b">
        <f t="shared" si="15"/>
        <v>1</v>
      </c>
    </row>
    <row r="166" spans="1:30" ht="25.5" hidden="1" customHeight="1" x14ac:dyDescent="0.2">
      <c r="A166" s="7" t="s">
        <v>682</v>
      </c>
      <c r="C166" s="2" t="s">
        <v>642</v>
      </c>
      <c r="D166" s="6"/>
      <c r="E166" s="32" t="s">
        <v>651</v>
      </c>
      <c r="H166" s="7"/>
      <c r="K166" s="7"/>
      <c r="L166" s="7" t="s">
        <v>663</v>
      </c>
      <c r="M166" s="8">
        <v>43983</v>
      </c>
      <c r="N166" s="8">
        <v>43983</v>
      </c>
      <c r="P166" s="14">
        <v>1132690.48</v>
      </c>
      <c r="Q166" s="33"/>
      <c r="R166" s="23"/>
      <c r="S166" s="23"/>
      <c r="T166" s="23"/>
      <c r="U166" s="23"/>
      <c r="X166" s="15" t="str">
        <f>IF(B166="",VLOOKUP(A166,items_lookup!A:B,2,FALSE),B166)</f>
        <v>06. Item 06</v>
      </c>
      <c r="Y166" s="15">
        <f t="shared" si="19"/>
        <v>6</v>
      </c>
      <c r="Z166" s="15">
        <f t="shared" si="19"/>
        <v>6</v>
      </c>
      <c r="AA166" s="15">
        <f t="shared" si="16"/>
        <v>2020</v>
      </c>
      <c r="AB166" s="15">
        <f t="shared" si="17"/>
        <v>2020</v>
      </c>
      <c r="AC166" s="15">
        <f t="shared" si="18"/>
        <v>2020</v>
      </c>
      <c r="AD166" s="18" t="b">
        <f t="shared" si="15"/>
        <v>1</v>
      </c>
    </row>
    <row r="167" spans="1:30" ht="25.5" hidden="1" customHeight="1" x14ac:dyDescent="0.2">
      <c r="A167" s="7" t="s">
        <v>672</v>
      </c>
      <c r="B167" s="20"/>
      <c r="C167" s="2" t="s">
        <v>642</v>
      </c>
      <c r="D167" s="6"/>
      <c r="E167" s="32" t="s">
        <v>651</v>
      </c>
      <c r="F167" s="7"/>
      <c r="G167" s="7"/>
      <c r="H167" s="7"/>
      <c r="I167" s="7"/>
      <c r="J167" s="7"/>
      <c r="K167" s="7"/>
      <c r="L167" s="7" t="s">
        <v>663</v>
      </c>
      <c r="M167" s="8">
        <v>43983</v>
      </c>
      <c r="N167" s="8">
        <v>43983</v>
      </c>
      <c r="O167" s="13"/>
      <c r="P167" s="13">
        <v>5826261.9000000004</v>
      </c>
      <c r="Q167" s="33"/>
      <c r="R167" s="9"/>
      <c r="S167" s="9"/>
      <c r="T167" s="9"/>
      <c r="U167" s="9"/>
      <c r="X167" s="15" t="str">
        <f>IF(B167="",VLOOKUP(A167,items_lookup!A:B,2,FALSE),B167)</f>
        <v>05. Item 05</v>
      </c>
      <c r="Y167" s="15">
        <f t="shared" si="19"/>
        <v>6</v>
      </c>
      <c r="Z167" s="15">
        <f t="shared" si="19"/>
        <v>6</v>
      </c>
      <c r="AA167" s="15">
        <f t="shared" si="16"/>
        <v>2020</v>
      </c>
      <c r="AB167" s="15">
        <f t="shared" si="17"/>
        <v>2020</v>
      </c>
      <c r="AC167" s="15">
        <f t="shared" si="18"/>
        <v>2020</v>
      </c>
      <c r="AD167" s="18" t="b">
        <f t="shared" si="15"/>
        <v>1</v>
      </c>
    </row>
    <row r="168" spans="1:30" ht="12.75" hidden="1" customHeight="1" x14ac:dyDescent="0.2">
      <c r="A168" s="7" t="s">
        <v>668</v>
      </c>
      <c r="B168" s="20"/>
      <c r="C168" s="2" t="s">
        <v>642</v>
      </c>
      <c r="D168" s="6"/>
      <c r="E168" s="32" t="s">
        <v>651</v>
      </c>
      <c r="F168" s="7"/>
      <c r="G168" s="7"/>
      <c r="H168" s="7"/>
      <c r="I168" s="7"/>
      <c r="J168" s="7"/>
      <c r="K168" s="7"/>
      <c r="L168" s="7" t="s">
        <v>663</v>
      </c>
      <c r="M168" s="8">
        <v>43983</v>
      </c>
      <c r="N168" s="8">
        <v>43983</v>
      </c>
      <c r="O168" s="13"/>
      <c r="P168" s="13">
        <v>64476.19</v>
      </c>
      <c r="Q168" s="33"/>
      <c r="R168" s="9"/>
      <c r="S168" s="9"/>
      <c r="T168" s="9"/>
      <c r="U168" s="9"/>
      <c r="X168" s="15" t="str">
        <f>IF(B168="",VLOOKUP(A168,items_lookup!A:B,2,FALSE),B168)</f>
        <v>01. Item 01</v>
      </c>
      <c r="Y168" s="15">
        <f t="shared" si="19"/>
        <v>6</v>
      </c>
      <c r="Z168" s="15">
        <f t="shared" si="19"/>
        <v>6</v>
      </c>
      <c r="AA168" s="15">
        <f t="shared" si="16"/>
        <v>2020</v>
      </c>
      <c r="AB168" s="15">
        <f t="shared" si="17"/>
        <v>2020</v>
      </c>
      <c r="AC168" s="15">
        <f t="shared" si="18"/>
        <v>2020</v>
      </c>
      <c r="AD168" s="18" t="b">
        <f t="shared" si="15"/>
        <v>1</v>
      </c>
    </row>
    <row r="169" spans="1:30" ht="12.75" hidden="1" customHeight="1" x14ac:dyDescent="0.2">
      <c r="A169" s="7" t="s">
        <v>669</v>
      </c>
      <c r="B169" s="20"/>
      <c r="C169" s="2" t="s">
        <v>642</v>
      </c>
      <c r="D169" s="6"/>
      <c r="E169" s="32" t="s">
        <v>651</v>
      </c>
      <c r="F169" s="7"/>
      <c r="G169" s="7"/>
      <c r="H169" s="7"/>
      <c r="I169" s="7"/>
      <c r="J169" s="7"/>
      <c r="K169" s="7"/>
      <c r="L169" s="7" t="s">
        <v>663</v>
      </c>
      <c r="M169" s="8">
        <v>43983</v>
      </c>
      <c r="N169" s="8">
        <v>43983</v>
      </c>
      <c r="O169" s="13"/>
      <c r="P169" s="13">
        <v>8141428.5700000003</v>
      </c>
      <c r="Q169" s="33"/>
      <c r="R169" s="9"/>
      <c r="S169" s="9"/>
      <c r="T169" s="9"/>
      <c r="U169" s="9"/>
      <c r="X169" s="15" t="str">
        <f>IF(B169="",VLOOKUP(A169,items_lookup!A:B,2,FALSE),B169)</f>
        <v>02. Item 02</v>
      </c>
      <c r="Y169" s="15">
        <f t="shared" si="19"/>
        <v>6</v>
      </c>
      <c r="Z169" s="15">
        <f t="shared" si="19"/>
        <v>6</v>
      </c>
      <c r="AA169" s="15">
        <f t="shared" si="16"/>
        <v>2020</v>
      </c>
      <c r="AB169" s="15">
        <f t="shared" si="17"/>
        <v>2020</v>
      </c>
      <c r="AC169" s="15">
        <f t="shared" si="18"/>
        <v>2020</v>
      </c>
      <c r="AD169" s="18" t="b">
        <f t="shared" si="15"/>
        <v>1</v>
      </c>
    </row>
    <row r="170" spans="1:30" ht="12.75" hidden="1" customHeight="1" x14ac:dyDescent="0.2">
      <c r="A170" s="7" t="s">
        <v>670</v>
      </c>
      <c r="B170" s="7" t="s">
        <v>709</v>
      </c>
      <c r="C170" s="2" t="s">
        <v>642</v>
      </c>
      <c r="D170" s="6"/>
      <c r="E170" s="32" t="s">
        <v>651</v>
      </c>
      <c r="F170" s="7"/>
      <c r="G170" s="7"/>
      <c r="H170" s="7"/>
      <c r="I170" s="7"/>
      <c r="J170" s="7"/>
      <c r="K170" s="7"/>
      <c r="L170" s="7" t="s">
        <v>663</v>
      </c>
      <c r="M170" s="8">
        <v>43983</v>
      </c>
      <c r="N170" s="8">
        <v>43983</v>
      </c>
      <c r="O170" s="13"/>
      <c r="P170" s="13">
        <v>3404976.19</v>
      </c>
      <c r="Q170" s="33"/>
      <c r="R170" s="22"/>
      <c r="S170" s="22"/>
      <c r="T170" s="22"/>
      <c r="U170" s="22"/>
      <c r="X170" s="15" t="str">
        <f>IF(B170="",VLOOKUP(A170,items_lookup!A:B,2,FALSE),B170)</f>
        <v>04. Item 04</v>
      </c>
      <c r="Y170" s="15">
        <f t="shared" si="19"/>
        <v>6</v>
      </c>
      <c r="Z170" s="15">
        <f t="shared" si="19"/>
        <v>6</v>
      </c>
      <c r="AA170" s="15">
        <f t="shared" si="16"/>
        <v>2020</v>
      </c>
      <c r="AB170" s="15">
        <f t="shared" si="17"/>
        <v>2020</v>
      </c>
      <c r="AC170" s="15">
        <f t="shared" si="18"/>
        <v>2020</v>
      </c>
      <c r="AD170" s="18" t="b">
        <f t="shared" si="15"/>
        <v>1</v>
      </c>
    </row>
    <row r="171" spans="1:30" ht="81" hidden="1" customHeight="1" x14ac:dyDescent="0.2">
      <c r="A171" s="7" t="s">
        <v>671</v>
      </c>
      <c r="B171" s="7"/>
      <c r="C171" s="2" t="s">
        <v>642</v>
      </c>
      <c r="D171" s="6"/>
      <c r="E171" s="32" t="s">
        <v>651</v>
      </c>
      <c r="F171" s="7"/>
      <c r="G171" s="7"/>
      <c r="H171" s="7"/>
      <c r="I171" s="7"/>
      <c r="J171" s="7"/>
      <c r="K171" s="7"/>
      <c r="L171" s="7" t="s">
        <v>663</v>
      </c>
      <c r="M171" s="8">
        <v>43983</v>
      </c>
      <c r="N171" s="8">
        <v>43983</v>
      </c>
      <c r="O171" s="13"/>
      <c r="P171" s="13">
        <v>5421952.3799999999</v>
      </c>
      <c r="Q171" s="33"/>
      <c r="R171" s="9"/>
      <c r="S171" s="9"/>
      <c r="T171" s="9"/>
      <c r="U171" s="9"/>
      <c r="X171" s="15" t="str">
        <f>IF(B171="",VLOOKUP(A171,items_lookup!A:B,2,FALSE),B171)</f>
        <v>05. Item 05</v>
      </c>
      <c r="Y171" s="15">
        <f t="shared" si="19"/>
        <v>6</v>
      </c>
      <c r="Z171" s="15">
        <f t="shared" si="19"/>
        <v>6</v>
      </c>
      <c r="AA171" s="15">
        <f t="shared" si="16"/>
        <v>2020</v>
      </c>
      <c r="AB171" s="15">
        <f t="shared" si="17"/>
        <v>2020</v>
      </c>
      <c r="AC171" s="15">
        <f t="shared" si="18"/>
        <v>2020</v>
      </c>
      <c r="AD171" s="18" t="b">
        <f t="shared" si="15"/>
        <v>1</v>
      </c>
    </row>
    <row r="172" spans="1:30" ht="12.75" hidden="1" customHeight="1" x14ac:dyDescent="0.2">
      <c r="A172" s="7" t="s">
        <v>674</v>
      </c>
      <c r="B172" s="7"/>
      <c r="C172" s="2" t="s">
        <v>642</v>
      </c>
      <c r="D172" s="6"/>
      <c r="E172" s="32" t="s">
        <v>651</v>
      </c>
      <c r="F172" s="7"/>
      <c r="G172" s="7"/>
      <c r="H172" s="7"/>
      <c r="I172" s="7"/>
      <c r="J172" s="7"/>
      <c r="K172" s="7"/>
      <c r="L172" s="7" t="s">
        <v>663</v>
      </c>
      <c r="M172" s="8">
        <v>43983</v>
      </c>
      <c r="N172" s="8">
        <v>43983</v>
      </c>
      <c r="O172" s="13"/>
      <c r="P172" s="13">
        <v>97500</v>
      </c>
      <c r="Q172" s="33"/>
      <c r="R172" s="9"/>
      <c r="S172" s="9"/>
      <c r="T172" s="9"/>
      <c r="U172" s="9"/>
      <c r="X172" s="15" t="str">
        <f>IF(B172="",VLOOKUP(A172,items_lookup!A:B,2,FALSE),B172)</f>
        <v>08. Item 08</v>
      </c>
      <c r="Y172" s="15">
        <f t="shared" si="19"/>
        <v>6</v>
      </c>
      <c r="Z172" s="15">
        <f t="shared" si="19"/>
        <v>6</v>
      </c>
      <c r="AA172" s="15">
        <f t="shared" si="16"/>
        <v>2020</v>
      </c>
      <c r="AB172" s="15">
        <f t="shared" si="17"/>
        <v>2020</v>
      </c>
      <c r="AC172" s="15">
        <f t="shared" si="18"/>
        <v>2020</v>
      </c>
      <c r="AD172" s="18" t="b">
        <f t="shared" si="15"/>
        <v>1</v>
      </c>
    </row>
    <row r="173" spans="1:30" ht="12.75" hidden="1" customHeight="1" x14ac:dyDescent="0.2">
      <c r="A173" s="7" t="s">
        <v>677</v>
      </c>
      <c r="B173" s="7"/>
      <c r="C173" s="2" t="s">
        <v>642</v>
      </c>
      <c r="D173" s="6"/>
      <c r="E173" s="32" t="s">
        <v>651</v>
      </c>
      <c r="F173" s="7"/>
      <c r="G173" s="7"/>
      <c r="H173" s="7"/>
      <c r="I173" s="7"/>
      <c r="J173" s="7"/>
      <c r="K173" s="7"/>
      <c r="L173" s="7" t="s">
        <v>663</v>
      </c>
      <c r="M173" s="8">
        <v>43983</v>
      </c>
      <c r="N173" s="8">
        <v>43983</v>
      </c>
      <c r="O173" s="13"/>
      <c r="P173" s="13">
        <v>26380.95</v>
      </c>
      <c r="Q173" s="33"/>
      <c r="R173" s="9"/>
      <c r="S173" s="9"/>
      <c r="T173" s="9"/>
      <c r="U173" s="9"/>
      <c r="X173" s="15" t="str">
        <f>IF(B173="",VLOOKUP(A173,items_lookup!A:B,2,FALSE),B173)</f>
        <v>11. Item 11</v>
      </c>
      <c r="Y173" s="15">
        <f t="shared" si="19"/>
        <v>6</v>
      </c>
      <c r="Z173" s="15">
        <f t="shared" si="19"/>
        <v>6</v>
      </c>
      <c r="AA173" s="15">
        <f t="shared" si="16"/>
        <v>2020</v>
      </c>
      <c r="AB173" s="15">
        <f t="shared" si="17"/>
        <v>2020</v>
      </c>
      <c r="AC173" s="15">
        <f t="shared" si="18"/>
        <v>2020</v>
      </c>
      <c r="AD173" s="18" t="b">
        <f t="shared" si="15"/>
        <v>1</v>
      </c>
    </row>
    <row r="174" spans="1:30" ht="12.75" hidden="1" customHeight="1" x14ac:dyDescent="0.2">
      <c r="A174" s="7" t="s">
        <v>676</v>
      </c>
      <c r="B174" s="7"/>
      <c r="C174" s="2" t="s">
        <v>642</v>
      </c>
      <c r="D174" s="6"/>
      <c r="E174" s="32" t="s">
        <v>651</v>
      </c>
      <c r="F174" s="7"/>
      <c r="G174" s="7"/>
      <c r="H174" s="7"/>
      <c r="I174" s="7"/>
      <c r="J174" s="7"/>
      <c r="K174" s="7"/>
      <c r="L174" s="7" t="s">
        <v>663</v>
      </c>
      <c r="M174" s="8">
        <v>43983</v>
      </c>
      <c r="N174" s="8">
        <v>43983</v>
      </c>
      <c r="O174" s="13"/>
      <c r="P174" s="13">
        <v>383166.67</v>
      </c>
      <c r="Q174" s="33"/>
      <c r="R174" s="9"/>
      <c r="S174" s="9"/>
      <c r="T174" s="9"/>
      <c r="U174" s="9"/>
      <c r="X174" s="15" t="str">
        <f>IF(B174="",VLOOKUP(A174,items_lookup!A:B,2,FALSE),B174)</f>
        <v>09. Item 09</v>
      </c>
      <c r="Y174" s="15">
        <f t="shared" si="19"/>
        <v>6</v>
      </c>
      <c r="Z174" s="15">
        <f t="shared" si="19"/>
        <v>6</v>
      </c>
      <c r="AA174" s="15">
        <f t="shared" si="16"/>
        <v>2020</v>
      </c>
      <c r="AB174" s="15">
        <f t="shared" si="17"/>
        <v>2020</v>
      </c>
      <c r="AC174" s="15">
        <f t="shared" si="18"/>
        <v>2020</v>
      </c>
      <c r="AD174" s="18" t="b">
        <f t="shared" si="15"/>
        <v>1</v>
      </c>
    </row>
    <row r="175" spans="1:30" ht="12.75" hidden="1" customHeight="1" x14ac:dyDescent="0.2">
      <c r="A175" s="7" t="s">
        <v>675</v>
      </c>
      <c r="B175" s="7"/>
      <c r="C175" s="2" t="s">
        <v>642</v>
      </c>
      <c r="D175" s="6"/>
      <c r="E175" s="32" t="s">
        <v>651</v>
      </c>
      <c r="F175" s="7"/>
      <c r="G175" s="7"/>
      <c r="H175" s="7"/>
      <c r="I175" s="7"/>
      <c r="J175" s="7"/>
      <c r="K175" s="7"/>
      <c r="L175" s="7" t="s">
        <v>663</v>
      </c>
      <c r="M175" s="8">
        <v>43983</v>
      </c>
      <c r="N175" s="8">
        <v>43983</v>
      </c>
      <c r="O175" s="13"/>
      <c r="P175" s="13">
        <v>3795833.33</v>
      </c>
      <c r="Q175" s="33"/>
      <c r="R175" s="9"/>
      <c r="S175" s="9"/>
      <c r="T175" s="9"/>
      <c r="U175" s="9"/>
      <c r="X175" s="15" t="str">
        <f>IF(B175="",VLOOKUP(A175,items_lookup!A:B,2,FALSE),B175)</f>
        <v>09. Item 09</v>
      </c>
      <c r="Y175" s="15">
        <f t="shared" si="19"/>
        <v>6</v>
      </c>
      <c r="Z175" s="15">
        <f t="shared" si="19"/>
        <v>6</v>
      </c>
      <c r="AA175" s="15">
        <f t="shared" si="16"/>
        <v>2020</v>
      </c>
      <c r="AB175" s="15">
        <f t="shared" si="17"/>
        <v>2020</v>
      </c>
      <c r="AC175" s="15">
        <f t="shared" si="18"/>
        <v>2020</v>
      </c>
      <c r="AD175" s="18" t="b">
        <f t="shared" si="15"/>
        <v>1</v>
      </c>
    </row>
    <row r="176" spans="1:30" ht="25.5" hidden="1" customHeight="1" x14ac:dyDescent="0.2">
      <c r="A176" s="7"/>
      <c r="B176" s="7" t="s">
        <v>711</v>
      </c>
      <c r="C176" s="2" t="s">
        <v>642</v>
      </c>
      <c r="D176" s="6"/>
      <c r="E176" s="32" t="s">
        <v>651</v>
      </c>
      <c r="F176" s="7"/>
      <c r="G176" s="7"/>
      <c r="H176" s="7"/>
      <c r="I176" s="7"/>
      <c r="J176" s="7"/>
      <c r="K176" s="7"/>
      <c r="L176" s="7" t="s">
        <v>663</v>
      </c>
      <c r="M176" s="8">
        <v>43983</v>
      </c>
      <c r="N176" s="8">
        <v>43983</v>
      </c>
      <c r="O176" s="13"/>
      <c r="P176" s="13">
        <v>354023.81</v>
      </c>
      <c r="Q176" s="33"/>
      <c r="R176" s="9"/>
      <c r="S176" s="9"/>
      <c r="T176" s="9"/>
      <c r="U176" s="9"/>
      <c r="X176" s="15" t="str">
        <f>IF(B176="",VLOOKUP(A176,items_lookup!A:B,2,FALSE),B176)</f>
        <v>12. Item 12</v>
      </c>
      <c r="Y176" s="15">
        <f t="shared" si="19"/>
        <v>6</v>
      </c>
      <c r="Z176" s="15">
        <f t="shared" si="19"/>
        <v>6</v>
      </c>
      <c r="AA176" s="15">
        <f t="shared" si="16"/>
        <v>2020</v>
      </c>
      <c r="AB176" s="15">
        <f t="shared" si="17"/>
        <v>2020</v>
      </c>
      <c r="AC176" s="15">
        <f t="shared" si="18"/>
        <v>2020</v>
      </c>
      <c r="AD176" s="18" t="b">
        <f t="shared" si="15"/>
        <v>1</v>
      </c>
    </row>
    <row r="177" spans="1:30" ht="25.5" hidden="1" customHeight="1" x14ac:dyDescent="0.2">
      <c r="A177" s="7" t="s">
        <v>678</v>
      </c>
      <c r="C177" s="2" t="s">
        <v>642</v>
      </c>
      <c r="D177" s="6"/>
      <c r="E177" s="32" t="s">
        <v>651</v>
      </c>
      <c r="H177" s="7"/>
      <c r="K177" s="7"/>
      <c r="L177" s="7" t="s">
        <v>662</v>
      </c>
      <c r="M177" s="8">
        <v>43983</v>
      </c>
      <c r="N177" s="8">
        <v>43983</v>
      </c>
      <c r="O177" s="14">
        <v>95619.05</v>
      </c>
      <c r="Q177" s="33"/>
      <c r="X177" s="15" t="str">
        <f>IF(B177="",VLOOKUP(A177,items_lookup!A:B,2,FALSE),B177)</f>
        <v>13. Item 13</v>
      </c>
      <c r="Y177" s="15">
        <f t="shared" si="19"/>
        <v>6</v>
      </c>
      <c r="Z177" s="15">
        <f t="shared" si="19"/>
        <v>6</v>
      </c>
      <c r="AA177" s="15">
        <f t="shared" si="16"/>
        <v>2020</v>
      </c>
      <c r="AB177" s="15">
        <f t="shared" si="17"/>
        <v>2020</v>
      </c>
      <c r="AC177" s="15">
        <f t="shared" si="18"/>
        <v>2020</v>
      </c>
      <c r="AD177" s="18" t="b">
        <f t="shared" si="15"/>
        <v>1</v>
      </c>
    </row>
    <row r="178" spans="1:30" ht="12.75" hidden="1" customHeight="1" x14ac:dyDescent="0.2">
      <c r="A178" s="7" t="s">
        <v>678</v>
      </c>
      <c r="C178" s="2" t="s">
        <v>642</v>
      </c>
      <c r="D178" s="6"/>
      <c r="E178" s="32" t="s">
        <v>651</v>
      </c>
      <c r="H178" s="7"/>
      <c r="K178" s="7"/>
      <c r="L178" s="7" t="s">
        <v>663</v>
      </c>
      <c r="M178" s="8">
        <v>43983</v>
      </c>
      <c r="N178" s="8">
        <v>43983</v>
      </c>
      <c r="P178" s="14">
        <v>18857.14</v>
      </c>
      <c r="Q178" s="33"/>
      <c r="X178" s="15" t="str">
        <f>IF(B178="",VLOOKUP(A178,items_lookup!A:B,2,FALSE),B178)</f>
        <v>13. Item 13</v>
      </c>
      <c r="Y178" s="15">
        <f t="shared" si="19"/>
        <v>6</v>
      </c>
      <c r="Z178" s="15">
        <f t="shared" si="19"/>
        <v>6</v>
      </c>
      <c r="AA178" s="15">
        <f t="shared" si="16"/>
        <v>2020</v>
      </c>
      <c r="AB178" s="15">
        <f t="shared" si="17"/>
        <v>2020</v>
      </c>
      <c r="AC178" s="15">
        <f t="shared" si="18"/>
        <v>2020</v>
      </c>
      <c r="AD178" s="18" t="b">
        <f t="shared" si="15"/>
        <v>1</v>
      </c>
    </row>
    <row r="179" spans="1:30" ht="12.75" hidden="1" customHeight="1" x14ac:dyDescent="0.2">
      <c r="A179" s="7" t="s">
        <v>673</v>
      </c>
      <c r="C179" s="2" t="s">
        <v>642</v>
      </c>
      <c r="D179" s="6"/>
      <c r="E179" s="32" t="s">
        <v>651</v>
      </c>
      <c r="H179" s="7"/>
      <c r="K179" s="7"/>
      <c r="L179" s="7" t="s">
        <v>662</v>
      </c>
      <c r="M179" s="8">
        <v>43983</v>
      </c>
      <c r="N179" s="8">
        <v>43983</v>
      </c>
      <c r="O179" s="14">
        <v>1020952.38</v>
      </c>
      <c r="Q179" s="33"/>
      <c r="X179" s="15" t="str">
        <f>IF(B179="",VLOOKUP(A179,items_lookup!A:B,2,FALSE),B179)</f>
        <v>07. Item 07</v>
      </c>
      <c r="Y179" s="15">
        <f t="shared" si="19"/>
        <v>6</v>
      </c>
      <c r="Z179" s="15">
        <f t="shared" si="19"/>
        <v>6</v>
      </c>
      <c r="AA179" s="15">
        <f t="shared" si="16"/>
        <v>2020</v>
      </c>
      <c r="AB179" s="15">
        <f t="shared" si="17"/>
        <v>2020</v>
      </c>
      <c r="AC179" s="15">
        <f t="shared" si="18"/>
        <v>2020</v>
      </c>
      <c r="AD179" s="18" t="b">
        <f t="shared" si="15"/>
        <v>1</v>
      </c>
    </row>
    <row r="180" spans="1:30" ht="12.75" hidden="1" customHeight="1" x14ac:dyDescent="0.2">
      <c r="A180" s="7" t="s">
        <v>682</v>
      </c>
      <c r="C180" s="2" t="s">
        <v>642</v>
      </c>
      <c r="D180" s="6"/>
      <c r="E180" s="32" t="s">
        <v>651</v>
      </c>
      <c r="H180" s="7"/>
      <c r="K180" s="7"/>
      <c r="L180" s="7" t="s">
        <v>663</v>
      </c>
      <c r="M180" s="8">
        <v>43983</v>
      </c>
      <c r="N180" s="8">
        <v>43983</v>
      </c>
      <c r="P180" s="14">
        <v>1150619.05</v>
      </c>
      <c r="Q180" s="33"/>
      <c r="X180" s="15" t="str">
        <f>IF(B180="",VLOOKUP(A180,items_lookup!A:B,2,FALSE),B180)</f>
        <v>06. Item 06</v>
      </c>
      <c r="Y180" s="15">
        <f t="shared" si="19"/>
        <v>6</v>
      </c>
      <c r="Z180" s="15">
        <f t="shared" si="19"/>
        <v>6</v>
      </c>
      <c r="AA180" s="15">
        <f t="shared" si="16"/>
        <v>2020</v>
      </c>
      <c r="AB180" s="15">
        <f t="shared" si="17"/>
        <v>2020</v>
      </c>
      <c r="AC180" s="15">
        <f t="shared" si="18"/>
        <v>2020</v>
      </c>
      <c r="AD180" s="18" t="b">
        <f t="shared" si="15"/>
        <v>1</v>
      </c>
    </row>
    <row r="181" spans="1:30" ht="12.75" hidden="1" customHeight="1" x14ac:dyDescent="0.2">
      <c r="A181" s="7" t="s">
        <v>672</v>
      </c>
      <c r="B181" s="7"/>
      <c r="C181" s="2" t="s">
        <v>641</v>
      </c>
      <c r="D181" s="6" t="s">
        <v>649</v>
      </c>
      <c r="E181" s="32" t="s">
        <v>651</v>
      </c>
      <c r="F181" s="7"/>
      <c r="G181" s="7"/>
      <c r="H181" s="7"/>
      <c r="I181" s="7"/>
      <c r="J181" s="7"/>
      <c r="K181" s="7"/>
      <c r="L181" s="7" t="s">
        <v>662</v>
      </c>
      <c r="M181" s="8">
        <v>43982</v>
      </c>
      <c r="N181" s="8">
        <v>43982</v>
      </c>
      <c r="O181" s="13">
        <v>49908571.43</v>
      </c>
      <c r="P181" s="13"/>
      <c r="Q181" s="33"/>
      <c r="R181" s="22"/>
      <c r="S181" s="22"/>
      <c r="T181" s="22"/>
      <c r="U181" s="22"/>
      <c r="X181" s="15" t="str">
        <f>IF(B181="",VLOOKUP(A181,items_lookup!A:B,2,FALSE),B181)</f>
        <v>05. Item 05</v>
      </c>
      <c r="Y181" s="15">
        <f t="shared" si="19"/>
        <v>5</v>
      </c>
      <c r="Z181" s="15">
        <f t="shared" si="19"/>
        <v>5</v>
      </c>
      <c r="AA181" s="15">
        <f t="shared" si="16"/>
        <v>2020</v>
      </c>
      <c r="AB181" s="15">
        <f t="shared" si="17"/>
        <v>2020</v>
      </c>
      <c r="AC181" s="15">
        <f t="shared" si="18"/>
        <v>2020</v>
      </c>
      <c r="AD181" s="18" t="b">
        <f t="shared" si="15"/>
        <v>1</v>
      </c>
    </row>
    <row r="182" spans="1:30" ht="25.5" hidden="1" customHeight="1" x14ac:dyDescent="0.2">
      <c r="A182" s="7" t="s">
        <v>668</v>
      </c>
      <c r="B182" s="7"/>
      <c r="C182" s="2" t="s">
        <v>641</v>
      </c>
      <c r="D182" s="6" t="s">
        <v>650</v>
      </c>
      <c r="E182" s="32" t="s">
        <v>651</v>
      </c>
      <c r="F182" s="7"/>
      <c r="G182" s="7"/>
      <c r="H182" s="7"/>
      <c r="I182" s="7"/>
      <c r="J182" s="7"/>
      <c r="K182" s="7"/>
      <c r="L182" s="7" t="s">
        <v>662</v>
      </c>
      <c r="M182" s="8">
        <v>43982</v>
      </c>
      <c r="N182" s="8">
        <v>43982</v>
      </c>
      <c r="O182" s="13">
        <v>540238.1</v>
      </c>
      <c r="P182" s="13"/>
      <c r="Q182" s="33"/>
      <c r="R182" s="22"/>
      <c r="S182" s="22"/>
      <c r="T182" s="22"/>
      <c r="U182" s="22"/>
      <c r="X182" s="15" t="str">
        <f>IF(B182="",VLOOKUP(A182,items_lookup!A:B,2,FALSE),B182)</f>
        <v>01. Item 01</v>
      </c>
      <c r="Y182" s="15">
        <f t="shared" si="19"/>
        <v>5</v>
      </c>
      <c r="Z182" s="15">
        <f t="shared" si="19"/>
        <v>5</v>
      </c>
      <c r="AA182" s="15">
        <f t="shared" si="16"/>
        <v>2020</v>
      </c>
      <c r="AB182" s="15">
        <f t="shared" si="17"/>
        <v>2020</v>
      </c>
      <c r="AC182" s="15">
        <f t="shared" si="18"/>
        <v>2020</v>
      </c>
      <c r="AD182" s="18" t="b">
        <f t="shared" si="15"/>
        <v>1</v>
      </c>
    </row>
    <row r="183" spans="1:30" ht="13.5" hidden="1" customHeight="1" x14ac:dyDescent="0.2">
      <c r="A183" s="7" t="s">
        <v>669</v>
      </c>
      <c r="B183" s="20"/>
      <c r="C183" s="2" t="s">
        <v>642</v>
      </c>
      <c r="D183" s="6"/>
      <c r="E183" s="32" t="s">
        <v>651</v>
      </c>
      <c r="F183" s="7"/>
      <c r="G183" s="7"/>
      <c r="H183" s="7"/>
      <c r="I183" s="7"/>
      <c r="J183" s="7"/>
      <c r="K183" s="7"/>
      <c r="L183" s="7" t="s">
        <v>663</v>
      </c>
      <c r="M183" s="8">
        <v>43922</v>
      </c>
      <c r="N183" s="8">
        <v>43922</v>
      </c>
      <c r="O183" s="13"/>
      <c r="P183" s="13">
        <v>2794428.57</v>
      </c>
      <c r="Q183" s="33"/>
      <c r="R183" s="9"/>
      <c r="S183" s="9"/>
      <c r="T183" s="9"/>
      <c r="U183" s="9"/>
      <c r="X183" s="15" t="str">
        <f>IF(B183="",VLOOKUP(A183,items_lookup!A:B,2,FALSE),B183)</f>
        <v>02. Item 02</v>
      </c>
      <c r="Y183" s="15">
        <f t="shared" si="19"/>
        <v>4</v>
      </c>
      <c r="Z183" s="15">
        <f t="shared" si="19"/>
        <v>4</v>
      </c>
      <c r="AA183" s="15">
        <f t="shared" si="16"/>
        <v>2020</v>
      </c>
      <c r="AB183" s="15">
        <f t="shared" si="17"/>
        <v>2020</v>
      </c>
      <c r="AC183" s="15">
        <f t="shared" si="18"/>
        <v>2020</v>
      </c>
      <c r="AD183" s="18" t="b">
        <f t="shared" si="15"/>
        <v>1</v>
      </c>
    </row>
    <row r="184" spans="1:30" ht="15" hidden="1" customHeight="1" x14ac:dyDescent="0.2">
      <c r="A184" s="7"/>
      <c r="B184" s="7" t="s">
        <v>708</v>
      </c>
      <c r="C184" s="2" t="s">
        <v>641</v>
      </c>
      <c r="D184" s="6" t="s">
        <v>649</v>
      </c>
      <c r="E184" s="32" t="s">
        <v>651</v>
      </c>
      <c r="F184" s="7"/>
      <c r="G184" s="7"/>
      <c r="H184" s="7"/>
      <c r="I184" s="7"/>
      <c r="J184" s="7"/>
      <c r="K184" s="7"/>
      <c r="L184" s="7" t="s">
        <v>662</v>
      </c>
      <c r="M184" s="8">
        <v>43952</v>
      </c>
      <c r="N184" s="8">
        <v>43952</v>
      </c>
      <c r="O184" s="13">
        <v>3607142.86</v>
      </c>
      <c r="P184" s="13"/>
      <c r="Q184" s="33"/>
      <c r="R184" s="9"/>
      <c r="S184" s="9"/>
      <c r="T184" s="9"/>
      <c r="U184" s="9"/>
      <c r="X184" s="15" t="str">
        <f>IF(B184="",VLOOKUP(A184,items_lookup!A:B,2,FALSE),B184)</f>
        <v>03. Item 03</v>
      </c>
      <c r="Y184" s="15">
        <f t="shared" si="19"/>
        <v>5</v>
      </c>
      <c r="Z184" s="15">
        <f t="shared" si="19"/>
        <v>5</v>
      </c>
      <c r="AA184" s="15">
        <f t="shared" si="16"/>
        <v>2020</v>
      </c>
      <c r="AB184" s="15">
        <f t="shared" si="17"/>
        <v>2020</v>
      </c>
      <c r="AC184" s="15">
        <f t="shared" si="18"/>
        <v>2020</v>
      </c>
      <c r="AD184" s="18" t="b">
        <f t="shared" si="15"/>
        <v>1</v>
      </c>
    </row>
    <row r="185" spans="1:30" ht="15" hidden="1" customHeight="1" x14ac:dyDescent="0.2">
      <c r="A185" s="7" t="s">
        <v>670</v>
      </c>
      <c r="B185" s="7" t="s">
        <v>709</v>
      </c>
      <c r="C185" s="2" t="s">
        <v>641</v>
      </c>
      <c r="D185" s="6" t="s">
        <v>649</v>
      </c>
      <c r="E185" s="32" t="s">
        <v>651</v>
      </c>
      <c r="F185" s="7"/>
      <c r="G185" s="7"/>
      <c r="H185" s="7"/>
      <c r="I185" s="7"/>
      <c r="J185" s="7"/>
      <c r="K185" s="7"/>
      <c r="L185" s="7" t="s">
        <v>662</v>
      </c>
      <c r="M185" s="8">
        <v>43952</v>
      </c>
      <c r="N185" s="8">
        <v>43952</v>
      </c>
      <c r="O185" s="13">
        <v>4259761.9000000004</v>
      </c>
      <c r="P185" s="13"/>
      <c r="Q185" s="33"/>
      <c r="R185" s="9"/>
      <c r="S185" s="9"/>
      <c r="T185" s="9"/>
      <c r="U185" s="9"/>
      <c r="X185" s="15" t="str">
        <f>IF(B185="",VLOOKUP(A185,items_lookup!A:B,2,FALSE),B185)</f>
        <v>04. Item 04</v>
      </c>
      <c r="Y185" s="15">
        <f t="shared" si="19"/>
        <v>5</v>
      </c>
      <c r="Z185" s="15">
        <f t="shared" si="19"/>
        <v>5</v>
      </c>
      <c r="AA185" s="15">
        <f t="shared" si="16"/>
        <v>2020</v>
      </c>
      <c r="AB185" s="15">
        <f t="shared" si="17"/>
        <v>2020</v>
      </c>
      <c r="AC185" s="15">
        <f t="shared" si="18"/>
        <v>2020</v>
      </c>
      <c r="AD185" s="18" t="b">
        <f t="shared" si="15"/>
        <v>1</v>
      </c>
    </row>
    <row r="186" spans="1:30" ht="12.75" hidden="1" customHeight="1" x14ac:dyDescent="0.2">
      <c r="A186" s="7" t="s">
        <v>671</v>
      </c>
      <c r="B186" s="7"/>
      <c r="C186" s="2" t="s">
        <v>641</v>
      </c>
      <c r="D186" s="6" t="s">
        <v>649</v>
      </c>
      <c r="E186" s="32" t="s">
        <v>651</v>
      </c>
      <c r="F186" s="7"/>
      <c r="G186" s="7"/>
      <c r="H186" s="7"/>
      <c r="I186" s="7"/>
      <c r="J186" s="7"/>
      <c r="K186" s="7"/>
      <c r="L186" s="7" t="s">
        <v>662</v>
      </c>
      <c r="M186" s="8">
        <v>43952</v>
      </c>
      <c r="N186" s="8">
        <v>43952</v>
      </c>
      <c r="O186" s="13">
        <v>5686666.6699999999</v>
      </c>
      <c r="P186" s="13"/>
      <c r="Q186" s="33"/>
      <c r="R186" s="9"/>
      <c r="S186" s="9"/>
      <c r="T186" s="9"/>
      <c r="U186" s="9"/>
      <c r="X186" s="15" t="str">
        <f>IF(B186="",VLOOKUP(A186,items_lookup!A:B,2,FALSE),B186)</f>
        <v>05. Item 05</v>
      </c>
      <c r="Y186" s="15">
        <f t="shared" si="19"/>
        <v>5</v>
      </c>
      <c r="Z186" s="15">
        <f t="shared" si="19"/>
        <v>5</v>
      </c>
      <c r="AA186" s="15">
        <f t="shared" si="16"/>
        <v>2020</v>
      </c>
      <c r="AB186" s="15">
        <f t="shared" si="17"/>
        <v>2020</v>
      </c>
      <c r="AC186" s="15">
        <f t="shared" si="18"/>
        <v>2020</v>
      </c>
      <c r="AD186" s="18" t="b">
        <f t="shared" si="15"/>
        <v>1</v>
      </c>
    </row>
    <row r="187" spans="1:30" ht="15" hidden="1" customHeight="1" x14ac:dyDescent="0.2">
      <c r="A187" s="7" t="s">
        <v>674</v>
      </c>
      <c r="B187" s="20"/>
      <c r="C187" s="2" t="s">
        <v>641</v>
      </c>
      <c r="D187" s="6" t="s">
        <v>649</v>
      </c>
      <c r="E187" s="32" t="s">
        <v>651</v>
      </c>
      <c r="F187" s="7"/>
      <c r="G187" s="7"/>
      <c r="H187" s="7"/>
      <c r="I187" s="7"/>
      <c r="J187" s="7"/>
      <c r="K187" s="7"/>
      <c r="L187" s="7" t="s">
        <v>662</v>
      </c>
      <c r="M187" s="8">
        <v>43952</v>
      </c>
      <c r="N187" s="8">
        <v>43952</v>
      </c>
      <c r="O187" s="13">
        <v>57142.86</v>
      </c>
      <c r="P187" s="13"/>
      <c r="Q187" s="33"/>
      <c r="R187" s="9"/>
      <c r="S187" s="9"/>
      <c r="T187" s="9"/>
      <c r="U187" s="9"/>
      <c r="X187" s="15" t="str">
        <f>IF(B187="",VLOOKUP(A187,items_lookup!A:B,2,FALSE),B187)</f>
        <v>08. Item 08</v>
      </c>
      <c r="Y187" s="15">
        <f t="shared" si="19"/>
        <v>5</v>
      </c>
      <c r="Z187" s="15">
        <f t="shared" si="19"/>
        <v>5</v>
      </c>
      <c r="AA187" s="15">
        <f t="shared" si="16"/>
        <v>2020</v>
      </c>
      <c r="AB187" s="15">
        <f t="shared" si="17"/>
        <v>2020</v>
      </c>
      <c r="AC187" s="15">
        <f t="shared" si="18"/>
        <v>2020</v>
      </c>
      <c r="AD187" s="18" t="b">
        <f t="shared" si="15"/>
        <v>1</v>
      </c>
    </row>
    <row r="188" spans="1:30" ht="12.6" hidden="1" customHeight="1" x14ac:dyDescent="0.2">
      <c r="A188" s="7" t="s">
        <v>677</v>
      </c>
      <c r="B188" s="20"/>
      <c r="C188" s="2" t="s">
        <v>641</v>
      </c>
      <c r="D188" s="6" t="s">
        <v>649</v>
      </c>
      <c r="E188" s="32" t="s">
        <v>651</v>
      </c>
      <c r="F188" s="7"/>
      <c r="G188" s="7"/>
      <c r="H188" s="7"/>
      <c r="I188" s="7"/>
      <c r="J188" s="7"/>
      <c r="K188" s="7"/>
      <c r="L188" s="7" t="s">
        <v>662</v>
      </c>
      <c r="M188" s="8">
        <v>43952</v>
      </c>
      <c r="N188" s="8">
        <v>43952</v>
      </c>
      <c r="O188" s="13">
        <v>5173809.5199999996</v>
      </c>
      <c r="P188" s="13"/>
      <c r="Q188" s="33"/>
      <c r="R188" s="9"/>
      <c r="S188" s="9"/>
      <c r="T188" s="9"/>
      <c r="U188" s="9"/>
      <c r="X188" s="15" t="str">
        <f>IF(B188="",VLOOKUP(A188,items_lookup!A:B,2,FALSE),B188)</f>
        <v>11. Item 11</v>
      </c>
      <c r="Y188" s="15">
        <f t="shared" si="19"/>
        <v>5</v>
      </c>
      <c r="Z188" s="15">
        <f t="shared" si="19"/>
        <v>5</v>
      </c>
      <c r="AA188" s="15">
        <f t="shared" si="16"/>
        <v>2020</v>
      </c>
      <c r="AB188" s="15">
        <f t="shared" si="17"/>
        <v>2020</v>
      </c>
      <c r="AC188" s="15">
        <f t="shared" si="18"/>
        <v>2020</v>
      </c>
      <c r="AD188" s="18" t="b">
        <f t="shared" si="15"/>
        <v>1</v>
      </c>
    </row>
    <row r="189" spans="1:30" ht="12.6" hidden="1" customHeight="1" x14ac:dyDescent="0.2">
      <c r="A189" s="7" t="s">
        <v>676</v>
      </c>
      <c r="B189" s="20"/>
      <c r="C189" s="2" t="s">
        <v>641</v>
      </c>
      <c r="D189" s="6" t="s">
        <v>649</v>
      </c>
      <c r="E189" s="32" t="s">
        <v>651</v>
      </c>
      <c r="F189" s="7"/>
      <c r="G189" s="7"/>
      <c r="H189" s="7"/>
      <c r="I189" s="7"/>
      <c r="J189" s="7"/>
      <c r="K189" s="7"/>
      <c r="L189" s="7" t="s">
        <v>662</v>
      </c>
      <c r="M189" s="8">
        <v>43952</v>
      </c>
      <c r="N189" s="8">
        <v>43952</v>
      </c>
      <c r="O189" s="13">
        <v>9523.81</v>
      </c>
      <c r="P189" s="13"/>
      <c r="Q189" s="33"/>
      <c r="R189" s="22"/>
      <c r="S189" s="22"/>
      <c r="T189" s="22"/>
      <c r="U189" s="22"/>
      <c r="X189" s="15" t="str">
        <f>IF(B189="",VLOOKUP(A189,items_lookup!A:B,2,FALSE),B189)</f>
        <v>09. Item 09</v>
      </c>
      <c r="Y189" s="15">
        <f t="shared" si="19"/>
        <v>5</v>
      </c>
      <c r="Z189" s="15">
        <f t="shared" si="19"/>
        <v>5</v>
      </c>
      <c r="AA189" s="15">
        <f t="shared" si="16"/>
        <v>2020</v>
      </c>
      <c r="AB189" s="15">
        <f t="shared" si="17"/>
        <v>2020</v>
      </c>
      <c r="AC189" s="15">
        <f t="shared" si="18"/>
        <v>2020</v>
      </c>
      <c r="AD189" s="18" t="b">
        <f t="shared" si="15"/>
        <v>1</v>
      </c>
    </row>
    <row r="190" spans="1:30" ht="15" hidden="1" customHeight="1" x14ac:dyDescent="0.2">
      <c r="A190" s="7" t="s">
        <v>675</v>
      </c>
      <c r="B190" s="20"/>
      <c r="C190" s="2" t="s">
        <v>641</v>
      </c>
      <c r="D190" s="6" t="s">
        <v>649</v>
      </c>
      <c r="E190" s="32" t="s">
        <v>651</v>
      </c>
      <c r="F190" s="7"/>
      <c r="G190" s="7"/>
      <c r="H190" s="7"/>
      <c r="I190" s="7"/>
      <c r="J190" s="7"/>
      <c r="K190" s="7"/>
      <c r="L190" s="7" t="s">
        <v>662</v>
      </c>
      <c r="M190" s="8">
        <v>43952</v>
      </c>
      <c r="N190" s="8">
        <v>43952</v>
      </c>
      <c r="O190" s="13">
        <v>344285.71</v>
      </c>
      <c r="P190" s="13"/>
      <c r="Q190" s="33"/>
      <c r="R190" s="9"/>
      <c r="S190" s="9"/>
      <c r="T190" s="9"/>
      <c r="U190" s="9"/>
      <c r="X190" s="15" t="str">
        <f>IF(B190="",VLOOKUP(A190,items_lookup!A:B,2,FALSE),B190)</f>
        <v>09. Item 09</v>
      </c>
      <c r="Y190" s="15">
        <f t="shared" si="19"/>
        <v>5</v>
      </c>
      <c r="Z190" s="15">
        <f t="shared" si="19"/>
        <v>5</v>
      </c>
      <c r="AA190" s="15">
        <f t="shared" si="16"/>
        <v>2020</v>
      </c>
      <c r="AB190" s="15">
        <f t="shared" si="17"/>
        <v>2020</v>
      </c>
      <c r="AC190" s="15">
        <f t="shared" si="18"/>
        <v>2020</v>
      </c>
      <c r="AD190" s="18" t="b">
        <f t="shared" si="15"/>
        <v>1</v>
      </c>
    </row>
    <row r="191" spans="1:30" ht="12.6" hidden="1" customHeight="1" x14ac:dyDescent="0.2">
      <c r="A191" s="7" t="s">
        <v>679</v>
      </c>
      <c r="B191" s="20"/>
      <c r="C191" s="2" t="s">
        <v>641</v>
      </c>
      <c r="D191" s="6" t="s">
        <v>649</v>
      </c>
      <c r="E191" s="32" t="s">
        <v>651</v>
      </c>
      <c r="F191" s="7"/>
      <c r="G191" s="7"/>
      <c r="H191" s="7"/>
      <c r="I191" s="7"/>
      <c r="J191" s="7"/>
      <c r="K191" s="7"/>
      <c r="L191" s="7" t="s">
        <v>662</v>
      </c>
      <c r="M191" s="8">
        <v>43952</v>
      </c>
      <c r="N191" s="8">
        <v>43952</v>
      </c>
      <c r="O191" s="13">
        <v>11666.67</v>
      </c>
      <c r="P191" s="13"/>
      <c r="Q191" s="33"/>
      <c r="R191" s="22"/>
      <c r="S191" s="22"/>
      <c r="T191" s="22"/>
      <c r="U191" s="22"/>
      <c r="X191" s="15" t="str">
        <f>IF(B191="",VLOOKUP(A191,items_lookup!A:B,2,FALSE),B191)</f>
        <v>13. Item 13</v>
      </c>
      <c r="Y191" s="15">
        <f t="shared" si="19"/>
        <v>5</v>
      </c>
      <c r="Z191" s="15">
        <f t="shared" si="19"/>
        <v>5</v>
      </c>
      <c r="AA191" s="15">
        <f t="shared" si="16"/>
        <v>2020</v>
      </c>
      <c r="AB191" s="15">
        <f t="shared" si="17"/>
        <v>2020</v>
      </c>
      <c r="AC191" s="15">
        <f t="shared" si="18"/>
        <v>2020</v>
      </c>
      <c r="AD191" s="18" t="b">
        <f t="shared" si="15"/>
        <v>1</v>
      </c>
    </row>
    <row r="192" spans="1:30" ht="12.6" hidden="1" customHeight="1" x14ac:dyDescent="0.2">
      <c r="A192" s="7" t="s">
        <v>679</v>
      </c>
      <c r="B192" s="7" t="s">
        <v>712</v>
      </c>
      <c r="C192" s="2" t="s">
        <v>641</v>
      </c>
      <c r="D192" s="6" t="s">
        <v>649</v>
      </c>
      <c r="E192" s="32" t="s">
        <v>651</v>
      </c>
      <c r="F192" s="7"/>
      <c r="G192" s="7"/>
      <c r="H192" s="7"/>
      <c r="I192" s="7"/>
      <c r="J192" s="7"/>
      <c r="K192" s="7"/>
      <c r="L192" s="7" t="s">
        <v>662</v>
      </c>
      <c r="M192" s="8">
        <v>43952</v>
      </c>
      <c r="N192" s="8">
        <v>43952</v>
      </c>
      <c r="O192" s="13">
        <v>158333.32999999999</v>
      </c>
      <c r="P192" s="13"/>
      <c r="Q192" s="33"/>
      <c r="R192" s="22"/>
      <c r="S192" s="22"/>
      <c r="T192" s="22"/>
      <c r="U192" s="22"/>
      <c r="X192" s="15" t="str">
        <f>IF(B192="",VLOOKUP(A192,items_lookup!A:B,2,FALSE),B192)</f>
        <v>10. Item 10</v>
      </c>
      <c r="Y192" s="15">
        <f t="shared" si="19"/>
        <v>5</v>
      </c>
      <c r="Z192" s="15">
        <f t="shared" si="19"/>
        <v>5</v>
      </c>
      <c r="AA192" s="15">
        <f t="shared" si="16"/>
        <v>2020</v>
      </c>
      <c r="AB192" s="15">
        <f t="shared" si="17"/>
        <v>2020</v>
      </c>
      <c r="AC192" s="15">
        <f t="shared" si="18"/>
        <v>2020</v>
      </c>
      <c r="AD192" s="18" t="b">
        <f t="shared" si="15"/>
        <v>1</v>
      </c>
    </row>
    <row r="193" spans="1:30" ht="12.6" hidden="1" customHeight="1" x14ac:dyDescent="0.2">
      <c r="A193" s="7" t="s">
        <v>680</v>
      </c>
      <c r="B193" s="7" t="s">
        <v>711</v>
      </c>
      <c r="C193" s="2" t="s">
        <v>641</v>
      </c>
      <c r="D193" s="6" t="s">
        <v>649</v>
      </c>
      <c r="E193" s="32" t="s">
        <v>651</v>
      </c>
      <c r="F193" s="7"/>
      <c r="G193" s="7"/>
      <c r="H193" s="7"/>
      <c r="I193" s="7"/>
      <c r="J193" s="7"/>
      <c r="K193" s="7"/>
      <c r="L193" s="7" t="s">
        <v>662</v>
      </c>
      <c r="M193" s="8">
        <v>43952</v>
      </c>
      <c r="N193" s="8">
        <v>43952</v>
      </c>
      <c r="O193" s="13">
        <v>442857.14</v>
      </c>
      <c r="P193" s="13"/>
      <c r="Q193" s="33"/>
      <c r="R193" s="22"/>
      <c r="S193" s="22"/>
      <c r="T193" s="22"/>
      <c r="U193" s="22"/>
      <c r="X193" s="15" t="str">
        <f>IF(B193="",VLOOKUP(A193,items_lookup!A:B,2,FALSE),B193)</f>
        <v>12. Item 12</v>
      </c>
      <c r="Y193" s="15">
        <f t="shared" si="19"/>
        <v>5</v>
      </c>
      <c r="Z193" s="15">
        <f t="shared" si="19"/>
        <v>5</v>
      </c>
      <c r="AA193" s="15">
        <f t="shared" si="16"/>
        <v>2020</v>
      </c>
      <c r="AB193" s="15">
        <f t="shared" si="17"/>
        <v>2020</v>
      </c>
      <c r="AC193" s="15">
        <f t="shared" si="18"/>
        <v>2020</v>
      </c>
      <c r="AD193" s="18" t="b">
        <f t="shared" si="15"/>
        <v>1</v>
      </c>
    </row>
    <row r="194" spans="1:30" ht="15" hidden="1" customHeight="1" x14ac:dyDescent="0.2">
      <c r="A194" s="7" t="s">
        <v>680</v>
      </c>
      <c r="B194" s="7" t="s">
        <v>710</v>
      </c>
      <c r="C194" s="2" t="s">
        <v>641</v>
      </c>
      <c r="D194" s="6" t="s">
        <v>649</v>
      </c>
      <c r="E194" s="32" t="s">
        <v>651</v>
      </c>
      <c r="F194" s="7"/>
      <c r="G194" s="7"/>
      <c r="H194" s="7"/>
      <c r="I194" s="7"/>
      <c r="J194" s="7"/>
      <c r="K194" s="7"/>
      <c r="L194" s="7" t="s">
        <v>662</v>
      </c>
      <c r="M194" s="8">
        <v>43952</v>
      </c>
      <c r="N194" s="8">
        <v>43952</v>
      </c>
      <c r="O194" s="13">
        <v>452380.95</v>
      </c>
      <c r="P194" s="13"/>
      <c r="Q194" s="33"/>
      <c r="R194" s="22"/>
      <c r="S194" s="22"/>
      <c r="T194" s="22"/>
      <c r="U194" s="22"/>
      <c r="X194" s="15" t="str">
        <f>IF(B194="",VLOOKUP(A194,items_lookup!A:B,2,FALSE),B194)</f>
        <v>13. Item 13</v>
      </c>
      <c r="Y194" s="15">
        <f t="shared" si="19"/>
        <v>5</v>
      </c>
      <c r="Z194" s="15">
        <f t="shared" si="19"/>
        <v>5</v>
      </c>
      <c r="AA194" s="15">
        <f t="shared" si="16"/>
        <v>2020</v>
      </c>
      <c r="AB194" s="15">
        <f t="shared" si="17"/>
        <v>2020</v>
      </c>
      <c r="AC194" s="15">
        <f t="shared" si="18"/>
        <v>2020</v>
      </c>
      <c r="AD194" s="18" t="b">
        <f t="shared" si="15"/>
        <v>1</v>
      </c>
    </row>
    <row r="195" spans="1:30" ht="13.5" hidden="1" customHeight="1" x14ac:dyDescent="0.2">
      <c r="A195" s="7" t="s">
        <v>683</v>
      </c>
      <c r="B195" s="7"/>
      <c r="C195" s="2" t="s">
        <v>641</v>
      </c>
      <c r="D195" s="6" t="s">
        <v>649</v>
      </c>
      <c r="E195" s="32" t="s">
        <v>651</v>
      </c>
      <c r="F195" s="7"/>
      <c r="G195" s="7"/>
      <c r="H195" s="7"/>
      <c r="I195" s="7"/>
      <c r="J195" s="7"/>
      <c r="K195" s="7"/>
      <c r="L195" s="7" t="s">
        <v>662</v>
      </c>
      <c r="M195" s="8">
        <v>43952</v>
      </c>
      <c r="N195" s="8">
        <v>43952</v>
      </c>
      <c r="O195" s="13">
        <v>1998355.31</v>
      </c>
      <c r="P195" s="13"/>
      <c r="Q195" s="33"/>
      <c r="R195" s="22"/>
      <c r="S195" s="22"/>
      <c r="T195" s="22"/>
      <c r="U195" s="22"/>
      <c r="X195" s="15" t="str">
        <f>IF(B195="",VLOOKUP(A195,items_lookup!A:B,2,FALSE),B195)</f>
        <v>_1. Item _1</v>
      </c>
      <c r="Y195" s="15">
        <f t="shared" si="19"/>
        <v>5</v>
      </c>
      <c r="Z195" s="15">
        <f t="shared" si="19"/>
        <v>5</v>
      </c>
      <c r="AA195" s="15">
        <f t="shared" si="16"/>
        <v>2020</v>
      </c>
      <c r="AB195" s="15">
        <f t="shared" si="17"/>
        <v>2020</v>
      </c>
      <c r="AC195" s="15">
        <f t="shared" si="18"/>
        <v>2020</v>
      </c>
      <c r="AD195" s="18" t="b">
        <f t="shared" ref="AD195:AD258" si="20">AND(ROUND(O195,2)=O195,ROUND(P195,2)=P195,OR(AND(O195&lt;&gt;0,L195="p"),AND(P195&lt;&gt;0,L195="f")),_xlfn.ISFORMULA(X195),_xlfn.ISFORMULA(Y195),_xlfn.ISFORMULA(Z195),_xlfn.ISFORMULA(AA195),_xlfn.ISFORMULA(AB195),_xlfn.ISFORMULA(AC195),NOT(_xlfn.ISFORMULA(O195)),NOT(_xlfn.ISFORMULA(P195)),M195&lt;&gt;0,N195&lt;&gt;0)</f>
        <v>1</v>
      </c>
    </row>
    <row r="196" spans="1:30" ht="15" hidden="1" customHeight="1" x14ac:dyDescent="0.2">
      <c r="A196" s="7" t="s">
        <v>683</v>
      </c>
      <c r="B196" s="20"/>
      <c r="C196" s="2" t="s">
        <v>641</v>
      </c>
      <c r="D196" s="6" t="s">
        <v>649</v>
      </c>
      <c r="E196" s="32" t="s">
        <v>651</v>
      </c>
      <c r="F196" s="7"/>
      <c r="G196" s="7"/>
      <c r="H196" s="7"/>
      <c r="I196" s="7"/>
      <c r="J196" s="7"/>
      <c r="K196" s="7"/>
      <c r="L196" s="7" t="s">
        <v>662</v>
      </c>
      <c r="M196" s="8">
        <v>43952</v>
      </c>
      <c r="N196" s="8">
        <v>43952</v>
      </c>
      <c r="O196" s="13">
        <v>12023809.52</v>
      </c>
      <c r="P196" s="13"/>
      <c r="Q196" s="33"/>
      <c r="R196" s="9"/>
      <c r="S196" s="9"/>
      <c r="T196" s="9"/>
      <c r="U196" s="9"/>
      <c r="X196" s="15" t="str">
        <f>IF(B196="",VLOOKUP(A196,items_lookup!A:B,2,FALSE),B196)</f>
        <v>_1. Item _1</v>
      </c>
      <c r="Y196" s="15">
        <f t="shared" si="19"/>
        <v>5</v>
      </c>
      <c r="Z196" s="15">
        <f t="shared" si="19"/>
        <v>5</v>
      </c>
      <c r="AA196" s="15">
        <f t="shared" si="16"/>
        <v>2020</v>
      </c>
      <c r="AB196" s="15">
        <f t="shared" si="17"/>
        <v>2020</v>
      </c>
      <c r="AC196" s="15">
        <f t="shared" si="18"/>
        <v>2020</v>
      </c>
      <c r="AD196" s="18" t="b">
        <f t="shared" si="20"/>
        <v>1</v>
      </c>
    </row>
    <row r="197" spans="1:30" ht="12.75" hidden="1" customHeight="1" x14ac:dyDescent="0.2">
      <c r="A197" s="7" t="s">
        <v>686</v>
      </c>
      <c r="B197" s="20"/>
      <c r="C197" s="2" t="s">
        <v>641</v>
      </c>
      <c r="D197" s="6" t="s">
        <v>649</v>
      </c>
      <c r="E197" s="32" t="s">
        <v>651</v>
      </c>
      <c r="F197" s="7"/>
      <c r="G197" s="7"/>
      <c r="H197" s="7"/>
      <c r="I197" s="7"/>
      <c r="J197" s="7"/>
      <c r="K197" s="7"/>
      <c r="L197" s="7" t="s">
        <v>662</v>
      </c>
      <c r="M197" s="8">
        <v>43952</v>
      </c>
      <c r="N197" s="8">
        <v>43952</v>
      </c>
      <c r="O197" s="13">
        <v>1785714.29</v>
      </c>
      <c r="P197" s="13"/>
      <c r="Q197" s="33"/>
      <c r="R197" s="9"/>
      <c r="S197" s="9"/>
      <c r="T197" s="9"/>
      <c r="U197" s="9"/>
      <c r="X197" s="15" t="str">
        <f>IF(B197="",VLOOKUP(A197,items_lookup!A:B,2,FALSE),B197)</f>
        <v>_2. Item _2</v>
      </c>
      <c r="Y197" s="15">
        <f t="shared" si="19"/>
        <v>5</v>
      </c>
      <c r="Z197" s="15">
        <f t="shared" si="19"/>
        <v>5</v>
      </c>
      <c r="AA197" s="15">
        <f t="shared" si="16"/>
        <v>2020</v>
      </c>
      <c r="AB197" s="15">
        <f t="shared" si="17"/>
        <v>2020</v>
      </c>
      <c r="AC197" s="15">
        <f t="shared" si="18"/>
        <v>2020</v>
      </c>
      <c r="AD197" s="18" t="b">
        <f t="shared" si="20"/>
        <v>1</v>
      </c>
    </row>
    <row r="198" spans="1:30" ht="15" hidden="1" customHeight="1" x14ac:dyDescent="0.2">
      <c r="A198" s="7" t="s">
        <v>682</v>
      </c>
      <c r="B198" s="20"/>
      <c r="C198" s="2" t="s">
        <v>641</v>
      </c>
      <c r="D198" s="6" t="s">
        <v>649</v>
      </c>
      <c r="E198" s="32" t="s">
        <v>651</v>
      </c>
      <c r="F198" s="7"/>
      <c r="G198" s="7"/>
      <c r="H198" s="7"/>
      <c r="I198" s="7"/>
      <c r="J198" s="7"/>
      <c r="K198" s="7"/>
      <c r="L198" s="7" t="s">
        <v>662</v>
      </c>
      <c r="M198" s="8">
        <v>43952</v>
      </c>
      <c r="N198" s="8">
        <v>43952</v>
      </c>
      <c r="O198" s="13">
        <v>71428.570000000007</v>
      </c>
      <c r="P198" s="13"/>
      <c r="Q198" s="33"/>
      <c r="R198" s="22"/>
      <c r="S198" s="22"/>
      <c r="T198" s="22"/>
      <c r="U198" s="22"/>
      <c r="X198" s="15" t="str">
        <f>IF(B198="",VLOOKUP(A198,items_lookup!A:B,2,FALSE),B198)</f>
        <v>06. Item 06</v>
      </c>
      <c r="Y198" s="15">
        <f t="shared" si="19"/>
        <v>5</v>
      </c>
      <c r="Z198" s="15">
        <f t="shared" si="19"/>
        <v>5</v>
      </c>
      <c r="AA198" s="15">
        <f t="shared" si="16"/>
        <v>2020</v>
      </c>
      <c r="AB198" s="15">
        <f t="shared" si="17"/>
        <v>2020</v>
      </c>
      <c r="AC198" s="15">
        <f t="shared" si="18"/>
        <v>2020</v>
      </c>
      <c r="AD198" s="18" t="b">
        <f t="shared" si="20"/>
        <v>1</v>
      </c>
    </row>
    <row r="199" spans="1:30" ht="12.75" hidden="1" customHeight="1" x14ac:dyDescent="0.2">
      <c r="A199" s="7" t="s">
        <v>671</v>
      </c>
      <c r="B199" s="20"/>
      <c r="C199" s="2" t="s">
        <v>642</v>
      </c>
      <c r="D199" s="6"/>
      <c r="E199" s="32" t="s">
        <v>651</v>
      </c>
      <c r="F199" s="7"/>
      <c r="G199" s="7"/>
      <c r="H199" s="7"/>
      <c r="I199" s="7"/>
      <c r="J199" s="7"/>
      <c r="K199" s="7"/>
      <c r="L199" s="7" t="s">
        <v>662</v>
      </c>
      <c r="M199" s="8">
        <v>43952</v>
      </c>
      <c r="N199" s="8">
        <v>43952</v>
      </c>
      <c r="O199" s="13">
        <v>6964047.6200000001</v>
      </c>
      <c r="P199" s="13"/>
      <c r="Q199" s="33"/>
      <c r="R199" s="9"/>
      <c r="S199" s="9"/>
      <c r="T199" s="9"/>
      <c r="U199" s="9"/>
      <c r="X199" s="15" t="str">
        <f>IF(B199="",VLOOKUP(A199,items_lookup!A:B,2,FALSE),B199)</f>
        <v>05. Item 05</v>
      </c>
      <c r="Y199" s="15">
        <f t="shared" si="19"/>
        <v>5</v>
      </c>
      <c r="Z199" s="15">
        <f t="shared" si="19"/>
        <v>5</v>
      </c>
      <c r="AA199" s="15">
        <f t="shared" si="16"/>
        <v>2020</v>
      </c>
      <c r="AB199" s="15">
        <f t="shared" si="17"/>
        <v>2020</v>
      </c>
      <c r="AC199" s="15">
        <f t="shared" si="18"/>
        <v>2020</v>
      </c>
      <c r="AD199" s="18" t="b">
        <f t="shared" si="20"/>
        <v>1</v>
      </c>
    </row>
    <row r="200" spans="1:30" ht="15" hidden="1" customHeight="1" x14ac:dyDescent="0.2">
      <c r="A200" s="7" t="s">
        <v>672</v>
      </c>
      <c r="B200" s="20"/>
      <c r="C200" s="2" t="s">
        <v>642</v>
      </c>
      <c r="D200" s="6"/>
      <c r="E200" s="32" t="s">
        <v>651</v>
      </c>
      <c r="F200" s="7"/>
      <c r="G200" s="7"/>
      <c r="H200" s="7"/>
      <c r="I200" s="7"/>
      <c r="J200" s="7"/>
      <c r="K200" s="7"/>
      <c r="L200" s="7" t="s">
        <v>662</v>
      </c>
      <c r="M200" s="8">
        <v>43952</v>
      </c>
      <c r="N200" s="8">
        <v>43952</v>
      </c>
      <c r="O200" s="13">
        <v>75380.95</v>
      </c>
      <c r="P200" s="13"/>
      <c r="Q200" s="33"/>
      <c r="R200" s="9"/>
      <c r="S200" s="9"/>
      <c r="T200" s="9"/>
      <c r="U200" s="9"/>
      <c r="X200" s="15" t="str">
        <f>IF(B200="",VLOOKUP(A200,items_lookup!A:B,2,FALSE),B200)</f>
        <v>05. Item 05</v>
      </c>
      <c r="Y200" s="15">
        <f t="shared" si="19"/>
        <v>5</v>
      </c>
      <c r="Z200" s="15">
        <f t="shared" si="19"/>
        <v>5</v>
      </c>
      <c r="AA200" s="15">
        <f t="shared" si="16"/>
        <v>2020</v>
      </c>
      <c r="AB200" s="15">
        <f t="shared" si="17"/>
        <v>2020</v>
      </c>
      <c r="AC200" s="15">
        <f t="shared" si="18"/>
        <v>2020</v>
      </c>
      <c r="AD200" s="18" t="b">
        <f t="shared" si="20"/>
        <v>1</v>
      </c>
    </row>
    <row r="201" spans="1:30" ht="12.6" hidden="1" customHeight="1" x14ac:dyDescent="0.2">
      <c r="A201" s="7" t="s">
        <v>673</v>
      </c>
      <c r="B201" s="20"/>
      <c r="C201" s="2" t="s">
        <v>642</v>
      </c>
      <c r="D201" s="6"/>
      <c r="E201" s="32" t="s">
        <v>651</v>
      </c>
      <c r="F201" s="7"/>
      <c r="G201" s="7"/>
      <c r="H201" s="7"/>
      <c r="I201" s="7"/>
      <c r="J201" s="7"/>
      <c r="K201" s="7"/>
      <c r="L201" s="7" t="s">
        <v>662</v>
      </c>
      <c r="M201" s="8">
        <v>43952</v>
      </c>
      <c r="N201" s="8">
        <v>43952</v>
      </c>
      <c r="O201" s="13">
        <v>13418976.189999999</v>
      </c>
      <c r="P201" s="13"/>
      <c r="Q201" s="33"/>
      <c r="R201" s="9"/>
      <c r="S201" s="9"/>
      <c r="T201" s="9"/>
      <c r="U201" s="9"/>
      <c r="X201" s="15" t="str">
        <f>IF(B201="",VLOOKUP(A201,items_lookup!A:B,2,FALSE),B201)</f>
        <v>07. Item 07</v>
      </c>
      <c r="Y201" s="15">
        <f t="shared" si="19"/>
        <v>5</v>
      </c>
      <c r="Z201" s="15">
        <f t="shared" si="19"/>
        <v>5</v>
      </c>
      <c r="AA201" s="15">
        <f t="shared" si="16"/>
        <v>2020</v>
      </c>
      <c r="AB201" s="15">
        <f t="shared" si="17"/>
        <v>2020</v>
      </c>
      <c r="AC201" s="15">
        <f t="shared" si="18"/>
        <v>2020</v>
      </c>
      <c r="AD201" s="18" t="b">
        <f t="shared" si="20"/>
        <v>1</v>
      </c>
    </row>
    <row r="202" spans="1:30" ht="12.75" hidden="1" customHeight="1" x14ac:dyDescent="0.2">
      <c r="A202" s="7" t="s">
        <v>684</v>
      </c>
      <c r="B202" s="20"/>
      <c r="C202" s="2" t="s">
        <v>642</v>
      </c>
      <c r="D202" s="6"/>
      <c r="E202" s="32" t="s">
        <v>651</v>
      </c>
      <c r="F202" s="7"/>
      <c r="G202" s="7"/>
      <c r="H202" s="7"/>
      <c r="I202" s="7"/>
      <c r="J202" s="7"/>
      <c r="K202" s="7"/>
      <c r="L202" s="7" t="s">
        <v>662</v>
      </c>
      <c r="M202" s="8">
        <v>43952</v>
      </c>
      <c r="N202" s="8">
        <v>43952</v>
      </c>
      <c r="O202" s="13">
        <v>3634809.52</v>
      </c>
      <c r="P202" s="13"/>
      <c r="Q202" s="33"/>
      <c r="R202" s="9"/>
      <c r="S202" s="9"/>
      <c r="T202" s="9"/>
      <c r="U202" s="9"/>
      <c r="X202" s="15" t="str">
        <f>IF(B202="",VLOOKUP(A202,items_lookup!A:B,2,FALSE),B202)</f>
        <v>09. Item 09</v>
      </c>
      <c r="Y202" s="15">
        <f t="shared" si="19"/>
        <v>5</v>
      </c>
      <c r="Z202" s="15">
        <f t="shared" si="19"/>
        <v>5</v>
      </c>
      <c r="AA202" s="15">
        <f t="shared" si="16"/>
        <v>2020</v>
      </c>
      <c r="AB202" s="15">
        <f t="shared" si="17"/>
        <v>2020</v>
      </c>
      <c r="AC202" s="15">
        <f t="shared" si="18"/>
        <v>2020</v>
      </c>
      <c r="AD202" s="18" t="b">
        <f t="shared" si="20"/>
        <v>1</v>
      </c>
    </row>
    <row r="203" spans="1:30" ht="12.6" hidden="1" customHeight="1" x14ac:dyDescent="0.2">
      <c r="A203" s="7" t="s">
        <v>676</v>
      </c>
      <c r="B203" s="7" t="s">
        <v>709</v>
      </c>
      <c r="C203" s="2" t="s">
        <v>642</v>
      </c>
      <c r="D203" s="6"/>
      <c r="E203" s="32" t="s">
        <v>651</v>
      </c>
      <c r="F203" s="7"/>
      <c r="G203" s="7"/>
      <c r="H203" s="7"/>
      <c r="I203" s="7"/>
      <c r="J203" s="7"/>
      <c r="K203" s="7"/>
      <c r="L203" s="7" t="s">
        <v>662</v>
      </c>
      <c r="M203" s="8">
        <v>43952</v>
      </c>
      <c r="N203" s="8">
        <v>43952</v>
      </c>
      <c r="O203" s="13">
        <v>1863547.62</v>
      </c>
      <c r="P203" s="13"/>
      <c r="Q203" s="33"/>
      <c r="R203" s="22"/>
      <c r="S203" s="22"/>
      <c r="T203" s="22"/>
      <c r="U203" s="22"/>
      <c r="X203" s="15" t="str">
        <f>IF(B203="",VLOOKUP(A203,items_lookup!A:B,2,FALSE),B203)</f>
        <v>04. Item 04</v>
      </c>
      <c r="Y203" s="15">
        <f t="shared" si="19"/>
        <v>5</v>
      </c>
      <c r="Z203" s="15">
        <f t="shared" si="19"/>
        <v>5</v>
      </c>
      <c r="AA203" s="15">
        <f t="shared" ref="AA203:AA251" si="21">YEAR(N203)</f>
        <v>2020</v>
      </c>
      <c r="AB203" s="15">
        <f t="shared" ref="AB203:AB251" si="22">YEAR(M203)</f>
        <v>2020</v>
      </c>
      <c r="AC203" s="15">
        <f t="shared" ref="AC203:AC251" si="23">IF(F203="X",AA203-1,AA203)</f>
        <v>2020</v>
      </c>
      <c r="AD203" s="18" t="b">
        <f t="shared" si="20"/>
        <v>1</v>
      </c>
    </row>
    <row r="204" spans="1:30" ht="15" hidden="1" customHeight="1" x14ac:dyDescent="0.2">
      <c r="A204" s="7" t="s">
        <v>675</v>
      </c>
      <c r="B204" s="7"/>
      <c r="C204" s="2" t="s">
        <v>642</v>
      </c>
      <c r="D204" s="6"/>
      <c r="E204" s="32" t="s">
        <v>651</v>
      </c>
      <c r="F204" s="7"/>
      <c r="G204" s="7"/>
      <c r="H204" s="7"/>
      <c r="I204" s="7"/>
      <c r="J204" s="7"/>
      <c r="K204" s="7"/>
      <c r="L204" s="7" t="s">
        <v>662</v>
      </c>
      <c r="M204" s="8">
        <v>43952</v>
      </c>
      <c r="N204" s="8">
        <v>43952</v>
      </c>
      <c r="O204" s="13">
        <v>4803119.05</v>
      </c>
      <c r="P204" s="13"/>
      <c r="Q204" s="33"/>
      <c r="R204" s="9"/>
      <c r="S204" s="9"/>
      <c r="T204" s="9"/>
      <c r="U204" s="9"/>
      <c r="X204" s="15" t="str">
        <f>IF(B204="",VLOOKUP(A204,items_lookup!A:B,2,FALSE),B204)</f>
        <v>09. Item 09</v>
      </c>
      <c r="Y204" s="15">
        <f t="shared" si="19"/>
        <v>5</v>
      </c>
      <c r="Z204" s="15">
        <f t="shared" si="19"/>
        <v>5</v>
      </c>
      <c r="AA204" s="15">
        <f t="shared" si="21"/>
        <v>2020</v>
      </c>
      <c r="AB204" s="15">
        <f t="shared" si="22"/>
        <v>2020</v>
      </c>
      <c r="AC204" s="15">
        <f t="shared" si="23"/>
        <v>2020</v>
      </c>
      <c r="AD204" s="18" t="b">
        <f t="shared" si="20"/>
        <v>1</v>
      </c>
    </row>
    <row r="205" spans="1:30" ht="15" hidden="1" customHeight="1" x14ac:dyDescent="0.2">
      <c r="A205" s="7" t="s">
        <v>677</v>
      </c>
      <c r="B205" s="7"/>
      <c r="C205" s="2" t="s">
        <v>642</v>
      </c>
      <c r="D205" s="6"/>
      <c r="E205" s="32" t="s">
        <v>651</v>
      </c>
      <c r="F205" s="7"/>
      <c r="G205" s="7"/>
      <c r="H205" s="7"/>
      <c r="I205" s="7"/>
      <c r="J205" s="7"/>
      <c r="K205" s="7"/>
      <c r="L205" s="7" t="s">
        <v>662</v>
      </c>
      <c r="M205" s="8">
        <v>43952</v>
      </c>
      <c r="N205" s="8">
        <v>43952</v>
      </c>
      <c r="O205" s="13">
        <v>40023.81</v>
      </c>
      <c r="P205" s="13"/>
      <c r="Q205" s="33"/>
      <c r="R205" s="9"/>
      <c r="S205" s="9"/>
      <c r="T205" s="9"/>
      <c r="U205" s="9"/>
      <c r="X205" s="15" t="str">
        <f>IF(B205="",VLOOKUP(A205,items_lookup!A:B,2,FALSE),B205)</f>
        <v>11. Item 11</v>
      </c>
      <c r="Y205" s="15">
        <f t="shared" si="19"/>
        <v>5</v>
      </c>
      <c r="Z205" s="15">
        <f t="shared" si="19"/>
        <v>5</v>
      </c>
      <c r="AA205" s="15">
        <f t="shared" si="21"/>
        <v>2020</v>
      </c>
      <c r="AB205" s="15">
        <f t="shared" si="22"/>
        <v>2020</v>
      </c>
      <c r="AC205" s="15">
        <f t="shared" si="23"/>
        <v>2020</v>
      </c>
      <c r="AD205" s="18" t="b">
        <f t="shared" si="20"/>
        <v>1</v>
      </c>
    </row>
    <row r="206" spans="1:30" ht="12.75" hidden="1" customHeight="1" x14ac:dyDescent="0.2">
      <c r="A206" s="7"/>
      <c r="B206" s="7" t="s">
        <v>711</v>
      </c>
      <c r="C206" s="2" t="s">
        <v>642</v>
      </c>
      <c r="D206" s="6"/>
      <c r="E206" s="32" t="s">
        <v>651</v>
      </c>
      <c r="F206" s="7"/>
      <c r="G206" s="7"/>
      <c r="H206" s="7"/>
      <c r="I206" s="7"/>
      <c r="J206" s="7"/>
      <c r="K206" s="7"/>
      <c r="L206" s="7" t="s">
        <v>662</v>
      </c>
      <c r="M206" s="8">
        <v>43952</v>
      </c>
      <c r="N206" s="8">
        <v>43952</v>
      </c>
      <c r="O206" s="13">
        <v>449357.14</v>
      </c>
      <c r="P206" s="13"/>
      <c r="Q206" s="33"/>
      <c r="R206" s="9"/>
      <c r="S206" s="9"/>
      <c r="T206" s="9"/>
      <c r="U206" s="9"/>
      <c r="X206" s="15" t="str">
        <f>IF(B206="",VLOOKUP(A206,items_lookup!A:B,2,FALSE),B206)</f>
        <v>12. Item 12</v>
      </c>
      <c r="Y206" s="15">
        <f t="shared" si="19"/>
        <v>5</v>
      </c>
      <c r="Z206" s="15">
        <f t="shared" si="19"/>
        <v>5</v>
      </c>
      <c r="AA206" s="15">
        <f t="shared" si="21"/>
        <v>2020</v>
      </c>
      <c r="AB206" s="15">
        <f t="shared" si="22"/>
        <v>2020</v>
      </c>
      <c r="AC206" s="15">
        <f t="shared" si="23"/>
        <v>2020</v>
      </c>
      <c r="AD206" s="18" t="b">
        <f t="shared" si="20"/>
        <v>1</v>
      </c>
    </row>
    <row r="207" spans="1:30" ht="17.25" hidden="1" customHeight="1" x14ac:dyDescent="0.2">
      <c r="A207" s="7" t="s">
        <v>681</v>
      </c>
      <c r="C207" s="2" t="s">
        <v>642</v>
      </c>
      <c r="D207" s="6"/>
      <c r="E207" s="32" t="s">
        <v>651</v>
      </c>
      <c r="H207" s="7"/>
      <c r="K207" s="7"/>
      <c r="L207" s="7" t="s">
        <v>662</v>
      </c>
      <c r="M207" s="8">
        <v>43952</v>
      </c>
      <c r="N207" s="8">
        <v>43952</v>
      </c>
      <c r="O207" s="14">
        <v>398000</v>
      </c>
      <c r="Q207" s="33"/>
      <c r="R207" s="23"/>
      <c r="S207" s="23"/>
      <c r="T207" s="23"/>
      <c r="U207" s="23"/>
      <c r="X207" s="15" t="str">
        <f>IF(B207="",VLOOKUP(A207,items_lookup!A:B,2,FALSE),B207)</f>
        <v>19. Item 19</v>
      </c>
      <c r="Y207" s="15">
        <f t="shared" si="19"/>
        <v>5</v>
      </c>
      <c r="Z207" s="15">
        <f t="shared" si="19"/>
        <v>5</v>
      </c>
      <c r="AA207" s="15">
        <f t="shared" si="21"/>
        <v>2020</v>
      </c>
      <c r="AB207" s="15">
        <f t="shared" si="22"/>
        <v>2020</v>
      </c>
      <c r="AC207" s="15">
        <f t="shared" si="23"/>
        <v>2020</v>
      </c>
      <c r="AD207" s="18" t="b">
        <f t="shared" si="20"/>
        <v>1</v>
      </c>
    </row>
    <row r="208" spans="1:30" ht="15" hidden="1" customHeight="1" x14ac:dyDescent="0.2">
      <c r="A208" s="7" t="s">
        <v>668</v>
      </c>
      <c r="C208" s="2" t="s">
        <v>642</v>
      </c>
      <c r="D208" s="6"/>
      <c r="E208" s="32" t="s">
        <v>651</v>
      </c>
      <c r="H208" s="7"/>
      <c r="K208" s="7"/>
      <c r="L208" s="7" t="s">
        <v>663</v>
      </c>
      <c r="M208" s="8">
        <v>43952</v>
      </c>
      <c r="N208" s="8">
        <v>43952</v>
      </c>
      <c r="P208" s="14">
        <v>153738.1</v>
      </c>
      <c r="Q208" s="33"/>
      <c r="R208" s="23"/>
      <c r="S208" s="23"/>
      <c r="T208" s="23"/>
      <c r="U208" s="23"/>
      <c r="X208" s="15" t="str">
        <f>IF(B208="",VLOOKUP(A208,items_lookup!A:B,2,FALSE),B208)</f>
        <v>01. Item 01</v>
      </c>
      <c r="Y208" s="15">
        <f t="shared" si="19"/>
        <v>5</v>
      </c>
      <c r="Z208" s="15">
        <f t="shared" si="19"/>
        <v>5</v>
      </c>
      <c r="AA208" s="15">
        <f t="shared" si="21"/>
        <v>2020</v>
      </c>
      <c r="AB208" s="15">
        <f t="shared" si="22"/>
        <v>2020</v>
      </c>
      <c r="AC208" s="15">
        <f t="shared" si="23"/>
        <v>2020</v>
      </c>
      <c r="AD208" s="18" t="b">
        <f t="shared" si="20"/>
        <v>1</v>
      </c>
    </row>
    <row r="209" spans="1:37" ht="15" hidden="1" customHeight="1" x14ac:dyDescent="0.2">
      <c r="A209" s="7" t="s">
        <v>669</v>
      </c>
      <c r="C209" s="2" t="s">
        <v>642</v>
      </c>
      <c r="D209" s="6"/>
      <c r="E209" s="32" t="s">
        <v>651</v>
      </c>
      <c r="H209" s="7"/>
      <c r="K209" s="7"/>
      <c r="L209" s="7" t="s">
        <v>662</v>
      </c>
      <c r="M209" s="8">
        <v>43952</v>
      </c>
      <c r="N209" s="8">
        <v>43952</v>
      </c>
      <c r="O209" s="14">
        <v>95619.05</v>
      </c>
      <c r="Q209" s="33"/>
      <c r="X209" s="15" t="str">
        <f>IF(B209="",VLOOKUP(A209,items_lookup!A:B,2,FALSE),B209)</f>
        <v>02. Item 02</v>
      </c>
      <c r="Y209" s="15">
        <f t="shared" si="19"/>
        <v>5</v>
      </c>
      <c r="Z209" s="15">
        <f t="shared" si="19"/>
        <v>5</v>
      </c>
      <c r="AA209" s="15">
        <f t="shared" si="21"/>
        <v>2020</v>
      </c>
      <c r="AB209" s="15">
        <f t="shared" si="22"/>
        <v>2020</v>
      </c>
      <c r="AC209" s="15">
        <f t="shared" si="23"/>
        <v>2020</v>
      </c>
      <c r="AD209" s="18" t="b">
        <f t="shared" si="20"/>
        <v>1</v>
      </c>
    </row>
    <row r="210" spans="1:37" s="21" customFormat="1" ht="26.25" hidden="1" customHeight="1" x14ac:dyDescent="0.2">
      <c r="A210" s="7" t="s">
        <v>687</v>
      </c>
      <c r="B210" s="2"/>
      <c r="C210" s="2" t="s">
        <v>642</v>
      </c>
      <c r="D210" s="6"/>
      <c r="E210" s="32" t="s">
        <v>651</v>
      </c>
      <c r="F210" s="2"/>
      <c r="G210" s="2"/>
      <c r="H210" s="7"/>
      <c r="I210" s="2"/>
      <c r="J210" s="2"/>
      <c r="K210" s="7"/>
      <c r="L210" s="7" t="s">
        <v>663</v>
      </c>
      <c r="M210" s="8">
        <v>43952</v>
      </c>
      <c r="N210" s="8">
        <v>43952</v>
      </c>
      <c r="O210" s="14"/>
      <c r="P210" s="14">
        <v>7857.14</v>
      </c>
      <c r="Q210" s="33"/>
      <c r="R210" s="10"/>
      <c r="S210" s="10"/>
      <c r="T210" s="10"/>
      <c r="U210" s="10"/>
      <c r="V210" s="1"/>
      <c r="W210" s="1"/>
      <c r="X210" s="15" t="str">
        <f>IF(B210="",VLOOKUP(A210,items_lookup!A:B,2,FALSE),B210)</f>
        <v>14. Item 14</v>
      </c>
      <c r="Y210" s="15">
        <f t="shared" si="19"/>
        <v>5</v>
      </c>
      <c r="Z210" s="15">
        <f t="shared" si="19"/>
        <v>5</v>
      </c>
      <c r="AA210" s="15">
        <f t="shared" si="21"/>
        <v>2020</v>
      </c>
      <c r="AB210" s="15">
        <f t="shared" si="22"/>
        <v>2020</v>
      </c>
      <c r="AC210" s="15">
        <f t="shared" si="23"/>
        <v>2020</v>
      </c>
      <c r="AD210" s="18" t="b">
        <f t="shared" si="20"/>
        <v>1</v>
      </c>
      <c r="AE210" s="1"/>
      <c r="AF210" s="1"/>
      <c r="AG210" s="1"/>
      <c r="AH210" s="1"/>
      <c r="AI210" s="1"/>
      <c r="AJ210" s="1"/>
      <c r="AK210" s="1"/>
    </row>
    <row r="211" spans="1:37" ht="0.75" hidden="1" customHeight="1" x14ac:dyDescent="0.2">
      <c r="A211" s="7" t="s">
        <v>671</v>
      </c>
      <c r="C211" s="2" t="s">
        <v>642</v>
      </c>
      <c r="D211" s="6"/>
      <c r="E211" s="32" t="s">
        <v>651</v>
      </c>
      <c r="H211" s="7"/>
      <c r="K211" s="7"/>
      <c r="L211" s="7" t="s">
        <v>662</v>
      </c>
      <c r="M211" s="8">
        <v>43952</v>
      </c>
      <c r="N211" s="8">
        <v>43952</v>
      </c>
      <c r="O211" s="14">
        <v>1020952.38</v>
      </c>
      <c r="Q211" s="33"/>
      <c r="X211" s="15" t="str">
        <f>IF(B211="",VLOOKUP(A211,items_lookup!A:B,2,FALSE),B211)</f>
        <v>05. Item 05</v>
      </c>
      <c r="Y211" s="15">
        <f t="shared" si="19"/>
        <v>5</v>
      </c>
      <c r="Z211" s="15">
        <f t="shared" si="19"/>
        <v>5</v>
      </c>
      <c r="AA211" s="15">
        <f t="shared" si="21"/>
        <v>2020</v>
      </c>
      <c r="AB211" s="15">
        <f t="shared" si="22"/>
        <v>2020</v>
      </c>
      <c r="AC211" s="15">
        <f t="shared" si="23"/>
        <v>2020</v>
      </c>
      <c r="AD211" s="18" t="b">
        <f t="shared" si="20"/>
        <v>1</v>
      </c>
    </row>
    <row r="212" spans="1:37" ht="15" hidden="1" customHeight="1" x14ac:dyDescent="0.2">
      <c r="A212" s="7" t="s">
        <v>682</v>
      </c>
      <c r="C212" s="2" t="s">
        <v>642</v>
      </c>
      <c r="D212" s="6"/>
      <c r="E212" s="32" t="s">
        <v>651</v>
      </c>
      <c r="H212" s="7"/>
      <c r="K212" s="7"/>
      <c r="L212" s="7" t="s">
        <v>663</v>
      </c>
      <c r="M212" s="8">
        <v>43952</v>
      </c>
      <c r="N212" s="8">
        <v>43952</v>
      </c>
      <c r="P212" s="14">
        <v>1924690.48</v>
      </c>
      <c r="Q212" s="33"/>
      <c r="X212" s="15" t="str">
        <f>IF(B212="",VLOOKUP(A212,items_lookup!A:B,2,FALSE),B212)</f>
        <v>06. Item 06</v>
      </c>
      <c r="Y212" s="15">
        <f t="shared" si="19"/>
        <v>5</v>
      </c>
      <c r="Z212" s="15">
        <f t="shared" si="19"/>
        <v>5</v>
      </c>
      <c r="AA212" s="15">
        <f t="shared" si="21"/>
        <v>2020</v>
      </c>
      <c r="AB212" s="15">
        <f t="shared" si="22"/>
        <v>2020</v>
      </c>
      <c r="AC212" s="15">
        <f t="shared" si="23"/>
        <v>2020</v>
      </c>
      <c r="AD212" s="18" t="b">
        <f t="shared" si="20"/>
        <v>1</v>
      </c>
    </row>
    <row r="213" spans="1:37" ht="15" hidden="1" customHeight="1" x14ac:dyDescent="0.2">
      <c r="A213" s="7" t="s">
        <v>673</v>
      </c>
      <c r="B213" s="20"/>
      <c r="C213" s="2" t="s">
        <v>642</v>
      </c>
      <c r="D213" s="6"/>
      <c r="E213" s="32" t="s">
        <v>651</v>
      </c>
      <c r="F213" s="7"/>
      <c r="G213" s="7"/>
      <c r="H213" s="7"/>
      <c r="I213" s="7"/>
      <c r="J213" s="7"/>
      <c r="K213" s="7"/>
      <c r="L213" s="7" t="s">
        <v>663</v>
      </c>
      <c r="M213" s="8">
        <v>43952</v>
      </c>
      <c r="N213" s="8">
        <v>43952</v>
      </c>
      <c r="O213" s="13"/>
      <c r="P213" s="13">
        <v>4838023.8099999996</v>
      </c>
      <c r="Q213" s="33"/>
      <c r="R213" s="9"/>
      <c r="S213" s="9"/>
      <c r="T213" s="9"/>
      <c r="U213" s="9"/>
      <c r="X213" s="15" t="str">
        <f>IF(B213="",VLOOKUP(A213,items_lookup!A:B,2,FALSE),B213)</f>
        <v>07. Item 07</v>
      </c>
      <c r="Y213" s="15">
        <f t="shared" si="19"/>
        <v>5</v>
      </c>
      <c r="Z213" s="15">
        <f t="shared" si="19"/>
        <v>5</v>
      </c>
      <c r="AA213" s="15">
        <f t="shared" si="21"/>
        <v>2020</v>
      </c>
      <c r="AB213" s="15">
        <f t="shared" si="22"/>
        <v>2020</v>
      </c>
      <c r="AC213" s="15">
        <f t="shared" si="23"/>
        <v>2020</v>
      </c>
      <c r="AD213" s="18" t="b">
        <f t="shared" si="20"/>
        <v>1</v>
      </c>
    </row>
    <row r="214" spans="1:37" ht="15" hidden="1" customHeight="1" x14ac:dyDescent="0.2">
      <c r="A214" s="7" t="s">
        <v>672</v>
      </c>
      <c r="B214" s="20"/>
      <c r="C214" s="2" t="s">
        <v>642</v>
      </c>
      <c r="D214" s="6"/>
      <c r="E214" s="32" t="s">
        <v>651</v>
      </c>
      <c r="F214" s="7"/>
      <c r="G214" s="7"/>
      <c r="H214" s="7"/>
      <c r="I214" s="7"/>
      <c r="J214" s="7"/>
      <c r="K214" s="7"/>
      <c r="L214" s="7" t="s">
        <v>662</v>
      </c>
      <c r="M214" s="8">
        <v>43952</v>
      </c>
      <c r="N214" s="8">
        <v>43952</v>
      </c>
      <c r="O214" s="13">
        <v>3720547.62</v>
      </c>
      <c r="P214" s="13"/>
      <c r="Q214" s="33"/>
      <c r="R214" s="9"/>
      <c r="S214" s="9"/>
      <c r="T214" s="9"/>
      <c r="U214" s="9"/>
      <c r="X214" s="15" t="str">
        <f>IF(B214="",VLOOKUP(A214,items_lookup!A:B,2,FALSE),B214)</f>
        <v>05. Item 05</v>
      </c>
      <c r="Y214" s="15">
        <f t="shared" si="19"/>
        <v>5</v>
      </c>
      <c r="Z214" s="15">
        <f t="shared" si="19"/>
        <v>5</v>
      </c>
      <c r="AA214" s="15">
        <f t="shared" si="21"/>
        <v>2020</v>
      </c>
      <c r="AB214" s="15">
        <f t="shared" si="22"/>
        <v>2020</v>
      </c>
      <c r="AC214" s="15">
        <f t="shared" si="23"/>
        <v>2020</v>
      </c>
      <c r="AD214" s="18" t="b">
        <f t="shared" si="20"/>
        <v>1</v>
      </c>
    </row>
    <row r="215" spans="1:37" ht="12.6" hidden="1" customHeight="1" x14ac:dyDescent="0.2">
      <c r="A215" s="7" t="s">
        <v>668</v>
      </c>
      <c r="B215" s="20"/>
      <c r="C215" s="2" t="s">
        <v>642</v>
      </c>
      <c r="D215" s="6"/>
      <c r="E215" s="32" t="s">
        <v>651</v>
      </c>
      <c r="F215" s="7"/>
      <c r="G215" s="7"/>
      <c r="H215" s="7"/>
      <c r="I215" s="7"/>
      <c r="J215" s="7"/>
      <c r="K215" s="7"/>
      <c r="L215" s="7" t="s">
        <v>663</v>
      </c>
      <c r="M215" s="8">
        <v>43952</v>
      </c>
      <c r="N215" s="8">
        <v>43952</v>
      </c>
      <c r="O215" s="13"/>
      <c r="P215" s="13">
        <v>12623690.48</v>
      </c>
      <c r="Q215" s="33"/>
      <c r="R215" s="9"/>
      <c r="S215" s="9"/>
      <c r="T215" s="9"/>
      <c r="U215" s="9"/>
      <c r="X215" s="15" t="str">
        <f>IF(B215="",VLOOKUP(A215,items_lookup!A:B,2,FALSE),B215)</f>
        <v>01. Item 01</v>
      </c>
      <c r="Y215" s="15">
        <f t="shared" ref="Y215:Z262" si="24">MONTH(M215)</f>
        <v>5</v>
      </c>
      <c r="Z215" s="15">
        <f t="shared" si="24"/>
        <v>5</v>
      </c>
      <c r="AA215" s="15">
        <f t="shared" si="21"/>
        <v>2020</v>
      </c>
      <c r="AB215" s="15">
        <f t="shared" si="22"/>
        <v>2020</v>
      </c>
      <c r="AC215" s="15">
        <f t="shared" si="23"/>
        <v>2020</v>
      </c>
      <c r="AD215" s="18" t="b">
        <f t="shared" si="20"/>
        <v>1</v>
      </c>
    </row>
    <row r="216" spans="1:37" ht="12.6" hidden="1" customHeight="1" x14ac:dyDescent="0.2">
      <c r="A216" s="7" t="s">
        <v>669</v>
      </c>
      <c r="B216" s="20"/>
      <c r="C216" s="2" t="s">
        <v>642</v>
      </c>
      <c r="D216" s="6"/>
      <c r="E216" s="32" t="s">
        <v>651</v>
      </c>
      <c r="F216" s="7"/>
      <c r="G216" s="7"/>
      <c r="H216" s="7"/>
      <c r="I216" s="7"/>
      <c r="J216" s="7"/>
      <c r="K216" s="7"/>
      <c r="L216" s="7" t="s">
        <v>663</v>
      </c>
      <c r="M216" s="8">
        <v>43952</v>
      </c>
      <c r="N216" s="8">
        <v>43952</v>
      </c>
      <c r="O216" s="13"/>
      <c r="P216" s="13">
        <v>3696523.81</v>
      </c>
      <c r="Q216" s="33"/>
      <c r="R216" s="9"/>
      <c r="S216" s="9"/>
      <c r="T216" s="9"/>
      <c r="U216" s="9"/>
      <c r="X216" s="15" t="str">
        <f>IF(B216="",VLOOKUP(A216,items_lookup!A:B,2,FALSE),B216)</f>
        <v>02. Item 02</v>
      </c>
      <c r="Y216" s="15">
        <f t="shared" si="24"/>
        <v>5</v>
      </c>
      <c r="Z216" s="15">
        <f t="shared" si="24"/>
        <v>5</v>
      </c>
      <c r="AA216" s="15">
        <f t="shared" si="21"/>
        <v>2020</v>
      </c>
      <c r="AB216" s="15">
        <f t="shared" si="22"/>
        <v>2020</v>
      </c>
      <c r="AC216" s="15">
        <f t="shared" si="23"/>
        <v>2020</v>
      </c>
      <c r="AD216" s="18" t="b">
        <f t="shared" si="20"/>
        <v>1</v>
      </c>
    </row>
    <row r="217" spans="1:37" ht="15" hidden="1" customHeight="1" x14ac:dyDescent="0.2">
      <c r="A217" s="7"/>
      <c r="B217" s="7" t="s">
        <v>709</v>
      </c>
      <c r="C217" s="2" t="s">
        <v>642</v>
      </c>
      <c r="D217" s="6"/>
      <c r="E217" s="32" t="s">
        <v>651</v>
      </c>
      <c r="F217" s="7"/>
      <c r="G217" s="7"/>
      <c r="H217" s="7"/>
      <c r="I217" s="7"/>
      <c r="J217" s="7"/>
      <c r="K217" s="7"/>
      <c r="L217" s="7" t="s">
        <v>663</v>
      </c>
      <c r="M217" s="8">
        <v>43952</v>
      </c>
      <c r="N217" s="8">
        <v>43952</v>
      </c>
      <c r="O217" s="13"/>
      <c r="P217" s="13">
        <v>1832666.67</v>
      </c>
      <c r="Q217" s="33"/>
      <c r="R217" s="22"/>
      <c r="S217" s="22"/>
      <c r="T217" s="22"/>
      <c r="U217" s="22"/>
      <c r="X217" s="15" t="str">
        <f>IF(B217="",VLOOKUP(A217,items_lookup!A:B,2,FALSE),B217)</f>
        <v>04. Item 04</v>
      </c>
      <c r="Y217" s="15">
        <f t="shared" si="24"/>
        <v>5</v>
      </c>
      <c r="Z217" s="15">
        <f t="shared" si="24"/>
        <v>5</v>
      </c>
      <c r="AA217" s="15">
        <f t="shared" si="21"/>
        <v>2020</v>
      </c>
      <c r="AB217" s="15">
        <f t="shared" si="22"/>
        <v>2020</v>
      </c>
      <c r="AC217" s="15">
        <f t="shared" si="23"/>
        <v>2020</v>
      </c>
      <c r="AD217" s="18" t="b">
        <f t="shared" si="20"/>
        <v>1</v>
      </c>
    </row>
    <row r="218" spans="1:37" ht="15" hidden="1" customHeight="1" x14ac:dyDescent="0.2">
      <c r="A218" s="7" t="s">
        <v>670</v>
      </c>
      <c r="B218" s="7"/>
      <c r="C218" s="2" t="s">
        <v>642</v>
      </c>
      <c r="D218" s="6"/>
      <c r="E218" s="32" t="s">
        <v>651</v>
      </c>
      <c r="F218" s="7"/>
      <c r="G218" s="7"/>
      <c r="H218" s="7"/>
      <c r="I218" s="7"/>
      <c r="J218" s="7"/>
      <c r="K218" s="7"/>
      <c r="L218" s="7" t="s">
        <v>663</v>
      </c>
      <c r="M218" s="8">
        <v>43952</v>
      </c>
      <c r="N218" s="8">
        <v>43952</v>
      </c>
      <c r="O218" s="13"/>
      <c r="P218" s="13">
        <v>5223642.8600000003</v>
      </c>
      <c r="Q218" s="33"/>
      <c r="R218" s="9"/>
      <c r="S218" s="9"/>
      <c r="T218" s="9"/>
      <c r="U218" s="9"/>
      <c r="X218" s="15" t="str">
        <f>IF(B218="",VLOOKUP(A218,items_lookup!A:B,2,FALSE),B218)</f>
        <v>04. Item 04</v>
      </c>
      <c r="Y218" s="15">
        <f t="shared" si="24"/>
        <v>5</v>
      </c>
      <c r="Z218" s="15">
        <f t="shared" si="24"/>
        <v>5</v>
      </c>
      <c r="AA218" s="15">
        <f t="shared" si="21"/>
        <v>2020</v>
      </c>
      <c r="AB218" s="15">
        <f t="shared" si="22"/>
        <v>2020</v>
      </c>
      <c r="AC218" s="15">
        <f t="shared" si="23"/>
        <v>2020</v>
      </c>
      <c r="AD218" s="18" t="b">
        <f t="shared" si="20"/>
        <v>1</v>
      </c>
    </row>
    <row r="219" spans="1:37" ht="15" hidden="1" customHeight="1" x14ac:dyDescent="0.2">
      <c r="A219" s="7" t="s">
        <v>671</v>
      </c>
      <c r="B219" s="7"/>
      <c r="C219" s="2" t="s">
        <v>642</v>
      </c>
      <c r="D219" s="6"/>
      <c r="E219" s="32" t="s">
        <v>651</v>
      </c>
      <c r="F219" s="7"/>
      <c r="G219" s="7"/>
      <c r="H219" s="7"/>
      <c r="I219" s="7"/>
      <c r="J219" s="7"/>
      <c r="K219" s="7"/>
      <c r="L219" s="7" t="s">
        <v>663</v>
      </c>
      <c r="M219" s="8">
        <v>43952</v>
      </c>
      <c r="N219" s="8">
        <v>43952</v>
      </c>
      <c r="O219" s="13"/>
      <c r="P219" s="13">
        <v>25333.33</v>
      </c>
      <c r="Q219" s="33"/>
      <c r="R219" s="9"/>
      <c r="S219" s="9"/>
      <c r="T219" s="9"/>
      <c r="U219" s="9"/>
      <c r="X219" s="15" t="str">
        <f>IF(B219="",VLOOKUP(A219,items_lookup!A:B,2,FALSE),B219)</f>
        <v>05. Item 05</v>
      </c>
      <c r="Y219" s="15">
        <f t="shared" si="24"/>
        <v>5</v>
      </c>
      <c r="Z219" s="15">
        <f t="shared" si="24"/>
        <v>5</v>
      </c>
      <c r="AA219" s="15">
        <f t="shared" si="21"/>
        <v>2020</v>
      </c>
      <c r="AB219" s="15">
        <f t="shared" si="22"/>
        <v>2020</v>
      </c>
      <c r="AC219" s="15">
        <f t="shared" si="23"/>
        <v>2020</v>
      </c>
      <c r="AD219" s="18" t="b">
        <f t="shared" si="20"/>
        <v>1</v>
      </c>
    </row>
    <row r="220" spans="1:37" ht="15" hidden="1" customHeight="1" x14ac:dyDescent="0.2">
      <c r="A220" s="7" t="s">
        <v>677</v>
      </c>
      <c r="B220" s="7"/>
      <c r="C220" s="2" t="s">
        <v>642</v>
      </c>
      <c r="D220" s="6"/>
      <c r="E220" s="32" t="s">
        <v>651</v>
      </c>
      <c r="F220" s="7"/>
      <c r="G220" s="7"/>
      <c r="H220" s="7"/>
      <c r="I220" s="7"/>
      <c r="J220" s="7"/>
      <c r="K220" s="7"/>
      <c r="L220" s="7" t="s">
        <v>663</v>
      </c>
      <c r="M220" s="8">
        <v>43952</v>
      </c>
      <c r="N220" s="8">
        <v>43952</v>
      </c>
      <c r="O220" s="13"/>
      <c r="P220" s="13">
        <v>235738.1</v>
      </c>
      <c r="Q220" s="33"/>
      <c r="R220" s="9"/>
      <c r="S220" s="9"/>
      <c r="T220" s="9"/>
      <c r="U220" s="9"/>
      <c r="X220" s="15" t="str">
        <f>IF(B220="",VLOOKUP(A220,items_lookup!A:B,2,FALSE),B220)</f>
        <v>11. Item 11</v>
      </c>
      <c r="Y220" s="15">
        <f t="shared" si="24"/>
        <v>5</v>
      </c>
      <c r="Z220" s="15">
        <f t="shared" si="24"/>
        <v>5</v>
      </c>
      <c r="AA220" s="15">
        <f t="shared" si="21"/>
        <v>2020</v>
      </c>
      <c r="AB220" s="15">
        <f t="shared" si="22"/>
        <v>2020</v>
      </c>
      <c r="AC220" s="15">
        <f t="shared" si="23"/>
        <v>2020</v>
      </c>
      <c r="AD220" s="18" t="b">
        <f t="shared" si="20"/>
        <v>1</v>
      </c>
    </row>
    <row r="221" spans="1:37" ht="12.6" hidden="1" customHeight="1" x14ac:dyDescent="0.2">
      <c r="A221" s="7" t="s">
        <v>676</v>
      </c>
      <c r="B221" s="7"/>
      <c r="C221" s="2" t="s">
        <v>642</v>
      </c>
      <c r="D221" s="6"/>
      <c r="E221" s="32" t="s">
        <v>651</v>
      </c>
      <c r="F221" s="7"/>
      <c r="G221" s="7"/>
      <c r="H221" s="7"/>
      <c r="I221" s="7"/>
      <c r="J221" s="7"/>
      <c r="K221" s="7"/>
      <c r="L221" s="7" t="s">
        <v>663</v>
      </c>
      <c r="M221" s="8">
        <v>43952</v>
      </c>
      <c r="N221" s="8">
        <v>43952</v>
      </c>
      <c r="O221" s="13"/>
      <c r="P221" s="13">
        <v>1649000</v>
      </c>
      <c r="Q221" s="33"/>
      <c r="R221" s="9"/>
      <c r="S221" s="9"/>
      <c r="T221" s="9"/>
      <c r="U221" s="9"/>
      <c r="X221" s="15" t="str">
        <f>IF(B221="",VLOOKUP(A221,items_lookup!A:B,2,FALSE),B221)</f>
        <v>09. Item 09</v>
      </c>
      <c r="Y221" s="15">
        <f t="shared" si="24"/>
        <v>5</v>
      </c>
      <c r="Z221" s="15">
        <f t="shared" si="24"/>
        <v>5</v>
      </c>
      <c r="AA221" s="15">
        <f t="shared" si="21"/>
        <v>2020</v>
      </c>
      <c r="AB221" s="15">
        <f t="shared" si="22"/>
        <v>2020</v>
      </c>
      <c r="AC221" s="15">
        <f t="shared" si="23"/>
        <v>2020</v>
      </c>
      <c r="AD221" s="18" t="b">
        <f t="shared" si="20"/>
        <v>1</v>
      </c>
    </row>
    <row r="222" spans="1:37" ht="12.6" hidden="1" customHeight="1" x14ac:dyDescent="0.2">
      <c r="A222" s="7" t="s">
        <v>675</v>
      </c>
      <c r="B222" s="7" t="s">
        <v>711</v>
      </c>
      <c r="C222" s="2" t="s">
        <v>642</v>
      </c>
      <c r="D222" s="6"/>
      <c r="E222" s="32" t="s">
        <v>651</v>
      </c>
      <c r="F222" s="7"/>
      <c r="G222" s="7"/>
      <c r="H222" s="7"/>
      <c r="I222" s="7"/>
      <c r="J222" s="7"/>
      <c r="K222" s="7"/>
      <c r="L222" s="7" t="s">
        <v>663</v>
      </c>
      <c r="M222" s="8">
        <v>43952</v>
      </c>
      <c r="N222" s="8">
        <v>43952</v>
      </c>
      <c r="O222" s="13"/>
      <c r="P222" s="13">
        <v>374404.76</v>
      </c>
      <c r="Q222" s="33"/>
      <c r="R222" s="9"/>
      <c r="S222" s="9"/>
      <c r="T222" s="9"/>
      <c r="U222" s="9"/>
      <c r="X222" s="15" t="str">
        <f>IF(B222="",VLOOKUP(A222,items_lookup!A:B,2,FALSE),B222)</f>
        <v>12. Item 12</v>
      </c>
      <c r="Y222" s="15">
        <f t="shared" si="24"/>
        <v>5</v>
      </c>
      <c r="Z222" s="15">
        <f t="shared" si="24"/>
        <v>5</v>
      </c>
      <c r="AA222" s="15">
        <f t="shared" si="21"/>
        <v>2020</v>
      </c>
      <c r="AB222" s="15">
        <f t="shared" si="22"/>
        <v>2020</v>
      </c>
      <c r="AC222" s="15">
        <f t="shared" si="23"/>
        <v>2020</v>
      </c>
      <c r="AD222" s="18" t="b">
        <f t="shared" si="20"/>
        <v>1</v>
      </c>
    </row>
    <row r="223" spans="1:37" ht="12.6" hidden="1" customHeight="1" x14ac:dyDescent="0.2">
      <c r="A223" s="7" t="s">
        <v>678</v>
      </c>
      <c r="B223" s="7"/>
      <c r="C223" s="2" t="s">
        <v>641</v>
      </c>
      <c r="D223" s="6" t="s">
        <v>650</v>
      </c>
      <c r="E223" s="32" t="s">
        <v>651</v>
      </c>
      <c r="F223" s="7"/>
      <c r="G223" s="7"/>
      <c r="H223" s="7"/>
      <c r="I223" s="7"/>
      <c r="J223" s="7"/>
      <c r="K223" s="7"/>
      <c r="L223" s="7" t="s">
        <v>662</v>
      </c>
      <c r="M223" s="8">
        <v>43951</v>
      </c>
      <c r="N223" s="8">
        <v>43951</v>
      </c>
      <c r="O223" s="13">
        <v>45238.1</v>
      </c>
      <c r="P223" s="13"/>
      <c r="Q223" s="33"/>
      <c r="R223" s="22"/>
      <c r="S223" s="22"/>
      <c r="T223" s="22"/>
      <c r="U223" s="22"/>
      <c r="X223" s="15" t="str">
        <f>IF(B223="",VLOOKUP(A223,items_lookup!A:B,2,FALSE),B223)</f>
        <v>13. Item 13</v>
      </c>
      <c r="Y223" s="15">
        <f t="shared" si="24"/>
        <v>4</v>
      </c>
      <c r="Z223" s="15">
        <f t="shared" si="24"/>
        <v>4</v>
      </c>
      <c r="AA223" s="15">
        <f t="shared" si="21"/>
        <v>2020</v>
      </c>
      <c r="AB223" s="15">
        <f t="shared" si="22"/>
        <v>2020</v>
      </c>
      <c r="AC223" s="15">
        <f t="shared" si="23"/>
        <v>2020</v>
      </c>
      <c r="AD223" s="18" t="b">
        <f t="shared" si="20"/>
        <v>1</v>
      </c>
    </row>
    <row r="224" spans="1:37" ht="12.6" hidden="1" customHeight="1" x14ac:dyDescent="0.2">
      <c r="A224" s="7" t="s">
        <v>678</v>
      </c>
      <c r="B224" s="7"/>
      <c r="C224" s="2" t="s">
        <v>641</v>
      </c>
      <c r="D224" s="6" t="s">
        <v>650</v>
      </c>
      <c r="E224" s="32" t="s">
        <v>651</v>
      </c>
      <c r="F224" s="7"/>
      <c r="G224" s="7"/>
      <c r="H224" s="7"/>
      <c r="I224" s="7"/>
      <c r="J224" s="7"/>
      <c r="K224" s="7"/>
      <c r="L224" s="7" t="s">
        <v>662</v>
      </c>
      <c r="M224" s="8">
        <v>43951</v>
      </c>
      <c r="N224" s="8">
        <v>43951</v>
      </c>
      <c r="O224" s="13">
        <v>498809.52</v>
      </c>
      <c r="P224" s="13"/>
      <c r="Q224" s="33"/>
      <c r="R224" s="22"/>
      <c r="S224" s="22"/>
      <c r="T224" s="22"/>
      <c r="U224" s="22"/>
      <c r="X224" s="15" t="str">
        <f>IF(B224="",VLOOKUP(A224,items_lookup!A:B,2,FALSE),B224)</f>
        <v>13. Item 13</v>
      </c>
      <c r="Y224" s="15">
        <f t="shared" si="24"/>
        <v>4</v>
      </c>
      <c r="Z224" s="15">
        <f t="shared" si="24"/>
        <v>4</v>
      </c>
      <c r="AA224" s="15">
        <f t="shared" si="21"/>
        <v>2020</v>
      </c>
      <c r="AB224" s="15">
        <f t="shared" si="22"/>
        <v>2020</v>
      </c>
      <c r="AC224" s="15">
        <f t="shared" si="23"/>
        <v>2020</v>
      </c>
      <c r="AD224" s="18" t="b">
        <f t="shared" si="20"/>
        <v>1</v>
      </c>
    </row>
    <row r="225" spans="1:37" ht="15" hidden="1" customHeight="1" x14ac:dyDescent="0.2">
      <c r="A225" s="7" t="s">
        <v>679</v>
      </c>
      <c r="B225" s="20"/>
      <c r="C225" s="2" t="s">
        <v>642</v>
      </c>
      <c r="D225" s="6"/>
      <c r="E225" s="32" t="s">
        <v>651</v>
      </c>
      <c r="F225" s="7"/>
      <c r="G225" s="7"/>
      <c r="H225" s="7"/>
      <c r="I225" s="7"/>
      <c r="J225" s="7"/>
      <c r="K225" s="7"/>
      <c r="L225" s="7" t="s">
        <v>663</v>
      </c>
      <c r="M225" s="8">
        <v>43952</v>
      </c>
      <c r="N225" s="8">
        <v>43952</v>
      </c>
      <c r="O225" s="13"/>
      <c r="P225" s="13">
        <v>2931857.14</v>
      </c>
      <c r="Q225" s="33"/>
      <c r="R225" s="9"/>
      <c r="S225" s="9"/>
      <c r="T225" s="9"/>
      <c r="U225" s="9"/>
      <c r="X225" s="15" t="str">
        <f>IF(B225="",VLOOKUP(A225,items_lookup!A:B,2,FALSE),B225)</f>
        <v>13. Item 13</v>
      </c>
      <c r="Y225" s="15">
        <f t="shared" si="24"/>
        <v>5</v>
      </c>
      <c r="Z225" s="15">
        <f t="shared" si="24"/>
        <v>5</v>
      </c>
      <c r="AA225" s="15">
        <f t="shared" si="21"/>
        <v>2020</v>
      </c>
      <c r="AB225" s="15">
        <f t="shared" si="22"/>
        <v>2020</v>
      </c>
      <c r="AC225" s="15">
        <f t="shared" si="23"/>
        <v>2020</v>
      </c>
      <c r="AD225" s="18" t="b">
        <f t="shared" si="20"/>
        <v>1</v>
      </c>
    </row>
    <row r="226" spans="1:37" s="21" customFormat="1" ht="26.25" hidden="1" customHeight="1" x14ac:dyDescent="0.2">
      <c r="A226" s="7" t="s">
        <v>679</v>
      </c>
      <c r="B226" s="20"/>
      <c r="C226" s="2" t="s">
        <v>641</v>
      </c>
      <c r="D226" s="6" t="s">
        <v>649</v>
      </c>
      <c r="E226" s="32" t="s">
        <v>651</v>
      </c>
      <c r="F226" s="7"/>
      <c r="G226" s="7"/>
      <c r="H226" s="7"/>
      <c r="I226" s="7"/>
      <c r="J226" s="7"/>
      <c r="K226" s="7"/>
      <c r="L226" s="7" t="s">
        <v>662</v>
      </c>
      <c r="M226" s="8">
        <v>43891</v>
      </c>
      <c r="N226" s="8">
        <v>43922</v>
      </c>
      <c r="O226" s="13">
        <v>5770238.0999999996</v>
      </c>
      <c r="P226" s="13"/>
      <c r="Q226" s="33"/>
      <c r="R226" s="9"/>
      <c r="S226" s="9"/>
      <c r="T226" s="9"/>
      <c r="U226" s="9"/>
      <c r="V226" s="1"/>
      <c r="W226" s="1"/>
      <c r="X226" s="15" t="str">
        <f>IF(B226="",VLOOKUP(A226,items_lookup!A:B,2,FALSE),B226)</f>
        <v>13. Item 13</v>
      </c>
      <c r="Y226" s="15">
        <f t="shared" si="24"/>
        <v>3</v>
      </c>
      <c r="Z226" s="15">
        <f t="shared" si="24"/>
        <v>4</v>
      </c>
      <c r="AA226" s="15">
        <f t="shared" si="21"/>
        <v>2020</v>
      </c>
      <c r="AB226" s="15">
        <f t="shared" si="22"/>
        <v>2020</v>
      </c>
      <c r="AC226" s="15">
        <f t="shared" si="23"/>
        <v>2020</v>
      </c>
      <c r="AD226" s="18" t="b">
        <f t="shared" si="20"/>
        <v>1</v>
      </c>
      <c r="AE226" s="1"/>
      <c r="AF226" s="1"/>
      <c r="AG226" s="1"/>
      <c r="AH226" s="1"/>
      <c r="AI226" s="1"/>
      <c r="AJ226" s="1"/>
      <c r="AK226" s="1"/>
    </row>
    <row r="227" spans="1:37" ht="13.5" hidden="1" customHeight="1" x14ac:dyDescent="0.2">
      <c r="A227" s="7" t="s">
        <v>680</v>
      </c>
      <c r="B227" s="20"/>
      <c r="C227" s="2" t="s">
        <v>641</v>
      </c>
      <c r="D227" s="6" t="s">
        <v>649</v>
      </c>
      <c r="E227" s="32" t="s">
        <v>651</v>
      </c>
      <c r="F227" s="7"/>
      <c r="G227" s="7"/>
      <c r="H227" s="7"/>
      <c r="I227" s="7"/>
      <c r="J227" s="7"/>
      <c r="K227" s="7"/>
      <c r="L227" s="7" t="s">
        <v>662</v>
      </c>
      <c r="M227" s="8">
        <v>43891</v>
      </c>
      <c r="N227" s="8">
        <v>43922</v>
      </c>
      <c r="O227" s="13">
        <v>7509056.8200000003</v>
      </c>
      <c r="P227" s="13"/>
      <c r="Q227" s="33"/>
      <c r="R227" s="9"/>
      <c r="S227" s="9"/>
      <c r="T227" s="9"/>
      <c r="U227" s="9"/>
      <c r="X227" s="15" t="str">
        <f>IF(B227="",VLOOKUP(A227,items_lookup!A:B,2,FALSE),B227)</f>
        <v>13. Item 13</v>
      </c>
      <c r="Y227" s="15">
        <f t="shared" si="24"/>
        <v>3</v>
      </c>
      <c r="Z227" s="15">
        <f t="shared" si="24"/>
        <v>4</v>
      </c>
      <c r="AA227" s="15">
        <f t="shared" si="21"/>
        <v>2020</v>
      </c>
      <c r="AB227" s="15">
        <f t="shared" si="22"/>
        <v>2020</v>
      </c>
      <c r="AC227" s="15">
        <f t="shared" si="23"/>
        <v>2020</v>
      </c>
      <c r="AD227" s="18" t="b">
        <f t="shared" si="20"/>
        <v>1</v>
      </c>
    </row>
    <row r="228" spans="1:37" ht="15" hidden="1" customHeight="1" x14ac:dyDescent="0.2">
      <c r="A228" s="7" t="s">
        <v>680</v>
      </c>
      <c r="B228" s="7" t="s">
        <v>708</v>
      </c>
      <c r="C228" s="2" t="s">
        <v>641</v>
      </c>
      <c r="D228" s="6" t="s">
        <v>649</v>
      </c>
      <c r="E228" s="32" t="s">
        <v>651</v>
      </c>
      <c r="F228" s="7"/>
      <c r="G228" s="7"/>
      <c r="H228" s="7"/>
      <c r="I228" s="7"/>
      <c r="J228" s="7"/>
      <c r="K228" s="7"/>
      <c r="L228" s="7" t="s">
        <v>662</v>
      </c>
      <c r="M228" s="8">
        <v>43922</v>
      </c>
      <c r="N228" s="8">
        <v>43922</v>
      </c>
      <c r="O228" s="13">
        <v>4185250.73</v>
      </c>
      <c r="P228" s="13"/>
      <c r="Q228" s="33"/>
      <c r="R228" s="9"/>
      <c r="S228" s="9"/>
      <c r="T228" s="9"/>
      <c r="U228" s="9"/>
      <c r="X228" s="15" t="str">
        <f>IF(B228="",VLOOKUP(A228,items_lookup!A:B,2,FALSE),B228)</f>
        <v>03. Item 03</v>
      </c>
      <c r="Y228" s="15">
        <f t="shared" si="24"/>
        <v>4</v>
      </c>
      <c r="Z228" s="15">
        <f t="shared" si="24"/>
        <v>4</v>
      </c>
      <c r="AA228" s="15">
        <f t="shared" si="21"/>
        <v>2020</v>
      </c>
      <c r="AB228" s="15">
        <f t="shared" si="22"/>
        <v>2020</v>
      </c>
      <c r="AC228" s="15">
        <f t="shared" si="23"/>
        <v>2020</v>
      </c>
      <c r="AD228" s="18" t="b">
        <f t="shared" si="20"/>
        <v>1</v>
      </c>
    </row>
    <row r="229" spans="1:37" ht="15" hidden="1" customHeight="1" x14ac:dyDescent="0.2">
      <c r="A229" s="7" t="s">
        <v>673</v>
      </c>
      <c r="B229" s="7" t="s">
        <v>709</v>
      </c>
      <c r="C229" s="2" t="s">
        <v>641</v>
      </c>
      <c r="D229" s="6" t="s">
        <v>649</v>
      </c>
      <c r="E229" s="32" t="s">
        <v>651</v>
      </c>
      <c r="F229" s="7"/>
      <c r="G229" s="7"/>
      <c r="H229" s="7"/>
      <c r="I229" s="7"/>
      <c r="J229" s="7"/>
      <c r="K229" s="7"/>
      <c r="L229" s="7" t="s">
        <v>662</v>
      </c>
      <c r="M229" s="8">
        <v>43922</v>
      </c>
      <c r="N229" s="8">
        <v>43922</v>
      </c>
      <c r="O229" s="13">
        <v>5161904.76</v>
      </c>
      <c r="P229" s="13"/>
      <c r="Q229" s="33"/>
      <c r="R229" s="9"/>
      <c r="S229" s="9"/>
      <c r="T229" s="9"/>
      <c r="U229" s="9"/>
      <c r="X229" s="15" t="str">
        <f>IF(B229="",VLOOKUP(A229,items_lookup!A:B,2,FALSE),B229)</f>
        <v>04. Item 04</v>
      </c>
      <c r="Y229" s="15">
        <f t="shared" si="24"/>
        <v>4</v>
      </c>
      <c r="Z229" s="15">
        <f t="shared" si="24"/>
        <v>4</v>
      </c>
      <c r="AA229" s="15">
        <f t="shared" si="21"/>
        <v>2020</v>
      </c>
      <c r="AB229" s="15">
        <f t="shared" si="22"/>
        <v>2020</v>
      </c>
      <c r="AC229" s="15">
        <f t="shared" si="23"/>
        <v>2020</v>
      </c>
      <c r="AD229" s="18" t="b">
        <f t="shared" si="20"/>
        <v>1</v>
      </c>
    </row>
    <row r="230" spans="1:37" ht="15" hidden="1" customHeight="1" x14ac:dyDescent="0.2">
      <c r="A230" s="7" t="s">
        <v>682</v>
      </c>
      <c r="B230" s="7"/>
      <c r="C230" s="2" t="s">
        <v>641</v>
      </c>
      <c r="D230" s="6" t="s">
        <v>649</v>
      </c>
      <c r="E230" s="32" t="s">
        <v>651</v>
      </c>
      <c r="F230" s="7"/>
      <c r="G230" s="7"/>
      <c r="H230" s="7"/>
      <c r="I230" s="7"/>
      <c r="J230" s="7"/>
      <c r="K230" s="7"/>
      <c r="L230" s="7" t="s">
        <v>662</v>
      </c>
      <c r="M230" s="8">
        <v>43922</v>
      </c>
      <c r="N230" s="8">
        <v>43922</v>
      </c>
      <c r="O230" s="13">
        <v>5724523.8099999996</v>
      </c>
      <c r="P230" s="13"/>
      <c r="Q230" s="33"/>
      <c r="R230" s="9"/>
      <c r="S230" s="9"/>
      <c r="T230" s="9"/>
      <c r="U230" s="9"/>
      <c r="X230" s="15" t="str">
        <f>IF(B230="",VLOOKUP(A230,items_lookup!A:B,2,FALSE),B230)</f>
        <v>06. Item 06</v>
      </c>
      <c r="Y230" s="15">
        <f t="shared" si="24"/>
        <v>4</v>
      </c>
      <c r="Z230" s="15">
        <f t="shared" si="24"/>
        <v>4</v>
      </c>
      <c r="AA230" s="15">
        <f t="shared" si="21"/>
        <v>2020</v>
      </c>
      <c r="AB230" s="15">
        <f t="shared" si="22"/>
        <v>2020</v>
      </c>
      <c r="AC230" s="15">
        <f t="shared" si="23"/>
        <v>2020</v>
      </c>
      <c r="AD230" s="18" t="b">
        <f t="shared" si="20"/>
        <v>1</v>
      </c>
    </row>
    <row r="231" spans="1:37" ht="15" hidden="1" customHeight="1" x14ac:dyDescent="0.2">
      <c r="A231" s="7" t="s">
        <v>672</v>
      </c>
      <c r="B231" s="20"/>
      <c r="C231" s="2" t="s">
        <v>641</v>
      </c>
      <c r="D231" s="6" t="s">
        <v>649</v>
      </c>
      <c r="E231" s="32" t="s">
        <v>651</v>
      </c>
      <c r="F231" s="7"/>
      <c r="G231" s="7"/>
      <c r="H231" s="7"/>
      <c r="I231" s="7"/>
      <c r="J231" s="7"/>
      <c r="K231" s="7"/>
      <c r="L231" s="7" t="s">
        <v>662</v>
      </c>
      <c r="M231" s="8">
        <v>43922</v>
      </c>
      <c r="N231" s="8">
        <v>43922</v>
      </c>
      <c r="O231" s="13">
        <v>69047.62</v>
      </c>
      <c r="P231" s="13"/>
      <c r="Q231" s="33"/>
      <c r="R231" s="9"/>
      <c r="S231" s="9"/>
      <c r="T231" s="9"/>
      <c r="U231" s="9"/>
      <c r="X231" s="15" t="str">
        <f>IF(B231="",VLOOKUP(A231,items_lookup!A:B,2,FALSE),B231)</f>
        <v>05. Item 05</v>
      </c>
      <c r="Y231" s="15">
        <f t="shared" si="24"/>
        <v>4</v>
      </c>
      <c r="Z231" s="15">
        <f t="shared" si="24"/>
        <v>4</v>
      </c>
      <c r="AA231" s="15">
        <f t="shared" si="21"/>
        <v>2020</v>
      </c>
      <c r="AB231" s="15">
        <f t="shared" si="22"/>
        <v>2020</v>
      </c>
      <c r="AC231" s="15">
        <f t="shared" si="23"/>
        <v>2020</v>
      </c>
      <c r="AD231" s="18" t="b">
        <f t="shared" si="20"/>
        <v>1</v>
      </c>
    </row>
    <row r="232" spans="1:37" ht="15" hidden="1" customHeight="1" x14ac:dyDescent="0.2">
      <c r="A232" s="7" t="s">
        <v>668</v>
      </c>
      <c r="B232" s="20"/>
      <c r="C232" s="2" t="s">
        <v>641</v>
      </c>
      <c r="D232" s="6" t="s">
        <v>649</v>
      </c>
      <c r="E232" s="32" t="s">
        <v>651</v>
      </c>
      <c r="F232" s="7"/>
      <c r="G232" s="7"/>
      <c r="H232" s="7"/>
      <c r="I232" s="7"/>
      <c r="J232" s="7"/>
      <c r="K232" s="7"/>
      <c r="L232" s="7" t="s">
        <v>662</v>
      </c>
      <c r="M232" s="8">
        <v>43922</v>
      </c>
      <c r="N232" s="8">
        <v>43922</v>
      </c>
      <c r="O232" s="13">
        <v>9523.81</v>
      </c>
      <c r="P232" s="13"/>
      <c r="Q232" s="33"/>
      <c r="R232" s="22"/>
      <c r="S232" s="22"/>
      <c r="T232" s="22"/>
      <c r="U232" s="22"/>
      <c r="X232" s="15" t="str">
        <f>IF(B232="",VLOOKUP(A232,items_lookup!A:B,2,FALSE),B232)</f>
        <v>01. Item 01</v>
      </c>
      <c r="Y232" s="15">
        <f t="shared" si="24"/>
        <v>4</v>
      </c>
      <c r="Z232" s="15">
        <f t="shared" si="24"/>
        <v>4</v>
      </c>
      <c r="AA232" s="15">
        <f t="shared" si="21"/>
        <v>2020</v>
      </c>
      <c r="AB232" s="15">
        <f t="shared" si="22"/>
        <v>2020</v>
      </c>
      <c r="AC232" s="15">
        <f t="shared" si="23"/>
        <v>2020</v>
      </c>
      <c r="AD232" s="18" t="b">
        <f t="shared" si="20"/>
        <v>1</v>
      </c>
    </row>
    <row r="233" spans="1:37" ht="15" hidden="1" customHeight="1" x14ac:dyDescent="0.2">
      <c r="A233" s="7" t="s">
        <v>669</v>
      </c>
      <c r="B233" s="20"/>
      <c r="C233" s="2" t="s">
        <v>641</v>
      </c>
      <c r="D233" s="6" t="s">
        <v>649</v>
      </c>
      <c r="E233" s="32" t="s">
        <v>651</v>
      </c>
      <c r="F233" s="7"/>
      <c r="G233" s="7"/>
      <c r="H233" s="7"/>
      <c r="I233" s="7"/>
      <c r="J233" s="7"/>
      <c r="K233" s="7"/>
      <c r="L233" s="7" t="s">
        <v>662</v>
      </c>
      <c r="M233" s="8">
        <v>43922</v>
      </c>
      <c r="N233" s="8">
        <v>43922</v>
      </c>
      <c r="O233" s="13">
        <v>66666.67</v>
      </c>
      <c r="P233" s="13"/>
      <c r="Q233" s="33"/>
      <c r="R233" s="9"/>
      <c r="S233" s="9"/>
      <c r="T233" s="9"/>
      <c r="U233" s="9"/>
      <c r="X233" s="15" t="str">
        <f>IF(B233="",VLOOKUP(A233,items_lookup!A:B,2,FALSE),B233)</f>
        <v>02. Item 02</v>
      </c>
      <c r="Y233" s="15">
        <f t="shared" si="24"/>
        <v>4</v>
      </c>
      <c r="Z233" s="15">
        <f t="shared" si="24"/>
        <v>4</v>
      </c>
      <c r="AA233" s="15">
        <f t="shared" si="21"/>
        <v>2020</v>
      </c>
      <c r="AB233" s="15">
        <f t="shared" si="22"/>
        <v>2020</v>
      </c>
      <c r="AC233" s="15">
        <f t="shared" si="23"/>
        <v>2020</v>
      </c>
      <c r="AD233" s="18" t="b">
        <f t="shared" si="20"/>
        <v>1</v>
      </c>
    </row>
    <row r="234" spans="1:37" ht="13.5" hidden="1" customHeight="1" x14ac:dyDescent="0.2">
      <c r="A234" s="7" t="s">
        <v>670</v>
      </c>
      <c r="B234" s="20"/>
      <c r="C234" s="2" t="s">
        <v>641</v>
      </c>
      <c r="D234" s="6" t="s">
        <v>649</v>
      </c>
      <c r="E234" s="32" t="s">
        <v>651</v>
      </c>
      <c r="F234" s="7"/>
      <c r="G234" s="7"/>
      <c r="H234" s="7"/>
      <c r="I234" s="7"/>
      <c r="J234" s="7"/>
      <c r="K234" s="7"/>
      <c r="L234" s="7" t="s">
        <v>662</v>
      </c>
      <c r="M234" s="8">
        <v>43922</v>
      </c>
      <c r="N234" s="8">
        <v>43922</v>
      </c>
      <c r="O234" s="13">
        <v>69285.710000000006</v>
      </c>
      <c r="P234" s="13"/>
      <c r="Q234" s="33"/>
      <c r="R234" s="22"/>
      <c r="S234" s="22"/>
      <c r="T234" s="22"/>
      <c r="U234" s="22"/>
      <c r="X234" s="15" t="str">
        <f>IF(B234="",VLOOKUP(A234,items_lookup!A:B,2,FALSE),B234)</f>
        <v>04. Item 04</v>
      </c>
      <c r="Y234" s="15">
        <f t="shared" si="24"/>
        <v>4</v>
      </c>
      <c r="Z234" s="15">
        <f t="shared" si="24"/>
        <v>4</v>
      </c>
      <c r="AA234" s="15">
        <f t="shared" si="21"/>
        <v>2020</v>
      </c>
      <c r="AB234" s="15">
        <f t="shared" si="22"/>
        <v>2020</v>
      </c>
      <c r="AC234" s="15">
        <f t="shared" si="23"/>
        <v>2020</v>
      </c>
      <c r="AD234" s="18" t="b">
        <f t="shared" si="20"/>
        <v>1</v>
      </c>
    </row>
    <row r="235" spans="1:37" ht="15" hidden="1" customHeight="1" x14ac:dyDescent="0.2">
      <c r="A235" s="7" t="s">
        <v>671</v>
      </c>
      <c r="B235" s="7" t="s">
        <v>712</v>
      </c>
      <c r="C235" s="2" t="s">
        <v>641</v>
      </c>
      <c r="D235" s="6" t="s">
        <v>649</v>
      </c>
      <c r="E235" s="32" t="s">
        <v>651</v>
      </c>
      <c r="F235" s="7"/>
      <c r="G235" s="7"/>
      <c r="H235" s="7"/>
      <c r="I235" s="7"/>
      <c r="J235" s="7"/>
      <c r="K235" s="7"/>
      <c r="L235" s="7" t="s">
        <v>662</v>
      </c>
      <c r="M235" s="8">
        <v>43922</v>
      </c>
      <c r="N235" s="8">
        <v>43922</v>
      </c>
      <c r="O235" s="13">
        <v>45000</v>
      </c>
      <c r="P235" s="13"/>
      <c r="Q235" s="33"/>
      <c r="R235" s="22"/>
      <c r="S235" s="22"/>
      <c r="T235" s="22"/>
      <c r="U235" s="22"/>
      <c r="X235" s="15" t="str">
        <f>IF(B235="",VLOOKUP(A235,items_lookup!A:B,2,FALSE),B235)</f>
        <v>10. Item 10</v>
      </c>
      <c r="Y235" s="15">
        <f t="shared" si="24"/>
        <v>4</v>
      </c>
      <c r="Z235" s="15">
        <f t="shared" si="24"/>
        <v>4</v>
      </c>
      <c r="AA235" s="15">
        <f t="shared" si="21"/>
        <v>2020</v>
      </c>
      <c r="AB235" s="15">
        <f t="shared" si="22"/>
        <v>2020</v>
      </c>
      <c r="AC235" s="15">
        <f t="shared" si="23"/>
        <v>2020</v>
      </c>
      <c r="AD235" s="18" t="b">
        <f t="shared" si="20"/>
        <v>1</v>
      </c>
    </row>
    <row r="236" spans="1:37" ht="12.6" hidden="1" customHeight="1" x14ac:dyDescent="0.2">
      <c r="A236" s="7" t="s">
        <v>677</v>
      </c>
      <c r="B236" s="7" t="s">
        <v>711</v>
      </c>
      <c r="C236" s="2" t="s">
        <v>641</v>
      </c>
      <c r="D236" s="6" t="s">
        <v>649</v>
      </c>
      <c r="E236" s="32" t="s">
        <v>651</v>
      </c>
      <c r="F236" s="7"/>
      <c r="G236" s="7"/>
      <c r="H236" s="7"/>
      <c r="I236" s="7"/>
      <c r="J236" s="7"/>
      <c r="K236" s="7"/>
      <c r="L236" s="7" t="s">
        <v>662</v>
      </c>
      <c r="M236" s="8">
        <v>43922</v>
      </c>
      <c r="N236" s="8">
        <v>43922</v>
      </c>
      <c r="O236" s="13">
        <v>378095.24</v>
      </c>
      <c r="P236" s="13"/>
      <c r="Q236" s="33"/>
      <c r="R236" s="22"/>
      <c r="S236" s="22"/>
      <c r="T236" s="22"/>
      <c r="U236" s="22"/>
      <c r="X236" s="15" t="str">
        <f>IF(B236="",VLOOKUP(A236,items_lookup!A:B,2,FALSE),B236)</f>
        <v>12. Item 12</v>
      </c>
      <c r="Y236" s="15">
        <f t="shared" si="24"/>
        <v>4</v>
      </c>
      <c r="Z236" s="15">
        <f t="shared" si="24"/>
        <v>4</v>
      </c>
      <c r="AA236" s="15">
        <f t="shared" si="21"/>
        <v>2020</v>
      </c>
      <c r="AB236" s="15">
        <f t="shared" si="22"/>
        <v>2020</v>
      </c>
      <c r="AC236" s="15">
        <f t="shared" si="23"/>
        <v>2020</v>
      </c>
      <c r="AD236" s="18" t="b">
        <f t="shared" si="20"/>
        <v>1</v>
      </c>
    </row>
    <row r="237" spans="1:37" ht="15" hidden="1" customHeight="1" x14ac:dyDescent="0.2">
      <c r="A237" s="7" t="s">
        <v>676</v>
      </c>
      <c r="B237" s="7" t="s">
        <v>710</v>
      </c>
      <c r="C237" s="2" t="s">
        <v>641</v>
      </c>
      <c r="D237" s="6" t="s">
        <v>649</v>
      </c>
      <c r="E237" s="32" t="s">
        <v>651</v>
      </c>
      <c r="F237" s="7"/>
      <c r="G237" s="7"/>
      <c r="H237" s="7"/>
      <c r="I237" s="7"/>
      <c r="J237" s="7"/>
      <c r="K237" s="7"/>
      <c r="L237" s="7" t="s">
        <v>662</v>
      </c>
      <c r="M237" s="8">
        <v>43922</v>
      </c>
      <c r="N237" s="8">
        <v>43922</v>
      </c>
      <c r="O237" s="13">
        <v>1190476.19</v>
      </c>
      <c r="P237" s="13"/>
      <c r="Q237" s="33"/>
      <c r="R237" s="22"/>
      <c r="S237" s="22"/>
      <c r="T237" s="22"/>
      <c r="U237" s="22"/>
      <c r="X237" s="15" t="str">
        <f>IF(B237="",VLOOKUP(A237,items_lookup!A:B,2,FALSE),B237)</f>
        <v>13. Item 13</v>
      </c>
      <c r="Y237" s="15">
        <f t="shared" si="24"/>
        <v>4</v>
      </c>
      <c r="Z237" s="15">
        <f t="shared" si="24"/>
        <v>4</v>
      </c>
      <c r="AA237" s="15">
        <f t="shared" si="21"/>
        <v>2020</v>
      </c>
      <c r="AB237" s="15">
        <f t="shared" si="22"/>
        <v>2020</v>
      </c>
      <c r="AC237" s="15">
        <f t="shared" si="23"/>
        <v>2020</v>
      </c>
      <c r="AD237" s="18" t="b">
        <f t="shared" si="20"/>
        <v>1</v>
      </c>
    </row>
    <row r="238" spans="1:37" ht="13.5" hidden="1" customHeight="1" x14ac:dyDescent="0.2">
      <c r="A238" s="7" t="s">
        <v>675</v>
      </c>
      <c r="B238" s="7"/>
      <c r="C238" s="2" t="s">
        <v>641</v>
      </c>
      <c r="D238" s="6" t="s">
        <v>649</v>
      </c>
      <c r="E238" s="32" t="s">
        <v>651</v>
      </c>
      <c r="F238" s="7"/>
      <c r="G238" s="7"/>
      <c r="H238" s="7"/>
      <c r="I238" s="7"/>
      <c r="J238" s="7"/>
      <c r="K238" s="7"/>
      <c r="L238" s="7" t="s">
        <v>662</v>
      </c>
      <c r="M238" s="8">
        <v>43922</v>
      </c>
      <c r="N238" s="8">
        <v>43922</v>
      </c>
      <c r="O238" s="13">
        <v>6440952.3799999999</v>
      </c>
      <c r="P238" s="13"/>
      <c r="Q238" s="33"/>
      <c r="R238" s="22"/>
      <c r="S238" s="22"/>
      <c r="T238" s="22"/>
      <c r="U238" s="22"/>
      <c r="X238" s="15" t="str">
        <f>IF(B238="",VLOOKUP(A238,items_lookup!A:B,2,FALSE),B238)</f>
        <v>09. Item 09</v>
      </c>
      <c r="Y238" s="15">
        <f t="shared" si="24"/>
        <v>4</v>
      </c>
      <c r="Z238" s="15">
        <f t="shared" si="24"/>
        <v>4</v>
      </c>
      <c r="AA238" s="15">
        <f t="shared" si="21"/>
        <v>2020</v>
      </c>
      <c r="AB238" s="15">
        <f t="shared" si="22"/>
        <v>2020</v>
      </c>
      <c r="AC238" s="15">
        <f t="shared" si="23"/>
        <v>2020</v>
      </c>
      <c r="AD238" s="18" t="b">
        <f t="shared" si="20"/>
        <v>1</v>
      </c>
    </row>
    <row r="239" spans="1:37" ht="12.75" hidden="1" customHeight="1" x14ac:dyDescent="0.2">
      <c r="A239" s="7" t="s">
        <v>683</v>
      </c>
      <c r="B239" s="20"/>
      <c r="C239" s="2" t="s">
        <v>641</v>
      </c>
      <c r="D239" s="6" t="s">
        <v>649</v>
      </c>
      <c r="E239" s="32" t="s">
        <v>651</v>
      </c>
      <c r="F239" s="7"/>
      <c r="G239" s="7"/>
      <c r="H239" s="7"/>
      <c r="I239" s="7"/>
      <c r="J239" s="7"/>
      <c r="K239" s="7"/>
      <c r="L239" s="7" t="s">
        <v>662</v>
      </c>
      <c r="M239" s="8">
        <v>43922</v>
      </c>
      <c r="N239" s="8">
        <v>43922</v>
      </c>
      <c r="O239" s="13">
        <v>1857142.86</v>
      </c>
      <c r="P239" s="13"/>
      <c r="Q239" s="33"/>
      <c r="R239" s="9"/>
      <c r="S239" s="9"/>
      <c r="T239" s="9"/>
      <c r="U239" s="9"/>
      <c r="X239" s="15" t="str">
        <f>IF(B239="",VLOOKUP(A239,items_lookup!A:B,2,FALSE),B239)</f>
        <v>_1. Item _1</v>
      </c>
      <c r="Y239" s="15">
        <f t="shared" si="24"/>
        <v>4</v>
      </c>
      <c r="Z239" s="15">
        <f t="shared" si="24"/>
        <v>4</v>
      </c>
      <c r="AA239" s="15">
        <f t="shared" si="21"/>
        <v>2020</v>
      </c>
      <c r="AB239" s="15">
        <f t="shared" si="22"/>
        <v>2020</v>
      </c>
      <c r="AC239" s="15">
        <f t="shared" si="23"/>
        <v>2020</v>
      </c>
      <c r="AD239" s="18" t="b">
        <f t="shared" si="20"/>
        <v>1</v>
      </c>
    </row>
    <row r="240" spans="1:37" ht="12.75" hidden="1" customHeight="1" x14ac:dyDescent="0.2">
      <c r="A240" s="7" t="s">
        <v>683</v>
      </c>
      <c r="B240" s="20"/>
      <c r="C240" s="2" t="s">
        <v>641</v>
      </c>
      <c r="D240" s="6" t="s">
        <v>649</v>
      </c>
      <c r="E240" s="32" t="s">
        <v>651</v>
      </c>
      <c r="F240" s="7"/>
      <c r="G240" s="7"/>
      <c r="H240" s="7"/>
      <c r="I240" s="7"/>
      <c r="J240" s="7"/>
      <c r="K240" s="7"/>
      <c r="L240" s="7" t="s">
        <v>662</v>
      </c>
      <c r="M240" s="8">
        <v>43922</v>
      </c>
      <c r="N240" s="8">
        <v>43922</v>
      </c>
      <c r="O240" s="13">
        <v>73809.52</v>
      </c>
      <c r="P240" s="13"/>
      <c r="Q240" s="33"/>
      <c r="R240" s="22"/>
      <c r="S240" s="22"/>
      <c r="T240" s="22"/>
      <c r="U240" s="22"/>
      <c r="X240" s="15" t="str">
        <f>IF(B240="",VLOOKUP(A240,items_lookup!A:B,2,FALSE),B240)</f>
        <v>_1. Item _1</v>
      </c>
      <c r="Y240" s="15">
        <f t="shared" si="24"/>
        <v>4</v>
      </c>
      <c r="Z240" s="15">
        <f t="shared" si="24"/>
        <v>4</v>
      </c>
      <c r="AA240" s="15">
        <f t="shared" si="21"/>
        <v>2020</v>
      </c>
      <c r="AB240" s="15">
        <f t="shared" si="22"/>
        <v>2020</v>
      </c>
      <c r="AC240" s="15">
        <f t="shared" si="23"/>
        <v>2020</v>
      </c>
      <c r="AD240" s="18" t="b">
        <f t="shared" si="20"/>
        <v>1</v>
      </c>
    </row>
    <row r="241" spans="1:30" ht="13.5" hidden="1" customHeight="1" x14ac:dyDescent="0.2">
      <c r="A241" s="7" t="s">
        <v>686</v>
      </c>
      <c r="B241" s="7"/>
      <c r="C241" s="2" t="s">
        <v>641</v>
      </c>
      <c r="D241" s="6" t="s">
        <v>650</v>
      </c>
      <c r="E241" s="32" t="s">
        <v>651</v>
      </c>
      <c r="F241" s="7"/>
      <c r="G241" s="7"/>
      <c r="H241" s="7"/>
      <c r="I241" s="7"/>
      <c r="J241" s="7"/>
      <c r="K241" s="7"/>
      <c r="L241" s="7" t="s">
        <v>662</v>
      </c>
      <c r="M241" s="8">
        <v>43922</v>
      </c>
      <c r="N241" s="8">
        <v>43922</v>
      </c>
      <c r="O241" s="13">
        <v>544047.62</v>
      </c>
      <c r="P241" s="13"/>
      <c r="Q241" s="33"/>
      <c r="R241" s="9"/>
      <c r="S241" s="9"/>
      <c r="T241" s="9"/>
      <c r="U241" s="9"/>
      <c r="X241" s="15" t="str">
        <f>IF(B241="",VLOOKUP(A241,items_lookup!A:B,2,FALSE),B241)</f>
        <v>_2. Item _2</v>
      </c>
      <c r="Y241" s="15">
        <f t="shared" si="24"/>
        <v>4</v>
      </c>
      <c r="Z241" s="15">
        <f t="shared" si="24"/>
        <v>4</v>
      </c>
      <c r="AA241" s="15">
        <f t="shared" si="21"/>
        <v>2020</v>
      </c>
      <c r="AB241" s="15">
        <f t="shared" si="22"/>
        <v>2020</v>
      </c>
      <c r="AC241" s="15">
        <f t="shared" si="23"/>
        <v>2020</v>
      </c>
      <c r="AD241" s="18" t="b">
        <f t="shared" si="20"/>
        <v>1</v>
      </c>
    </row>
    <row r="242" spans="1:30" ht="12.75" hidden="1" customHeight="1" x14ac:dyDescent="0.2">
      <c r="A242" s="7" t="s">
        <v>682</v>
      </c>
      <c r="B242" s="20"/>
      <c r="C242" s="2" t="s">
        <v>641</v>
      </c>
      <c r="D242" s="6" t="s">
        <v>649</v>
      </c>
      <c r="E242" s="32" t="s">
        <v>651</v>
      </c>
      <c r="F242" s="7"/>
      <c r="G242" s="7"/>
      <c r="H242" s="7"/>
      <c r="I242" s="7"/>
      <c r="J242" s="7"/>
      <c r="K242" s="7"/>
      <c r="L242" s="7" t="s">
        <v>662</v>
      </c>
      <c r="M242" s="8">
        <v>43983</v>
      </c>
      <c r="N242" s="8">
        <v>43983</v>
      </c>
      <c r="O242" s="13">
        <v>4346428.57</v>
      </c>
      <c r="P242" s="13"/>
      <c r="Q242" s="33"/>
      <c r="R242" s="9"/>
      <c r="S242" s="9"/>
      <c r="T242" s="9"/>
      <c r="U242" s="9"/>
      <c r="X242" s="15" t="str">
        <f>IF(B242="",VLOOKUP(A242,items_lookup!A:B,2,FALSE),B242)</f>
        <v>06. Item 06</v>
      </c>
      <c r="Y242" s="15">
        <f t="shared" si="24"/>
        <v>6</v>
      </c>
      <c r="Z242" s="15">
        <f t="shared" si="24"/>
        <v>6</v>
      </c>
      <c r="AA242" s="15">
        <f t="shared" si="21"/>
        <v>2020</v>
      </c>
      <c r="AB242" s="15">
        <f t="shared" si="22"/>
        <v>2020</v>
      </c>
      <c r="AC242" s="15">
        <f t="shared" si="23"/>
        <v>2020</v>
      </c>
      <c r="AD242" s="18" t="b">
        <f t="shared" si="20"/>
        <v>1</v>
      </c>
    </row>
    <row r="243" spans="1:30" ht="15" hidden="1" customHeight="1" x14ac:dyDescent="0.2">
      <c r="A243" s="7" t="s">
        <v>671</v>
      </c>
      <c r="B243" s="20"/>
      <c r="C243" s="2" t="s">
        <v>642</v>
      </c>
      <c r="D243" s="6"/>
      <c r="E243" s="32" t="s">
        <v>651</v>
      </c>
      <c r="F243" s="7"/>
      <c r="G243" s="7"/>
      <c r="H243" s="7"/>
      <c r="I243" s="7"/>
      <c r="J243" s="7"/>
      <c r="K243" s="7"/>
      <c r="L243" s="7" t="s">
        <v>662</v>
      </c>
      <c r="M243" s="8">
        <v>43922</v>
      </c>
      <c r="N243" s="8">
        <v>43922</v>
      </c>
      <c r="O243" s="13">
        <v>3845238.1</v>
      </c>
      <c r="P243" s="13"/>
      <c r="Q243" s="33"/>
      <c r="R243" s="9"/>
      <c r="S243" s="9"/>
      <c r="T243" s="9"/>
      <c r="U243" s="9"/>
      <c r="X243" s="15" t="str">
        <f>IF(B243="",VLOOKUP(A243,items_lookup!A:B,2,FALSE),B243)</f>
        <v>05. Item 05</v>
      </c>
      <c r="Y243" s="15">
        <f t="shared" si="24"/>
        <v>4</v>
      </c>
      <c r="Z243" s="15">
        <f t="shared" si="24"/>
        <v>4</v>
      </c>
      <c r="AA243" s="15">
        <f t="shared" si="21"/>
        <v>2020</v>
      </c>
      <c r="AB243" s="15">
        <f t="shared" si="22"/>
        <v>2020</v>
      </c>
      <c r="AC243" s="15">
        <f t="shared" si="23"/>
        <v>2020</v>
      </c>
      <c r="AD243" s="18" t="b">
        <f t="shared" si="20"/>
        <v>1</v>
      </c>
    </row>
    <row r="244" spans="1:30" ht="18.75" hidden="1" customHeight="1" x14ac:dyDescent="0.2">
      <c r="A244" s="7" t="s">
        <v>673</v>
      </c>
      <c r="B244" s="20"/>
      <c r="C244" s="2" t="s">
        <v>642</v>
      </c>
      <c r="D244" s="6"/>
      <c r="E244" s="32" t="s">
        <v>651</v>
      </c>
      <c r="F244" s="7"/>
      <c r="G244" s="7"/>
      <c r="H244" s="7"/>
      <c r="I244" s="7"/>
      <c r="J244" s="7"/>
      <c r="K244" s="7"/>
      <c r="L244" s="7" t="s">
        <v>662</v>
      </c>
      <c r="M244" s="8">
        <v>43983</v>
      </c>
      <c r="N244" s="8">
        <v>43983</v>
      </c>
      <c r="O244" s="13">
        <v>3720547.62</v>
      </c>
      <c r="P244" s="13"/>
      <c r="Q244" s="33"/>
      <c r="R244" s="9"/>
      <c r="S244" s="9"/>
      <c r="T244" s="9"/>
      <c r="U244" s="9"/>
      <c r="X244" s="15" t="str">
        <f>IF(B244="",VLOOKUP(A244,items_lookup!A:B,2,FALSE),B244)</f>
        <v>07. Item 07</v>
      </c>
      <c r="Y244" s="15">
        <f t="shared" si="24"/>
        <v>6</v>
      </c>
      <c r="Z244" s="15">
        <f t="shared" si="24"/>
        <v>6</v>
      </c>
      <c r="AA244" s="15">
        <f t="shared" si="21"/>
        <v>2020</v>
      </c>
      <c r="AB244" s="15">
        <f t="shared" si="22"/>
        <v>2020</v>
      </c>
      <c r="AC244" s="15">
        <f t="shared" si="23"/>
        <v>2020</v>
      </c>
      <c r="AD244" s="18" t="b">
        <f t="shared" si="20"/>
        <v>1</v>
      </c>
    </row>
    <row r="245" spans="1:30" ht="12.6" hidden="1" customHeight="1" x14ac:dyDescent="0.2">
      <c r="A245" s="7" t="s">
        <v>671</v>
      </c>
      <c r="B245" s="20"/>
      <c r="C245" s="2" t="s">
        <v>642</v>
      </c>
      <c r="D245" s="6"/>
      <c r="E245" s="32" t="s">
        <v>651</v>
      </c>
      <c r="F245" s="7"/>
      <c r="G245" s="7"/>
      <c r="H245" s="7"/>
      <c r="I245" s="7"/>
      <c r="J245" s="7"/>
      <c r="K245" s="7"/>
      <c r="L245" s="7" t="s">
        <v>662</v>
      </c>
      <c r="M245" s="8">
        <v>43922</v>
      </c>
      <c r="N245" s="8">
        <v>43922</v>
      </c>
      <c r="O245" s="13">
        <v>1804285.71</v>
      </c>
      <c r="P245" s="13"/>
      <c r="Q245" s="33"/>
      <c r="R245" s="9"/>
      <c r="S245" s="9"/>
      <c r="T245" s="9"/>
      <c r="U245" s="9"/>
      <c r="X245" s="15" t="str">
        <f>IF(B245="",VLOOKUP(A245,items_lookup!A:B,2,FALSE),B245)</f>
        <v>05. Item 05</v>
      </c>
      <c r="Y245" s="15">
        <f t="shared" si="24"/>
        <v>4</v>
      </c>
      <c r="Z245" s="15">
        <f t="shared" si="24"/>
        <v>4</v>
      </c>
      <c r="AA245" s="15">
        <f t="shared" si="21"/>
        <v>2020</v>
      </c>
      <c r="AB245" s="15">
        <f t="shared" si="22"/>
        <v>2020</v>
      </c>
      <c r="AC245" s="15">
        <f t="shared" si="23"/>
        <v>2020</v>
      </c>
      <c r="AD245" s="18" t="b">
        <f t="shared" si="20"/>
        <v>1</v>
      </c>
    </row>
    <row r="246" spans="1:30" ht="12.6" hidden="1" customHeight="1" x14ac:dyDescent="0.2">
      <c r="A246" s="7" t="s">
        <v>672</v>
      </c>
      <c r="B246" s="7" t="s">
        <v>709</v>
      </c>
      <c r="C246" s="2" t="s">
        <v>642</v>
      </c>
      <c r="D246" s="6"/>
      <c r="E246" s="32" t="s">
        <v>651</v>
      </c>
      <c r="F246" s="7"/>
      <c r="G246" s="7"/>
      <c r="H246" s="7"/>
      <c r="I246" s="7"/>
      <c r="J246" s="7"/>
      <c r="K246" s="7"/>
      <c r="L246" s="7" t="s">
        <v>662</v>
      </c>
      <c r="M246" s="8">
        <v>43922</v>
      </c>
      <c r="N246" s="8">
        <v>43922</v>
      </c>
      <c r="O246" s="13">
        <v>4891452.38</v>
      </c>
      <c r="P246" s="13"/>
      <c r="Q246" s="33"/>
      <c r="R246" s="22"/>
      <c r="S246" s="22"/>
      <c r="T246" s="22"/>
      <c r="U246" s="22"/>
      <c r="X246" s="15" t="str">
        <f>IF(B246="",VLOOKUP(A246,items_lookup!A:B,2,FALSE),B246)</f>
        <v>04. Item 04</v>
      </c>
      <c r="Y246" s="15">
        <f t="shared" si="24"/>
        <v>4</v>
      </c>
      <c r="Z246" s="15">
        <f t="shared" si="24"/>
        <v>4</v>
      </c>
      <c r="AA246" s="15">
        <f t="shared" si="21"/>
        <v>2020</v>
      </c>
      <c r="AB246" s="15">
        <f t="shared" si="22"/>
        <v>2020</v>
      </c>
      <c r="AC246" s="15">
        <f t="shared" si="23"/>
        <v>2020</v>
      </c>
      <c r="AD246" s="18" t="b">
        <f t="shared" si="20"/>
        <v>1</v>
      </c>
    </row>
    <row r="247" spans="1:30" ht="12.6" hidden="1" customHeight="1" x14ac:dyDescent="0.2">
      <c r="A247" s="7" t="s">
        <v>673</v>
      </c>
      <c r="B247" s="7"/>
      <c r="C247" s="2" t="s">
        <v>642</v>
      </c>
      <c r="D247" s="6"/>
      <c r="E247" s="32" t="s">
        <v>651</v>
      </c>
      <c r="F247" s="7"/>
      <c r="G247" s="7"/>
      <c r="H247" s="7"/>
      <c r="I247" s="7"/>
      <c r="J247" s="7"/>
      <c r="K247" s="7"/>
      <c r="L247" s="7" t="s">
        <v>662</v>
      </c>
      <c r="M247" s="8">
        <v>43922</v>
      </c>
      <c r="N247" s="8">
        <v>43922</v>
      </c>
      <c r="O247" s="13">
        <v>4803119.05</v>
      </c>
      <c r="P247" s="13"/>
      <c r="Q247" s="33"/>
      <c r="R247" s="9"/>
      <c r="S247" s="9"/>
      <c r="T247" s="9"/>
      <c r="U247" s="9"/>
      <c r="X247" s="15" t="str">
        <f>IF(B247="",VLOOKUP(A247,items_lookup!A:B,2,FALSE),B247)</f>
        <v>07. Item 07</v>
      </c>
      <c r="Y247" s="15">
        <f t="shared" si="24"/>
        <v>4</v>
      </c>
      <c r="Z247" s="15">
        <f t="shared" si="24"/>
        <v>4</v>
      </c>
      <c r="AA247" s="15">
        <f t="shared" si="21"/>
        <v>2020</v>
      </c>
      <c r="AB247" s="15">
        <f t="shared" si="22"/>
        <v>2020</v>
      </c>
      <c r="AC247" s="15">
        <f t="shared" si="23"/>
        <v>2020</v>
      </c>
      <c r="AD247" s="18" t="b">
        <f t="shared" si="20"/>
        <v>1</v>
      </c>
    </row>
    <row r="248" spans="1:30" ht="15" hidden="1" customHeight="1" x14ac:dyDescent="0.2">
      <c r="A248" s="7" t="s">
        <v>684</v>
      </c>
      <c r="B248" s="7"/>
      <c r="C248" s="2" t="s">
        <v>642</v>
      </c>
      <c r="D248" s="6"/>
      <c r="E248" s="32" t="s">
        <v>651</v>
      </c>
      <c r="F248" s="7"/>
      <c r="G248" s="7"/>
      <c r="H248" s="7"/>
      <c r="I248" s="7"/>
      <c r="J248" s="7"/>
      <c r="K248" s="7"/>
      <c r="L248" s="7" t="s">
        <v>662</v>
      </c>
      <c r="M248" s="8">
        <v>43922</v>
      </c>
      <c r="N248" s="8">
        <v>43922</v>
      </c>
      <c r="O248" s="13">
        <v>40023.81</v>
      </c>
      <c r="P248" s="13"/>
      <c r="Q248" s="33"/>
      <c r="R248" s="9"/>
      <c r="S248" s="9"/>
      <c r="T248" s="9"/>
      <c r="U248" s="9"/>
      <c r="X248" s="15" t="str">
        <f>IF(B248="",VLOOKUP(A248,items_lookup!A:B,2,FALSE),B248)</f>
        <v>09. Item 09</v>
      </c>
      <c r="Y248" s="15">
        <f t="shared" si="24"/>
        <v>4</v>
      </c>
      <c r="Z248" s="15">
        <f t="shared" si="24"/>
        <v>4</v>
      </c>
      <c r="AA248" s="15">
        <f t="shared" si="21"/>
        <v>2020</v>
      </c>
      <c r="AB248" s="15">
        <f t="shared" si="22"/>
        <v>2020</v>
      </c>
      <c r="AC248" s="15">
        <f t="shared" si="23"/>
        <v>2020</v>
      </c>
      <c r="AD248" s="18" t="b">
        <f t="shared" si="20"/>
        <v>1</v>
      </c>
    </row>
    <row r="249" spans="1:30" ht="18.75" hidden="1" customHeight="1" x14ac:dyDescent="0.2">
      <c r="A249" s="7" t="s">
        <v>676</v>
      </c>
      <c r="B249" s="7"/>
      <c r="C249" s="2" t="s">
        <v>642</v>
      </c>
      <c r="D249" s="6"/>
      <c r="E249" s="32" t="s">
        <v>651</v>
      </c>
      <c r="F249" s="7"/>
      <c r="G249" s="7"/>
      <c r="H249" s="7"/>
      <c r="I249" s="7"/>
      <c r="J249" s="7"/>
      <c r="K249" s="7"/>
      <c r="L249" s="7" t="s">
        <v>662</v>
      </c>
      <c r="M249" s="8">
        <v>43922</v>
      </c>
      <c r="N249" s="8">
        <v>43922</v>
      </c>
      <c r="O249" s="13">
        <v>461809.52</v>
      </c>
      <c r="P249" s="13"/>
      <c r="Q249" s="33"/>
      <c r="R249" s="9"/>
      <c r="S249" s="9"/>
      <c r="T249" s="9"/>
      <c r="U249" s="9"/>
      <c r="X249" s="15" t="str">
        <f>IF(B249="",VLOOKUP(A249,items_lookup!A:B,2,FALSE),B249)</f>
        <v>09. Item 09</v>
      </c>
      <c r="Y249" s="15">
        <f t="shared" si="24"/>
        <v>4</v>
      </c>
      <c r="Z249" s="15">
        <f t="shared" si="24"/>
        <v>4</v>
      </c>
      <c r="AA249" s="15">
        <f t="shared" si="21"/>
        <v>2020</v>
      </c>
      <c r="AB249" s="15">
        <f t="shared" si="22"/>
        <v>2020</v>
      </c>
      <c r="AC249" s="15">
        <f t="shared" si="23"/>
        <v>2020</v>
      </c>
      <c r="AD249" s="18" t="b">
        <f t="shared" si="20"/>
        <v>1</v>
      </c>
    </row>
    <row r="250" spans="1:30" ht="13.5" hidden="1" customHeight="1" x14ac:dyDescent="0.2">
      <c r="A250" s="7" t="s">
        <v>675</v>
      </c>
      <c r="B250" s="7"/>
      <c r="C250" s="2" t="s">
        <v>642</v>
      </c>
      <c r="D250" s="6"/>
      <c r="E250" s="32" t="s">
        <v>651</v>
      </c>
      <c r="F250" s="7"/>
      <c r="G250" s="7"/>
      <c r="H250" s="7"/>
      <c r="I250" s="7"/>
      <c r="J250" s="7"/>
      <c r="K250" s="7"/>
      <c r="L250" s="7" t="s">
        <v>662</v>
      </c>
      <c r="M250" s="8">
        <v>43922</v>
      </c>
      <c r="N250" s="8">
        <v>43922</v>
      </c>
      <c r="O250" s="13">
        <v>863190.48</v>
      </c>
      <c r="P250" s="13"/>
      <c r="Q250" s="33"/>
      <c r="R250" s="9"/>
      <c r="S250" s="9"/>
      <c r="T250" s="9"/>
      <c r="U250" s="9"/>
      <c r="X250" s="15" t="str">
        <f>IF(B250="",VLOOKUP(A250,items_lookup!A:B,2,FALSE),B250)</f>
        <v>09. Item 09</v>
      </c>
      <c r="Y250" s="15">
        <f t="shared" si="24"/>
        <v>4</v>
      </c>
      <c r="Z250" s="15">
        <f t="shared" si="24"/>
        <v>4</v>
      </c>
      <c r="AA250" s="15">
        <f t="shared" si="21"/>
        <v>2020</v>
      </c>
      <c r="AB250" s="15">
        <f t="shared" si="22"/>
        <v>2020</v>
      </c>
      <c r="AC250" s="15">
        <f t="shared" si="23"/>
        <v>2020</v>
      </c>
      <c r="AD250" s="18" t="b">
        <f t="shared" si="20"/>
        <v>1</v>
      </c>
    </row>
    <row r="251" spans="1:30" ht="15" hidden="1" customHeight="1" x14ac:dyDescent="0.2">
      <c r="A251" s="7" t="s">
        <v>677</v>
      </c>
      <c r="B251" s="7" t="s">
        <v>711</v>
      </c>
      <c r="C251" s="2" t="s">
        <v>642</v>
      </c>
      <c r="D251" s="6"/>
      <c r="E251" s="32" t="s">
        <v>651</v>
      </c>
      <c r="F251" s="7"/>
      <c r="G251" s="7"/>
      <c r="H251" s="7"/>
      <c r="I251" s="7"/>
      <c r="J251" s="7"/>
      <c r="K251" s="7"/>
      <c r="L251" s="7" t="s">
        <v>662</v>
      </c>
      <c r="M251" s="8">
        <v>43922</v>
      </c>
      <c r="N251" s="8">
        <v>43922</v>
      </c>
      <c r="O251" s="13">
        <v>449357.14</v>
      </c>
      <c r="P251" s="13"/>
      <c r="Q251" s="33"/>
      <c r="R251" s="9"/>
      <c r="S251" s="9"/>
      <c r="T251" s="9"/>
      <c r="U251" s="9"/>
      <c r="X251" s="15" t="str">
        <f>IF(B251="",VLOOKUP(A251,items_lookup!A:B,2,FALSE),B251)</f>
        <v>12. Item 12</v>
      </c>
      <c r="Y251" s="15">
        <f t="shared" si="24"/>
        <v>4</v>
      </c>
      <c r="Z251" s="15">
        <f t="shared" si="24"/>
        <v>4</v>
      </c>
      <c r="AA251" s="15">
        <f t="shared" si="21"/>
        <v>2020</v>
      </c>
      <c r="AB251" s="15">
        <f t="shared" si="22"/>
        <v>2020</v>
      </c>
      <c r="AC251" s="15">
        <f t="shared" si="23"/>
        <v>2020</v>
      </c>
      <c r="AD251" s="18" t="b">
        <f t="shared" si="20"/>
        <v>1</v>
      </c>
    </row>
    <row r="252" spans="1:30" ht="15" hidden="1" customHeight="1" x14ac:dyDescent="0.2">
      <c r="A252" s="7" t="s">
        <v>681</v>
      </c>
      <c r="C252" s="2" t="s">
        <v>642</v>
      </c>
      <c r="D252" s="6"/>
      <c r="E252" s="32" t="s">
        <v>651</v>
      </c>
      <c r="H252" s="7"/>
      <c r="K252" s="7"/>
      <c r="L252" s="7" t="s">
        <v>663</v>
      </c>
      <c r="M252" s="8">
        <v>43922</v>
      </c>
      <c r="N252" s="8">
        <v>43922</v>
      </c>
      <c r="P252" s="14">
        <v>428.57</v>
      </c>
      <c r="Q252" s="33"/>
      <c r="X252" s="15" t="str">
        <f>IF(B252="",VLOOKUP(A252,items_lookup!A:B,2,FALSE),B252)</f>
        <v>19. Item 19</v>
      </c>
      <c r="Y252" s="15">
        <f t="shared" si="24"/>
        <v>4</v>
      </c>
      <c r="Z252" s="15">
        <f t="shared" si="24"/>
        <v>4</v>
      </c>
      <c r="AA252" s="15">
        <f t="shared" ref="AA252:AA300" si="25">YEAR(N252)</f>
        <v>2020</v>
      </c>
      <c r="AB252" s="15">
        <f t="shared" ref="AB252:AB300" si="26">YEAR(M252)</f>
        <v>2020</v>
      </c>
      <c r="AC252" s="15">
        <f t="shared" ref="AC252:AC300" si="27">IF(F252="X",AA252-1,AA252)</f>
        <v>2020</v>
      </c>
      <c r="AD252" s="18" t="b">
        <f t="shared" si="20"/>
        <v>1</v>
      </c>
    </row>
    <row r="253" spans="1:30" ht="15" hidden="1" customHeight="1" x14ac:dyDescent="0.2">
      <c r="A253" s="7" t="s">
        <v>668</v>
      </c>
      <c r="C253" s="2" t="s">
        <v>642</v>
      </c>
      <c r="D253" s="6"/>
      <c r="E253" s="32" t="s">
        <v>651</v>
      </c>
      <c r="H253" s="7"/>
      <c r="K253" s="7"/>
      <c r="L253" s="7" t="s">
        <v>662</v>
      </c>
      <c r="M253" s="8">
        <v>43922</v>
      </c>
      <c r="N253" s="8">
        <v>43922</v>
      </c>
      <c r="O253" s="14">
        <v>1020952.38</v>
      </c>
      <c r="Q253" s="33"/>
      <c r="X253" s="15" t="str">
        <f>IF(B253="",VLOOKUP(A253,items_lookup!A:B,2,FALSE),B253)</f>
        <v>01. Item 01</v>
      </c>
      <c r="Y253" s="15">
        <f t="shared" si="24"/>
        <v>4</v>
      </c>
      <c r="Z253" s="15">
        <f t="shared" si="24"/>
        <v>4</v>
      </c>
      <c r="AA253" s="15">
        <f t="shared" si="25"/>
        <v>2020</v>
      </c>
      <c r="AB253" s="15">
        <f t="shared" si="26"/>
        <v>2020</v>
      </c>
      <c r="AC253" s="15">
        <f t="shared" si="27"/>
        <v>2020</v>
      </c>
      <c r="AD253" s="18" t="b">
        <f t="shared" si="20"/>
        <v>1</v>
      </c>
    </row>
    <row r="254" spans="1:30" ht="15" hidden="1" customHeight="1" x14ac:dyDescent="0.2">
      <c r="A254" s="7" t="s">
        <v>669</v>
      </c>
      <c r="C254" s="2" t="s">
        <v>642</v>
      </c>
      <c r="D254" s="6"/>
      <c r="E254" s="32" t="s">
        <v>651</v>
      </c>
      <c r="H254" s="7"/>
      <c r="K254" s="7"/>
      <c r="L254" s="7" t="s">
        <v>663</v>
      </c>
      <c r="M254" s="8">
        <v>43922</v>
      </c>
      <c r="N254" s="8">
        <v>43922</v>
      </c>
      <c r="P254" s="14">
        <v>491523.81</v>
      </c>
      <c r="Q254" s="33"/>
      <c r="X254" s="15" t="str">
        <f>IF(B254="",VLOOKUP(A254,items_lookup!A:B,2,FALSE),B254)</f>
        <v>02. Item 02</v>
      </c>
      <c r="Y254" s="15">
        <f t="shared" si="24"/>
        <v>4</v>
      </c>
      <c r="Z254" s="15">
        <f t="shared" si="24"/>
        <v>4</v>
      </c>
      <c r="AA254" s="15">
        <f t="shared" si="25"/>
        <v>2020</v>
      </c>
      <c r="AB254" s="15">
        <f t="shared" si="26"/>
        <v>2020</v>
      </c>
      <c r="AC254" s="15">
        <f t="shared" si="27"/>
        <v>2020</v>
      </c>
      <c r="AD254" s="18" t="b">
        <f t="shared" si="20"/>
        <v>1</v>
      </c>
    </row>
    <row r="255" spans="1:30" ht="15" hidden="1" customHeight="1" x14ac:dyDescent="0.2">
      <c r="A255" s="7" t="s">
        <v>687</v>
      </c>
      <c r="B255" s="20"/>
      <c r="C255" s="2" t="s">
        <v>642</v>
      </c>
      <c r="D255" s="6"/>
      <c r="E255" s="32" t="s">
        <v>651</v>
      </c>
      <c r="F255" s="7"/>
      <c r="G255" s="7"/>
      <c r="H255" s="7"/>
      <c r="I255" s="7"/>
      <c r="J255" s="7"/>
      <c r="K255" s="7"/>
      <c r="L255" s="7" t="s">
        <v>663</v>
      </c>
      <c r="M255" s="8">
        <v>43922</v>
      </c>
      <c r="N255" s="8">
        <v>43922</v>
      </c>
      <c r="O255" s="13"/>
      <c r="P255" s="13">
        <v>4353357.1399999997</v>
      </c>
      <c r="Q255" s="33"/>
      <c r="R255" s="9"/>
      <c r="S255" s="9"/>
      <c r="T255" s="9"/>
      <c r="U255" s="9"/>
      <c r="X255" s="15" t="str">
        <f>IF(B255="",VLOOKUP(A255,items_lookup!A:B,2,FALSE),B255)</f>
        <v>14. Item 14</v>
      </c>
      <c r="Y255" s="15">
        <f t="shared" si="24"/>
        <v>4</v>
      </c>
      <c r="Z255" s="15">
        <f t="shared" si="24"/>
        <v>4</v>
      </c>
      <c r="AA255" s="15">
        <f t="shared" si="25"/>
        <v>2020</v>
      </c>
      <c r="AB255" s="15">
        <f t="shared" si="26"/>
        <v>2020</v>
      </c>
      <c r="AC255" s="15">
        <f t="shared" si="27"/>
        <v>2020</v>
      </c>
      <c r="AD255" s="18" t="b">
        <f t="shared" si="20"/>
        <v>1</v>
      </c>
    </row>
    <row r="256" spans="1:30" ht="15" hidden="1" customHeight="1" x14ac:dyDescent="0.2">
      <c r="A256" s="7" t="s">
        <v>671</v>
      </c>
      <c r="B256" s="20"/>
      <c r="C256" s="2" t="s">
        <v>642</v>
      </c>
      <c r="D256" s="6"/>
      <c r="E256" s="32" t="s">
        <v>651</v>
      </c>
      <c r="F256" s="7"/>
      <c r="G256" s="7"/>
      <c r="H256" s="7"/>
      <c r="I256" s="7"/>
      <c r="J256" s="7"/>
      <c r="K256" s="7"/>
      <c r="L256" s="7" t="s">
        <v>663</v>
      </c>
      <c r="M256" s="8">
        <v>43983</v>
      </c>
      <c r="N256" s="8">
        <v>43983</v>
      </c>
      <c r="O256" s="13"/>
      <c r="P256" s="13">
        <v>2102904.7599999998</v>
      </c>
      <c r="Q256" s="33"/>
      <c r="R256" s="9"/>
      <c r="S256" s="9"/>
      <c r="T256" s="9"/>
      <c r="U256" s="9"/>
      <c r="X256" s="15" t="str">
        <f>IF(B256="",VLOOKUP(A256,items_lookup!A:B,2,FALSE),B256)</f>
        <v>05. Item 05</v>
      </c>
      <c r="Y256" s="15">
        <f t="shared" si="24"/>
        <v>6</v>
      </c>
      <c r="Z256" s="15">
        <f t="shared" si="24"/>
        <v>6</v>
      </c>
      <c r="AA256" s="15">
        <f t="shared" si="25"/>
        <v>2020</v>
      </c>
      <c r="AB256" s="15">
        <f t="shared" si="26"/>
        <v>2020</v>
      </c>
      <c r="AC256" s="15">
        <f t="shared" si="27"/>
        <v>2020</v>
      </c>
      <c r="AD256" s="18" t="b">
        <f t="shared" si="20"/>
        <v>1</v>
      </c>
    </row>
    <row r="257" spans="1:30" ht="15" hidden="1" customHeight="1" x14ac:dyDescent="0.2">
      <c r="A257" s="7" t="s">
        <v>682</v>
      </c>
      <c r="B257" s="20"/>
      <c r="C257" s="2" t="s">
        <v>642</v>
      </c>
      <c r="D257" s="6"/>
      <c r="E257" s="32" t="s">
        <v>651</v>
      </c>
      <c r="F257" s="7"/>
      <c r="G257" s="7"/>
      <c r="H257" s="7"/>
      <c r="I257" s="7"/>
      <c r="J257" s="7"/>
      <c r="K257" s="7"/>
      <c r="L257" s="7" t="s">
        <v>663</v>
      </c>
      <c r="M257" s="8">
        <v>43922</v>
      </c>
      <c r="N257" s="8">
        <v>43922</v>
      </c>
      <c r="O257" s="13"/>
      <c r="P257" s="13">
        <v>39119.050000000003</v>
      </c>
      <c r="Q257" s="33"/>
      <c r="R257" s="9"/>
      <c r="S257" s="9"/>
      <c r="T257" s="9"/>
      <c r="U257" s="9"/>
      <c r="X257" s="15" t="str">
        <f>IF(B257="",VLOOKUP(A257,items_lookup!A:B,2,FALSE),B257)</f>
        <v>06. Item 06</v>
      </c>
      <c r="Y257" s="15">
        <f t="shared" si="24"/>
        <v>4</v>
      </c>
      <c r="Z257" s="15">
        <f t="shared" si="24"/>
        <v>4</v>
      </c>
      <c r="AA257" s="15">
        <f t="shared" si="25"/>
        <v>2020</v>
      </c>
      <c r="AB257" s="15">
        <f t="shared" si="26"/>
        <v>2020</v>
      </c>
      <c r="AC257" s="15">
        <f t="shared" si="27"/>
        <v>2020</v>
      </c>
      <c r="AD257" s="18" t="b">
        <f t="shared" si="20"/>
        <v>1</v>
      </c>
    </row>
    <row r="258" spans="1:30" ht="15" hidden="1" customHeight="1" x14ac:dyDescent="0.2">
      <c r="A258" s="7" t="s">
        <v>673</v>
      </c>
      <c r="B258" s="20"/>
      <c r="C258" s="2" t="s">
        <v>642</v>
      </c>
      <c r="D258" s="6"/>
      <c r="E258" s="32" t="s">
        <v>651</v>
      </c>
      <c r="F258" s="7"/>
      <c r="G258" s="7"/>
      <c r="H258" s="7"/>
      <c r="I258" s="7"/>
      <c r="J258" s="7"/>
      <c r="K258" s="7"/>
      <c r="L258" s="7" t="s">
        <v>663</v>
      </c>
      <c r="M258" s="8">
        <v>43922</v>
      </c>
      <c r="N258" s="8">
        <v>43922</v>
      </c>
      <c r="O258" s="13"/>
      <c r="P258" s="13">
        <v>7062571.4299999997</v>
      </c>
      <c r="Q258" s="33"/>
      <c r="R258" s="9"/>
      <c r="S258" s="9"/>
      <c r="T258" s="9"/>
      <c r="U258" s="9"/>
      <c r="X258" s="15" t="str">
        <f>IF(B258="",VLOOKUP(A258,items_lookup!A:B,2,FALSE),B258)</f>
        <v>07. Item 07</v>
      </c>
      <c r="Y258" s="15">
        <f t="shared" si="24"/>
        <v>4</v>
      </c>
      <c r="Z258" s="15">
        <f t="shared" si="24"/>
        <v>4</v>
      </c>
      <c r="AA258" s="15">
        <f t="shared" si="25"/>
        <v>2020</v>
      </c>
      <c r="AB258" s="15">
        <f t="shared" si="26"/>
        <v>2020</v>
      </c>
      <c r="AC258" s="15">
        <f t="shared" si="27"/>
        <v>2020</v>
      </c>
      <c r="AD258" s="18" t="b">
        <f t="shared" si="20"/>
        <v>1</v>
      </c>
    </row>
    <row r="259" spans="1:30" ht="15" hidden="1" customHeight="1" x14ac:dyDescent="0.2">
      <c r="A259" s="7" t="s">
        <v>682</v>
      </c>
      <c r="B259" s="20"/>
      <c r="C259" s="2" t="s">
        <v>642</v>
      </c>
      <c r="D259" s="6"/>
      <c r="E259" s="32" t="s">
        <v>651</v>
      </c>
      <c r="F259" s="7"/>
      <c r="G259" s="7"/>
      <c r="H259" s="7"/>
      <c r="I259" s="7"/>
      <c r="J259" s="7"/>
      <c r="K259" s="7"/>
      <c r="L259" s="7" t="s">
        <v>663</v>
      </c>
      <c r="M259" s="8">
        <v>43922</v>
      </c>
      <c r="N259" s="8">
        <v>43922</v>
      </c>
      <c r="O259" s="13"/>
      <c r="P259" s="13">
        <v>1776761.9</v>
      </c>
      <c r="Q259" s="33"/>
      <c r="R259" s="9"/>
      <c r="S259" s="9"/>
      <c r="T259" s="9"/>
      <c r="U259" s="9"/>
      <c r="X259" s="15" t="str">
        <f>IF(B259="",VLOOKUP(A259,items_lookup!A:B,2,FALSE),B259)</f>
        <v>06. Item 06</v>
      </c>
      <c r="Y259" s="15">
        <f t="shared" si="24"/>
        <v>4</v>
      </c>
      <c r="Z259" s="15">
        <f t="shared" si="24"/>
        <v>4</v>
      </c>
      <c r="AA259" s="15">
        <f t="shared" si="25"/>
        <v>2020</v>
      </c>
      <c r="AB259" s="15">
        <f t="shared" si="26"/>
        <v>2020</v>
      </c>
      <c r="AC259" s="15">
        <f t="shared" si="27"/>
        <v>2020</v>
      </c>
      <c r="AD259" s="18" t="b">
        <f t="shared" ref="AD259:AD322" si="28">AND(ROUND(O259,2)=O259,ROUND(P259,2)=P259,OR(AND(O259&lt;&gt;0,L259="p"),AND(P259&lt;&gt;0,L259="f")),_xlfn.ISFORMULA(X259),_xlfn.ISFORMULA(Y259),_xlfn.ISFORMULA(Z259),_xlfn.ISFORMULA(AA259),_xlfn.ISFORMULA(AB259),_xlfn.ISFORMULA(AC259),NOT(_xlfn.ISFORMULA(O259)),NOT(_xlfn.ISFORMULA(P259)),M259&lt;&gt;0,N259&lt;&gt;0)</f>
        <v>1</v>
      </c>
    </row>
    <row r="260" spans="1:30" ht="15" hidden="1" customHeight="1" x14ac:dyDescent="0.2">
      <c r="A260" s="7" t="s">
        <v>672</v>
      </c>
      <c r="B260" s="7" t="s">
        <v>709</v>
      </c>
      <c r="C260" s="2" t="s">
        <v>642</v>
      </c>
      <c r="D260" s="6"/>
      <c r="E260" s="32" t="s">
        <v>651</v>
      </c>
      <c r="F260" s="7"/>
      <c r="G260" s="7"/>
      <c r="H260" s="7"/>
      <c r="I260" s="7"/>
      <c r="J260" s="7"/>
      <c r="K260" s="7"/>
      <c r="L260" s="7" t="s">
        <v>663</v>
      </c>
      <c r="M260" s="8">
        <v>43922</v>
      </c>
      <c r="N260" s="8">
        <v>43922</v>
      </c>
      <c r="O260" s="13"/>
      <c r="P260" s="13">
        <v>3739023.81</v>
      </c>
      <c r="Q260" s="33"/>
      <c r="R260" s="22"/>
      <c r="S260" s="22"/>
      <c r="T260" s="22"/>
      <c r="U260" s="22"/>
      <c r="X260" s="15" t="str">
        <f>IF(B260="",VLOOKUP(A260,items_lookup!A:B,2,FALSE),B260)</f>
        <v>04. Item 04</v>
      </c>
      <c r="Y260" s="15">
        <f t="shared" si="24"/>
        <v>4</v>
      </c>
      <c r="Z260" s="15">
        <f t="shared" si="24"/>
        <v>4</v>
      </c>
      <c r="AA260" s="15">
        <f t="shared" si="25"/>
        <v>2020</v>
      </c>
      <c r="AB260" s="15">
        <f t="shared" si="26"/>
        <v>2020</v>
      </c>
      <c r="AC260" s="15">
        <f t="shared" si="27"/>
        <v>2020</v>
      </c>
      <c r="AD260" s="18" t="b">
        <f t="shared" si="28"/>
        <v>1</v>
      </c>
    </row>
    <row r="261" spans="1:30" ht="13.5" hidden="1" customHeight="1" x14ac:dyDescent="0.2">
      <c r="A261" s="7" t="s">
        <v>668</v>
      </c>
      <c r="B261" s="7"/>
      <c r="C261" s="2" t="s">
        <v>642</v>
      </c>
      <c r="D261" s="6"/>
      <c r="E261" s="32" t="s">
        <v>651</v>
      </c>
      <c r="F261" s="7"/>
      <c r="G261" s="7"/>
      <c r="H261" s="7"/>
      <c r="I261" s="7"/>
      <c r="J261" s="7"/>
      <c r="K261" s="7"/>
      <c r="L261" s="7" t="s">
        <v>663</v>
      </c>
      <c r="M261" s="8">
        <v>43922</v>
      </c>
      <c r="N261" s="8">
        <v>43922</v>
      </c>
      <c r="O261" s="13"/>
      <c r="P261" s="13">
        <v>33000</v>
      </c>
      <c r="Q261" s="33"/>
      <c r="R261" s="9"/>
      <c r="S261" s="9"/>
      <c r="T261" s="9"/>
      <c r="U261" s="9"/>
      <c r="X261" s="15" t="str">
        <f>IF(B261="",VLOOKUP(A261,items_lookup!A:B,2,FALSE),B261)</f>
        <v>01. Item 01</v>
      </c>
      <c r="Y261" s="15">
        <f t="shared" si="24"/>
        <v>4</v>
      </c>
      <c r="Z261" s="15">
        <f t="shared" si="24"/>
        <v>4</v>
      </c>
      <c r="AA261" s="15">
        <f t="shared" si="25"/>
        <v>2020</v>
      </c>
      <c r="AB261" s="15">
        <f t="shared" si="26"/>
        <v>2020</v>
      </c>
      <c r="AC261" s="15">
        <f t="shared" si="27"/>
        <v>2020</v>
      </c>
      <c r="AD261" s="18" t="b">
        <f t="shared" si="28"/>
        <v>1</v>
      </c>
    </row>
    <row r="262" spans="1:30" ht="12.6" hidden="1" customHeight="1" x14ac:dyDescent="0.2">
      <c r="A262" s="7" t="s">
        <v>669</v>
      </c>
      <c r="B262" s="7"/>
      <c r="C262" s="2" t="s">
        <v>642</v>
      </c>
      <c r="D262" s="6"/>
      <c r="E262" s="32" t="s">
        <v>651</v>
      </c>
      <c r="F262" s="7"/>
      <c r="G262" s="7"/>
      <c r="H262" s="7"/>
      <c r="I262" s="7"/>
      <c r="J262" s="7"/>
      <c r="K262" s="7"/>
      <c r="L262" s="7" t="s">
        <v>663</v>
      </c>
      <c r="M262" s="8">
        <v>43922</v>
      </c>
      <c r="N262" s="8">
        <v>43922</v>
      </c>
      <c r="O262" s="13"/>
      <c r="P262" s="13">
        <v>-93809.52</v>
      </c>
      <c r="Q262" s="33"/>
      <c r="R262" s="9"/>
      <c r="S262" s="9"/>
      <c r="T262" s="9"/>
      <c r="U262" s="9"/>
      <c r="X262" s="15" t="str">
        <f>IF(B262="",VLOOKUP(A262,items_lookup!A:B,2,FALSE),B262)</f>
        <v>02. Item 02</v>
      </c>
      <c r="Y262" s="15">
        <f t="shared" si="24"/>
        <v>4</v>
      </c>
      <c r="Z262" s="15">
        <f t="shared" si="24"/>
        <v>4</v>
      </c>
      <c r="AA262" s="15">
        <f t="shared" si="25"/>
        <v>2020</v>
      </c>
      <c r="AB262" s="15">
        <f t="shared" si="26"/>
        <v>2020</v>
      </c>
      <c r="AC262" s="15">
        <f t="shared" si="27"/>
        <v>2020</v>
      </c>
      <c r="AD262" s="18" t="b">
        <f t="shared" si="28"/>
        <v>1</v>
      </c>
    </row>
    <row r="263" spans="1:30" ht="13.5" hidden="1" customHeight="1" x14ac:dyDescent="0.2">
      <c r="A263" s="7" t="s">
        <v>670</v>
      </c>
      <c r="B263" s="7" t="s">
        <v>711</v>
      </c>
      <c r="C263" s="2" t="s">
        <v>642</v>
      </c>
      <c r="D263" s="6"/>
      <c r="E263" s="32" t="s">
        <v>651</v>
      </c>
      <c r="F263" s="7"/>
      <c r="G263" s="7"/>
      <c r="H263" s="7"/>
      <c r="I263" s="7"/>
      <c r="J263" s="7"/>
      <c r="K263" s="7"/>
      <c r="L263" s="7" t="s">
        <v>663</v>
      </c>
      <c r="M263" s="8">
        <v>43922</v>
      </c>
      <c r="N263" s="8">
        <v>43922</v>
      </c>
      <c r="O263" s="13"/>
      <c r="P263" s="13">
        <v>447214.29</v>
      </c>
      <c r="Q263" s="33"/>
      <c r="R263" s="9"/>
      <c r="S263" s="9"/>
      <c r="T263" s="9"/>
      <c r="U263" s="9"/>
      <c r="X263" s="15" t="str">
        <f>IF(B263="",VLOOKUP(A263,items_lookup!A:B,2,FALSE),B263)</f>
        <v>12. Item 12</v>
      </c>
      <c r="Y263" s="15">
        <f t="shared" ref="Y263:Z314" si="29">MONTH(M263)</f>
        <v>4</v>
      </c>
      <c r="Z263" s="15">
        <f t="shared" si="29"/>
        <v>4</v>
      </c>
      <c r="AA263" s="15">
        <f t="shared" si="25"/>
        <v>2020</v>
      </c>
      <c r="AB263" s="15">
        <f t="shared" si="26"/>
        <v>2020</v>
      </c>
      <c r="AC263" s="15">
        <f t="shared" si="27"/>
        <v>2020</v>
      </c>
      <c r="AD263" s="18" t="b">
        <f t="shared" si="28"/>
        <v>1</v>
      </c>
    </row>
    <row r="264" spans="1:30" ht="13.5" hidden="1" customHeight="1" x14ac:dyDescent="0.2">
      <c r="A264" s="7" t="s">
        <v>671</v>
      </c>
      <c r="B264" s="7"/>
      <c r="C264" s="2" t="s">
        <v>641</v>
      </c>
      <c r="D264" s="6" t="s">
        <v>650</v>
      </c>
      <c r="E264" s="32" t="s">
        <v>651</v>
      </c>
      <c r="F264" s="7"/>
      <c r="G264" s="7"/>
      <c r="H264" s="7"/>
      <c r="I264" s="7"/>
      <c r="J264" s="7"/>
      <c r="K264" s="7"/>
      <c r="L264" s="7" t="s">
        <v>662</v>
      </c>
      <c r="M264" s="8">
        <v>43921</v>
      </c>
      <c r="N264" s="8">
        <v>43921</v>
      </c>
      <c r="O264" s="13">
        <v>42142.86</v>
      </c>
      <c r="P264" s="13"/>
      <c r="Q264" s="33"/>
      <c r="R264" s="22"/>
      <c r="S264" s="22"/>
      <c r="T264" s="22"/>
      <c r="U264" s="22"/>
      <c r="X264" s="15" t="str">
        <f>IF(B264="",VLOOKUP(A264,items_lookup!A:B,2,FALSE),B264)</f>
        <v>05. Item 05</v>
      </c>
      <c r="Y264" s="15">
        <f t="shared" si="29"/>
        <v>3</v>
      </c>
      <c r="Z264" s="15">
        <f t="shared" si="29"/>
        <v>3</v>
      </c>
      <c r="AA264" s="15">
        <f t="shared" si="25"/>
        <v>2020</v>
      </c>
      <c r="AB264" s="15">
        <f t="shared" si="26"/>
        <v>2020</v>
      </c>
      <c r="AC264" s="15">
        <f t="shared" si="27"/>
        <v>2020</v>
      </c>
      <c r="AD264" s="18" t="b">
        <f t="shared" si="28"/>
        <v>1</v>
      </c>
    </row>
    <row r="265" spans="1:30" ht="15" hidden="1" customHeight="1" x14ac:dyDescent="0.2">
      <c r="A265" s="7" t="s">
        <v>677</v>
      </c>
      <c r="B265" s="7"/>
      <c r="C265" s="2" t="s">
        <v>641</v>
      </c>
      <c r="D265" s="6" t="s">
        <v>650</v>
      </c>
      <c r="E265" s="32" t="s">
        <v>651</v>
      </c>
      <c r="F265" s="7"/>
      <c r="G265" s="7"/>
      <c r="H265" s="7"/>
      <c r="I265" s="7"/>
      <c r="J265" s="7"/>
      <c r="K265" s="7"/>
      <c r="L265" s="7" t="s">
        <v>662</v>
      </c>
      <c r="M265" s="8">
        <v>43921</v>
      </c>
      <c r="N265" s="8">
        <v>43921</v>
      </c>
      <c r="O265" s="13">
        <v>461904.76</v>
      </c>
      <c r="P265" s="13"/>
      <c r="Q265" s="33"/>
      <c r="R265" s="22"/>
      <c r="S265" s="22"/>
      <c r="T265" s="22"/>
      <c r="U265" s="22"/>
      <c r="X265" s="15" t="str">
        <f>IF(B265="",VLOOKUP(A265,items_lookup!A:B,2,FALSE),B265)</f>
        <v>11. Item 11</v>
      </c>
      <c r="Y265" s="15">
        <f t="shared" si="29"/>
        <v>3</v>
      </c>
      <c r="Z265" s="15">
        <f t="shared" si="29"/>
        <v>3</v>
      </c>
      <c r="AA265" s="15">
        <f t="shared" si="25"/>
        <v>2020</v>
      </c>
      <c r="AB265" s="15">
        <f t="shared" si="26"/>
        <v>2020</v>
      </c>
      <c r="AC265" s="15">
        <f t="shared" si="27"/>
        <v>2020</v>
      </c>
      <c r="AD265" s="18" t="b">
        <f t="shared" si="28"/>
        <v>1</v>
      </c>
    </row>
    <row r="266" spans="1:30" ht="15" hidden="1" customHeight="1" x14ac:dyDescent="0.2">
      <c r="A266" s="7" t="s">
        <v>676</v>
      </c>
      <c r="B266" s="7"/>
      <c r="C266" s="2" t="s">
        <v>641</v>
      </c>
      <c r="D266" s="6" t="s">
        <v>649</v>
      </c>
      <c r="E266" s="32" t="s">
        <v>651</v>
      </c>
      <c r="F266" s="7"/>
      <c r="G266" s="7"/>
      <c r="H266" s="7"/>
      <c r="I266" s="7"/>
      <c r="J266" s="7"/>
      <c r="K266" s="7"/>
      <c r="L266" s="7" t="s">
        <v>662</v>
      </c>
      <c r="M266" s="8">
        <v>43921</v>
      </c>
      <c r="N266" s="8">
        <v>43921</v>
      </c>
      <c r="O266" s="13">
        <v>32994761.899999999</v>
      </c>
      <c r="P266" s="13"/>
      <c r="Q266" s="33"/>
      <c r="R266" s="22"/>
      <c r="S266" s="22"/>
      <c r="T266" s="22"/>
      <c r="U266" s="22"/>
      <c r="X266" s="15" t="str">
        <f>IF(B266="",VLOOKUP(A266,items_lookup!A:B,2,FALSE),B266)</f>
        <v>09. Item 09</v>
      </c>
      <c r="Y266" s="15">
        <f t="shared" si="29"/>
        <v>3</v>
      </c>
      <c r="Z266" s="15">
        <f t="shared" si="29"/>
        <v>3</v>
      </c>
      <c r="AA266" s="15">
        <f t="shared" si="25"/>
        <v>2020</v>
      </c>
      <c r="AB266" s="15">
        <f t="shared" si="26"/>
        <v>2020</v>
      </c>
      <c r="AC266" s="15">
        <f t="shared" si="27"/>
        <v>2020</v>
      </c>
      <c r="AD266" s="18" t="b">
        <f t="shared" si="28"/>
        <v>1</v>
      </c>
    </row>
    <row r="267" spans="1:30" ht="15" hidden="1" customHeight="1" x14ac:dyDescent="0.2">
      <c r="A267" s="7" t="s">
        <v>675</v>
      </c>
      <c r="B267" s="20"/>
      <c r="C267" s="2" t="s">
        <v>641</v>
      </c>
      <c r="D267" s="6" t="s">
        <v>649</v>
      </c>
      <c r="E267" s="32" t="s">
        <v>651</v>
      </c>
      <c r="F267" s="7"/>
      <c r="G267" s="7"/>
      <c r="H267" s="7"/>
      <c r="I267" s="7"/>
      <c r="J267" s="7"/>
      <c r="K267" s="7"/>
      <c r="L267" s="7" t="s">
        <v>662</v>
      </c>
      <c r="M267" s="8">
        <v>43891</v>
      </c>
      <c r="N267" s="8">
        <v>43891</v>
      </c>
      <c r="O267" s="13">
        <v>6790476.1900000004</v>
      </c>
      <c r="P267" s="13"/>
      <c r="Q267" s="33"/>
      <c r="R267" s="9"/>
      <c r="S267" s="9"/>
      <c r="T267" s="9"/>
      <c r="U267" s="9"/>
      <c r="X267" s="15" t="str">
        <f>IF(B267="",VLOOKUP(A267,items_lookup!A:B,2,FALSE),B267)</f>
        <v>09. Item 09</v>
      </c>
      <c r="Y267" s="15">
        <f t="shared" si="29"/>
        <v>3</v>
      </c>
      <c r="Z267" s="15">
        <f t="shared" si="29"/>
        <v>3</v>
      </c>
      <c r="AA267" s="15">
        <f t="shared" si="25"/>
        <v>2020</v>
      </c>
      <c r="AB267" s="15">
        <f t="shared" si="26"/>
        <v>2020</v>
      </c>
      <c r="AC267" s="15">
        <f t="shared" si="27"/>
        <v>2020</v>
      </c>
      <c r="AD267" s="18" t="b">
        <f t="shared" si="28"/>
        <v>1</v>
      </c>
    </row>
    <row r="268" spans="1:30" ht="15" hidden="1" customHeight="1" x14ac:dyDescent="0.2">
      <c r="A268" s="7" t="s">
        <v>678</v>
      </c>
      <c r="B268" s="20"/>
      <c r="C268" s="2" t="s">
        <v>641</v>
      </c>
      <c r="D268" s="6" t="s">
        <v>650</v>
      </c>
      <c r="E268" s="32" t="s">
        <v>651</v>
      </c>
      <c r="F268" s="7"/>
      <c r="G268" s="7"/>
      <c r="H268" s="7"/>
      <c r="I268" s="7"/>
      <c r="J268" s="7"/>
      <c r="K268" s="7"/>
      <c r="L268" s="7" t="s">
        <v>662</v>
      </c>
      <c r="M268" s="8">
        <v>43891</v>
      </c>
      <c r="N268" s="8">
        <v>43891</v>
      </c>
      <c r="O268" s="13">
        <v>504047.62</v>
      </c>
      <c r="P268" s="13"/>
      <c r="Q268" s="33"/>
      <c r="R268" s="9"/>
      <c r="S268" s="9"/>
      <c r="T268" s="9"/>
      <c r="U268" s="9"/>
      <c r="X268" s="15" t="str">
        <f>IF(B268="",VLOOKUP(A268,items_lookup!A:B,2,FALSE),B268)</f>
        <v>13. Item 13</v>
      </c>
      <c r="Y268" s="15">
        <f t="shared" si="29"/>
        <v>3</v>
      </c>
      <c r="Z268" s="15">
        <f t="shared" si="29"/>
        <v>3</v>
      </c>
      <c r="AA268" s="15">
        <f t="shared" si="25"/>
        <v>2020</v>
      </c>
      <c r="AB268" s="15">
        <f t="shared" si="26"/>
        <v>2020</v>
      </c>
      <c r="AC268" s="15">
        <f t="shared" si="27"/>
        <v>2020</v>
      </c>
      <c r="AD268" s="18" t="b">
        <f t="shared" si="28"/>
        <v>1</v>
      </c>
    </row>
    <row r="269" spans="1:30" ht="15" hidden="1" customHeight="1" x14ac:dyDescent="0.2">
      <c r="A269" s="7" t="s">
        <v>678</v>
      </c>
      <c r="B269" s="20"/>
      <c r="C269" s="2" t="s">
        <v>641</v>
      </c>
      <c r="D269" s="6" t="s">
        <v>649</v>
      </c>
      <c r="E269" s="32" t="s">
        <v>651</v>
      </c>
      <c r="F269" s="7"/>
      <c r="G269" s="7"/>
      <c r="H269" s="7"/>
      <c r="I269" s="7"/>
      <c r="J269" s="7"/>
      <c r="K269" s="7"/>
      <c r="L269" s="7" t="s">
        <v>662</v>
      </c>
      <c r="M269" s="8">
        <v>43891</v>
      </c>
      <c r="N269" s="8">
        <v>43891</v>
      </c>
      <c r="O269" s="13">
        <v>104761.9</v>
      </c>
      <c r="P269" s="13"/>
      <c r="Q269" s="33"/>
      <c r="R269" s="9"/>
      <c r="S269" s="9"/>
      <c r="T269" s="9"/>
      <c r="U269" s="9"/>
      <c r="X269" s="15" t="str">
        <f>IF(B269="",VLOOKUP(A269,items_lookup!A:B,2,FALSE),B269)</f>
        <v>13. Item 13</v>
      </c>
      <c r="Y269" s="15">
        <f t="shared" si="29"/>
        <v>3</v>
      </c>
      <c r="Z269" s="15">
        <f t="shared" si="29"/>
        <v>3</v>
      </c>
      <c r="AA269" s="15">
        <f t="shared" si="25"/>
        <v>2020</v>
      </c>
      <c r="AB269" s="15">
        <f t="shared" si="26"/>
        <v>2020</v>
      </c>
      <c r="AC269" s="15">
        <f t="shared" si="27"/>
        <v>2020</v>
      </c>
      <c r="AD269" s="18" t="b">
        <f t="shared" si="28"/>
        <v>1</v>
      </c>
    </row>
    <row r="270" spans="1:30" ht="15" hidden="1" customHeight="1" x14ac:dyDescent="0.2">
      <c r="A270" s="7" t="s">
        <v>679</v>
      </c>
      <c r="B270" s="20"/>
      <c r="C270" s="2" t="s">
        <v>641</v>
      </c>
      <c r="D270" s="6" t="s">
        <v>649</v>
      </c>
      <c r="E270" s="32" t="s">
        <v>651</v>
      </c>
      <c r="F270" s="7"/>
      <c r="G270" s="7"/>
      <c r="H270" s="7"/>
      <c r="I270" s="7"/>
      <c r="J270" s="7"/>
      <c r="K270" s="7"/>
      <c r="L270" s="7" t="s">
        <v>662</v>
      </c>
      <c r="M270" s="8">
        <v>44013</v>
      </c>
      <c r="N270" s="8">
        <v>44013</v>
      </c>
      <c r="O270" s="13">
        <v>2380952.38</v>
      </c>
      <c r="P270" s="13"/>
      <c r="Q270" s="33"/>
      <c r="R270" s="9"/>
      <c r="S270" s="9"/>
      <c r="T270" s="9"/>
      <c r="U270" s="9"/>
      <c r="X270" s="15" t="str">
        <f>IF(B270="",VLOOKUP(A270,items_lookup!A:B,2,FALSE),B270)</f>
        <v>13. Item 13</v>
      </c>
      <c r="Y270" s="15">
        <f t="shared" si="29"/>
        <v>7</v>
      </c>
      <c r="Z270" s="15">
        <f t="shared" si="29"/>
        <v>7</v>
      </c>
      <c r="AA270" s="15">
        <f t="shared" si="25"/>
        <v>2020</v>
      </c>
      <c r="AB270" s="15">
        <f t="shared" si="26"/>
        <v>2020</v>
      </c>
      <c r="AC270" s="15">
        <f t="shared" si="27"/>
        <v>2020</v>
      </c>
      <c r="AD270" s="18" t="b">
        <f t="shared" si="28"/>
        <v>1</v>
      </c>
    </row>
    <row r="271" spans="1:30" ht="15" hidden="1" customHeight="1" x14ac:dyDescent="0.2">
      <c r="A271" s="7" t="s">
        <v>679</v>
      </c>
      <c r="B271" s="20"/>
      <c r="C271" s="2" t="s">
        <v>641</v>
      </c>
      <c r="D271" s="6" t="s">
        <v>649</v>
      </c>
      <c r="E271" s="32" t="s">
        <v>651</v>
      </c>
      <c r="F271" s="7"/>
      <c r="G271" s="7"/>
      <c r="H271" s="7"/>
      <c r="I271" s="7"/>
      <c r="J271" s="7"/>
      <c r="K271" s="7"/>
      <c r="L271" s="7" t="s">
        <v>662</v>
      </c>
      <c r="M271" s="8">
        <v>43891</v>
      </c>
      <c r="N271" s="8">
        <v>43891</v>
      </c>
      <c r="O271" s="13">
        <v>5023809.5199999996</v>
      </c>
      <c r="P271" s="13"/>
      <c r="Q271" s="33"/>
      <c r="R271" s="9"/>
      <c r="S271" s="9"/>
      <c r="T271" s="9"/>
      <c r="U271" s="9"/>
      <c r="X271" s="15" t="str">
        <f>IF(B271="",VLOOKUP(A271,items_lookup!A:B,2,FALSE),B271)</f>
        <v>13. Item 13</v>
      </c>
      <c r="Y271" s="15">
        <f t="shared" si="29"/>
        <v>3</v>
      </c>
      <c r="Z271" s="15">
        <f t="shared" si="29"/>
        <v>3</v>
      </c>
      <c r="AA271" s="15">
        <f t="shared" si="25"/>
        <v>2020</v>
      </c>
      <c r="AB271" s="15">
        <f t="shared" si="26"/>
        <v>2020</v>
      </c>
      <c r="AC271" s="15">
        <f t="shared" si="27"/>
        <v>2020</v>
      </c>
      <c r="AD271" s="18" t="b">
        <f t="shared" si="28"/>
        <v>1</v>
      </c>
    </row>
    <row r="272" spans="1:30" ht="15" hidden="1" customHeight="1" x14ac:dyDescent="0.2">
      <c r="A272" s="7" t="s">
        <v>680</v>
      </c>
      <c r="B272" s="20"/>
      <c r="C272" s="2" t="s">
        <v>641</v>
      </c>
      <c r="D272" s="6" t="s">
        <v>649</v>
      </c>
      <c r="E272" s="32" t="s">
        <v>651</v>
      </c>
      <c r="F272" s="7"/>
      <c r="G272" s="7"/>
      <c r="H272" s="7"/>
      <c r="I272" s="7"/>
      <c r="J272" s="7"/>
      <c r="K272" s="7"/>
      <c r="L272" s="7" t="s">
        <v>662</v>
      </c>
      <c r="M272" s="8">
        <v>43891</v>
      </c>
      <c r="N272" s="8">
        <v>43891</v>
      </c>
      <c r="O272" s="13">
        <v>166666.67000000001</v>
      </c>
      <c r="P272" s="13"/>
      <c r="Q272" s="33"/>
      <c r="R272" s="9"/>
      <c r="S272" s="9"/>
      <c r="T272" s="9"/>
      <c r="U272" s="9"/>
      <c r="X272" s="15" t="str">
        <f>IF(B272="",VLOOKUP(A272,items_lookup!A:B,2,FALSE),B272)</f>
        <v>13. Item 13</v>
      </c>
      <c r="Y272" s="15">
        <f t="shared" si="29"/>
        <v>3</v>
      </c>
      <c r="Z272" s="15">
        <f t="shared" si="29"/>
        <v>3</v>
      </c>
      <c r="AA272" s="15">
        <f t="shared" si="25"/>
        <v>2020</v>
      </c>
      <c r="AB272" s="15">
        <f t="shared" si="26"/>
        <v>2020</v>
      </c>
      <c r="AC272" s="15">
        <f t="shared" si="27"/>
        <v>2020</v>
      </c>
      <c r="AD272" s="18" t="b">
        <f t="shared" si="28"/>
        <v>1</v>
      </c>
    </row>
    <row r="273" spans="1:30" ht="15" hidden="1" customHeight="1" x14ac:dyDescent="0.2">
      <c r="A273" s="7" t="s">
        <v>680</v>
      </c>
      <c r="B273" s="20"/>
      <c r="C273" s="2" t="s">
        <v>641</v>
      </c>
      <c r="D273" s="6" t="s">
        <v>649</v>
      </c>
      <c r="E273" s="32" t="s">
        <v>651</v>
      </c>
      <c r="F273" s="7"/>
      <c r="G273" s="7"/>
      <c r="H273" s="7"/>
      <c r="I273" s="7"/>
      <c r="J273" s="7"/>
      <c r="K273" s="7"/>
      <c r="L273" s="7" t="s">
        <v>662</v>
      </c>
      <c r="M273" s="8">
        <v>43891</v>
      </c>
      <c r="N273" s="8">
        <v>43891</v>
      </c>
      <c r="O273" s="13">
        <v>5000</v>
      </c>
      <c r="P273" s="13"/>
      <c r="Q273" s="33"/>
      <c r="R273" s="22"/>
      <c r="S273" s="22"/>
      <c r="T273" s="22"/>
      <c r="U273" s="22"/>
      <c r="X273" s="15" t="str">
        <f>IF(B273="",VLOOKUP(A273,items_lookup!A:B,2,FALSE),B273)</f>
        <v>13. Item 13</v>
      </c>
      <c r="Y273" s="15">
        <f t="shared" si="29"/>
        <v>3</v>
      </c>
      <c r="Z273" s="15">
        <f t="shared" si="29"/>
        <v>3</v>
      </c>
      <c r="AA273" s="15">
        <f t="shared" si="25"/>
        <v>2020</v>
      </c>
      <c r="AB273" s="15">
        <f t="shared" si="26"/>
        <v>2020</v>
      </c>
      <c r="AC273" s="15">
        <f t="shared" si="27"/>
        <v>2020</v>
      </c>
      <c r="AD273" s="18" t="b">
        <f t="shared" si="28"/>
        <v>1</v>
      </c>
    </row>
    <row r="274" spans="1:30" ht="15" hidden="1" customHeight="1" x14ac:dyDescent="0.2">
      <c r="A274" s="7" t="s">
        <v>673</v>
      </c>
      <c r="B274" s="20"/>
      <c r="C274" s="2" t="s">
        <v>641</v>
      </c>
      <c r="D274" s="6" t="s">
        <v>649</v>
      </c>
      <c r="E274" s="32" t="s">
        <v>651</v>
      </c>
      <c r="F274" s="7"/>
      <c r="G274" s="7"/>
      <c r="H274" s="7"/>
      <c r="I274" s="7"/>
      <c r="J274" s="7"/>
      <c r="K274" s="7"/>
      <c r="L274" s="7" t="s">
        <v>662</v>
      </c>
      <c r="M274" s="8">
        <v>43891</v>
      </c>
      <c r="N274" s="8">
        <v>43891</v>
      </c>
      <c r="O274" s="13">
        <v>39523.81</v>
      </c>
      <c r="P274" s="13"/>
      <c r="Q274" s="33"/>
      <c r="R274" s="22"/>
      <c r="S274" s="22"/>
      <c r="T274" s="22"/>
      <c r="U274" s="22"/>
      <c r="X274" s="15" t="str">
        <f>IF(B274="",VLOOKUP(A274,items_lookup!A:B,2,FALSE),B274)</f>
        <v>07. Item 07</v>
      </c>
      <c r="Y274" s="15">
        <f t="shared" si="29"/>
        <v>3</v>
      </c>
      <c r="Z274" s="15">
        <f t="shared" si="29"/>
        <v>3</v>
      </c>
      <c r="AA274" s="15">
        <f t="shared" si="25"/>
        <v>2020</v>
      </c>
      <c r="AB274" s="15">
        <f t="shared" si="26"/>
        <v>2020</v>
      </c>
      <c r="AC274" s="15">
        <f t="shared" si="27"/>
        <v>2020</v>
      </c>
      <c r="AD274" s="18" t="b">
        <f t="shared" si="28"/>
        <v>1</v>
      </c>
    </row>
    <row r="275" spans="1:30" ht="15" hidden="1" customHeight="1" x14ac:dyDescent="0.2">
      <c r="A275" s="7" t="s">
        <v>682</v>
      </c>
      <c r="B275" s="20"/>
      <c r="C275" s="2" t="s">
        <v>641</v>
      </c>
      <c r="D275" s="6" t="s">
        <v>649</v>
      </c>
      <c r="E275" s="32" t="s">
        <v>651</v>
      </c>
      <c r="F275" s="7"/>
      <c r="G275" s="7"/>
      <c r="H275" s="7"/>
      <c r="I275" s="7"/>
      <c r="J275" s="7"/>
      <c r="K275" s="7"/>
      <c r="L275" s="7" t="s">
        <v>662</v>
      </c>
      <c r="M275" s="8">
        <v>43891</v>
      </c>
      <c r="N275" s="8">
        <v>43891</v>
      </c>
      <c r="O275" s="13">
        <v>59523.81</v>
      </c>
      <c r="P275" s="13"/>
      <c r="Q275" s="33"/>
      <c r="R275" s="22"/>
      <c r="S275" s="22"/>
      <c r="T275" s="22"/>
      <c r="U275" s="22"/>
      <c r="X275" s="15" t="str">
        <f>IF(B275="",VLOOKUP(A275,items_lookup!A:B,2,FALSE),B275)</f>
        <v>06. Item 06</v>
      </c>
      <c r="Y275" s="15">
        <f t="shared" si="29"/>
        <v>3</v>
      </c>
      <c r="Z275" s="15">
        <f t="shared" si="29"/>
        <v>3</v>
      </c>
      <c r="AA275" s="15">
        <f t="shared" si="25"/>
        <v>2020</v>
      </c>
      <c r="AB275" s="15">
        <f t="shared" si="26"/>
        <v>2020</v>
      </c>
      <c r="AC275" s="15">
        <f t="shared" si="27"/>
        <v>2020</v>
      </c>
      <c r="AD275" s="18" t="b">
        <f t="shared" si="28"/>
        <v>1</v>
      </c>
    </row>
    <row r="276" spans="1:30" ht="15" hidden="1" customHeight="1" x14ac:dyDescent="0.2">
      <c r="A276" s="7" t="s">
        <v>672</v>
      </c>
      <c r="B276" s="20"/>
      <c r="C276" s="2" t="s">
        <v>641</v>
      </c>
      <c r="D276" s="6" t="s">
        <v>649</v>
      </c>
      <c r="E276" s="32" t="s">
        <v>651</v>
      </c>
      <c r="F276" s="7"/>
      <c r="G276" s="7"/>
      <c r="H276" s="7"/>
      <c r="I276" s="7"/>
      <c r="J276" s="7"/>
      <c r="K276" s="7"/>
      <c r="L276" s="7" t="s">
        <v>662</v>
      </c>
      <c r="M276" s="8">
        <v>43891</v>
      </c>
      <c r="N276" s="8">
        <v>43891</v>
      </c>
      <c r="O276" s="13">
        <v>1039341.76</v>
      </c>
      <c r="P276" s="13"/>
      <c r="Q276" s="33"/>
      <c r="R276" s="22"/>
      <c r="S276" s="22"/>
      <c r="T276" s="22"/>
      <c r="U276" s="22"/>
      <c r="X276" s="15" t="str">
        <f>IF(B276="",VLOOKUP(A276,items_lookup!A:B,2,FALSE),B276)</f>
        <v>05. Item 05</v>
      </c>
      <c r="Y276" s="15">
        <f t="shared" si="29"/>
        <v>3</v>
      </c>
      <c r="Z276" s="15">
        <f t="shared" si="29"/>
        <v>3</v>
      </c>
      <c r="AA276" s="15">
        <f t="shared" si="25"/>
        <v>2020</v>
      </c>
      <c r="AB276" s="15">
        <f t="shared" si="26"/>
        <v>2020</v>
      </c>
      <c r="AC276" s="15">
        <f t="shared" si="27"/>
        <v>2020</v>
      </c>
      <c r="AD276" s="18" t="b">
        <f t="shared" si="28"/>
        <v>1</v>
      </c>
    </row>
    <row r="277" spans="1:30" ht="15" hidden="1" customHeight="1" x14ac:dyDescent="0.2">
      <c r="A277" s="7"/>
      <c r="B277" s="7" t="s">
        <v>708</v>
      </c>
      <c r="C277" s="2" t="s">
        <v>641</v>
      </c>
      <c r="D277" s="6" t="s">
        <v>649</v>
      </c>
      <c r="E277" s="32" t="s">
        <v>651</v>
      </c>
      <c r="F277" s="7"/>
      <c r="G277" s="7"/>
      <c r="H277" s="7"/>
      <c r="I277" s="7"/>
      <c r="J277" s="7"/>
      <c r="K277" s="7"/>
      <c r="L277" s="7" t="s">
        <v>662</v>
      </c>
      <c r="M277" s="8">
        <v>43891</v>
      </c>
      <c r="N277" s="8">
        <v>43891</v>
      </c>
      <c r="O277" s="13">
        <v>3183095.24</v>
      </c>
      <c r="P277" s="13"/>
      <c r="Q277" s="33"/>
      <c r="R277" s="9"/>
      <c r="S277" s="9"/>
      <c r="T277" s="9"/>
      <c r="U277" s="9"/>
      <c r="X277" s="15" t="str">
        <f>IF(B277="",VLOOKUP(A277,items_lookup!A:B,2,FALSE),B277)</f>
        <v>03. Item 03</v>
      </c>
      <c r="Y277" s="15">
        <f t="shared" si="29"/>
        <v>3</v>
      </c>
      <c r="Z277" s="15">
        <f t="shared" si="29"/>
        <v>3</v>
      </c>
      <c r="AA277" s="15">
        <f t="shared" si="25"/>
        <v>2020</v>
      </c>
      <c r="AB277" s="15">
        <f t="shared" si="26"/>
        <v>2020</v>
      </c>
      <c r="AC277" s="15">
        <f t="shared" si="27"/>
        <v>2020</v>
      </c>
      <c r="AD277" s="18" t="b">
        <f t="shared" si="28"/>
        <v>1</v>
      </c>
    </row>
    <row r="278" spans="1:30" ht="15" hidden="1" customHeight="1" x14ac:dyDescent="0.2">
      <c r="A278" s="7" t="s">
        <v>668</v>
      </c>
      <c r="B278" s="7" t="s">
        <v>709</v>
      </c>
      <c r="C278" s="2" t="s">
        <v>641</v>
      </c>
      <c r="D278" s="6" t="s">
        <v>649</v>
      </c>
      <c r="E278" s="32" t="s">
        <v>651</v>
      </c>
      <c r="F278" s="7"/>
      <c r="G278" s="7"/>
      <c r="H278" s="7"/>
      <c r="I278" s="7"/>
      <c r="J278" s="7"/>
      <c r="K278" s="7"/>
      <c r="L278" s="7" t="s">
        <v>662</v>
      </c>
      <c r="M278" s="8">
        <v>43891</v>
      </c>
      <c r="N278" s="8">
        <v>43891</v>
      </c>
      <c r="O278" s="13">
        <v>1198095.24</v>
      </c>
      <c r="P278" s="13"/>
      <c r="Q278" s="33"/>
      <c r="R278" s="9"/>
      <c r="S278" s="9"/>
      <c r="T278" s="9"/>
      <c r="U278" s="9"/>
      <c r="X278" s="15" t="str">
        <f>IF(B278="",VLOOKUP(A278,items_lookup!A:B,2,FALSE),B278)</f>
        <v>04. Item 04</v>
      </c>
      <c r="Y278" s="15">
        <f t="shared" si="29"/>
        <v>3</v>
      </c>
      <c r="Z278" s="15">
        <f t="shared" si="29"/>
        <v>3</v>
      </c>
      <c r="AA278" s="15">
        <f t="shared" si="25"/>
        <v>2020</v>
      </c>
      <c r="AB278" s="15">
        <f t="shared" si="26"/>
        <v>2020</v>
      </c>
      <c r="AC278" s="15">
        <f t="shared" si="27"/>
        <v>2020</v>
      </c>
      <c r="AD278" s="18" t="b">
        <f t="shared" si="28"/>
        <v>1</v>
      </c>
    </row>
    <row r="279" spans="1:30" ht="15" hidden="1" customHeight="1" x14ac:dyDescent="0.2">
      <c r="A279" s="7" t="s">
        <v>669</v>
      </c>
      <c r="B279" s="7" t="s">
        <v>712</v>
      </c>
      <c r="C279" s="2" t="s">
        <v>641</v>
      </c>
      <c r="D279" s="6" t="s">
        <v>649</v>
      </c>
      <c r="E279" s="32" t="s">
        <v>651</v>
      </c>
      <c r="F279" s="7"/>
      <c r="G279" s="7"/>
      <c r="H279" s="7"/>
      <c r="I279" s="7"/>
      <c r="J279" s="7"/>
      <c r="K279" s="7"/>
      <c r="L279" s="7" t="s">
        <v>662</v>
      </c>
      <c r="M279" s="8">
        <v>43891</v>
      </c>
      <c r="N279" s="8">
        <v>43891</v>
      </c>
      <c r="O279" s="13">
        <v>35952.379999999997</v>
      </c>
      <c r="P279" s="13"/>
      <c r="Q279" s="33"/>
      <c r="R279" s="22"/>
      <c r="S279" s="22"/>
      <c r="T279" s="22"/>
      <c r="U279" s="22"/>
      <c r="X279" s="15" t="str">
        <f>IF(B279="",VLOOKUP(A279,items_lookup!A:B,2,FALSE),B279)</f>
        <v>10. Item 10</v>
      </c>
      <c r="Y279" s="15">
        <f t="shared" si="29"/>
        <v>3</v>
      </c>
      <c r="Z279" s="15">
        <f t="shared" si="29"/>
        <v>3</v>
      </c>
      <c r="AA279" s="15">
        <f t="shared" si="25"/>
        <v>2020</v>
      </c>
      <c r="AB279" s="15">
        <f t="shared" si="26"/>
        <v>2020</v>
      </c>
      <c r="AC279" s="15">
        <f t="shared" si="27"/>
        <v>2020</v>
      </c>
      <c r="AD279" s="18" t="b">
        <f t="shared" si="28"/>
        <v>1</v>
      </c>
    </row>
    <row r="280" spans="1:30" ht="15" hidden="1" customHeight="1" x14ac:dyDescent="0.2">
      <c r="A280" s="7" t="s">
        <v>670</v>
      </c>
      <c r="B280" s="7" t="s">
        <v>711</v>
      </c>
      <c r="C280" s="2" t="s">
        <v>641</v>
      </c>
      <c r="D280" s="6" t="s">
        <v>649</v>
      </c>
      <c r="E280" s="32" t="s">
        <v>651</v>
      </c>
      <c r="F280" s="7"/>
      <c r="G280" s="7"/>
      <c r="H280" s="7"/>
      <c r="I280" s="7"/>
      <c r="J280" s="7"/>
      <c r="K280" s="7"/>
      <c r="L280" s="7" t="s">
        <v>662</v>
      </c>
      <c r="M280" s="8">
        <v>43891</v>
      </c>
      <c r="N280" s="8">
        <v>43891</v>
      </c>
      <c r="O280" s="13">
        <v>500000</v>
      </c>
      <c r="P280" s="13"/>
      <c r="Q280" s="33"/>
      <c r="R280" s="22"/>
      <c r="S280" s="22"/>
      <c r="T280" s="22"/>
      <c r="U280" s="22"/>
      <c r="X280" s="15" t="str">
        <f>IF(B280="",VLOOKUP(A280,items_lookup!A:B,2,FALSE),B280)</f>
        <v>12. Item 12</v>
      </c>
      <c r="Y280" s="15">
        <f t="shared" si="29"/>
        <v>3</v>
      </c>
      <c r="Z280" s="15">
        <f t="shared" si="29"/>
        <v>3</v>
      </c>
      <c r="AA280" s="15">
        <f t="shared" si="25"/>
        <v>2020</v>
      </c>
      <c r="AB280" s="15">
        <f t="shared" si="26"/>
        <v>2020</v>
      </c>
      <c r="AC280" s="15">
        <f t="shared" si="27"/>
        <v>2020</v>
      </c>
      <c r="AD280" s="18" t="b">
        <f t="shared" si="28"/>
        <v>1</v>
      </c>
    </row>
    <row r="281" spans="1:30" ht="15" hidden="1" customHeight="1" x14ac:dyDescent="0.2">
      <c r="A281" s="7" t="s">
        <v>671</v>
      </c>
      <c r="B281" s="7" t="s">
        <v>710</v>
      </c>
      <c r="C281" s="2" t="s">
        <v>641</v>
      </c>
      <c r="D281" s="6" t="s">
        <v>649</v>
      </c>
      <c r="E281" s="32" t="s">
        <v>651</v>
      </c>
      <c r="F281" s="7"/>
      <c r="G281" s="7"/>
      <c r="H281" s="7"/>
      <c r="I281" s="7"/>
      <c r="J281" s="7"/>
      <c r="K281" s="7"/>
      <c r="L281" s="7" t="s">
        <v>662</v>
      </c>
      <c r="M281" s="8">
        <v>43891</v>
      </c>
      <c r="N281" s="8">
        <v>43891</v>
      </c>
      <c r="O281" s="13">
        <v>625731.4</v>
      </c>
      <c r="P281" s="13"/>
      <c r="Q281" s="33"/>
      <c r="R281" s="22"/>
      <c r="S281" s="22"/>
      <c r="T281" s="22"/>
      <c r="U281" s="22"/>
      <c r="X281" s="15" t="str">
        <f>IF(B281="",VLOOKUP(A281,items_lookup!A:B,2,FALSE),B281)</f>
        <v>13. Item 13</v>
      </c>
      <c r="Y281" s="15">
        <f t="shared" si="29"/>
        <v>3</v>
      </c>
      <c r="Z281" s="15">
        <f t="shared" si="29"/>
        <v>3</v>
      </c>
      <c r="AA281" s="15">
        <f t="shared" si="25"/>
        <v>2020</v>
      </c>
      <c r="AB281" s="15">
        <f t="shared" si="26"/>
        <v>2020</v>
      </c>
      <c r="AC281" s="15">
        <f t="shared" si="27"/>
        <v>2020</v>
      </c>
      <c r="AD281" s="18" t="b">
        <f t="shared" si="28"/>
        <v>1</v>
      </c>
    </row>
    <row r="282" spans="1:30" ht="15" hidden="1" customHeight="1" x14ac:dyDescent="0.2">
      <c r="A282" s="7" t="s">
        <v>677</v>
      </c>
      <c r="B282" s="20"/>
      <c r="C282" s="2" t="s">
        <v>642</v>
      </c>
      <c r="D282" s="6"/>
      <c r="E282" s="32" t="s">
        <v>651</v>
      </c>
      <c r="F282" s="7"/>
      <c r="G282" s="7"/>
      <c r="H282" s="7"/>
      <c r="I282" s="7"/>
      <c r="J282" s="7"/>
      <c r="K282" s="7"/>
      <c r="L282" s="7" t="s">
        <v>662</v>
      </c>
      <c r="M282" s="8">
        <v>44013</v>
      </c>
      <c r="N282" s="8">
        <v>44013</v>
      </c>
      <c r="O282" s="13">
        <v>2231976.19</v>
      </c>
      <c r="P282" s="13"/>
      <c r="Q282" s="33"/>
      <c r="R282" s="9"/>
      <c r="S282" s="9"/>
      <c r="T282" s="9"/>
      <c r="U282" s="9"/>
      <c r="X282" s="15" t="str">
        <f>IF(B282="",VLOOKUP(A282,items_lookup!A:B,2,FALSE),B282)</f>
        <v>11. Item 11</v>
      </c>
      <c r="Y282" s="15">
        <f t="shared" si="29"/>
        <v>7</v>
      </c>
      <c r="Z282" s="15">
        <f t="shared" si="29"/>
        <v>7</v>
      </c>
      <c r="AA282" s="15">
        <f t="shared" si="25"/>
        <v>2020</v>
      </c>
      <c r="AB282" s="15">
        <f t="shared" si="26"/>
        <v>2020</v>
      </c>
      <c r="AC282" s="15">
        <f t="shared" si="27"/>
        <v>2020</v>
      </c>
      <c r="AD282" s="18" t="b">
        <f t="shared" si="28"/>
        <v>1</v>
      </c>
    </row>
    <row r="283" spans="1:30" ht="15" hidden="1" customHeight="1" x14ac:dyDescent="0.2">
      <c r="A283" s="7" t="s">
        <v>676</v>
      </c>
      <c r="B283" s="20"/>
      <c r="C283" s="2" t="s">
        <v>642</v>
      </c>
      <c r="D283" s="6"/>
      <c r="E283" s="32" t="s">
        <v>651</v>
      </c>
      <c r="F283" s="7"/>
      <c r="G283" s="7"/>
      <c r="H283" s="7"/>
      <c r="I283" s="7"/>
      <c r="J283" s="7"/>
      <c r="K283" s="7"/>
      <c r="L283" s="7" t="s">
        <v>662</v>
      </c>
      <c r="M283" s="8">
        <v>43891</v>
      </c>
      <c r="N283" s="8">
        <v>43891</v>
      </c>
      <c r="O283" s="13">
        <v>7672642.8600000003</v>
      </c>
      <c r="P283" s="13"/>
      <c r="Q283" s="33"/>
      <c r="R283" s="9"/>
      <c r="S283" s="9"/>
      <c r="T283" s="9"/>
      <c r="U283" s="9"/>
      <c r="X283" s="15" t="str">
        <f>IF(B283="",VLOOKUP(A283,items_lookup!A:B,2,FALSE),B283)</f>
        <v>09. Item 09</v>
      </c>
      <c r="Y283" s="15">
        <f t="shared" si="29"/>
        <v>3</v>
      </c>
      <c r="Z283" s="15">
        <f t="shared" si="29"/>
        <v>3</v>
      </c>
      <c r="AA283" s="15">
        <f t="shared" si="25"/>
        <v>2020</v>
      </c>
      <c r="AB283" s="15">
        <f t="shared" si="26"/>
        <v>2020</v>
      </c>
      <c r="AC283" s="15">
        <f t="shared" si="27"/>
        <v>2020</v>
      </c>
      <c r="AD283" s="18" t="b">
        <f t="shared" si="28"/>
        <v>1</v>
      </c>
    </row>
    <row r="284" spans="1:30" ht="15" hidden="1" customHeight="1" x14ac:dyDescent="0.2">
      <c r="A284" s="7" t="s">
        <v>675</v>
      </c>
      <c r="B284" s="20"/>
      <c r="C284" s="2" t="s">
        <v>642</v>
      </c>
      <c r="D284" s="6"/>
      <c r="E284" s="32" t="s">
        <v>651</v>
      </c>
      <c r="F284" s="7"/>
      <c r="G284" s="7"/>
      <c r="H284" s="7"/>
      <c r="I284" s="7"/>
      <c r="J284" s="7"/>
      <c r="K284" s="7"/>
      <c r="L284" s="7" t="s">
        <v>662</v>
      </c>
      <c r="M284" s="8">
        <v>43891</v>
      </c>
      <c r="N284" s="8">
        <v>43891</v>
      </c>
      <c r="O284" s="13">
        <v>76500</v>
      </c>
      <c r="P284" s="13"/>
      <c r="Q284" s="33"/>
      <c r="R284" s="9"/>
      <c r="S284" s="9"/>
      <c r="T284" s="9"/>
      <c r="U284" s="9"/>
      <c r="X284" s="15" t="str">
        <f>IF(B284="",VLOOKUP(A284,items_lookup!A:B,2,FALSE),B284)</f>
        <v>09. Item 09</v>
      </c>
      <c r="Y284" s="15">
        <f t="shared" si="29"/>
        <v>3</v>
      </c>
      <c r="Z284" s="15">
        <f t="shared" si="29"/>
        <v>3</v>
      </c>
      <c r="AA284" s="15">
        <f t="shared" si="25"/>
        <v>2020</v>
      </c>
      <c r="AB284" s="15">
        <f t="shared" si="26"/>
        <v>2020</v>
      </c>
      <c r="AC284" s="15">
        <f t="shared" si="27"/>
        <v>2020</v>
      </c>
      <c r="AD284" s="18" t="b">
        <f t="shared" si="28"/>
        <v>1</v>
      </c>
    </row>
    <row r="285" spans="1:30" ht="15" hidden="1" customHeight="1" x14ac:dyDescent="0.2">
      <c r="A285" s="7" t="s">
        <v>683</v>
      </c>
      <c r="B285" s="20"/>
      <c r="C285" s="2" t="s">
        <v>642</v>
      </c>
      <c r="D285" s="6"/>
      <c r="E285" s="32" t="s">
        <v>651</v>
      </c>
      <c r="F285" s="7"/>
      <c r="G285" s="7"/>
      <c r="H285" s="7"/>
      <c r="I285" s="7"/>
      <c r="J285" s="7"/>
      <c r="K285" s="7"/>
      <c r="L285" s="7" t="s">
        <v>662</v>
      </c>
      <c r="M285" s="8">
        <v>43891</v>
      </c>
      <c r="N285" s="8">
        <v>43891</v>
      </c>
      <c r="O285" s="13">
        <v>1792238.1</v>
      </c>
      <c r="P285" s="13"/>
      <c r="Q285" s="33"/>
      <c r="R285" s="9"/>
      <c r="S285" s="9"/>
      <c r="T285" s="9"/>
      <c r="U285" s="9"/>
      <c r="X285" s="15" t="str">
        <f>IF(B285="",VLOOKUP(A285,items_lookup!A:B,2,FALSE),B285)</f>
        <v>_1. Item _1</v>
      </c>
      <c r="Y285" s="15">
        <f t="shared" si="29"/>
        <v>3</v>
      </c>
      <c r="Z285" s="15">
        <f t="shared" si="29"/>
        <v>3</v>
      </c>
      <c r="AA285" s="15">
        <f t="shared" si="25"/>
        <v>2020</v>
      </c>
      <c r="AB285" s="15">
        <f t="shared" si="26"/>
        <v>2020</v>
      </c>
      <c r="AC285" s="15">
        <f t="shared" si="27"/>
        <v>2020</v>
      </c>
      <c r="AD285" s="18" t="b">
        <f t="shared" si="28"/>
        <v>1</v>
      </c>
    </row>
    <row r="286" spans="1:30" ht="15" hidden="1" customHeight="1" x14ac:dyDescent="0.2">
      <c r="A286" s="7" t="s">
        <v>686</v>
      </c>
      <c r="B286" s="7" t="s">
        <v>709</v>
      </c>
      <c r="C286" s="2" t="s">
        <v>642</v>
      </c>
      <c r="D286" s="6"/>
      <c r="E286" s="32" t="s">
        <v>651</v>
      </c>
      <c r="F286" s="7"/>
      <c r="G286" s="7"/>
      <c r="H286" s="7"/>
      <c r="I286" s="7"/>
      <c r="J286" s="7"/>
      <c r="K286" s="7"/>
      <c r="L286" s="7" t="s">
        <v>662</v>
      </c>
      <c r="M286" s="8">
        <v>43891</v>
      </c>
      <c r="N286" s="8">
        <v>43891</v>
      </c>
      <c r="O286" s="13">
        <v>967333.33</v>
      </c>
      <c r="P286" s="13"/>
      <c r="Q286" s="33"/>
      <c r="R286" s="22"/>
      <c r="S286" s="22"/>
      <c r="T286" s="22"/>
      <c r="U286" s="22"/>
      <c r="X286" s="15" t="str">
        <f>IF(B286="",VLOOKUP(A286,items_lookup!A:B,2,FALSE),B286)</f>
        <v>04. Item 04</v>
      </c>
      <c r="Y286" s="15">
        <f t="shared" si="29"/>
        <v>3</v>
      </c>
      <c r="Z286" s="15">
        <f t="shared" si="29"/>
        <v>3</v>
      </c>
      <c r="AA286" s="15">
        <f t="shared" si="25"/>
        <v>2020</v>
      </c>
      <c r="AB286" s="15">
        <f t="shared" si="26"/>
        <v>2020</v>
      </c>
      <c r="AC286" s="15">
        <f t="shared" si="27"/>
        <v>2020</v>
      </c>
      <c r="AD286" s="18" t="b">
        <f t="shared" si="28"/>
        <v>1</v>
      </c>
    </row>
    <row r="287" spans="1:30" ht="15" hidden="1" customHeight="1" x14ac:dyDescent="0.2">
      <c r="A287" s="7" t="s">
        <v>683</v>
      </c>
      <c r="B287" s="7"/>
      <c r="C287" s="2" t="s">
        <v>642</v>
      </c>
      <c r="D287" s="6"/>
      <c r="E287" s="32" t="s">
        <v>651</v>
      </c>
      <c r="F287" s="7"/>
      <c r="G287" s="7"/>
      <c r="H287" s="7"/>
      <c r="I287" s="7"/>
      <c r="J287" s="7"/>
      <c r="K287" s="7"/>
      <c r="L287" s="7" t="s">
        <v>662</v>
      </c>
      <c r="M287" s="8">
        <v>43891</v>
      </c>
      <c r="N287" s="8">
        <v>43891</v>
      </c>
      <c r="O287" s="13">
        <v>5726309.5199999996</v>
      </c>
      <c r="P287" s="13"/>
      <c r="Q287" s="33"/>
      <c r="R287" s="9"/>
      <c r="S287" s="9"/>
      <c r="T287" s="9"/>
      <c r="U287" s="9"/>
      <c r="X287" s="15" t="str">
        <f>IF(B287="",VLOOKUP(A287,items_lookup!A:B,2,FALSE),B287)</f>
        <v>_1. Item _1</v>
      </c>
      <c r="Y287" s="15">
        <f t="shared" si="29"/>
        <v>3</v>
      </c>
      <c r="Z287" s="15">
        <f t="shared" si="29"/>
        <v>3</v>
      </c>
      <c r="AA287" s="15">
        <f t="shared" si="25"/>
        <v>2020</v>
      </c>
      <c r="AB287" s="15">
        <f t="shared" si="26"/>
        <v>2020</v>
      </c>
      <c r="AC287" s="15">
        <f t="shared" si="27"/>
        <v>2020</v>
      </c>
      <c r="AD287" s="18" t="b">
        <f t="shared" si="28"/>
        <v>1</v>
      </c>
    </row>
    <row r="288" spans="1:30" ht="13.5" hidden="1" customHeight="1" x14ac:dyDescent="0.2">
      <c r="A288" s="7" t="s">
        <v>668</v>
      </c>
      <c r="B288" s="7"/>
      <c r="C288" s="2" t="s">
        <v>642</v>
      </c>
      <c r="D288" s="6"/>
      <c r="E288" s="32" t="s">
        <v>651</v>
      </c>
      <c r="F288" s="7"/>
      <c r="G288" s="7"/>
      <c r="H288" s="7"/>
      <c r="I288" s="7"/>
      <c r="J288" s="7"/>
      <c r="K288" s="7"/>
      <c r="L288" s="7" t="s">
        <v>662</v>
      </c>
      <c r="M288" s="8">
        <v>43891</v>
      </c>
      <c r="N288" s="8">
        <v>43891</v>
      </c>
      <c r="O288" s="13">
        <v>40023.81</v>
      </c>
      <c r="P288" s="13"/>
      <c r="Q288" s="33"/>
      <c r="R288" s="9"/>
      <c r="S288" s="9"/>
      <c r="T288" s="9"/>
      <c r="U288" s="9"/>
      <c r="X288" s="15" t="str">
        <f>IF(B288="",VLOOKUP(A288,items_lookup!A:B,2,FALSE),B288)</f>
        <v>01. Item 01</v>
      </c>
      <c r="Y288" s="15">
        <f t="shared" si="29"/>
        <v>3</v>
      </c>
      <c r="Z288" s="15">
        <f t="shared" si="29"/>
        <v>3</v>
      </c>
      <c r="AA288" s="15">
        <f t="shared" si="25"/>
        <v>2020</v>
      </c>
      <c r="AB288" s="15">
        <f t="shared" si="26"/>
        <v>2020</v>
      </c>
      <c r="AC288" s="15">
        <f t="shared" si="27"/>
        <v>2020</v>
      </c>
      <c r="AD288" s="18" t="b">
        <f t="shared" si="28"/>
        <v>1</v>
      </c>
    </row>
    <row r="289" spans="1:30" ht="12.75" hidden="1" customHeight="1" x14ac:dyDescent="0.2">
      <c r="A289" s="7" t="s">
        <v>669</v>
      </c>
      <c r="B289" s="7"/>
      <c r="C289" s="2" t="s">
        <v>642</v>
      </c>
      <c r="D289" s="6"/>
      <c r="E289" s="32" t="s">
        <v>651</v>
      </c>
      <c r="F289" s="7"/>
      <c r="G289" s="7"/>
      <c r="H289" s="7"/>
      <c r="I289" s="7"/>
      <c r="J289" s="7"/>
      <c r="K289" s="7"/>
      <c r="L289" s="7" t="s">
        <v>662</v>
      </c>
      <c r="M289" s="8">
        <v>43891</v>
      </c>
      <c r="N289" s="8">
        <v>43891</v>
      </c>
      <c r="O289" s="13">
        <v>196595.24</v>
      </c>
      <c r="P289" s="13"/>
      <c r="Q289" s="33"/>
      <c r="R289" s="9"/>
      <c r="S289" s="9"/>
      <c r="T289" s="9"/>
      <c r="U289" s="9"/>
      <c r="X289" s="15" t="str">
        <f>IF(B289="",VLOOKUP(A289,items_lookup!A:B,2,FALSE),B289)</f>
        <v>02. Item 02</v>
      </c>
      <c r="Y289" s="15">
        <f t="shared" si="29"/>
        <v>3</v>
      </c>
      <c r="Z289" s="15">
        <f t="shared" si="29"/>
        <v>3</v>
      </c>
      <c r="AA289" s="15">
        <f t="shared" si="25"/>
        <v>2020</v>
      </c>
      <c r="AB289" s="15">
        <f t="shared" si="26"/>
        <v>2020</v>
      </c>
      <c r="AC289" s="15">
        <f t="shared" si="27"/>
        <v>2020</v>
      </c>
      <c r="AD289" s="18" t="b">
        <f t="shared" si="28"/>
        <v>1</v>
      </c>
    </row>
    <row r="290" spans="1:30" ht="12.6" hidden="1" customHeight="1" x14ac:dyDescent="0.2">
      <c r="A290" s="7" t="s">
        <v>671</v>
      </c>
      <c r="B290" s="7"/>
      <c r="C290" s="2" t="s">
        <v>642</v>
      </c>
      <c r="D290" s="6"/>
      <c r="E290" s="32" t="s">
        <v>651</v>
      </c>
      <c r="F290" s="7"/>
      <c r="G290" s="7"/>
      <c r="H290" s="7"/>
      <c r="I290" s="7"/>
      <c r="J290" s="7"/>
      <c r="K290" s="7"/>
      <c r="L290" s="7" t="s">
        <v>662</v>
      </c>
      <c r="M290" s="8">
        <v>43891</v>
      </c>
      <c r="N290" s="8">
        <v>43891</v>
      </c>
      <c r="O290" s="13">
        <v>458928.57</v>
      </c>
      <c r="P290" s="13"/>
      <c r="Q290" s="33"/>
      <c r="R290" s="9"/>
      <c r="S290" s="9"/>
      <c r="T290" s="9"/>
      <c r="U290" s="9"/>
      <c r="X290" s="15" t="str">
        <f>IF(B290="",VLOOKUP(A290,items_lookup!A:B,2,FALSE),B290)</f>
        <v>05. Item 05</v>
      </c>
      <c r="Y290" s="15">
        <f t="shared" si="29"/>
        <v>3</v>
      </c>
      <c r="Z290" s="15">
        <f t="shared" si="29"/>
        <v>3</v>
      </c>
      <c r="AA290" s="15">
        <f t="shared" si="25"/>
        <v>2020</v>
      </c>
      <c r="AB290" s="15">
        <f t="shared" si="26"/>
        <v>2020</v>
      </c>
      <c r="AC290" s="15">
        <f t="shared" si="27"/>
        <v>2020</v>
      </c>
      <c r="AD290" s="18" t="b">
        <f t="shared" si="28"/>
        <v>1</v>
      </c>
    </row>
    <row r="291" spans="1:30" ht="15" hidden="1" customHeight="1" x14ac:dyDescent="0.2">
      <c r="A291" s="7" t="s">
        <v>672</v>
      </c>
      <c r="B291" s="7" t="s">
        <v>711</v>
      </c>
      <c r="C291" s="2" t="s">
        <v>642</v>
      </c>
      <c r="D291" s="6"/>
      <c r="E291" s="32" t="s">
        <v>651</v>
      </c>
      <c r="F291" s="7"/>
      <c r="G291" s="7"/>
      <c r="H291" s="7"/>
      <c r="I291" s="7"/>
      <c r="J291" s="7"/>
      <c r="K291" s="7"/>
      <c r="L291" s="7" t="s">
        <v>662</v>
      </c>
      <c r="M291" s="8">
        <v>43891</v>
      </c>
      <c r="N291" s="8">
        <v>43891</v>
      </c>
      <c r="O291" s="13">
        <v>435047.62</v>
      </c>
      <c r="P291" s="13"/>
      <c r="Q291" s="33"/>
      <c r="R291" s="9"/>
      <c r="S291" s="9"/>
      <c r="T291" s="9"/>
      <c r="U291" s="9"/>
      <c r="X291" s="15" t="str">
        <f>IF(B291="",VLOOKUP(A291,items_lookup!A:B,2,FALSE),B291)</f>
        <v>12. Item 12</v>
      </c>
      <c r="Y291" s="15">
        <f t="shared" si="29"/>
        <v>3</v>
      </c>
      <c r="Z291" s="15">
        <f t="shared" si="29"/>
        <v>3</v>
      </c>
      <c r="AA291" s="15">
        <f t="shared" si="25"/>
        <v>2020</v>
      </c>
      <c r="AB291" s="15">
        <f t="shared" si="26"/>
        <v>2020</v>
      </c>
      <c r="AC291" s="15">
        <f t="shared" si="27"/>
        <v>2020</v>
      </c>
      <c r="AD291" s="18" t="b">
        <f t="shared" si="28"/>
        <v>1</v>
      </c>
    </row>
    <row r="292" spans="1:30" ht="15" hidden="1" customHeight="1" x14ac:dyDescent="0.2">
      <c r="A292" s="7" t="s">
        <v>682</v>
      </c>
      <c r="C292" s="2" t="s">
        <v>642</v>
      </c>
      <c r="D292" s="6"/>
      <c r="E292" s="32" t="s">
        <v>651</v>
      </c>
      <c r="H292" s="7"/>
      <c r="K292" s="7"/>
      <c r="L292" s="7" t="s">
        <v>662</v>
      </c>
      <c r="M292" s="8">
        <v>43891</v>
      </c>
      <c r="N292" s="8">
        <v>43891</v>
      </c>
      <c r="O292" s="14">
        <v>486166.67</v>
      </c>
      <c r="Q292" s="33"/>
      <c r="R292" s="23"/>
      <c r="S292" s="23"/>
      <c r="T292" s="23"/>
      <c r="U292" s="23"/>
      <c r="X292" s="15" t="str">
        <f>IF(B292="",VLOOKUP(A292,items_lookup!A:B,2,FALSE),B292)</f>
        <v>06. Item 06</v>
      </c>
      <c r="Y292" s="15">
        <f t="shared" si="29"/>
        <v>3</v>
      </c>
      <c r="Z292" s="15">
        <f t="shared" si="29"/>
        <v>3</v>
      </c>
      <c r="AA292" s="15">
        <f t="shared" si="25"/>
        <v>2020</v>
      </c>
      <c r="AB292" s="15">
        <f t="shared" si="26"/>
        <v>2020</v>
      </c>
      <c r="AC292" s="15">
        <f t="shared" si="27"/>
        <v>2020</v>
      </c>
      <c r="AD292" s="18" t="b">
        <f t="shared" si="28"/>
        <v>1</v>
      </c>
    </row>
    <row r="293" spans="1:30" ht="15" hidden="1" customHeight="1" x14ac:dyDescent="0.2">
      <c r="A293" s="7" t="s">
        <v>675</v>
      </c>
      <c r="C293" s="2" t="s">
        <v>642</v>
      </c>
      <c r="D293" s="6"/>
      <c r="E293" s="32" t="s">
        <v>651</v>
      </c>
      <c r="H293" s="7"/>
      <c r="K293" s="7"/>
      <c r="L293" s="7" t="s">
        <v>663</v>
      </c>
      <c r="M293" s="8">
        <v>43891</v>
      </c>
      <c r="N293" s="8">
        <v>43891</v>
      </c>
      <c r="P293" s="14">
        <v>428904.76</v>
      </c>
      <c r="Q293" s="33"/>
      <c r="R293" s="23"/>
      <c r="S293" s="23"/>
      <c r="T293" s="23"/>
      <c r="U293" s="23"/>
      <c r="X293" s="15" t="str">
        <f>IF(B293="",VLOOKUP(A293,items_lookup!A:B,2,FALSE),B293)</f>
        <v>09. Item 09</v>
      </c>
      <c r="Y293" s="15">
        <f t="shared" si="29"/>
        <v>3</v>
      </c>
      <c r="Z293" s="15">
        <f t="shared" si="29"/>
        <v>3</v>
      </c>
      <c r="AA293" s="15">
        <f t="shared" si="25"/>
        <v>2020</v>
      </c>
      <c r="AB293" s="15">
        <f t="shared" si="26"/>
        <v>2020</v>
      </c>
      <c r="AC293" s="15">
        <f t="shared" si="27"/>
        <v>2020</v>
      </c>
      <c r="AD293" s="18" t="b">
        <f t="shared" si="28"/>
        <v>1</v>
      </c>
    </row>
    <row r="294" spans="1:30" ht="15" hidden="1" customHeight="1" x14ac:dyDescent="0.2">
      <c r="A294" s="7" t="s">
        <v>676</v>
      </c>
      <c r="C294" s="2" t="s">
        <v>642</v>
      </c>
      <c r="D294" s="6"/>
      <c r="E294" s="32" t="s">
        <v>651</v>
      </c>
      <c r="H294" s="7"/>
      <c r="K294" s="7"/>
      <c r="L294" s="7" t="s">
        <v>662</v>
      </c>
      <c r="M294" s="8">
        <v>43891</v>
      </c>
      <c r="N294" s="8">
        <v>43891</v>
      </c>
      <c r="O294" s="14">
        <v>68119.05</v>
      </c>
      <c r="Q294" s="33"/>
      <c r="X294" s="15" t="str">
        <f>IF(B294="",VLOOKUP(A294,items_lookup!A:B,2,FALSE),B294)</f>
        <v>09. Item 09</v>
      </c>
      <c r="Y294" s="15">
        <f t="shared" si="29"/>
        <v>3</v>
      </c>
      <c r="Z294" s="15">
        <f t="shared" si="29"/>
        <v>3</v>
      </c>
      <c r="AA294" s="15">
        <f t="shared" si="25"/>
        <v>2020</v>
      </c>
      <c r="AB294" s="15">
        <f t="shared" si="26"/>
        <v>2020</v>
      </c>
      <c r="AC294" s="15">
        <f t="shared" si="27"/>
        <v>2020</v>
      </c>
      <c r="AD294" s="18" t="b">
        <f t="shared" si="28"/>
        <v>1</v>
      </c>
    </row>
    <row r="295" spans="1:30" ht="15" hidden="1" customHeight="1" x14ac:dyDescent="0.2">
      <c r="A295" s="7" t="s">
        <v>684</v>
      </c>
      <c r="C295" s="2" t="s">
        <v>642</v>
      </c>
      <c r="D295" s="6"/>
      <c r="E295" s="32" t="s">
        <v>651</v>
      </c>
      <c r="H295" s="7"/>
      <c r="K295" s="7"/>
      <c r="L295" s="7" t="s">
        <v>663</v>
      </c>
      <c r="M295" s="8">
        <v>43891</v>
      </c>
      <c r="N295" s="8">
        <v>43891</v>
      </c>
      <c r="P295" s="14">
        <v>53428.57</v>
      </c>
      <c r="Q295" s="33"/>
      <c r="X295" s="15" t="str">
        <f>IF(B295="",VLOOKUP(A295,items_lookup!A:B,2,FALSE),B295)</f>
        <v>09. Item 09</v>
      </c>
      <c r="Y295" s="15">
        <f t="shared" si="29"/>
        <v>3</v>
      </c>
      <c r="Z295" s="15">
        <f t="shared" si="29"/>
        <v>3</v>
      </c>
      <c r="AA295" s="15">
        <f t="shared" si="25"/>
        <v>2020</v>
      </c>
      <c r="AB295" s="15">
        <f t="shared" si="26"/>
        <v>2020</v>
      </c>
      <c r="AC295" s="15">
        <f t="shared" si="27"/>
        <v>2020</v>
      </c>
      <c r="AD295" s="18" t="b">
        <f t="shared" si="28"/>
        <v>1</v>
      </c>
    </row>
    <row r="296" spans="1:30" ht="15" hidden="1" customHeight="1" x14ac:dyDescent="0.2">
      <c r="A296" s="7" t="s">
        <v>677</v>
      </c>
      <c r="C296" s="2" t="s">
        <v>642</v>
      </c>
      <c r="D296" s="6"/>
      <c r="E296" s="32" t="s">
        <v>651</v>
      </c>
      <c r="H296" s="7"/>
      <c r="K296" s="7"/>
      <c r="L296" s="7" t="s">
        <v>662</v>
      </c>
      <c r="M296" s="8">
        <v>43891</v>
      </c>
      <c r="N296" s="8">
        <v>43891</v>
      </c>
      <c r="O296" s="14">
        <v>42285.71</v>
      </c>
      <c r="Q296" s="33"/>
      <c r="X296" s="15" t="str">
        <f>IF(B296="",VLOOKUP(A296,items_lookup!A:B,2,FALSE),B296)</f>
        <v>11. Item 11</v>
      </c>
      <c r="Y296" s="15">
        <f t="shared" si="29"/>
        <v>3</v>
      </c>
      <c r="Z296" s="15">
        <f t="shared" si="29"/>
        <v>3</v>
      </c>
      <c r="AA296" s="15">
        <f t="shared" si="25"/>
        <v>2020</v>
      </c>
      <c r="AB296" s="15">
        <f t="shared" si="26"/>
        <v>2020</v>
      </c>
      <c r="AC296" s="15">
        <f t="shared" si="27"/>
        <v>2020</v>
      </c>
      <c r="AD296" s="18" t="b">
        <f t="shared" si="28"/>
        <v>1</v>
      </c>
    </row>
    <row r="297" spans="1:30" ht="15" hidden="1" customHeight="1" x14ac:dyDescent="0.2">
      <c r="A297" s="7" t="s">
        <v>687</v>
      </c>
      <c r="C297" s="2" t="s">
        <v>642</v>
      </c>
      <c r="D297" s="6"/>
      <c r="E297" s="32" t="s">
        <v>651</v>
      </c>
      <c r="H297" s="7"/>
      <c r="K297" s="7"/>
      <c r="L297" s="7" t="s">
        <v>663</v>
      </c>
      <c r="M297" s="8">
        <v>43891</v>
      </c>
      <c r="N297" s="8">
        <v>43891</v>
      </c>
      <c r="P297" s="14">
        <v>68333.33</v>
      </c>
      <c r="Q297" s="33"/>
      <c r="X297" s="15" t="str">
        <f>IF(B297="",VLOOKUP(A297,items_lookup!A:B,2,FALSE),B297)</f>
        <v>14. Item 14</v>
      </c>
      <c r="Y297" s="15">
        <f t="shared" si="29"/>
        <v>3</v>
      </c>
      <c r="Z297" s="15">
        <f t="shared" si="29"/>
        <v>3</v>
      </c>
      <c r="AA297" s="15">
        <f t="shared" si="25"/>
        <v>2020</v>
      </c>
      <c r="AB297" s="15">
        <f t="shared" si="26"/>
        <v>2020</v>
      </c>
      <c r="AC297" s="15">
        <f t="shared" si="27"/>
        <v>2020</v>
      </c>
      <c r="AD297" s="18" t="b">
        <f t="shared" si="28"/>
        <v>1</v>
      </c>
    </row>
    <row r="298" spans="1:30" ht="15" hidden="1" customHeight="1" x14ac:dyDescent="0.2">
      <c r="A298" s="7" t="s">
        <v>681</v>
      </c>
      <c r="B298" s="20"/>
      <c r="C298" s="2" t="s">
        <v>642</v>
      </c>
      <c r="D298" s="6"/>
      <c r="E298" s="32" t="s">
        <v>651</v>
      </c>
      <c r="F298" s="7"/>
      <c r="G298" s="7"/>
      <c r="H298" s="7"/>
      <c r="I298" s="7"/>
      <c r="J298" s="7"/>
      <c r="K298" s="7"/>
      <c r="L298" s="7" t="s">
        <v>663</v>
      </c>
      <c r="M298" s="8">
        <v>43891</v>
      </c>
      <c r="N298" s="8">
        <v>43891</v>
      </c>
      <c r="O298" s="13"/>
      <c r="P298" s="13">
        <v>5527261.9000000004</v>
      </c>
      <c r="Q298" s="33"/>
      <c r="R298" s="9"/>
      <c r="S298" s="9"/>
      <c r="T298" s="9"/>
      <c r="U298" s="9"/>
      <c r="X298" s="15" t="str">
        <f>IF(B298="",VLOOKUP(A298,items_lookup!A:B,2,FALSE),B298)</f>
        <v>19. Item 19</v>
      </c>
      <c r="Y298" s="15">
        <f t="shared" si="29"/>
        <v>3</v>
      </c>
      <c r="Z298" s="15">
        <f t="shared" si="29"/>
        <v>3</v>
      </c>
      <c r="AA298" s="15">
        <f t="shared" si="25"/>
        <v>2020</v>
      </c>
      <c r="AB298" s="15">
        <f t="shared" si="26"/>
        <v>2020</v>
      </c>
      <c r="AC298" s="15">
        <f t="shared" si="27"/>
        <v>2020</v>
      </c>
      <c r="AD298" s="18" t="b">
        <f t="shared" si="28"/>
        <v>1</v>
      </c>
    </row>
    <row r="299" spans="1:30" ht="15" hidden="1" customHeight="1" x14ac:dyDescent="0.2">
      <c r="A299" s="7"/>
      <c r="B299" s="7" t="s">
        <v>709</v>
      </c>
      <c r="C299" s="2" t="s">
        <v>642</v>
      </c>
      <c r="D299" s="6"/>
      <c r="E299" s="32" t="s">
        <v>651</v>
      </c>
      <c r="F299" s="7"/>
      <c r="G299" s="7"/>
      <c r="H299" s="7"/>
      <c r="I299" s="7"/>
      <c r="J299" s="7"/>
      <c r="K299" s="7"/>
      <c r="L299" s="7" t="s">
        <v>663</v>
      </c>
      <c r="M299" s="8">
        <v>43891</v>
      </c>
      <c r="N299" s="8">
        <v>43891</v>
      </c>
      <c r="O299" s="13"/>
      <c r="P299" s="13">
        <v>627666.67000000004</v>
      </c>
      <c r="Q299" s="33"/>
      <c r="R299" s="22"/>
      <c r="S299" s="22"/>
      <c r="T299" s="22"/>
      <c r="U299" s="22"/>
      <c r="X299" s="15" t="str">
        <f>IF(B299="",VLOOKUP(A299,items_lookup!A:B,2,FALSE),B299)</f>
        <v>04. Item 04</v>
      </c>
      <c r="Y299" s="15">
        <f t="shared" si="29"/>
        <v>3</v>
      </c>
      <c r="Z299" s="15">
        <f t="shared" si="29"/>
        <v>3</v>
      </c>
      <c r="AA299" s="15">
        <f t="shared" si="25"/>
        <v>2020</v>
      </c>
      <c r="AB299" s="15">
        <f t="shared" si="26"/>
        <v>2020</v>
      </c>
      <c r="AC299" s="15">
        <f t="shared" si="27"/>
        <v>2020</v>
      </c>
      <c r="AD299" s="18" t="b">
        <f t="shared" si="28"/>
        <v>1</v>
      </c>
    </row>
    <row r="300" spans="1:30" ht="15" hidden="1" customHeight="1" x14ac:dyDescent="0.2">
      <c r="A300" s="7" t="s">
        <v>682</v>
      </c>
      <c r="B300" s="7"/>
      <c r="C300" s="2" t="s">
        <v>642</v>
      </c>
      <c r="D300" s="6"/>
      <c r="E300" s="32" t="s">
        <v>651</v>
      </c>
      <c r="F300" s="7"/>
      <c r="G300" s="7"/>
      <c r="H300" s="7"/>
      <c r="I300" s="7"/>
      <c r="J300" s="7"/>
      <c r="K300" s="7"/>
      <c r="L300" s="7" t="s">
        <v>663</v>
      </c>
      <c r="M300" s="8">
        <v>43891</v>
      </c>
      <c r="N300" s="8">
        <v>43891</v>
      </c>
      <c r="O300" s="13"/>
      <c r="P300" s="13">
        <v>32095.24</v>
      </c>
      <c r="Q300" s="33"/>
      <c r="R300" s="9"/>
      <c r="S300" s="9"/>
      <c r="T300" s="9"/>
      <c r="U300" s="9"/>
      <c r="X300" s="15" t="str">
        <f>IF(B300="",VLOOKUP(A300,items_lookup!A:B,2,FALSE),B300)</f>
        <v>06. Item 06</v>
      </c>
      <c r="Y300" s="15">
        <f t="shared" si="29"/>
        <v>3</v>
      </c>
      <c r="Z300" s="15">
        <f t="shared" si="29"/>
        <v>3</v>
      </c>
      <c r="AA300" s="15">
        <f t="shared" si="25"/>
        <v>2020</v>
      </c>
      <c r="AB300" s="15">
        <f t="shared" si="26"/>
        <v>2020</v>
      </c>
      <c r="AC300" s="15">
        <f t="shared" si="27"/>
        <v>2020</v>
      </c>
      <c r="AD300" s="18" t="b">
        <f t="shared" si="28"/>
        <v>1</v>
      </c>
    </row>
    <row r="301" spans="1:30" ht="15" hidden="1" customHeight="1" x14ac:dyDescent="0.2">
      <c r="A301" s="7" t="s">
        <v>673</v>
      </c>
      <c r="B301" s="7"/>
      <c r="C301" s="2" t="s">
        <v>642</v>
      </c>
      <c r="D301" s="6"/>
      <c r="E301" s="32" t="s">
        <v>651</v>
      </c>
      <c r="F301" s="7"/>
      <c r="G301" s="7"/>
      <c r="H301" s="7"/>
      <c r="I301" s="7"/>
      <c r="J301" s="7"/>
      <c r="K301" s="7"/>
      <c r="L301" s="7" t="s">
        <v>663</v>
      </c>
      <c r="M301" s="8">
        <v>43891</v>
      </c>
      <c r="N301" s="8">
        <v>43891</v>
      </c>
      <c r="O301" s="13"/>
      <c r="P301" s="13">
        <v>329119.05</v>
      </c>
      <c r="Q301" s="33"/>
      <c r="R301" s="9"/>
      <c r="S301" s="9"/>
      <c r="T301" s="9"/>
      <c r="U301" s="9"/>
      <c r="X301" s="15" t="str">
        <f>IF(B301="",VLOOKUP(A301,items_lookup!A:B,2,FALSE),B301)</f>
        <v>07. Item 07</v>
      </c>
      <c r="Y301" s="15">
        <f t="shared" si="29"/>
        <v>3</v>
      </c>
      <c r="Z301" s="15">
        <f t="shared" si="29"/>
        <v>3</v>
      </c>
      <c r="AA301" s="15">
        <f t="shared" ref="AA301:AA352" si="30">YEAR(N301)</f>
        <v>2020</v>
      </c>
      <c r="AB301" s="15">
        <f t="shared" ref="AB301:AB352" si="31">YEAR(M301)</f>
        <v>2020</v>
      </c>
      <c r="AC301" s="15">
        <f t="shared" ref="AC301:AC352" si="32">IF(F301="X",AA301-1,AA301)</f>
        <v>2020</v>
      </c>
      <c r="AD301" s="18" t="b">
        <f t="shared" si="28"/>
        <v>1</v>
      </c>
    </row>
    <row r="302" spans="1:30" ht="15" hidden="1" customHeight="1" x14ac:dyDescent="0.2">
      <c r="A302" s="7" t="s">
        <v>672</v>
      </c>
      <c r="B302" s="7"/>
      <c r="C302" s="2" t="s">
        <v>642</v>
      </c>
      <c r="D302" s="6"/>
      <c r="E302" s="32" t="s">
        <v>651</v>
      </c>
      <c r="F302" s="7"/>
      <c r="G302" s="7"/>
      <c r="H302" s="7"/>
      <c r="I302" s="7"/>
      <c r="J302" s="7"/>
      <c r="K302" s="7"/>
      <c r="L302" s="7" t="s">
        <v>663</v>
      </c>
      <c r="M302" s="8">
        <v>43891</v>
      </c>
      <c r="N302" s="8">
        <v>43891</v>
      </c>
      <c r="O302" s="13"/>
      <c r="P302" s="13">
        <v>284595.24</v>
      </c>
      <c r="Q302" s="33"/>
      <c r="R302" s="9"/>
      <c r="S302" s="9"/>
      <c r="T302" s="9"/>
      <c r="U302" s="9"/>
      <c r="X302" s="15" t="str">
        <f>IF(B302="",VLOOKUP(A302,items_lookup!A:B,2,FALSE),B302)</f>
        <v>05. Item 05</v>
      </c>
      <c r="Y302" s="15">
        <f t="shared" si="29"/>
        <v>3</v>
      </c>
      <c r="Z302" s="15">
        <f t="shared" si="29"/>
        <v>3</v>
      </c>
      <c r="AA302" s="15">
        <f t="shared" si="30"/>
        <v>2020</v>
      </c>
      <c r="AB302" s="15">
        <f t="shared" si="31"/>
        <v>2020</v>
      </c>
      <c r="AC302" s="15">
        <f t="shared" si="32"/>
        <v>2020</v>
      </c>
      <c r="AD302" s="18" t="b">
        <f t="shared" si="28"/>
        <v>1</v>
      </c>
    </row>
    <row r="303" spans="1:30" ht="15" hidden="1" customHeight="1" x14ac:dyDescent="0.2">
      <c r="A303" s="7"/>
      <c r="B303" s="7" t="s">
        <v>711</v>
      </c>
      <c r="C303" s="2" t="s">
        <v>642</v>
      </c>
      <c r="D303" s="6"/>
      <c r="E303" s="32" t="s">
        <v>651</v>
      </c>
      <c r="F303" s="7"/>
      <c r="G303" s="7"/>
      <c r="H303" s="7"/>
      <c r="I303" s="7"/>
      <c r="J303" s="7"/>
      <c r="K303" s="7"/>
      <c r="L303" s="7" t="s">
        <v>663</v>
      </c>
      <c r="M303" s="8">
        <v>43891</v>
      </c>
      <c r="N303" s="8">
        <v>43891</v>
      </c>
      <c r="O303" s="13"/>
      <c r="P303" s="13">
        <v>362761.9</v>
      </c>
      <c r="Q303" s="33"/>
      <c r="R303" s="9"/>
      <c r="S303" s="9"/>
      <c r="T303" s="9"/>
      <c r="U303" s="9"/>
      <c r="X303" s="15" t="str">
        <f>IF(B303="",VLOOKUP(A303,items_lookup!A:B,2,FALSE),B303)</f>
        <v>12. Item 12</v>
      </c>
      <c r="Y303" s="15">
        <f t="shared" si="29"/>
        <v>3</v>
      </c>
      <c r="Z303" s="15">
        <f t="shared" si="29"/>
        <v>3</v>
      </c>
      <c r="AA303" s="15">
        <f t="shared" si="30"/>
        <v>2020</v>
      </c>
      <c r="AB303" s="15">
        <f t="shared" si="31"/>
        <v>2020</v>
      </c>
      <c r="AC303" s="15">
        <f t="shared" si="32"/>
        <v>2020</v>
      </c>
      <c r="AD303" s="18" t="b">
        <f t="shared" si="28"/>
        <v>1</v>
      </c>
    </row>
    <row r="304" spans="1:30" ht="15" hidden="1" customHeight="1" x14ac:dyDescent="0.2">
      <c r="A304" s="7" t="s">
        <v>668</v>
      </c>
      <c r="B304" s="7"/>
      <c r="C304" s="2" t="s">
        <v>641</v>
      </c>
      <c r="D304" s="6" t="s">
        <v>650</v>
      </c>
      <c r="E304" s="32" t="s">
        <v>651</v>
      </c>
      <c r="F304" s="7"/>
      <c r="G304" s="7"/>
      <c r="H304" s="7"/>
      <c r="I304" s="7"/>
      <c r="J304" s="7"/>
      <c r="K304" s="7"/>
      <c r="L304" s="7" t="s">
        <v>662</v>
      </c>
      <c r="M304" s="8">
        <v>43890</v>
      </c>
      <c r="N304" s="8">
        <v>43890</v>
      </c>
      <c r="O304" s="13">
        <v>45714.29</v>
      </c>
      <c r="P304" s="13"/>
      <c r="Q304" s="33"/>
      <c r="R304" s="22"/>
      <c r="S304" s="22"/>
      <c r="T304" s="22"/>
      <c r="U304" s="22"/>
      <c r="X304" s="15" t="str">
        <f>IF(B304="",VLOOKUP(A304,items_lookup!A:B,2,FALSE),B304)</f>
        <v>01. Item 01</v>
      </c>
      <c r="Y304" s="15">
        <f t="shared" si="29"/>
        <v>2</v>
      </c>
      <c r="Z304" s="15">
        <f t="shared" si="29"/>
        <v>2</v>
      </c>
      <c r="AA304" s="15">
        <f t="shared" si="30"/>
        <v>2020</v>
      </c>
      <c r="AB304" s="15">
        <f t="shared" si="31"/>
        <v>2020</v>
      </c>
      <c r="AC304" s="15">
        <f t="shared" si="32"/>
        <v>2020</v>
      </c>
      <c r="AD304" s="18" t="b">
        <f t="shared" si="28"/>
        <v>1</v>
      </c>
    </row>
    <row r="305" spans="1:30" ht="15" hidden="1" customHeight="1" x14ac:dyDescent="0.2">
      <c r="A305" s="7" t="s">
        <v>669</v>
      </c>
      <c r="B305" s="7"/>
      <c r="C305" s="2" t="s">
        <v>641</v>
      </c>
      <c r="D305" s="6" t="s">
        <v>650</v>
      </c>
      <c r="E305" s="32" t="s">
        <v>651</v>
      </c>
      <c r="F305" s="7"/>
      <c r="G305" s="7"/>
      <c r="H305" s="7"/>
      <c r="I305" s="7"/>
      <c r="J305" s="7"/>
      <c r="K305" s="7"/>
      <c r="L305" s="7" t="s">
        <v>662</v>
      </c>
      <c r="M305" s="8">
        <v>43890</v>
      </c>
      <c r="N305" s="8">
        <v>43890</v>
      </c>
      <c r="O305" s="13">
        <v>461904.76</v>
      </c>
      <c r="P305" s="13"/>
      <c r="Q305" s="33"/>
      <c r="R305" s="22"/>
      <c r="S305" s="22"/>
      <c r="T305" s="22"/>
      <c r="U305" s="22"/>
      <c r="X305" s="15" t="str">
        <f>IF(B305="",VLOOKUP(A305,items_lookup!A:B,2,FALSE),B305)</f>
        <v>02. Item 02</v>
      </c>
      <c r="Y305" s="15">
        <f t="shared" si="29"/>
        <v>2</v>
      </c>
      <c r="Z305" s="15">
        <f t="shared" si="29"/>
        <v>2</v>
      </c>
      <c r="AA305" s="15">
        <f t="shared" si="30"/>
        <v>2020</v>
      </c>
      <c r="AB305" s="15">
        <f t="shared" si="31"/>
        <v>2020</v>
      </c>
      <c r="AC305" s="15">
        <f t="shared" si="32"/>
        <v>2020</v>
      </c>
      <c r="AD305" s="18" t="b">
        <f t="shared" si="28"/>
        <v>1</v>
      </c>
    </row>
    <row r="306" spans="1:30" ht="15" hidden="1" customHeight="1" x14ac:dyDescent="0.2">
      <c r="A306" s="7" t="s">
        <v>670</v>
      </c>
      <c r="B306" s="20"/>
      <c r="C306" s="2" t="s">
        <v>641</v>
      </c>
      <c r="D306" s="6" t="s">
        <v>649</v>
      </c>
      <c r="E306" s="32" t="s">
        <v>651</v>
      </c>
      <c r="F306" s="7"/>
      <c r="G306" s="7"/>
      <c r="H306" s="7"/>
      <c r="I306" s="7"/>
      <c r="J306" s="7"/>
      <c r="K306" s="7"/>
      <c r="L306" s="7" t="s">
        <v>662</v>
      </c>
      <c r="M306" s="8">
        <v>44044</v>
      </c>
      <c r="N306" s="8">
        <v>44044</v>
      </c>
      <c r="O306" s="13">
        <v>2380952.38</v>
      </c>
      <c r="P306" s="13"/>
      <c r="Q306" s="33"/>
      <c r="R306" s="9"/>
      <c r="S306" s="9"/>
      <c r="T306" s="9"/>
      <c r="U306" s="9"/>
      <c r="X306" s="15" t="str">
        <f>IF(B306="",VLOOKUP(A306,items_lookup!A:B,2,FALSE),B306)</f>
        <v>04. Item 04</v>
      </c>
      <c r="Y306" s="15">
        <f t="shared" si="29"/>
        <v>8</v>
      </c>
      <c r="Z306" s="15">
        <f t="shared" si="29"/>
        <v>8</v>
      </c>
      <c r="AA306" s="15">
        <f t="shared" si="30"/>
        <v>2020</v>
      </c>
      <c r="AB306" s="15">
        <f t="shared" si="31"/>
        <v>2020</v>
      </c>
      <c r="AC306" s="15">
        <f t="shared" si="32"/>
        <v>2020</v>
      </c>
      <c r="AD306" s="18" t="b">
        <f t="shared" si="28"/>
        <v>1</v>
      </c>
    </row>
    <row r="307" spans="1:30" ht="15" hidden="1" customHeight="1" x14ac:dyDescent="0.2">
      <c r="A307" s="7" t="s">
        <v>671</v>
      </c>
      <c r="B307" s="20"/>
      <c r="C307" s="2" t="s">
        <v>642</v>
      </c>
      <c r="D307" s="6"/>
      <c r="E307" s="32" t="s">
        <v>651</v>
      </c>
      <c r="F307" s="7"/>
      <c r="G307" s="7"/>
      <c r="H307" s="7"/>
      <c r="I307" s="7"/>
      <c r="J307" s="7"/>
      <c r="K307" s="7"/>
      <c r="L307" s="7" t="s">
        <v>662</v>
      </c>
      <c r="M307" s="8">
        <v>44044</v>
      </c>
      <c r="N307" s="8">
        <v>44044</v>
      </c>
      <c r="O307" s="13">
        <v>2231976.19</v>
      </c>
      <c r="P307" s="13"/>
      <c r="Q307" s="33"/>
      <c r="R307" s="9"/>
      <c r="S307" s="9"/>
      <c r="T307" s="9"/>
      <c r="U307" s="9"/>
      <c r="X307" s="15" t="str">
        <f>IF(B307="",VLOOKUP(A307,items_lookup!A:B,2,FALSE),B307)</f>
        <v>05. Item 05</v>
      </c>
      <c r="Y307" s="15">
        <f t="shared" si="29"/>
        <v>8</v>
      </c>
      <c r="Z307" s="15">
        <f t="shared" si="29"/>
        <v>8</v>
      </c>
      <c r="AA307" s="15">
        <f t="shared" si="30"/>
        <v>2020</v>
      </c>
      <c r="AB307" s="15">
        <f t="shared" si="31"/>
        <v>2020</v>
      </c>
      <c r="AC307" s="15">
        <f t="shared" si="32"/>
        <v>2020</v>
      </c>
      <c r="AD307" s="18" t="b">
        <f t="shared" si="28"/>
        <v>1</v>
      </c>
    </row>
    <row r="308" spans="1:30" ht="15" hidden="1" customHeight="1" x14ac:dyDescent="0.2">
      <c r="A308" s="7" t="s">
        <v>677</v>
      </c>
      <c r="B308" s="7"/>
      <c r="C308" s="2" t="s">
        <v>641</v>
      </c>
      <c r="D308" s="6" t="s">
        <v>649</v>
      </c>
      <c r="E308" s="32" t="s">
        <v>651</v>
      </c>
      <c r="F308" s="7"/>
      <c r="G308" s="7"/>
      <c r="H308" s="7"/>
      <c r="I308" s="7"/>
      <c r="J308" s="7"/>
      <c r="K308" s="7"/>
      <c r="L308" s="7" t="s">
        <v>662</v>
      </c>
      <c r="M308" s="8">
        <v>43862</v>
      </c>
      <c r="N308" s="8">
        <v>43862</v>
      </c>
      <c r="O308" s="13">
        <v>7571428.5700000003</v>
      </c>
      <c r="P308" s="13"/>
      <c r="Q308" s="33"/>
      <c r="R308" s="9"/>
      <c r="S308" s="9"/>
      <c r="T308" s="9"/>
      <c r="U308" s="9"/>
      <c r="X308" s="15" t="str">
        <f>IF(B308="",VLOOKUP(A308,items_lookup!A:B,2,FALSE),B308)</f>
        <v>11. Item 11</v>
      </c>
      <c r="Y308" s="15">
        <f t="shared" si="29"/>
        <v>2</v>
      </c>
      <c r="Z308" s="15">
        <f t="shared" si="29"/>
        <v>2</v>
      </c>
      <c r="AA308" s="15">
        <f t="shared" si="30"/>
        <v>2020</v>
      </c>
      <c r="AB308" s="15">
        <f t="shared" si="31"/>
        <v>2020</v>
      </c>
      <c r="AC308" s="15">
        <f t="shared" si="32"/>
        <v>2020</v>
      </c>
      <c r="AD308" s="18" t="b">
        <f t="shared" si="28"/>
        <v>1</v>
      </c>
    </row>
    <row r="309" spans="1:30" ht="15" hidden="1" customHeight="1" x14ac:dyDescent="0.2">
      <c r="A309" s="7" t="s">
        <v>676</v>
      </c>
      <c r="B309" s="7"/>
      <c r="C309" s="2" t="s">
        <v>641</v>
      </c>
      <c r="D309" s="6" t="s">
        <v>649</v>
      </c>
      <c r="E309" s="32" t="s">
        <v>651</v>
      </c>
      <c r="F309" s="7"/>
      <c r="G309" s="7"/>
      <c r="H309" s="7"/>
      <c r="I309" s="7"/>
      <c r="J309" s="7"/>
      <c r="K309" s="7"/>
      <c r="L309" s="7" t="s">
        <v>662</v>
      </c>
      <c r="M309" s="8">
        <v>43862</v>
      </c>
      <c r="N309" s="8">
        <v>43862</v>
      </c>
      <c r="O309" s="13">
        <v>1785714.29</v>
      </c>
      <c r="P309" s="13"/>
      <c r="Q309" s="33"/>
      <c r="R309" s="9"/>
      <c r="S309" s="9"/>
      <c r="T309" s="9"/>
      <c r="U309" s="9"/>
      <c r="X309" s="15" t="str">
        <f>IF(B309="",VLOOKUP(A309,items_lookup!A:B,2,FALSE),B309)</f>
        <v>09. Item 09</v>
      </c>
      <c r="Y309" s="15">
        <f t="shared" si="29"/>
        <v>2</v>
      </c>
      <c r="Z309" s="15">
        <f t="shared" si="29"/>
        <v>2</v>
      </c>
      <c r="AA309" s="15">
        <f t="shared" si="30"/>
        <v>2020</v>
      </c>
      <c r="AB309" s="15">
        <f t="shared" si="31"/>
        <v>2020</v>
      </c>
      <c r="AC309" s="15">
        <f t="shared" si="32"/>
        <v>2020</v>
      </c>
      <c r="AD309" s="18" t="b">
        <f t="shared" si="28"/>
        <v>1</v>
      </c>
    </row>
    <row r="310" spans="1:30" ht="15" hidden="1" customHeight="1" x14ac:dyDescent="0.2">
      <c r="A310" s="7" t="s">
        <v>675</v>
      </c>
      <c r="B310" s="7"/>
      <c r="C310" s="2" t="s">
        <v>641</v>
      </c>
      <c r="D310" s="6" t="s">
        <v>649</v>
      </c>
      <c r="E310" s="32" t="s">
        <v>651</v>
      </c>
      <c r="F310" s="7"/>
      <c r="G310" s="7"/>
      <c r="H310" s="7"/>
      <c r="I310" s="7"/>
      <c r="J310" s="7"/>
      <c r="K310" s="7"/>
      <c r="L310" s="7" t="s">
        <v>662</v>
      </c>
      <c r="M310" s="8">
        <v>43862</v>
      </c>
      <c r="N310" s="8">
        <v>43862</v>
      </c>
      <c r="O310" s="13">
        <v>5761428.5700000003</v>
      </c>
      <c r="P310" s="13"/>
      <c r="Q310" s="33"/>
      <c r="R310" s="9"/>
      <c r="S310" s="9"/>
      <c r="T310" s="9"/>
      <c r="U310" s="9"/>
      <c r="X310" s="15" t="str">
        <f>IF(B310="",VLOOKUP(A310,items_lookup!A:B,2,FALSE),B310)</f>
        <v>09. Item 09</v>
      </c>
      <c r="Y310" s="15">
        <f t="shared" si="29"/>
        <v>2</v>
      </c>
      <c r="Z310" s="15">
        <f t="shared" si="29"/>
        <v>2</v>
      </c>
      <c r="AA310" s="15">
        <f t="shared" si="30"/>
        <v>2020</v>
      </c>
      <c r="AB310" s="15">
        <f t="shared" si="31"/>
        <v>2020</v>
      </c>
      <c r="AC310" s="15">
        <f t="shared" si="32"/>
        <v>2020</v>
      </c>
      <c r="AD310" s="18" t="b">
        <f t="shared" si="28"/>
        <v>1</v>
      </c>
    </row>
    <row r="311" spans="1:30" ht="15" hidden="1" customHeight="1" x14ac:dyDescent="0.2">
      <c r="A311" s="7" t="s">
        <v>678</v>
      </c>
      <c r="B311" s="7"/>
      <c r="C311" s="2" t="s">
        <v>641</v>
      </c>
      <c r="D311" s="6" t="s">
        <v>649</v>
      </c>
      <c r="E311" s="32" t="s">
        <v>651</v>
      </c>
      <c r="F311" s="7"/>
      <c r="G311" s="7"/>
      <c r="H311" s="7"/>
      <c r="I311" s="7"/>
      <c r="J311" s="7"/>
      <c r="K311" s="7"/>
      <c r="L311" s="7" t="s">
        <v>662</v>
      </c>
      <c r="M311" s="8">
        <v>43862</v>
      </c>
      <c r="N311" s="8">
        <v>43862</v>
      </c>
      <c r="O311" s="13">
        <v>62857.14</v>
      </c>
      <c r="P311" s="13"/>
      <c r="Q311" s="33"/>
      <c r="R311" s="9"/>
      <c r="S311" s="9"/>
      <c r="T311" s="9"/>
      <c r="U311" s="9"/>
      <c r="X311" s="15" t="str">
        <f>IF(B311="",VLOOKUP(A311,items_lookup!A:B,2,FALSE),B311)</f>
        <v>13. Item 13</v>
      </c>
      <c r="Y311" s="15">
        <f t="shared" si="29"/>
        <v>2</v>
      </c>
      <c r="Z311" s="15">
        <f t="shared" si="29"/>
        <v>2</v>
      </c>
      <c r="AA311" s="15">
        <f t="shared" si="30"/>
        <v>2020</v>
      </c>
      <c r="AB311" s="15">
        <f t="shared" si="31"/>
        <v>2020</v>
      </c>
      <c r="AC311" s="15">
        <f t="shared" si="32"/>
        <v>2020</v>
      </c>
      <c r="AD311" s="18" t="b">
        <f t="shared" si="28"/>
        <v>1</v>
      </c>
    </row>
    <row r="312" spans="1:30" ht="15" hidden="1" customHeight="1" x14ac:dyDescent="0.2">
      <c r="A312" s="7" t="s">
        <v>678</v>
      </c>
      <c r="B312" s="7"/>
      <c r="C312" s="2" t="s">
        <v>641</v>
      </c>
      <c r="D312" s="6" t="s">
        <v>649</v>
      </c>
      <c r="E312" s="32" t="s">
        <v>651</v>
      </c>
      <c r="F312" s="7"/>
      <c r="G312" s="7"/>
      <c r="H312" s="7"/>
      <c r="I312" s="7"/>
      <c r="J312" s="7"/>
      <c r="K312" s="7"/>
      <c r="L312" s="7" t="s">
        <v>662</v>
      </c>
      <c r="M312" s="8">
        <v>43862</v>
      </c>
      <c r="N312" s="8">
        <v>43862</v>
      </c>
      <c r="O312" s="13">
        <v>6907142.8600000003</v>
      </c>
      <c r="P312" s="13"/>
      <c r="Q312" s="33"/>
      <c r="R312" s="9"/>
      <c r="S312" s="9"/>
      <c r="T312" s="9"/>
      <c r="U312" s="9"/>
      <c r="X312" s="15" t="str">
        <f>IF(B312="",VLOOKUP(A312,items_lookup!A:B,2,FALSE),B312)</f>
        <v>13. Item 13</v>
      </c>
      <c r="Y312" s="15">
        <f t="shared" si="29"/>
        <v>2</v>
      </c>
      <c r="Z312" s="15">
        <f t="shared" si="29"/>
        <v>2</v>
      </c>
      <c r="AA312" s="15">
        <f t="shared" si="30"/>
        <v>2020</v>
      </c>
      <c r="AB312" s="15">
        <f t="shared" si="31"/>
        <v>2020</v>
      </c>
      <c r="AC312" s="15">
        <f t="shared" si="32"/>
        <v>2020</v>
      </c>
      <c r="AD312" s="18" t="b">
        <f t="shared" si="28"/>
        <v>1</v>
      </c>
    </row>
    <row r="313" spans="1:30" ht="15" hidden="1" customHeight="1" x14ac:dyDescent="0.2">
      <c r="A313" s="7" t="s">
        <v>679</v>
      </c>
      <c r="B313" s="7"/>
      <c r="C313" s="2" t="s">
        <v>641</v>
      </c>
      <c r="D313" s="6" t="s">
        <v>649</v>
      </c>
      <c r="E313" s="32" t="s">
        <v>651</v>
      </c>
      <c r="F313" s="7"/>
      <c r="G313" s="7"/>
      <c r="H313" s="7"/>
      <c r="I313" s="7"/>
      <c r="J313" s="7"/>
      <c r="K313" s="7"/>
      <c r="L313" s="7" t="s">
        <v>662</v>
      </c>
      <c r="M313" s="8">
        <v>43862</v>
      </c>
      <c r="N313" s="8">
        <v>43862</v>
      </c>
      <c r="O313" s="13">
        <v>1202380.95</v>
      </c>
      <c r="P313" s="13"/>
      <c r="Q313" s="33"/>
      <c r="R313" s="9"/>
      <c r="S313" s="9"/>
      <c r="T313" s="9"/>
      <c r="U313" s="9"/>
      <c r="X313" s="15" t="str">
        <f>IF(B313="",VLOOKUP(A313,items_lookup!A:B,2,FALSE),B313)</f>
        <v>13. Item 13</v>
      </c>
      <c r="Y313" s="15">
        <f t="shared" si="29"/>
        <v>2</v>
      </c>
      <c r="Z313" s="15">
        <f t="shared" si="29"/>
        <v>2</v>
      </c>
      <c r="AA313" s="15">
        <f t="shared" si="30"/>
        <v>2020</v>
      </c>
      <c r="AB313" s="15">
        <f t="shared" si="31"/>
        <v>2020</v>
      </c>
      <c r="AC313" s="15">
        <f t="shared" si="32"/>
        <v>2020</v>
      </c>
      <c r="AD313" s="18" t="b">
        <f t="shared" si="28"/>
        <v>1</v>
      </c>
    </row>
    <row r="314" spans="1:30" ht="15" hidden="1" customHeight="1" x14ac:dyDescent="0.2">
      <c r="A314" s="7" t="s">
        <v>679</v>
      </c>
      <c r="B314" s="7"/>
      <c r="C314" s="2" t="s">
        <v>641</v>
      </c>
      <c r="D314" s="6" t="s">
        <v>649</v>
      </c>
      <c r="E314" s="32" t="s">
        <v>651</v>
      </c>
      <c r="F314" s="7"/>
      <c r="G314" s="7"/>
      <c r="H314" s="7"/>
      <c r="I314" s="7"/>
      <c r="J314" s="7"/>
      <c r="K314" s="7"/>
      <c r="L314" s="7" t="s">
        <v>662</v>
      </c>
      <c r="M314" s="8">
        <v>43862</v>
      </c>
      <c r="N314" s="8">
        <v>43862</v>
      </c>
      <c r="O314" s="13">
        <v>508333.33</v>
      </c>
      <c r="P314" s="13"/>
      <c r="Q314" s="33"/>
      <c r="R314" s="9"/>
      <c r="S314" s="9"/>
      <c r="T314" s="9"/>
      <c r="U314" s="9"/>
      <c r="X314" s="15" t="str">
        <f>IF(B314="",VLOOKUP(A314,items_lookup!A:B,2,FALSE),B314)</f>
        <v>13. Item 13</v>
      </c>
      <c r="Y314" s="15">
        <f t="shared" si="29"/>
        <v>2</v>
      </c>
      <c r="Z314" s="15">
        <f t="shared" si="29"/>
        <v>2</v>
      </c>
      <c r="AA314" s="15">
        <f t="shared" si="30"/>
        <v>2020</v>
      </c>
      <c r="AB314" s="15">
        <f t="shared" si="31"/>
        <v>2020</v>
      </c>
      <c r="AC314" s="15">
        <f t="shared" si="32"/>
        <v>2020</v>
      </c>
      <c r="AD314" s="18" t="b">
        <f t="shared" si="28"/>
        <v>1</v>
      </c>
    </row>
    <row r="315" spans="1:30" ht="15.75" hidden="1" customHeight="1" x14ac:dyDescent="0.2">
      <c r="A315" s="7" t="s">
        <v>680</v>
      </c>
      <c r="B315" s="7"/>
      <c r="C315" s="2" t="s">
        <v>641</v>
      </c>
      <c r="D315" s="6" t="s">
        <v>649</v>
      </c>
      <c r="E315" s="32" t="s">
        <v>651</v>
      </c>
      <c r="F315" s="7"/>
      <c r="G315" s="7"/>
      <c r="H315" s="7"/>
      <c r="I315" s="7"/>
      <c r="J315" s="7"/>
      <c r="K315" s="7"/>
      <c r="L315" s="7" t="s">
        <v>662</v>
      </c>
      <c r="M315" s="8">
        <v>43862</v>
      </c>
      <c r="N315" s="8">
        <v>43862</v>
      </c>
      <c r="O315" s="13">
        <v>12857.14</v>
      </c>
      <c r="P315" s="13"/>
      <c r="Q315" s="33"/>
      <c r="R315" s="22"/>
      <c r="S315" s="22"/>
      <c r="T315" s="22"/>
      <c r="U315" s="22"/>
      <c r="X315" s="15" t="str">
        <f>IF(B315="",VLOOKUP(A315,items_lookup!A:B,2,FALSE),B315)</f>
        <v>13. Item 13</v>
      </c>
      <c r="Y315" s="15">
        <f t="shared" ref="Y315:Z365" si="33">MONTH(M315)</f>
        <v>2</v>
      </c>
      <c r="Z315" s="15">
        <f t="shared" si="33"/>
        <v>2</v>
      </c>
      <c r="AA315" s="15">
        <f t="shared" si="30"/>
        <v>2020</v>
      </c>
      <c r="AB315" s="15">
        <f t="shared" si="31"/>
        <v>2020</v>
      </c>
      <c r="AC315" s="15">
        <f t="shared" si="32"/>
        <v>2020</v>
      </c>
      <c r="AD315" s="18" t="b">
        <f t="shared" si="28"/>
        <v>1</v>
      </c>
    </row>
    <row r="316" spans="1:30" ht="12.6" hidden="1" customHeight="1" x14ac:dyDescent="0.2">
      <c r="A316" s="7" t="s">
        <v>680</v>
      </c>
      <c r="B316" s="7"/>
      <c r="C316" s="2" t="s">
        <v>641</v>
      </c>
      <c r="D316" s="6" t="s">
        <v>649</v>
      </c>
      <c r="E316" s="32" t="s">
        <v>651</v>
      </c>
      <c r="F316" s="7"/>
      <c r="G316" s="7"/>
      <c r="H316" s="7"/>
      <c r="I316" s="7"/>
      <c r="J316" s="7"/>
      <c r="K316" s="7"/>
      <c r="L316" s="7" t="s">
        <v>662</v>
      </c>
      <c r="M316" s="8">
        <v>43862</v>
      </c>
      <c r="N316" s="8">
        <v>43862</v>
      </c>
      <c r="O316" s="13">
        <v>32619.05</v>
      </c>
      <c r="P316" s="13"/>
      <c r="Q316" s="33"/>
      <c r="R316" s="22"/>
      <c r="S316" s="22"/>
      <c r="T316" s="22"/>
      <c r="U316" s="22"/>
      <c r="X316" s="15" t="str">
        <f>IF(B316="",VLOOKUP(A316,items_lookup!A:B,2,FALSE),B316)</f>
        <v>13. Item 13</v>
      </c>
      <c r="Y316" s="15">
        <f t="shared" si="33"/>
        <v>2</v>
      </c>
      <c r="Z316" s="15">
        <f t="shared" si="33"/>
        <v>2</v>
      </c>
      <c r="AA316" s="15">
        <f t="shared" si="30"/>
        <v>2020</v>
      </c>
      <c r="AB316" s="15">
        <f t="shared" si="31"/>
        <v>2020</v>
      </c>
      <c r="AC316" s="15">
        <f t="shared" si="32"/>
        <v>2020</v>
      </c>
      <c r="AD316" s="18" t="b">
        <f t="shared" si="28"/>
        <v>1</v>
      </c>
    </row>
    <row r="317" spans="1:30" ht="12.6" hidden="1" customHeight="1" x14ac:dyDescent="0.2">
      <c r="A317" s="7" t="s">
        <v>673</v>
      </c>
      <c r="B317" s="7"/>
      <c r="C317" s="2" t="s">
        <v>641</v>
      </c>
      <c r="D317" s="6" t="s">
        <v>649</v>
      </c>
      <c r="E317" s="32" t="s">
        <v>651</v>
      </c>
      <c r="F317" s="7"/>
      <c r="G317" s="7"/>
      <c r="H317" s="7"/>
      <c r="I317" s="7"/>
      <c r="J317" s="7"/>
      <c r="K317" s="7"/>
      <c r="L317" s="7" t="s">
        <v>662</v>
      </c>
      <c r="M317" s="8">
        <v>43862</v>
      </c>
      <c r="N317" s="8">
        <v>43862</v>
      </c>
      <c r="O317" s="13">
        <v>7142.86</v>
      </c>
      <c r="P317" s="13"/>
      <c r="Q317" s="33"/>
      <c r="R317" s="22"/>
      <c r="S317" s="22"/>
      <c r="T317" s="22"/>
      <c r="U317" s="22"/>
      <c r="X317" s="15" t="str">
        <f>IF(B317="",VLOOKUP(A317,items_lookup!A:B,2,FALSE),B317)</f>
        <v>07. Item 07</v>
      </c>
      <c r="Y317" s="15">
        <f t="shared" si="33"/>
        <v>2</v>
      </c>
      <c r="Z317" s="15">
        <f t="shared" si="33"/>
        <v>2</v>
      </c>
      <c r="AA317" s="15">
        <f t="shared" si="30"/>
        <v>2020</v>
      </c>
      <c r="AB317" s="15">
        <f t="shared" si="31"/>
        <v>2020</v>
      </c>
      <c r="AC317" s="15">
        <f t="shared" si="32"/>
        <v>2020</v>
      </c>
      <c r="AD317" s="18" t="b">
        <f t="shared" si="28"/>
        <v>1</v>
      </c>
    </row>
    <row r="318" spans="1:30" ht="15" hidden="1" customHeight="1" x14ac:dyDescent="0.2">
      <c r="A318" s="7" t="s">
        <v>672</v>
      </c>
      <c r="B318" s="7"/>
      <c r="C318" s="2" t="s">
        <v>641</v>
      </c>
      <c r="D318" s="6" t="s">
        <v>649</v>
      </c>
      <c r="E318" s="32" t="s">
        <v>651</v>
      </c>
      <c r="F318" s="7"/>
      <c r="G318" s="7"/>
      <c r="H318" s="7"/>
      <c r="I318" s="7"/>
      <c r="J318" s="7"/>
      <c r="K318" s="7"/>
      <c r="L318" s="7" t="s">
        <v>662</v>
      </c>
      <c r="M318" s="8">
        <v>43862</v>
      </c>
      <c r="N318" s="8">
        <v>43862</v>
      </c>
      <c r="O318" s="13">
        <v>517452.38</v>
      </c>
      <c r="P318" s="13"/>
      <c r="Q318" s="33"/>
      <c r="R318" s="22"/>
      <c r="S318" s="22"/>
      <c r="T318" s="22"/>
      <c r="U318" s="22"/>
      <c r="X318" s="15" t="str">
        <f>IF(B318="",VLOOKUP(A318,items_lookup!A:B,2,FALSE),B318)</f>
        <v>05. Item 05</v>
      </c>
      <c r="Y318" s="15">
        <f t="shared" si="33"/>
        <v>2</v>
      </c>
      <c r="Z318" s="15">
        <f t="shared" si="33"/>
        <v>2</v>
      </c>
      <c r="AA318" s="15">
        <f t="shared" si="30"/>
        <v>2020</v>
      </c>
      <c r="AB318" s="15">
        <f t="shared" si="31"/>
        <v>2020</v>
      </c>
      <c r="AC318" s="15">
        <f t="shared" si="32"/>
        <v>2020</v>
      </c>
      <c r="AD318" s="18" t="b">
        <f t="shared" si="28"/>
        <v>1</v>
      </c>
    </row>
    <row r="319" spans="1:30" ht="15" hidden="1" customHeight="1" x14ac:dyDescent="0.2">
      <c r="A319" s="7"/>
      <c r="B319" s="7" t="s">
        <v>708</v>
      </c>
      <c r="C319" s="2" t="s">
        <v>641</v>
      </c>
      <c r="D319" s="6" t="s">
        <v>649</v>
      </c>
      <c r="E319" s="32" t="s">
        <v>651</v>
      </c>
      <c r="F319" s="7"/>
      <c r="G319" s="7"/>
      <c r="H319" s="7"/>
      <c r="I319" s="7"/>
      <c r="J319" s="7"/>
      <c r="K319" s="7"/>
      <c r="L319" s="7" t="s">
        <v>662</v>
      </c>
      <c r="M319" s="8">
        <v>43862</v>
      </c>
      <c r="N319" s="8">
        <v>43862</v>
      </c>
      <c r="O319" s="13">
        <v>2701190.48</v>
      </c>
      <c r="P319" s="13"/>
      <c r="Q319" s="33"/>
      <c r="R319" s="9"/>
      <c r="S319" s="9"/>
      <c r="T319" s="9"/>
      <c r="U319" s="9"/>
      <c r="X319" s="15" t="str">
        <f>IF(B319="",VLOOKUP(A319,items_lookup!A:B,2,FALSE),B319)</f>
        <v>03. Item 03</v>
      </c>
      <c r="Y319" s="15">
        <f t="shared" si="33"/>
        <v>2</v>
      </c>
      <c r="Z319" s="15">
        <f t="shared" si="33"/>
        <v>2</v>
      </c>
      <c r="AA319" s="15">
        <f t="shared" si="30"/>
        <v>2020</v>
      </c>
      <c r="AB319" s="15">
        <f t="shared" si="31"/>
        <v>2020</v>
      </c>
      <c r="AC319" s="15">
        <f t="shared" si="32"/>
        <v>2020</v>
      </c>
      <c r="AD319" s="18" t="b">
        <f t="shared" si="28"/>
        <v>1</v>
      </c>
    </row>
    <row r="320" spans="1:30" ht="15" hidden="1" customHeight="1" x14ac:dyDescent="0.2">
      <c r="A320" s="7" t="s">
        <v>668</v>
      </c>
      <c r="B320" s="7" t="s">
        <v>712</v>
      </c>
      <c r="C320" s="2" t="s">
        <v>641</v>
      </c>
      <c r="D320" s="6" t="s">
        <v>649</v>
      </c>
      <c r="E320" s="32" t="s">
        <v>651</v>
      </c>
      <c r="F320" s="7"/>
      <c r="G320" s="7"/>
      <c r="H320" s="7"/>
      <c r="I320" s="7"/>
      <c r="J320" s="7"/>
      <c r="K320" s="7"/>
      <c r="L320" s="7" t="s">
        <v>662</v>
      </c>
      <c r="M320" s="8">
        <v>43862</v>
      </c>
      <c r="N320" s="8">
        <v>43862</v>
      </c>
      <c r="O320" s="13">
        <v>4761.8999999999996</v>
      </c>
      <c r="P320" s="13"/>
      <c r="Q320" s="33"/>
      <c r="R320" s="22"/>
      <c r="S320" s="22"/>
      <c r="T320" s="22"/>
      <c r="U320" s="22"/>
      <c r="X320" s="15" t="str">
        <f>IF(B320="",VLOOKUP(A320,items_lookup!A:B,2,FALSE),B320)</f>
        <v>10. Item 10</v>
      </c>
      <c r="Y320" s="15">
        <f t="shared" si="33"/>
        <v>2</v>
      </c>
      <c r="Z320" s="15">
        <f t="shared" si="33"/>
        <v>2</v>
      </c>
      <c r="AA320" s="15">
        <f t="shared" si="30"/>
        <v>2020</v>
      </c>
      <c r="AB320" s="15">
        <f t="shared" si="31"/>
        <v>2020</v>
      </c>
      <c r="AC320" s="15">
        <f t="shared" si="32"/>
        <v>2020</v>
      </c>
      <c r="AD320" s="18" t="b">
        <f t="shared" si="28"/>
        <v>1</v>
      </c>
    </row>
    <row r="321" spans="1:30" ht="15" hidden="1" customHeight="1" x14ac:dyDescent="0.2">
      <c r="A321" s="7" t="s">
        <v>669</v>
      </c>
      <c r="B321" s="7" t="s">
        <v>711</v>
      </c>
      <c r="C321" s="2" t="s">
        <v>641</v>
      </c>
      <c r="D321" s="6" t="s">
        <v>649</v>
      </c>
      <c r="E321" s="32" t="s">
        <v>651</v>
      </c>
      <c r="F321" s="7"/>
      <c r="G321" s="7"/>
      <c r="H321" s="7"/>
      <c r="I321" s="7"/>
      <c r="J321" s="7"/>
      <c r="K321" s="7"/>
      <c r="L321" s="7" t="s">
        <v>662</v>
      </c>
      <c r="M321" s="8">
        <v>43862</v>
      </c>
      <c r="N321" s="8">
        <v>43862</v>
      </c>
      <c r="O321" s="13">
        <v>1771428.57</v>
      </c>
      <c r="P321" s="13"/>
      <c r="Q321" s="33"/>
      <c r="R321" s="22"/>
      <c r="S321" s="22"/>
      <c r="T321" s="22"/>
      <c r="U321" s="22"/>
      <c r="X321" s="15" t="str">
        <f>IF(B321="",VLOOKUP(A321,items_lookup!A:B,2,FALSE),B321)</f>
        <v>12. Item 12</v>
      </c>
      <c r="Y321" s="15">
        <f t="shared" si="33"/>
        <v>2</v>
      </c>
      <c r="Z321" s="15">
        <f t="shared" si="33"/>
        <v>2</v>
      </c>
      <c r="AA321" s="15">
        <f t="shared" si="30"/>
        <v>2020</v>
      </c>
      <c r="AB321" s="15">
        <f t="shared" si="31"/>
        <v>2020</v>
      </c>
      <c r="AC321" s="15">
        <f t="shared" si="32"/>
        <v>2020</v>
      </c>
      <c r="AD321" s="18" t="b">
        <f t="shared" si="28"/>
        <v>1</v>
      </c>
    </row>
    <row r="322" spans="1:30" ht="15" hidden="1" customHeight="1" x14ac:dyDescent="0.2">
      <c r="A322" s="7"/>
      <c r="B322" s="7" t="s">
        <v>710</v>
      </c>
      <c r="C322" s="2" t="s">
        <v>641</v>
      </c>
      <c r="D322" s="6" t="s">
        <v>649</v>
      </c>
      <c r="E322" s="32" t="s">
        <v>651</v>
      </c>
      <c r="F322" s="7"/>
      <c r="G322" s="7"/>
      <c r="H322" s="7"/>
      <c r="I322" s="7"/>
      <c r="J322" s="7"/>
      <c r="K322" s="7"/>
      <c r="L322" s="7" t="s">
        <v>662</v>
      </c>
      <c r="M322" s="8">
        <v>43862</v>
      </c>
      <c r="N322" s="8">
        <v>43862</v>
      </c>
      <c r="O322" s="13">
        <v>484403.37</v>
      </c>
      <c r="P322" s="13"/>
      <c r="Q322" s="33"/>
      <c r="R322" s="22"/>
      <c r="S322" s="22"/>
      <c r="T322" s="22"/>
      <c r="U322" s="22"/>
      <c r="X322" s="15" t="str">
        <f>IF(B322="",VLOOKUP(A322,items_lookup!A:B,2,FALSE),B322)</f>
        <v>13. Item 13</v>
      </c>
      <c r="Y322" s="15">
        <f t="shared" si="33"/>
        <v>2</v>
      </c>
      <c r="Z322" s="15">
        <f t="shared" si="33"/>
        <v>2</v>
      </c>
      <c r="AA322" s="15">
        <f t="shared" si="30"/>
        <v>2020</v>
      </c>
      <c r="AB322" s="15">
        <f t="shared" si="31"/>
        <v>2020</v>
      </c>
      <c r="AC322" s="15">
        <f t="shared" si="32"/>
        <v>2020</v>
      </c>
      <c r="AD322" s="18" t="b">
        <f t="shared" si="28"/>
        <v>1</v>
      </c>
    </row>
    <row r="323" spans="1:30" ht="15" hidden="1" customHeight="1" x14ac:dyDescent="0.2">
      <c r="A323" s="7" t="s">
        <v>670</v>
      </c>
      <c r="B323" s="20"/>
      <c r="C323" s="2" t="s">
        <v>642</v>
      </c>
      <c r="D323" s="6"/>
      <c r="E323" s="32" t="s">
        <v>651</v>
      </c>
      <c r="F323" s="7"/>
      <c r="G323" s="7"/>
      <c r="H323" s="7"/>
      <c r="I323" s="7"/>
      <c r="J323" s="7"/>
      <c r="K323" s="7"/>
      <c r="L323" s="7" t="s">
        <v>662</v>
      </c>
      <c r="M323" s="8">
        <v>43862</v>
      </c>
      <c r="N323" s="8">
        <v>43862</v>
      </c>
      <c r="O323" s="13">
        <v>7062357.1399999997</v>
      </c>
      <c r="P323" s="13"/>
      <c r="Q323" s="33"/>
      <c r="R323" s="9"/>
      <c r="S323" s="9"/>
      <c r="T323" s="9"/>
      <c r="U323" s="9"/>
      <c r="X323" s="15" t="str">
        <f>IF(B323="",VLOOKUP(A323,items_lookup!A:B,2,FALSE),B323)</f>
        <v>04. Item 04</v>
      </c>
      <c r="Y323" s="15">
        <f t="shared" si="33"/>
        <v>2</v>
      </c>
      <c r="Z323" s="15">
        <f t="shared" si="33"/>
        <v>2</v>
      </c>
      <c r="AA323" s="15">
        <f t="shared" si="30"/>
        <v>2020</v>
      </c>
      <c r="AB323" s="15">
        <f t="shared" si="31"/>
        <v>2020</v>
      </c>
      <c r="AC323" s="15">
        <f t="shared" si="32"/>
        <v>2020</v>
      </c>
      <c r="AD323" s="18" t="b">
        <f t="shared" ref="AD323:AD386" si="34">AND(ROUND(O323,2)=O323,ROUND(P323,2)=P323,OR(AND(O323&lt;&gt;0,L323="p"),AND(P323&lt;&gt;0,L323="f")),_xlfn.ISFORMULA(X323),_xlfn.ISFORMULA(Y323),_xlfn.ISFORMULA(Z323),_xlfn.ISFORMULA(AA323),_xlfn.ISFORMULA(AB323),_xlfn.ISFORMULA(AC323),NOT(_xlfn.ISFORMULA(O323)),NOT(_xlfn.ISFORMULA(P323)),M323&lt;&gt;0,N323&lt;&gt;0)</f>
        <v>1</v>
      </c>
    </row>
    <row r="324" spans="1:30" ht="15" hidden="1" customHeight="1" x14ac:dyDescent="0.2">
      <c r="A324" s="7" t="s">
        <v>671</v>
      </c>
      <c r="B324" s="20"/>
      <c r="C324" s="2" t="s">
        <v>642</v>
      </c>
      <c r="D324" s="6"/>
      <c r="E324" s="32" t="s">
        <v>651</v>
      </c>
      <c r="F324" s="7"/>
      <c r="G324" s="7"/>
      <c r="H324" s="7"/>
      <c r="I324" s="7"/>
      <c r="J324" s="7"/>
      <c r="K324" s="7"/>
      <c r="L324" s="7" t="s">
        <v>662</v>
      </c>
      <c r="M324" s="8">
        <v>43862</v>
      </c>
      <c r="N324" s="8">
        <v>43862</v>
      </c>
      <c r="O324" s="13">
        <v>76500</v>
      </c>
      <c r="P324" s="13"/>
      <c r="Q324" s="33"/>
      <c r="R324" s="9"/>
      <c r="S324" s="9"/>
      <c r="T324" s="9"/>
      <c r="U324" s="9"/>
      <c r="X324" s="15" t="str">
        <f>IF(B324="",VLOOKUP(A324,items_lookup!A:B,2,FALSE),B324)</f>
        <v>05. Item 05</v>
      </c>
      <c r="Y324" s="15">
        <f t="shared" si="33"/>
        <v>2</v>
      </c>
      <c r="Z324" s="15">
        <f t="shared" si="33"/>
        <v>2</v>
      </c>
      <c r="AA324" s="15">
        <f t="shared" si="30"/>
        <v>2020</v>
      </c>
      <c r="AB324" s="15">
        <f t="shared" si="31"/>
        <v>2020</v>
      </c>
      <c r="AC324" s="15">
        <f t="shared" si="32"/>
        <v>2020</v>
      </c>
      <c r="AD324" s="18" t="b">
        <f t="shared" si="34"/>
        <v>1</v>
      </c>
    </row>
    <row r="325" spans="1:30" ht="15" hidden="1" customHeight="1" x14ac:dyDescent="0.2">
      <c r="A325" s="7" t="s">
        <v>677</v>
      </c>
      <c r="B325" s="20"/>
      <c r="C325" s="2" t="s">
        <v>642</v>
      </c>
      <c r="D325" s="6"/>
      <c r="E325" s="32" t="s">
        <v>651</v>
      </c>
      <c r="F325" s="7"/>
      <c r="G325" s="7"/>
      <c r="H325" s="7"/>
      <c r="I325" s="7"/>
      <c r="J325" s="7"/>
      <c r="K325" s="7"/>
      <c r="L325" s="7" t="s">
        <v>662</v>
      </c>
      <c r="M325" s="8">
        <v>43862</v>
      </c>
      <c r="N325" s="8">
        <v>43862</v>
      </c>
      <c r="O325" s="13">
        <v>7863595.2400000002</v>
      </c>
      <c r="P325" s="13"/>
      <c r="Q325" s="33"/>
      <c r="R325" s="9"/>
      <c r="S325" s="9"/>
      <c r="T325" s="9"/>
      <c r="U325" s="9"/>
      <c r="X325" s="15" t="str">
        <f>IF(B325="",VLOOKUP(A325,items_lookup!A:B,2,FALSE),B325)</f>
        <v>11. Item 11</v>
      </c>
      <c r="Y325" s="15">
        <f t="shared" si="33"/>
        <v>2</v>
      </c>
      <c r="Z325" s="15">
        <f t="shared" si="33"/>
        <v>2</v>
      </c>
      <c r="AA325" s="15">
        <f t="shared" si="30"/>
        <v>2020</v>
      </c>
      <c r="AB325" s="15">
        <f t="shared" si="31"/>
        <v>2020</v>
      </c>
      <c r="AC325" s="15">
        <f t="shared" si="32"/>
        <v>2020</v>
      </c>
      <c r="AD325" s="18" t="b">
        <f t="shared" si="34"/>
        <v>1</v>
      </c>
    </row>
    <row r="326" spans="1:30" ht="15" hidden="1" customHeight="1" x14ac:dyDescent="0.2">
      <c r="A326" s="7" t="s">
        <v>676</v>
      </c>
      <c r="B326" s="20"/>
      <c r="C326" s="2" t="s">
        <v>642</v>
      </c>
      <c r="D326" s="6"/>
      <c r="E326" s="32" t="s">
        <v>651</v>
      </c>
      <c r="F326" s="7"/>
      <c r="G326" s="7"/>
      <c r="H326" s="7"/>
      <c r="I326" s="7"/>
      <c r="J326" s="7"/>
      <c r="K326" s="7"/>
      <c r="L326" s="7" t="s">
        <v>662</v>
      </c>
      <c r="M326" s="8">
        <v>43862</v>
      </c>
      <c r="N326" s="8">
        <v>43862</v>
      </c>
      <c r="O326" s="13">
        <v>2074738.1</v>
      </c>
      <c r="P326" s="13"/>
      <c r="Q326" s="33"/>
      <c r="R326" s="9"/>
      <c r="S326" s="9"/>
      <c r="T326" s="9"/>
      <c r="U326" s="9"/>
      <c r="X326" s="15" t="str">
        <f>IF(B326="",VLOOKUP(A326,items_lookup!A:B,2,FALSE),B326)</f>
        <v>09. Item 09</v>
      </c>
      <c r="Y326" s="15">
        <f t="shared" si="33"/>
        <v>2</v>
      </c>
      <c r="Z326" s="15">
        <f t="shared" si="33"/>
        <v>2</v>
      </c>
      <c r="AA326" s="15">
        <f t="shared" si="30"/>
        <v>2020</v>
      </c>
      <c r="AB326" s="15">
        <f t="shared" si="31"/>
        <v>2020</v>
      </c>
      <c r="AC326" s="15">
        <f t="shared" si="32"/>
        <v>2020</v>
      </c>
      <c r="AD326" s="18" t="b">
        <f t="shared" si="34"/>
        <v>1</v>
      </c>
    </row>
    <row r="327" spans="1:30" ht="15" hidden="1" customHeight="1" x14ac:dyDescent="0.2">
      <c r="A327" s="7" t="s">
        <v>675</v>
      </c>
      <c r="B327" s="7"/>
      <c r="C327" s="2" t="s">
        <v>642</v>
      </c>
      <c r="D327" s="6"/>
      <c r="E327" s="32" t="s">
        <v>651</v>
      </c>
      <c r="F327" s="7"/>
      <c r="G327" s="7"/>
      <c r="H327" s="7"/>
      <c r="I327" s="7"/>
      <c r="J327" s="7"/>
      <c r="K327" s="7"/>
      <c r="L327" s="7" t="s">
        <v>662</v>
      </c>
      <c r="M327" s="8">
        <v>43862</v>
      </c>
      <c r="N327" s="8">
        <v>43862</v>
      </c>
      <c r="O327" s="13">
        <v>5726309.5199999996</v>
      </c>
      <c r="P327" s="13"/>
      <c r="Q327" s="33"/>
      <c r="R327" s="9"/>
      <c r="S327" s="9"/>
      <c r="T327" s="9"/>
      <c r="U327" s="9"/>
      <c r="X327" s="15" t="str">
        <f>IF(B327="",VLOOKUP(A327,items_lookup!A:B,2,FALSE),B327)</f>
        <v>09. Item 09</v>
      </c>
      <c r="Y327" s="15">
        <f t="shared" si="33"/>
        <v>2</v>
      </c>
      <c r="Z327" s="15">
        <f t="shared" si="33"/>
        <v>2</v>
      </c>
      <c r="AA327" s="15">
        <f t="shared" si="30"/>
        <v>2020</v>
      </c>
      <c r="AB327" s="15">
        <f t="shared" si="31"/>
        <v>2020</v>
      </c>
      <c r="AC327" s="15">
        <f t="shared" si="32"/>
        <v>2020</v>
      </c>
      <c r="AD327" s="18" t="b">
        <f t="shared" si="34"/>
        <v>1</v>
      </c>
    </row>
    <row r="328" spans="1:30" ht="15" hidden="1" customHeight="1" x14ac:dyDescent="0.2">
      <c r="A328" s="7" t="s">
        <v>683</v>
      </c>
      <c r="B328" s="7"/>
      <c r="C328" s="2" t="s">
        <v>642</v>
      </c>
      <c r="D328" s="6"/>
      <c r="E328" s="32" t="s">
        <v>651</v>
      </c>
      <c r="F328" s="7"/>
      <c r="G328" s="7"/>
      <c r="H328" s="7"/>
      <c r="I328" s="7"/>
      <c r="J328" s="7"/>
      <c r="K328" s="7"/>
      <c r="L328" s="7" t="s">
        <v>662</v>
      </c>
      <c r="M328" s="8">
        <v>43862</v>
      </c>
      <c r="N328" s="8">
        <v>43862</v>
      </c>
      <c r="O328" s="13">
        <v>196595.24</v>
      </c>
      <c r="P328" s="13"/>
      <c r="Q328" s="33"/>
      <c r="R328" s="9"/>
      <c r="S328" s="9"/>
      <c r="T328" s="9"/>
      <c r="U328" s="9"/>
      <c r="X328" s="15" t="str">
        <f>IF(B328="",VLOOKUP(A328,items_lookup!A:B,2,FALSE),B328)</f>
        <v>_1. Item _1</v>
      </c>
      <c r="Y328" s="15">
        <f t="shared" si="33"/>
        <v>2</v>
      </c>
      <c r="Z328" s="15">
        <f t="shared" si="33"/>
        <v>2</v>
      </c>
      <c r="AA328" s="15">
        <f t="shared" si="30"/>
        <v>2020</v>
      </c>
      <c r="AB328" s="15">
        <f t="shared" si="31"/>
        <v>2020</v>
      </c>
      <c r="AC328" s="15">
        <f t="shared" si="32"/>
        <v>2020</v>
      </c>
      <c r="AD328" s="18" t="b">
        <f t="shared" si="34"/>
        <v>1</v>
      </c>
    </row>
    <row r="329" spans="1:30" ht="15" hidden="1" customHeight="1" x14ac:dyDescent="0.2">
      <c r="A329" s="7" t="s">
        <v>686</v>
      </c>
      <c r="B329" s="7"/>
      <c r="C329" s="2" t="s">
        <v>642</v>
      </c>
      <c r="D329" s="6"/>
      <c r="E329" s="32" t="s">
        <v>651</v>
      </c>
      <c r="F329" s="7"/>
      <c r="G329" s="7"/>
      <c r="H329" s="7"/>
      <c r="I329" s="7"/>
      <c r="J329" s="7"/>
      <c r="K329" s="7"/>
      <c r="L329" s="7" t="s">
        <v>662</v>
      </c>
      <c r="M329" s="8">
        <v>43862</v>
      </c>
      <c r="N329" s="8">
        <v>43862</v>
      </c>
      <c r="O329" s="13">
        <v>458928.57</v>
      </c>
      <c r="P329" s="13"/>
      <c r="Q329" s="33"/>
      <c r="R329" s="9"/>
      <c r="S329" s="9"/>
      <c r="T329" s="9"/>
      <c r="U329" s="9"/>
      <c r="X329" s="15" t="str">
        <f>IF(B329="",VLOOKUP(A329,items_lookup!A:B,2,FALSE),B329)</f>
        <v>_2. Item _2</v>
      </c>
      <c r="Y329" s="15">
        <f t="shared" si="33"/>
        <v>2</v>
      </c>
      <c r="Z329" s="15">
        <f t="shared" si="33"/>
        <v>2</v>
      </c>
      <c r="AA329" s="15">
        <f t="shared" si="30"/>
        <v>2020</v>
      </c>
      <c r="AB329" s="15">
        <f t="shared" si="31"/>
        <v>2020</v>
      </c>
      <c r="AC329" s="15">
        <f t="shared" si="32"/>
        <v>2020</v>
      </c>
      <c r="AD329" s="18" t="b">
        <f t="shared" si="34"/>
        <v>1</v>
      </c>
    </row>
    <row r="330" spans="1:30" ht="15" hidden="1" customHeight="1" x14ac:dyDescent="0.2">
      <c r="A330" s="7" t="s">
        <v>683</v>
      </c>
      <c r="B330" s="7" t="s">
        <v>711</v>
      </c>
      <c r="C330" s="2" t="s">
        <v>642</v>
      </c>
      <c r="D330" s="6"/>
      <c r="E330" s="32" t="s">
        <v>651</v>
      </c>
      <c r="F330" s="7"/>
      <c r="G330" s="7"/>
      <c r="H330" s="7"/>
      <c r="I330" s="7"/>
      <c r="J330" s="7"/>
      <c r="K330" s="7"/>
      <c r="L330" s="7" t="s">
        <v>662</v>
      </c>
      <c r="M330" s="8">
        <v>43862</v>
      </c>
      <c r="N330" s="8">
        <v>43862</v>
      </c>
      <c r="O330" s="13">
        <v>435047.62</v>
      </c>
      <c r="P330" s="13"/>
      <c r="Q330" s="33"/>
      <c r="R330" s="9"/>
      <c r="S330" s="9"/>
      <c r="T330" s="9"/>
      <c r="U330" s="9"/>
      <c r="X330" s="15" t="str">
        <f>IF(B330="",VLOOKUP(A330,items_lookup!A:B,2,FALSE),B330)</f>
        <v>12. Item 12</v>
      </c>
      <c r="Y330" s="15">
        <f t="shared" si="33"/>
        <v>2</v>
      </c>
      <c r="Z330" s="15">
        <f t="shared" si="33"/>
        <v>2</v>
      </c>
      <c r="AA330" s="15">
        <f t="shared" si="30"/>
        <v>2020</v>
      </c>
      <c r="AB330" s="15">
        <f t="shared" si="31"/>
        <v>2020</v>
      </c>
      <c r="AC330" s="15">
        <f t="shared" si="32"/>
        <v>2020</v>
      </c>
      <c r="AD330" s="18" t="b">
        <f t="shared" si="34"/>
        <v>1</v>
      </c>
    </row>
    <row r="331" spans="1:30" ht="15" hidden="1" customHeight="1" x14ac:dyDescent="0.2">
      <c r="A331" s="7" t="s">
        <v>682</v>
      </c>
      <c r="B331" s="20"/>
      <c r="C331" s="2" t="s">
        <v>642</v>
      </c>
      <c r="D331" s="6"/>
      <c r="E331" s="32" t="s">
        <v>651</v>
      </c>
      <c r="F331" s="7"/>
      <c r="G331" s="7"/>
      <c r="H331" s="7"/>
      <c r="I331" s="7"/>
      <c r="J331" s="7"/>
      <c r="K331" s="7"/>
      <c r="L331" s="7" t="s">
        <v>663</v>
      </c>
      <c r="M331" s="8">
        <v>43862</v>
      </c>
      <c r="N331" s="8">
        <v>43862</v>
      </c>
      <c r="O331" s="13"/>
      <c r="P331" s="13">
        <v>6195452.3799999999</v>
      </c>
      <c r="Q331" s="33"/>
      <c r="R331" s="9"/>
      <c r="S331" s="9"/>
      <c r="T331" s="9"/>
      <c r="U331" s="9"/>
      <c r="X331" s="15" t="str">
        <f>IF(B331="",VLOOKUP(A331,items_lookup!A:B,2,FALSE),B331)</f>
        <v>06. Item 06</v>
      </c>
      <c r="Y331" s="15">
        <f t="shared" si="33"/>
        <v>2</v>
      </c>
      <c r="Z331" s="15">
        <f t="shared" si="33"/>
        <v>2</v>
      </c>
      <c r="AA331" s="15">
        <f t="shared" si="30"/>
        <v>2020</v>
      </c>
      <c r="AB331" s="15">
        <f t="shared" si="31"/>
        <v>2020</v>
      </c>
      <c r="AC331" s="15">
        <f t="shared" si="32"/>
        <v>2020</v>
      </c>
      <c r="AD331" s="18" t="b">
        <f t="shared" si="34"/>
        <v>1</v>
      </c>
    </row>
    <row r="332" spans="1:30" ht="15" hidden="1" customHeight="1" x14ac:dyDescent="0.2">
      <c r="A332" s="7" t="s">
        <v>682</v>
      </c>
      <c r="B332" s="20"/>
      <c r="C332" s="2" t="s">
        <v>642</v>
      </c>
      <c r="D332" s="6"/>
      <c r="E332" s="32" t="s">
        <v>651</v>
      </c>
      <c r="F332" s="7"/>
      <c r="G332" s="7"/>
      <c r="H332" s="7"/>
      <c r="I332" s="7"/>
      <c r="J332" s="7"/>
      <c r="K332" s="7"/>
      <c r="L332" s="7" t="s">
        <v>663</v>
      </c>
      <c r="M332" s="8">
        <v>43862</v>
      </c>
      <c r="N332" s="8">
        <v>43862</v>
      </c>
      <c r="O332" s="13"/>
      <c r="P332" s="13">
        <v>54023.81</v>
      </c>
      <c r="Q332" s="33"/>
      <c r="R332" s="9"/>
      <c r="S332" s="9"/>
      <c r="T332" s="9"/>
      <c r="U332" s="9"/>
      <c r="X332" s="15" t="str">
        <f>IF(B332="",VLOOKUP(A332,items_lookup!A:B,2,FALSE),B332)</f>
        <v>06. Item 06</v>
      </c>
      <c r="Y332" s="15">
        <f t="shared" si="33"/>
        <v>2</v>
      </c>
      <c r="Z332" s="15">
        <f t="shared" si="33"/>
        <v>2</v>
      </c>
      <c r="AA332" s="15">
        <f t="shared" si="30"/>
        <v>2020</v>
      </c>
      <c r="AB332" s="15">
        <f t="shared" si="31"/>
        <v>2020</v>
      </c>
      <c r="AC332" s="15">
        <f t="shared" si="32"/>
        <v>2020</v>
      </c>
      <c r="AD332" s="18" t="b">
        <f t="shared" si="34"/>
        <v>1</v>
      </c>
    </row>
    <row r="333" spans="1:30" ht="12.75" hidden="1" customHeight="1" x14ac:dyDescent="0.2">
      <c r="A333" s="7" t="s">
        <v>668</v>
      </c>
      <c r="B333" s="20"/>
      <c r="C333" s="2" t="s">
        <v>642</v>
      </c>
      <c r="D333" s="6"/>
      <c r="E333" s="32" t="s">
        <v>651</v>
      </c>
      <c r="F333" s="7"/>
      <c r="G333" s="7"/>
      <c r="H333" s="7"/>
      <c r="I333" s="7"/>
      <c r="J333" s="7"/>
      <c r="K333" s="7"/>
      <c r="L333" s="7" t="s">
        <v>663</v>
      </c>
      <c r="M333" s="8">
        <v>43862</v>
      </c>
      <c r="N333" s="8">
        <v>43862</v>
      </c>
      <c r="O333" s="13"/>
      <c r="P333" s="13">
        <v>7582071.4299999997</v>
      </c>
      <c r="Q333" s="33"/>
      <c r="R333" s="9"/>
      <c r="S333" s="9"/>
      <c r="T333" s="9"/>
      <c r="U333" s="9"/>
      <c r="X333" s="15" t="str">
        <f>IF(B333="",VLOOKUP(A333,items_lookup!A:B,2,FALSE),B333)</f>
        <v>01. Item 01</v>
      </c>
      <c r="Y333" s="15">
        <f t="shared" si="33"/>
        <v>2</v>
      </c>
      <c r="Z333" s="15">
        <f t="shared" si="33"/>
        <v>2</v>
      </c>
      <c r="AA333" s="15">
        <f t="shared" si="30"/>
        <v>2020</v>
      </c>
      <c r="AB333" s="15">
        <f t="shared" si="31"/>
        <v>2020</v>
      </c>
      <c r="AC333" s="15">
        <f t="shared" si="32"/>
        <v>2020</v>
      </c>
      <c r="AD333" s="18" t="b">
        <f t="shared" si="34"/>
        <v>1</v>
      </c>
    </row>
    <row r="334" spans="1:30" ht="12.75" hidden="1" customHeight="1" x14ac:dyDescent="0.2">
      <c r="A334" s="7" t="s">
        <v>669</v>
      </c>
      <c r="B334" s="20"/>
      <c r="C334" s="2" t="s">
        <v>642</v>
      </c>
      <c r="D334" s="6"/>
      <c r="E334" s="32" t="s">
        <v>651</v>
      </c>
      <c r="F334" s="7"/>
      <c r="G334" s="7"/>
      <c r="H334" s="7"/>
      <c r="I334" s="7"/>
      <c r="J334" s="7"/>
      <c r="K334" s="7"/>
      <c r="L334" s="7" t="s">
        <v>663</v>
      </c>
      <c r="M334" s="8">
        <v>43862</v>
      </c>
      <c r="N334" s="8">
        <v>43862</v>
      </c>
      <c r="O334" s="13"/>
      <c r="P334" s="13">
        <v>2125214.29</v>
      </c>
      <c r="Q334" s="33"/>
      <c r="R334" s="9"/>
      <c r="S334" s="9"/>
      <c r="T334" s="9"/>
      <c r="U334" s="9"/>
      <c r="X334" s="15" t="str">
        <f>IF(B334="",VLOOKUP(A334,items_lookup!A:B,2,FALSE),B334)</f>
        <v>02. Item 02</v>
      </c>
      <c r="Y334" s="15">
        <f t="shared" si="33"/>
        <v>2</v>
      </c>
      <c r="Z334" s="15">
        <f t="shared" si="33"/>
        <v>2</v>
      </c>
      <c r="AA334" s="15">
        <f t="shared" si="30"/>
        <v>2020</v>
      </c>
      <c r="AB334" s="15">
        <f t="shared" si="31"/>
        <v>2020</v>
      </c>
      <c r="AC334" s="15">
        <f t="shared" si="32"/>
        <v>2020</v>
      </c>
      <c r="AD334" s="18" t="b">
        <f t="shared" si="34"/>
        <v>1</v>
      </c>
    </row>
    <row r="335" spans="1:30" ht="12.75" hidden="1" customHeight="1" x14ac:dyDescent="0.2">
      <c r="A335" s="7" t="s">
        <v>671</v>
      </c>
      <c r="B335" s="7" t="s">
        <v>709</v>
      </c>
      <c r="C335" s="2" t="s">
        <v>642</v>
      </c>
      <c r="D335" s="6"/>
      <c r="E335" s="32" t="s">
        <v>651</v>
      </c>
      <c r="F335" s="7"/>
      <c r="G335" s="7"/>
      <c r="H335" s="7"/>
      <c r="I335" s="7"/>
      <c r="J335" s="7"/>
      <c r="K335" s="7"/>
      <c r="L335" s="7" t="s">
        <v>663</v>
      </c>
      <c r="M335" s="8">
        <v>43862</v>
      </c>
      <c r="N335" s="8">
        <v>43862</v>
      </c>
      <c r="O335" s="13"/>
      <c r="P335" s="13">
        <v>1428.57</v>
      </c>
      <c r="Q335" s="33"/>
      <c r="R335" s="22"/>
      <c r="S335" s="22"/>
      <c r="T335" s="22"/>
      <c r="U335" s="22"/>
      <c r="X335" s="15" t="str">
        <f>IF(B335="",VLOOKUP(A335,items_lookup!A:B,2,FALSE),B335)</f>
        <v>04. Item 04</v>
      </c>
      <c r="Y335" s="15">
        <f t="shared" si="33"/>
        <v>2</v>
      </c>
      <c r="Z335" s="15">
        <f t="shared" si="33"/>
        <v>2</v>
      </c>
      <c r="AA335" s="15">
        <f t="shared" si="30"/>
        <v>2020</v>
      </c>
      <c r="AB335" s="15">
        <f t="shared" si="31"/>
        <v>2020</v>
      </c>
      <c r="AC335" s="15">
        <f t="shared" si="32"/>
        <v>2020</v>
      </c>
      <c r="AD335" s="18" t="b">
        <f t="shared" si="34"/>
        <v>1</v>
      </c>
    </row>
    <row r="336" spans="1:30" ht="81" hidden="1" customHeight="1" x14ac:dyDescent="0.2">
      <c r="A336" s="7" t="s">
        <v>671</v>
      </c>
      <c r="B336" s="7"/>
      <c r="C336" s="2" t="s">
        <v>642</v>
      </c>
      <c r="D336" s="6"/>
      <c r="E336" s="32" t="s">
        <v>651</v>
      </c>
      <c r="F336" s="7"/>
      <c r="G336" s="7"/>
      <c r="H336" s="7"/>
      <c r="I336" s="7"/>
      <c r="J336" s="7"/>
      <c r="K336" s="7"/>
      <c r="L336" s="7" t="s">
        <v>663</v>
      </c>
      <c r="M336" s="8">
        <v>43862</v>
      </c>
      <c r="N336" s="8">
        <v>43862</v>
      </c>
      <c r="O336" s="13"/>
      <c r="P336" s="13">
        <v>5223642.8600000003</v>
      </c>
      <c r="Q336" s="33"/>
      <c r="R336" s="9"/>
      <c r="S336" s="9"/>
      <c r="T336" s="9"/>
      <c r="U336" s="9"/>
      <c r="X336" s="15" t="str">
        <f>IF(B336="",VLOOKUP(A336,items_lookup!A:B,2,FALSE),B336)</f>
        <v>05. Item 05</v>
      </c>
      <c r="Y336" s="15">
        <f t="shared" si="33"/>
        <v>2</v>
      </c>
      <c r="Z336" s="15">
        <f t="shared" si="33"/>
        <v>2</v>
      </c>
      <c r="AA336" s="15">
        <f t="shared" si="30"/>
        <v>2020</v>
      </c>
      <c r="AB336" s="15">
        <f t="shared" si="31"/>
        <v>2020</v>
      </c>
      <c r="AC336" s="15">
        <f t="shared" si="32"/>
        <v>2020</v>
      </c>
      <c r="AD336" s="18" t="b">
        <f t="shared" si="34"/>
        <v>1</v>
      </c>
    </row>
    <row r="337" spans="1:32" ht="12.75" hidden="1" customHeight="1" x14ac:dyDescent="0.2">
      <c r="A337" s="7" t="s">
        <v>672</v>
      </c>
      <c r="B337" s="7"/>
      <c r="C337" s="2" t="s">
        <v>642</v>
      </c>
      <c r="D337" s="6"/>
      <c r="E337" s="32" t="s">
        <v>651</v>
      </c>
      <c r="F337" s="7"/>
      <c r="G337" s="7"/>
      <c r="H337" s="7"/>
      <c r="I337" s="7"/>
      <c r="J337" s="7"/>
      <c r="K337" s="7"/>
      <c r="L337" s="7" t="s">
        <v>663</v>
      </c>
      <c r="M337" s="8">
        <v>43862</v>
      </c>
      <c r="N337" s="8">
        <v>43862</v>
      </c>
      <c r="O337" s="13"/>
      <c r="P337" s="13">
        <v>25190.48</v>
      </c>
      <c r="Q337" s="33"/>
      <c r="R337" s="9"/>
      <c r="S337" s="9"/>
      <c r="T337" s="9"/>
      <c r="U337" s="9"/>
      <c r="X337" s="15" t="str">
        <f>IF(B337="",VLOOKUP(A337,items_lookup!A:B,2,FALSE),B337)</f>
        <v>05. Item 05</v>
      </c>
      <c r="Y337" s="15">
        <f t="shared" si="33"/>
        <v>2</v>
      </c>
      <c r="Z337" s="15">
        <f t="shared" si="33"/>
        <v>2</v>
      </c>
      <c r="AA337" s="15">
        <f t="shared" si="30"/>
        <v>2020</v>
      </c>
      <c r="AB337" s="15">
        <f t="shared" si="31"/>
        <v>2020</v>
      </c>
      <c r="AC337" s="15">
        <f t="shared" si="32"/>
        <v>2020</v>
      </c>
      <c r="AD337" s="18" t="b">
        <f t="shared" si="34"/>
        <v>1</v>
      </c>
    </row>
    <row r="338" spans="1:32" ht="12.75" hidden="1" customHeight="1" x14ac:dyDescent="0.2">
      <c r="A338" s="7" t="s">
        <v>673</v>
      </c>
      <c r="B338" s="7"/>
      <c r="C338" s="2" t="s">
        <v>642</v>
      </c>
      <c r="D338" s="6"/>
      <c r="E338" s="32" t="s">
        <v>651</v>
      </c>
      <c r="F338" s="7"/>
      <c r="G338" s="7"/>
      <c r="H338" s="7"/>
      <c r="I338" s="7"/>
      <c r="J338" s="7"/>
      <c r="K338" s="7"/>
      <c r="L338" s="7" t="s">
        <v>663</v>
      </c>
      <c r="M338" s="8">
        <v>43862</v>
      </c>
      <c r="N338" s="8">
        <v>43862</v>
      </c>
      <c r="O338" s="13"/>
      <c r="P338" s="13">
        <v>299833.33</v>
      </c>
      <c r="Q338" s="33"/>
      <c r="R338" s="9"/>
      <c r="S338" s="9"/>
      <c r="T338" s="9"/>
      <c r="U338" s="9"/>
      <c r="X338" s="15" t="str">
        <f>IF(B338="",VLOOKUP(A338,items_lookup!A:B,2,FALSE),B338)</f>
        <v>07. Item 07</v>
      </c>
      <c r="Y338" s="15">
        <f t="shared" si="33"/>
        <v>2</v>
      </c>
      <c r="Z338" s="15">
        <f t="shared" si="33"/>
        <v>2</v>
      </c>
      <c r="AA338" s="15">
        <f t="shared" si="30"/>
        <v>2020</v>
      </c>
      <c r="AB338" s="15">
        <f t="shared" si="31"/>
        <v>2020</v>
      </c>
      <c r="AC338" s="15">
        <f t="shared" si="32"/>
        <v>2020</v>
      </c>
      <c r="AD338" s="18" t="b">
        <f t="shared" si="34"/>
        <v>1</v>
      </c>
    </row>
    <row r="339" spans="1:32" ht="12.75" hidden="1" customHeight="1" x14ac:dyDescent="0.2">
      <c r="A339" s="7" t="s">
        <v>675</v>
      </c>
      <c r="B339" s="7"/>
      <c r="C339" s="2" t="s">
        <v>642</v>
      </c>
      <c r="D339" s="6"/>
      <c r="E339" s="32" t="s">
        <v>651</v>
      </c>
      <c r="F339" s="7"/>
      <c r="G339" s="7"/>
      <c r="H339" s="7"/>
      <c r="I339" s="7"/>
      <c r="J339" s="7"/>
      <c r="K339" s="7"/>
      <c r="L339" s="7" t="s">
        <v>663</v>
      </c>
      <c r="M339" s="8">
        <v>43862</v>
      </c>
      <c r="N339" s="8">
        <v>43862</v>
      </c>
      <c r="O339" s="13"/>
      <c r="P339" s="13">
        <v>555214.29</v>
      </c>
      <c r="Q339" s="33"/>
      <c r="R339" s="9"/>
      <c r="S339" s="9"/>
      <c r="T339" s="9"/>
      <c r="U339" s="9"/>
      <c r="X339" s="15" t="str">
        <f>IF(B339="",VLOOKUP(A339,items_lookup!A:B,2,FALSE),B339)</f>
        <v>09. Item 09</v>
      </c>
      <c r="Y339" s="15">
        <f t="shared" si="33"/>
        <v>2</v>
      </c>
      <c r="Z339" s="15">
        <f t="shared" si="33"/>
        <v>2</v>
      </c>
      <c r="AA339" s="15">
        <f t="shared" si="30"/>
        <v>2020</v>
      </c>
      <c r="AB339" s="15">
        <f t="shared" si="31"/>
        <v>2020</v>
      </c>
      <c r="AC339" s="15">
        <f t="shared" si="32"/>
        <v>2020</v>
      </c>
      <c r="AD339" s="18" t="b">
        <f t="shared" si="34"/>
        <v>1</v>
      </c>
    </row>
    <row r="340" spans="1:32" ht="12.75" hidden="1" customHeight="1" x14ac:dyDescent="0.2">
      <c r="A340" s="7" t="s">
        <v>676</v>
      </c>
      <c r="B340" s="7" t="s">
        <v>711</v>
      </c>
      <c r="C340" s="2" t="s">
        <v>642</v>
      </c>
      <c r="D340" s="6"/>
      <c r="E340" s="32" t="s">
        <v>651</v>
      </c>
      <c r="F340" s="7"/>
      <c r="G340" s="7"/>
      <c r="H340" s="7"/>
      <c r="I340" s="7"/>
      <c r="J340" s="7"/>
      <c r="K340" s="7"/>
      <c r="L340" s="7" t="s">
        <v>663</v>
      </c>
      <c r="M340" s="8">
        <v>43862</v>
      </c>
      <c r="N340" s="8">
        <v>43862</v>
      </c>
      <c r="O340" s="13"/>
      <c r="P340" s="13">
        <v>372523.81</v>
      </c>
      <c r="Q340" s="33"/>
      <c r="R340" s="9"/>
      <c r="S340" s="9"/>
      <c r="T340" s="9"/>
      <c r="U340" s="9"/>
      <c r="X340" s="15" t="str">
        <f>IF(B340="",VLOOKUP(A340,items_lookup!A:B,2,FALSE),B340)</f>
        <v>12. Item 12</v>
      </c>
      <c r="Y340" s="15">
        <f t="shared" si="33"/>
        <v>2</v>
      </c>
      <c r="Z340" s="15">
        <f t="shared" si="33"/>
        <v>2</v>
      </c>
      <c r="AA340" s="15">
        <f t="shared" si="30"/>
        <v>2020</v>
      </c>
      <c r="AB340" s="15">
        <f t="shared" si="31"/>
        <v>2020</v>
      </c>
      <c r="AC340" s="15">
        <f t="shared" si="32"/>
        <v>2020</v>
      </c>
      <c r="AD340" s="18" t="b">
        <f t="shared" si="34"/>
        <v>1</v>
      </c>
    </row>
    <row r="341" spans="1:32" ht="25.5" hidden="1" customHeight="1" x14ac:dyDescent="0.2">
      <c r="A341" s="7" t="s">
        <v>684</v>
      </c>
      <c r="C341" s="2" t="s">
        <v>642</v>
      </c>
      <c r="D341" s="6"/>
      <c r="E341" s="32" t="s">
        <v>651</v>
      </c>
      <c r="H341" s="7"/>
      <c r="K341" s="7"/>
      <c r="L341" s="7" t="s">
        <v>662</v>
      </c>
      <c r="M341" s="8">
        <v>43862</v>
      </c>
      <c r="N341" s="8">
        <v>43862</v>
      </c>
      <c r="O341" s="14">
        <v>2809.52</v>
      </c>
      <c r="Q341" s="33"/>
      <c r="R341" s="23"/>
      <c r="S341" s="23"/>
      <c r="T341" s="23"/>
      <c r="U341" s="23"/>
      <c r="X341" s="15" t="str">
        <f>IF(B341="",VLOOKUP(A341,items_lookup!A:B,2,FALSE),B341)</f>
        <v>09. Item 09</v>
      </c>
      <c r="Y341" s="15">
        <f t="shared" si="33"/>
        <v>2</v>
      </c>
      <c r="Z341" s="15">
        <f t="shared" si="33"/>
        <v>2</v>
      </c>
      <c r="AA341" s="15">
        <f t="shared" si="30"/>
        <v>2020</v>
      </c>
      <c r="AB341" s="15">
        <f t="shared" si="31"/>
        <v>2020</v>
      </c>
      <c r="AC341" s="15">
        <f t="shared" si="32"/>
        <v>2020</v>
      </c>
      <c r="AD341" s="18" t="b">
        <f t="shared" si="34"/>
        <v>1</v>
      </c>
    </row>
    <row r="342" spans="1:32" ht="25.5" hidden="1" customHeight="1" x14ac:dyDescent="0.2">
      <c r="A342" s="7" t="s">
        <v>677</v>
      </c>
      <c r="C342" s="2" t="s">
        <v>642</v>
      </c>
      <c r="D342" s="6"/>
      <c r="E342" s="32" t="s">
        <v>651</v>
      </c>
      <c r="H342" s="7"/>
      <c r="K342" s="7"/>
      <c r="L342" s="7" t="s">
        <v>663</v>
      </c>
      <c r="M342" s="8">
        <v>43862</v>
      </c>
      <c r="N342" s="8">
        <v>43862</v>
      </c>
      <c r="P342" s="14">
        <v>63476.19</v>
      </c>
      <c r="Q342" s="33"/>
      <c r="R342" s="23"/>
      <c r="S342" s="23"/>
      <c r="T342" s="23"/>
      <c r="U342" s="23"/>
      <c r="X342" s="15" t="str">
        <f>IF(B342="",VLOOKUP(A342,items_lookup!A:B,2,FALSE),B342)</f>
        <v>11. Item 11</v>
      </c>
      <c r="Y342" s="15">
        <f t="shared" si="33"/>
        <v>2</v>
      </c>
      <c r="Z342" s="15">
        <f t="shared" si="33"/>
        <v>2</v>
      </c>
      <c r="AA342" s="15">
        <f t="shared" si="30"/>
        <v>2020</v>
      </c>
      <c r="AB342" s="15">
        <f t="shared" si="31"/>
        <v>2020</v>
      </c>
      <c r="AC342" s="15">
        <f t="shared" si="32"/>
        <v>2020</v>
      </c>
      <c r="AD342" s="18" t="b">
        <f t="shared" si="34"/>
        <v>1</v>
      </c>
    </row>
    <row r="343" spans="1:32" ht="25.5" hidden="1" customHeight="1" x14ac:dyDescent="0.2">
      <c r="A343" s="7" t="s">
        <v>687</v>
      </c>
      <c r="C343" s="2" t="s">
        <v>642</v>
      </c>
      <c r="D343" s="6"/>
      <c r="E343" s="32" t="s">
        <v>651</v>
      </c>
      <c r="H343" s="7"/>
      <c r="K343" s="7"/>
      <c r="L343" s="7" t="s">
        <v>662</v>
      </c>
      <c r="M343" s="8">
        <v>43862</v>
      </c>
      <c r="N343" s="8">
        <v>43862</v>
      </c>
      <c r="O343" s="14">
        <v>62690.48</v>
      </c>
      <c r="Q343" s="33"/>
      <c r="X343" s="15" t="str">
        <f>IF(B343="",VLOOKUP(A343,items_lookup!A:B,2,FALSE),B343)</f>
        <v>14. Item 14</v>
      </c>
      <c r="Y343" s="15">
        <f t="shared" si="33"/>
        <v>2</v>
      </c>
      <c r="Z343" s="15">
        <f t="shared" si="33"/>
        <v>2</v>
      </c>
      <c r="AA343" s="15">
        <f t="shared" si="30"/>
        <v>2020</v>
      </c>
      <c r="AB343" s="15">
        <f t="shared" si="31"/>
        <v>2020</v>
      </c>
      <c r="AC343" s="15">
        <f t="shared" si="32"/>
        <v>2020</v>
      </c>
      <c r="AD343" s="18" t="b">
        <f t="shared" si="34"/>
        <v>1</v>
      </c>
    </row>
    <row r="344" spans="1:32" ht="12.75" hidden="1" customHeight="1" x14ac:dyDescent="0.2">
      <c r="A344" s="7" t="s">
        <v>681</v>
      </c>
      <c r="C344" s="2" t="s">
        <v>642</v>
      </c>
      <c r="D344" s="6"/>
      <c r="E344" s="32" t="s">
        <v>651</v>
      </c>
      <c r="H344" s="7"/>
      <c r="K344" s="7"/>
      <c r="L344" s="7" t="s">
        <v>663</v>
      </c>
      <c r="M344" s="8">
        <v>43862</v>
      </c>
      <c r="N344" s="8">
        <v>43862</v>
      </c>
      <c r="P344" s="14">
        <v>46119.05</v>
      </c>
      <c r="Q344" s="33"/>
      <c r="X344" s="15" t="str">
        <f>IF(B344="",VLOOKUP(A344,items_lookup!A:B,2,FALSE),B344)</f>
        <v>19. Item 19</v>
      </c>
      <c r="Y344" s="15">
        <f t="shared" si="33"/>
        <v>2</v>
      </c>
      <c r="Z344" s="15">
        <f t="shared" si="33"/>
        <v>2</v>
      </c>
      <c r="AA344" s="15">
        <f t="shared" si="30"/>
        <v>2020</v>
      </c>
      <c r="AB344" s="15">
        <f t="shared" si="31"/>
        <v>2020</v>
      </c>
      <c r="AC344" s="15">
        <f t="shared" si="32"/>
        <v>2020</v>
      </c>
      <c r="AD344" s="18" t="b">
        <f t="shared" si="34"/>
        <v>1</v>
      </c>
    </row>
    <row r="345" spans="1:32" ht="12.6" hidden="1" customHeight="1" x14ac:dyDescent="0.2">
      <c r="A345" s="7" t="s">
        <v>673</v>
      </c>
      <c r="B345" s="7"/>
      <c r="C345" s="2" t="s">
        <v>641</v>
      </c>
      <c r="D345" s="6" t="s">
        <v>649</v>
      </c>
      <c r="E345" s="32" t="s">
        <v>651</v>
      </c>
      <c r="F345" s="7"/>
      <c r="G345" s="7"/>
      <c r="H345" s="7"/>
      <c r="I345" s="7"/>
      <c r="J345" s="7"/>
      <c r="K345" s="7"/>
      <c r="L345" s="7" t="s">
        <v>662</v>
      </c>
      <c r="M345" s="8">
        <v>43861</v>
      </c>
      <c r="N345" s="8">
        <v>43861</v>
      </c>
      <c r="O345" s="13">
        <v>54524761.899999999</v>
      </c>
      <c r="P345" s="13"/>
      <c r="Q345" s="33"/>
      <c r="R345" s="22"/>
      <c r="S345" s="22"/>
      <c r="T345" s="22"/>
      <c r="U345" s="22"/>
      <c r="X345" s="15" t="str">
        <f>IF(B345="",VLOOKUP(A345,items_lookup!A:B,2,FALSE),B345)</f>
        <v>07. Item 07</v>
      </c>
      <c r="Y345" s="15">
        <f t="shared" si="33"/>
        <v>1</v>
      </c>
      <c r="Z345" s="15">
        <f t="shared" si="33"/>
        <v>1</v>
      </c>
      <c r="AA345" s="15">
        <f t="shared" si="30"/>
        <v>2020</v>
      </c>
      <c r="AB345" s="15">
        <f t="shared" si="31"/>
        <v>2020</v>
      </c>
      <c r="AC345" s="15">
        <f t="shared" si="32"/>
        <v>2020</v>
      </c>
      <c r="AD345" s="18" t="b">
        <f t="shared" si="34"/>
        <v>1</v>
      </c>
    </row>
    <row r="346" spans="1:32" ht="12.6" hidden="1" customHeight="1" x14ac:dyDescent="0.2">
      <c r="A346" s="7" t="s">
        <v>672</v>
      </c>
      <c r="B346" s="20"/>
      <c r="C346" s="2" t="s">
        <v>641</v>
      </c>
      <c r="D346" s="6" t="s">
        <v>649</v>
      </c>
      <c r="E346" s="32" t="s">
        <v>651</v>
      </c>
      <c r="F346" s="7"/>
      <c r="G346" s="7"/>
      <c r="H346" s="7"/>
      <c r="I346" s="7"/>
      <c r="J346" s="7"/>
      <c r="K346" s="7"/>
      <c r="L346" s="7" t="s">
        <v>662</v>
      </c>
      <c r="M346" s="8">
        <v>44075</v>
      </c>
      <c r="N346" s="8">
        <v>44075</v>
      </c>
      <c r="O346" s="13">
        <v>3273333.33</v>
      </c>
      <c r="P346" s="13"/>
      <c r="Q346" s="33"/>
      <c r="R346" s="9"/>
      <c r="S346" s="9"/>
      <c r="T346" s="9"/>
      <c r="U346" s="9"/>
      <c r="X346" s="15" t="str">
        <f>IF(B346="",VLOOKUP(A346,items_lookup!A:B,2,FALSE),B346)</f>
        <v>05. Item 05</v>
      </c>
      <c r="Y346" s="15">
        <f t="shared" si="33"/>
        <v>9</v>
      </c>
      <c r="Z346" s="15">
        <f t="shared" si="33"/>
        <v>9</v>
      </c>
      <c r="AA346" s="15">
        <f t="shared" si="30"/>
        <v>2020</v>
      </c>
      <c r="AB346" s="15">
        <f t="shared" si="31"/>
        <v>2020</v>
      </c>
      <c r="AC346" s="15">
        <f t="shared" si="32"/>
        <v>2020</v>
      </c>
      <c r="AD346" s="18" t="b">
        <f t="shared" si="34"/>
        <v>1</v>
      </c>
    </row>
    <row r="347" spans="1:32" ht="15" hidden="1" customHeight="1" x14ac:dyDescent="0.2">
      <c r="A347" s="7" t="s">
        <v>668</v>
      </c>
      <c r="B347" s="7"/>
      <c r="C347" s="2" t="s">
        <v>641</v>
      </c>
      <c r="D347" s="6" t="s">
        <v>649</v>
      </c>
      <c r="E347" s="32" t="s">
        <v>651</v>
      </c>
      <c r="F347" s="7"/>
      <c r="G347" s="7"/>
      <c r="H347" s="7" t="s">
        <v>653</v>
      </c>
      <c r="I347" s="7"/>
      <c r="J347" s="7"/>
      <c r="K347" s="7"/>
      <c r="L347" s="7" t="s">
        <v>662</v>
      </c>
      <c r="M347" s="8">
        <v>43830</v>
      </c>
      <c r="N347" s="8">
        <v>43830</v>
      </c>
      <c r="O347" s="13">
        <v>-1043.55</v>
      </c>
      <c r="P347" s="13"/>
      <c r="Q347" s="33"/>
      <c r="R347" s="9"/>
      <c r="S347" s="9"/>
      <c r="T347" s="9"/>
      <c r="U347" s="9"/>
      <c r="X347" s="15" t="str">
        <f>IF(B347="",VLOOKUP(A347,items_lookup!A:B,2,FALSE),B347)</f>
        <v>01. Item 01</v>
      </c>
      <c r="Y347" s="15">
        <f t="shared" si="33"/>
        <v>12</v>
      </c>
      <c r="Z347" s="15">
        <f t="shared" si="33"/>
        <v>12</v>
      </c>
      <c r="AA347" s="15">
        <f t="shared" si="30"/>
        <v>2019</v>
      </c>
      <c r="AB347" s="15">
        <f t="shared" si="31"/>
        <v>2019</v>
      </c>
      <c r="AC347" s="15">
        <f t="shared" si="32"/>
        <v>2019</v>
      </c>
      <c r="AD347" s="18" t="b">
        <f t="shared" si="34"/>
        <v>1</v>
      </c>
    </row>
    <row r="348" spans="1:32" ht="15" hidden="1" customHeight="1" x14ac:dyDescent="0.2">
      <c r="A348" s="7" t="s">
        <v>669</v>
      </c>
      <c r="B348" s="7"/>
      <c r="C348" s="2" t="s">
        <v>641</v>
      </c>
      <c r="D348" s="6" t="s">
        <v>649</v>
      </c>
      <c r="E348" s="32" t="s">
        <v>651</v>
      </c>
      <c r="F348" s="7" t="s">
        <v>20</v>
      </c>
      <c r="G348" s="7"/>
      <c r="H348" s="7"/>
      <c r="I348" s="7"/>
      <c r="J348" s="7"/>
      <c r="K348" s="7"/>
      <c r="L348" s="7" t="s">
        <v>662</v>
      </c>
      <c r="M348" s="8">
        <v>43831</v>
      </c>
      <c r="N348" s="8">
        <v>43831</v>
      </c>
      <c r="O348" s="13">
        <v>2934761.9</v>
      </c>
      <c r="P348" s="13"/>
      <c r="Q348" s="33"/>
      <c r="R348" s="22"/>
      <c r="S348" s="22"/>
      <c r="T348" s="22"/>
      <c r="U348" s="22"/>
      <c r="X348" s="15" t="str">
        <f>IF(B348="",VLOOKUP(A348,items_lookup!A:B,2,FALSE),B348)</f>
        <v>02. Item 02</v>
      </c>
      <c r="Y348" s="15">
        <f t="shared" si="33"/>
        <v>1</v>
      </c>
      <c r="Z348" s="15">
        <f t="shared" si="33"/>
        <v>1</v>
      </c>
      <c r="AA348" s="15">
        <f t="shared" si="30"/>
        <v>2020</v>
      </c>
      <c r="AB348" s="15">
        <f t="shared" si="31"/>
        <v>2020</v>
      </c>
      <c r="AC348" s="15">
        <f t="shared" si="32"/>
        <v>2019</v>
      </c>
      <c r="AD348" s="18" t="b">
        <f t="shared" si="34"/>
        <v>1</v>
      </c>
    </row>
    <row r="349" spans="1:32" ht="15" hidden="1" customHeight="1" x14ac:dyDescent="0.2">
      <c r="A349" s="7"/>
      <c r="B349" s="7" t="s">
        <v>710</v>
      </c>
      <c r="C349" s="2" t="s">
        <v>641</v>
      </c>
      <c r="D349" s="6" t="s">
        <v>649</v>
      </c>
      <c r="E349" s="32" t="s">
        <v>651</v>
      </c>
      <c r="F349" s="7" t="s">
        <v>20</v>
      </c>
      <c r="G349" s="7"/>
      <c r="H349" s="7"/>
      <c r="I349" s="7"/>
      <c r="J349" s="7"/>
      <c r="K349" s="7"/>
      <c r="L349" s="7" t="s">
        <v>662</v>
      </c>
      <c r="M349" s="8">
        <v>43831</v>
      </c>
      <c r="N349" s="8">
        <v>43831</v>
      </c>
      <c r="O349" s="13">
        <v>1949761.9</v>
      </c>
      <c r="P349" s="13"/>
      <c r="Q349" s="33"/>
      <c r="R349" s="9"/>
      <c r="S349" s="9"/>
      <c r="T349" s="9"/>
      <c r="U349" s="9"/>
      <c r="X349" s="15" t="str">
        <f>IF(B349="",VLOOKUP(A349,items_lookup!A:B,2,FALSE),B349)</f>
        <v>13. Item 13</v>
      </c>
      <c r="Y349" s="15">
        <f t="shared" si="33"/>
        <v>1</v>
      </c>
      <c r="Z349" s="15">
        <f t="shared" si="33"/>
        <v>1</v>
      </c>
      <c r="AA349" s="15">
        <f t="shared" si="30"/>
        <v>2020</v>
      </c>
      <c r="AB349" s="15">
        <f t="shared" si="31"/>
        <v>2020</v>
      </c>
      <c r="AC349" s="15">
        <f t="shared" si="32"/>
        <v>2019</v>
      </c>
      <c r="AD349" s="18" t="b">
        <f t="shared" si="34"/>
        <v>1</v>
      </c>
      <c r="AF349"/>
    </row>
    <row r="350" spans="1:32" ht="15" hidden="1" customHeight="1" x14ac:dyDescent="0.2">
      <c r="A350" s="7" t="s">
        <v>671</v>
      </c>
      <c r="B350" s="7" t="s">
        <v>709</v>
      </c>
      <c r="C350" s="2" t="s">
        <v>641</v>
      </c>
      <c r="D350" s="6" t="s">
        <v>649</v>
      </c>
      <c r="E350" s="32" t="s">
        <v>651</v>
      </c>
      <c r="F350" s="7" t="s">
        <v>20</v>
      </c>
      <c r="G350" s="7"/>
      <c r="H350" s="7"/>
      <c r="I350" s="7"/>
      <c r="J350" s="7"/>
      <c r="K350" s="7"/>
      <c r="L350" s="7" t="s">
        <v>662</v>
      </c>
      <c r="M350" s="8">
        <v>43831</v>
      </c>
      <c r="N350" s="8">
        <v>43831</v>
      </c>
      <c r="O350" s="13">
        <v>4244285.71</v>
      </c>
      <c r="P350" s="13"/>
      <c r="Q350" s="33"/>
      <c r="R350" s="9"/>
      <c r="S350" s="9"/>
      <c r="T350" s="9"/>
      <c r="U350" s="9"/>
      <c r="X350" s="15" t="str">
        <f>IF(B350="",VLOOKUP(A350,items_lookup!A:B,2,FALSE),B350)</f>
        <v>04. Item 04</v>
      </c>
      <c r="Y350" s="15">
        <f t="shared" si="33"/>
        <v>1</v>
      </c>
      <c r="Z350" s="15">
        <f t="shared" si="33"/>
        <v>1</v>
      </c>
      <c r="AA350" s="15">
        <f t="shared" si="30"/>
        <v>2020</v>
      </c>
      <c r="AB350" s="15">
        <f t="shared" si="31"/>
        <v>2020</v>
      </c>
      <c r="AC350" s="15">
        <f t="shared" si="32"/>
        <v>2019</v>
      </c>
      <c r="AD350" s="18" t="b">
        <f t="shared" si="34"/>
        <v>1</v>
      </c>
    </row>
    <row r="351" spans="1:32" ht="15" hidden="1" customHeight="1" x14ac:dyDescent="0.2">
      <c r="A351" s="7" t="s">
        <v>677</v>
      </c>
      <c r="B351" s="7"/>
      <c r="C351" s="2" t="s">
        <v>641</v>
      </c>
      <c r="D351" s="6" t="s">
        <v>649</v>
      </c>
      <c r="E351" s="32" t="s">
        <v>651</v>
      </c>
      <c r="F351" s="7" t="s">
        <v>20</v>
      </c>
      <c r="G351" s="7"/>
      <c r="H351" s="7"/>
      <c r="I351" s="7"/>
      <c r="J351" s="7"/>
      <c r="K351" s="7"/>
      <c r="L351" s="7" t="s">
        <v>662</v>
      </c>
      <c r="M351" s="8">
        <v>43831</v>
      </c>
      <c r="N351" s="8">
        <v>43831</v>
      </c>
      <c r="O351" s="13">
        <v>748809.52</v>
      </c>
      <c r="P351" s="13"/>
      <c r="Q351" s="33"/>
      <c r="R351" s="9"/>
      <c r="S351" s="9"/>
      <c r="T351" s="9"/>
      <c r="U351" s="9"/>
      <c r="X351" s="15" t="str">
        <f>IF(B351="",VLOOKUP(A351,items_lookup!A:B,2,FALSE),B351)</f>
        <v>11. Item 11</v>
      </c>
      <c r="Y351" s="15">
        <f t="shared" si="33"/>
        <v>1</v>
      </c>
      <c r="Z351" s="15">
        <f t="shared" si="33"/>
        <v>1</v>
      </c>
      <c r="AA351" s="15">
        <f t="shared" si="30"/>
        <v>2020</v>
      </c>
      <c r="AB351" s="15">
        <f t="shared" si="31"/>
        <v>2020</v>
      </c>
      <c r="AC351" s="15">
        <f t="shared" si="32"/>
        <v>2019</v>
      </c>
      <c r="AD351" s="18" t="b">
        <f t="shared" si="34"/>
        <v>1</v>
      </c>
    </row>
    <row r="352" spans="1:32" ht="12.6" hidden="1" customHeight="1" x14ac:dyDescent="0.2">
      <c r="A352" s="7" t="s">
        <v>676</v>
      </c>
      <c r="B352" s="7"/>
      <c r="C352" s="2" t="s">
        <v>641</v>
      </c>
      <c r="D352" s="6" t="s">
        <v>649</v>
      </c>
      <c r="E352" s="32" t="s">
        <v>651</v>
      </c>
      <c r="F352" s="7" t="s">
        <v>20</v>
      </c>
      <c r="G352" s="7"/>
      <c r="H352" s="7"/>
      <c r="I352" s="7"/>
      <c r="J352" s="7"/>
      <c r="K352" s="7"/>
      <c r="L352" s="7" t="s">
        <v>662</v>
      </c>
      <c r="M352" s="8">
        <v>43831</v>
      </c>
      <c r="N352" s="8">
        <v>43831</v>
      </c>
      <c r="O352" s="13">
        <v>236190.48</v>
      </c>
      <c r="P352" s="13"/>
      <c r="Q352" s="33"/>
      <c r="R352" s="9"/>
      <c r="S352" s="9"/>
      <c r="T352" s="9"/>
      <c r="U352" s="9"/>
      <c r="X352" s="15" t="str">
        <f>IF(B352="",VLOOKUP(A352,items_lookup!A:B,2,FALSE),B352)</f>
        <v>09. Item 09</v>
      </c>
      <c r="Y352" s="15">
        <f t="shared" si="33"/>
        <v>1</v>
      </c>
      <c r="Z352" s="15">
        <f t="shared" si="33"/>
        <v>1</v>
      </c>
      <c r="AA352" s="15">
        <f t="shared" si="30"/>
        <v>2020</v>
      </c>
      <c r="AB352" s="15">
        <f t="shared" si="31"/>
        <v>2020</v>
      </c>
      <c r="AC352" s="15">
        <f t="shared" si="32"/>
        <v>2019</v>
      </c>
      <c r="AD352" s="18" t="b">
        <f t="shared" si="34"/>
        <v>1</v>
      </c>
    </row>
    <row r="353" spans="1:30" ht="15" hidden="1" customHeight="1" x14ac:dyDescent="0.2">
      <c r="A353" s="7" t="s">
        <v>675</v>
      </c>
      <c r="B353" s="7" t="s">
        <v>709</v>
      </c>
      <c r="C353" s="2" t="s">
        <v>641</v>
      </c>
      <c r="D353" s="6" t="s">
        <v>649</v>
      </c>
      <c r="E353" s="32" t="s">
        <v>651</v>
      </c>
      <c r="F353" s="7" t="s">
        <v>20</v>
      </c>
      <c r="G353" s="7"/>
      <c r="H353" s="7" t="s">
        <v>653</v>
      </c>
      <c r="I353" s="7"/>
      <c r="J353" s="7"/>
      <c r="K353" s="7"/>
      <c r="L353" s="7" t="s">
        <v>662</v>
      </c>
      <c r="M353" s="8">
        <v>43830</v>
      </c>
      <c r="N353" s="8">
        <v>43830</v>
      </c>
      <c r="O353" s="13">
        <v>-101575.21</v>
      </c>
      <c r="P353" s="13"/>
      <c r="Q353" s="33"/>
      <c r="R353" s="9"/>
      <c r="S353" s="9"/>
      <c r="T353" s="9"/>
      <c r="U353" s="9"/>
      <c r="X353" s="15" t="str">
        <f>IF(B353="",VLOOKUP(A353,items_lookup!A:B,2,FALSE),B353)</f>
        <v>04. Item 04</v>
      </c>
      <c r="Y353" s="15">
        <f t="shared" si="33"/>
        <v>12</v>
      </c>
      <c r="Z353" s="15">
        <f t="shared" si="33"/>
        <v>12</v>
      </c>
      <c r="AA353" s="15">
        <f t="shared" ref="AA353:AA402" si="35">YEAR(N353)</f>
        <v>2019</v>
      </c>
      <c r="AB353" s="15">
        <f t="shared" ref="AB353:AB402" si="36">YEAR(M353)</f>
        <v>2019</v>
      </c>
      <c r="AC353" s="15">
        <f t="shared" ref="AC353:AC402" si="37">IF(F353="X",AA353-1,AA353)</f>
        <v>2018</v>
      </c>
      <c r="AD353" s="18" t="b">
        <f t="shared" si="34"/>
        <v>1</v>
      </c>
    </row>
    <row r="354" spans="1:30" ht="15" hidden="1" customHeight="1" x14ac:dyDescent="0.2">
      <c r="A354" s="7"/>
      <c r="B354" s="7" t="s">
        <v>710</v>
      </c>
      <c r="C354" s="2" t="s">
        <v>641</v>
      </c>
      <c r="D354" s="6" t="s">
        <v>649</v>
      </c>
      <c r="E354" s="32" t="s">
        <v>651</v>
      </c>
      <c r="F354" s="7" t="s">
        <v>20</v>
      </c>
      <c r="G354" s="7"/>
      <c r="H354" s="7" t="s">
        <v>653</v>
      </c>
      <c r="I354" s="7"/>
      <c r="J354" s="7"/>
      <c r="K354" s="7"/>
      <c r="L354" s="7" t="s">
        <v>662</v>
      </c>
      <c r="M354" s="8">
        <v>43830</v>
      </c>
      <c r="N354" s="8">
        <v>43830</v>
      </c>
      <c r="O354" s="13">
        <v>-62271.44</v>
      </c>
      <c r="P354" s="13"/>
      <c r="Q354" s="33"/>
      <c r="R354" s="9"/>
      <c r="S354" s="9"/>
      <c r="T354" s="9"/>
      <c r="U354" s="9"/>
      <c r="X354" s="15" t="str">
        <f>IF(B354="",VLOOKUP(A354,items_lookup!A:B,2,FALSE),B354)</f>
        <v>13. Item 13</v>
      </c>
      <c r="Y354" s="15">
        <f t="shared" si="33"/>
        <v>12</v>
      </c>
      <c r="Z354" s="15">
        <f t="shared" si="33"/>
        <v>12</v>
      </c>
      <c r="AA354" s="15">
        <f t="shared" si="35"/>
        <v>2019</v>
      </c>
      <c r="AB354" s="15">
        <f t="shared" si="36"/>
        <v>2019</v>
      </c>
      <c r="AC354" s="15">
        <f t="shared" si="37"/>
        <v>2018</v>
      </c>
      <c r="AD354" s="18" t="b">
        <f t="shared" si="34"/>
        <v>1</v>
      </c>
    </row>
    <row r="355" spans="1:30" ht="12.6" hidden="1" customHeight="1" x14ac:dyDescent="0.2">
      <c r="A355" s="7" t="s">
        <v>673</v>
      </c>
      <c r="B355" s="7"/>
      <c r="C355" s="2" t="s">
        <v>641</v>
      </c>
      <c r="D355" s="6" t="s">
        <v>649</v>
      </c>
      <c r="E355" s="32" t="s">
        <v>651</v>
      </c>
      <c r="F355" s="7" t="s">
        <v>20</v>
      </c>
      <c r="G355" s="7"/>
      <c r="H355" s="7" t="s">
        <v>653</v>
      </c>
      <c r="I355" s="7"/>
      <c r="J355" s="7"/>
      <c r="K355" s="7"/>
      <c r="L355" s="7" t="s">
        <v>662</v>
      </c>
      <c r="M355" s="8">
        <v>43830</v>
      </c>
      <c r="N355" s="8">
        <v>43830</v>
      </c>
      <c r="O355" s="13">
        <v>-36379.980000000003</v>
      </c>
      <c r="P355" s="13"/>
      <c r="Q355" s="33"/>
      <c r="R355" s="9"/>
      <c r="S355" s="9"/>
      <c r="T355" s="9"/>
      <c r="U355" s="9"/>
      <c r="X355" s="15" t="str">
        <f>IF(B355="",VLOOKUP(A355,items_lookup!A:B,2,FALSE),B355)</f>
        <v>07. Item 07</v>
      </c>
      <c r="Y355" s="15">
        <f t="shared" si="33"/>
        <v>12</v>
      </c>
      <c r="Z355" s="15">
        <f t="shared" si="33"/>
        <v>12</v>
      </c>
      <c r="AA355" s="15">
        <f t="shared" si="35"/>
        <v>2019</v>
      </c>
      <c r="AB355" s="15">
        <f t="shared" si="36"/>
        <v>2019</v>
      </c>
      <c r="AC355" s="15">
        <f t="shared" si="37"/>
        <v>2018</v>
      </c>
      <c r="AD355" s="18" t="b">
        <f t="shared" si="34"/>
        <v>1</v>
      </c>
    </row>
    <row r="356" spans="1:30" ht="12.6" hidden="1" customHeight="1" x14ac:dyDescent="0.2">
      <c r="A356" s="7" t="s">
        <v>672</v>
      </c>
      <c r="B356" s="7"/>
      <c r="C356" s="2" t="s">
        <v>641</v>
      </c>
      <c r="D356" s="6" t="s">
        <v>649</v>
      </c>
      <c r="E356" s="32" t="s">
        <v>651</v>
      </c>
      <c r="F356" s="7" t="s">
        <v>20</v>
      </c>
      <c r="G356" s="7"/>
      <c r="H356" s="7" t="s">
        <v>653</v>
      </c>
      <c r="I356" s="7"/>
      <c r="J356" s="7"/>
      <c r="K356" s="7"/>
      <c r="L356" s="7" t="s">
        <v>662</v>
      </c>
      <c r="M356" s="8">
        <v>43830</v>
      </c>
      <c r="N356" s="8">
        <v>43830</v>
      </c>
      <c r="O356" s="13">
        <v>-50.16</v>
      </c>
      <c r="P356" s="13"/>
      <c r="Q356" s="33"/>
      <c r="R356" s="9"/>
      <c r="S356" s="9"/>
      <c r="T356" s="9"/>
      <c r="U356" s="9"/>
      <c r="X356" s="15" t="str">
        <f>IF(B356="",VLOOKUP(A356,items_lookup!A:B,2,FALSE),B356)</f>
        <v>05. Item 05</v>
      </c>
      <c r="Y356" s="15">
        <f t="shared" si="33"/>
        <v>12</v>
      </c>
      <c r="Z356" s="15">
        <f t="shared" si="33"/>
        <v>12</v>
      </c>
      <c r="AA356" s="15">
        <f t="shared" si="35"/>
        <v>2019</v>
      </c>
      <c r="AB356" s="15">
        <f t="shared" si="36"/>
        <v>2019</v>
      </c>
      <c r="AC356" s="15">
        <f t="shared" si="37"/>
        <v>2018</v>
      </c>
      <c r="AD356" s="18" t="b">
        <f t="shared" si="34"/>
        <v>1</v>
      </c>
    </row>
    <row r="357" spans="1:30" ht="12.6" hidden="1" customHeight="1" x14ac:dyDescent="0.2">
      <c r="A357" s="7" t="s">
        <v>668</v>
      </c>
      <c r="B357" s="7"/>
      <c r="C357" s="2" t="s">
        <v>641</v>
      </c>
      <c r="D357" s="6" t="s">
        <v>649</v>
      </c>
      <c r="E357" s="32" t="s">
        <v>651</v>
      </c>
      <c r="F357" s="7"/>
      <c r="G357" s="7"/>
      <c r="H357" s="7"/>
      <c r="I357" s="7"/>
      <c r="J357" s="7"/>
      <c r="K357" s="7"/>
      <c r="L357" s="7" t="s">
        <v>662</v>
      </c>
      <c r="M357" s="8">
        <v>43831</v>
      </c>
      <c r="N357" s="8">
        <v>43831</v>
      </c>
      <c r="O357" s="13">
        <v>6277857.1399999997</v>
      </c>
      <c r="P357" s="13"/>
      <c r="Q357" s="33"/>
      <c r="R357" s="9"/>
      <c r="S357" s="9"/>
      <c r="T357" s="9"/>
      <c r="U357" s="9"/>
      <c r="X357" s="15" t="str">
        <f>IF(B357="",VLOOKUP(A357,items_lookup!A:B,2,FALSE),B357)</f>
        <v>01. Item 01</v>
      </c>
      <c r="Y357" s="15">
        <f t="shared" si="33"/>
        <v>1</v>
      </c>
      <c r="Z357" s="15">
        <f t="shared" si="33"/>
        <v>1</v>
      </c>
      <c r="AA357" s="15">
        <f t="shared" si="35"/>
        <v>2020</v>
      </c>
      <c r="AB357" s="15">
        <f t="shared" si="36"/>
        <v>2020</v>
      </c>
      <c r="AC357" s="15">
        <f t="shared" si="37"/>
        <v>2020</v>
      </c>
      <c r="AD357" s="18" t="b">
        <f t="shared" si="34"/>
        <v>1</v>
      </c>
    </row>
    <row r="358" spans="1:30" ht="15" hidden="1" customHeight="1" x14ac:dyDescent="0.2">
      <c r="A358" s="7" t="s">
        <v>669</v>
      </c>
      <c r="B358" s="7"/>
      <c r="C358" s="2" t="s">
        <v>641</v>
      </c>
      <c r="D358" s="6" t="s">
        <v>649</v>
      </c>
      <c r="E358" s="32" t="s">
        <v>651</v>
      </c>
      <c r="F358" s="7"/>
      <c r="G358" s="7"/>
      <c r="H358" s="7"/>
      <c r="I358" s="7"/>
      <c r="J358" s="7"/>
      <c r="K358" s="7"/>
      <c r="L358" s="7" t="s">
        <v>662</v>
      </c>
      <c r="M358" s="8">
        <v>43831</v>
      </c>
      <c r="N358" s="8">
        <v>43831</v>
      </c>
      <c r="O358" s="13">
        <v>1555714.29</v>
      </c>
      <c r="P358" s="13"/>
      <c r="Q358" s="33"/>
      <c r="R358" s="9"/>
      <c r="S358" s="9"/>
      <c r="T358" s="9"/>
      <c r="U358" s="9"/>
      <c r="X358" s="15" t="str">
        <f>IF(B358="",VLOOKUP(A358,items_lookup!A:B,2,FALSE),B358)</f>
        <v>02. Item 02</v>
      </c>
      <c r="Y358" s="15">
        <f t="shared" si="33"/>
        <v>1</v>
      </c>
      <c r="Z358" s="15">
        <f t="shared" si="33"/>
        <v>1</v>
      </c>
      <c r="AA358" s="15">
        <f t="shared" si="35"/>
        <v>2020</v>
      </c>
      <c r="AB358" s="15">
        <f t="shared" si="36"/>
        <v>2020</v>
      </c>
      <c r="AC358" s="15">
        <f t="shared" si="37"/>
        <v>2020</v>
      </c>
      <c r="AD358" s="18" t="b">
        <f t="shared" si="34"/>
        <v>1</v>
      </c>
    </row>
    <row r="359" spans="1:30" ht="15" hidden="1" customHeight="1" x14ac:dyDescent="0.2">
      <c r="A359" s="7" t="s">
        <v>670</v>
      </c>
      <c r="B359" s="7"/>
      <c r="C359" s="2" t="s">
        <v>641</v>
      </c>
      <c r="D359" s="6" t="s">
        <v>650</v>
      </c>
      <c r="E359" s="32" t="s">
        <v>651</v>
      </c>
      <c r="F359" s="7"/>
      <c r="G359" s="7"/>
      <c r="H359" s="7"/>
      <c r="I359" s="7"/>
      <c r="J359" s="7"/>
      <c r="K359" s="7"/>
      <c r="L359" s="7" t="s">
        <v>662</v>
      </c>
      <c r="M359" s="8">
        <v>43831</v>
      </c>
      <c r="N359" s="8">
        <v>43831</v>
      </c>
      <c r="O359" s="13">
        <v>640476.18999999994</v>
      </c>
      <c r="P359" s="13"/>
      <c r="Q359" s="33"/>
      <c r="R359" s="9"/>
      <c r="S359" s="9"/>
      <c r="T359" s="9"/>
      <c r="U359" s="9"/>
      <c r="X359" s="15" t="str">
        <f>IF(B359="",VLOOKUP(A359,items_lookup!A:B,2,FALSE),B359)</f>
        <v>04. Item 04</v>
      </c>
      <c r="Y359" s="15">
        <f t="shared" si="33"/>
        <v>1</v>
      </c>
      <c r="Z359" s="15">
        <f t="shared" si="33"/>
        <v>1</v>
      </c>
      <c r="AA359" s="15">
        <f t="shared" si="35"/>
        <v>2020</v>
      </c>
      <c r="AB359" s="15">
        <f t="shared" si="36"/>
        <v>2020</v>
      </c>
      <c r="AC359" s="15">
        <f t="shared" si="37"/>
        <v>2020</v>
      </c>
      <c r="AD359" s="18" t="b">
        <f t="shared" si="34"/>
        <v>1</v>
      </c>
    </row>
    <row r="360" spans="1:30" ht="15" hidden="1" customHeight="1" x14ac:dyDescent="0.2">
      <c r="A360" s="7" t="s">
        <v>671</v>
      </c>
      <c r="B360" s="7"/>
      <c r="C360" s="2" t="s">
        <v>641</v>
      </c>
      <c r="D360" s="6" t="s">
        <v>649</v>
      </c>
      <c r="E360" s="32" t="s">
        <v>651</v>
      </c>
      <c r="F360" s="7"/>
      <c r="G360" s="7"/>
      <c r="H360" s="7"/>
      <c r="I360" s="7"/>
      <c r="J360" s="7"/>
      <c r="K360" s="7"/>
      <c r="L360" s="7" t="s">
        <v>662</v>
      </c>
      <c r="M360" s="8">
        <v>43831</v>
      </c>
      <c r="N360" s="8">
        <v>43831</v>
      </c>
      <c r="O360" s="13">
        <v>71428.570000000007</v>
      </c>
      <c r="P360" s="13"/>
      <c r="Q360" s="33"/>
      <c r="R360" s="9"/>
      <c r="S360" s="9"/>
      <c r="T360" s="9"/>
      <c r="U360" s="9"/>
      <c r="X360" s="15" t="str">
        <f>IF(B360="",VLOOKUP(A360,items_lookup!A:B,2,FALSE),B360)</f>
        <v>05. Item 05</v>
      </c>
      <c r="Y360" s="15">
        <f t="shared" si="33"/>
        <v>1</v>
      </c>
      <c r="Z360" s="15">
        <f t="shared" si="33"/>
        <v>1</v>
      </c>
      <c r="AA360" s="15">
        <f t="shared" si="35"/>
        <v>2020</v>
      </c>
      <c r="AB360" s="15">
        <f t="shared" si="36"/>
        <v>2020</v>
      </c>
      <c r="AC360" s="15">
        <f t="shared" si="37"/>
        <v>2020</v>
      </c>
      <c r="AD360" s="18" t="b">
        <f t="shared" si="34"/>
        <v>1</v>
      </c>
    </row>
    <row r="361" spans="1:30" ht="15" hidden="1" customHeight="1" x14ac:dyDescent="0.2">
      <c r="A361" s="7" t="s">
        <v>677</v>
      </c>
      <c r="B361" s="20"/>
      <c r="C361" s="2" t="s">
        <v>642</v>
      </c>
      <c r="D361" s="6"/>
      <c r="E361" s="32" t="s">
        <v>651</v>
      </c>
      <c r="F361" s="7"/>
      <c r="G361" s="7"/>
      <c r="H361" s="7"/>
      <c r="I361" s="7"/>
      <c r="J361" s="7"/>
      <c r="K361" s="7"/>
      <c r="L361" s="7" t="s">
        <v>662</v>
      </c>
      <c r="M361" s="8">
        <v>44075</v>
      </c>
      <c r="N361" s="8">
        <v>44075</v>
      </c>
      <c r="O361" s="13">
        <v>2231976.19</v>
      </c>
      <c r="P361" s="13"/>
      <c r="Q361" s="33"/>
      <c r="R361" s="9"/>
      <c r="S361" s="9"/>
      <c r="T361" s="9"/>
      <c r="U361" s="9"/>
      <c r="X361" s="15" t="str">
        <f>IF(B361="",VLOOKUP(A361,items_lookup!A:B,2,FALSE),B361)</f>
        <v>11. Item 11</v>
      </c>
      <c r="Y361" s="15">
        <f t="shared" si="33"/>
        <v>9</v>
      </c>
      <c r="Z361" s="15">
        <f t="shared" si="33"/>
        <v>9</v>
      </c>
      <c r="AA361" s="15">
        <f t="shared" si="35"/>
        <v>2020</v>
      </c>
      <c r="AB361" s="15">
        <f t="shared" si="36"/>
        <v>2020</v>
      </c>
      <c r="AC361" s="15">
        <f t="shared" si="37"/>
        <v>2020</v>
      </c>
      <c r="AD361" s="18" t="b">
        <f t="shared" si="34"/>
        <v>1</v>
      </c>
    </row>
    <row r="362" spans="1:30" ht="15" hidden="1" customHeight="1" x14ac:dyDescent="0.2">
      <c r="A362" s="7" t="s">
        <v>676</v>
      </c>
      <c r="B362" s="7"/>
      <c r="C362" s="2" t="s">
        <v>641</v>
      </c>
      <c r="D362" s="6" t="s">
        <v>649</v>
      </c>
      <c r="E362" s="32" t="s">
        <v>651</v>
      </c>
      <c r="F362" s="7"/>
      <c r="G362" s="7"/>
      <c r="H362" s="7"/>
      <c r="I362" s="7"/>
      <c r="J362" s="7"/>
      <c r="K362" s="7"/>
      <c r="L362" s="7" t="s">
        <v>662</v>
      </c>
      <c r="M362" s="8">
        <v>43831</v>
      </c>
      <c r="N362" s="8">
        <v>43831</v>
      </c>
      <c r="O362" s="13">
        <v>7873809.5199999996</v>
      </c>
      <c r="P362" s="13"/>
      <c r="Q362" s="33"/>
      <c r="R362" s="9"/>
      <c r="S362" s="9"/>
      <c r="T362" s="9"/>
      <c r="U362" s="9"/>
      <c r="X362" s="15" t="str">
        <f>IF(B362="",VLOOKUP(A362,items_lookup!A:B,2,FALSE),B362)</f>
        <v>09. Item 09</v>
      </c>
      <c r="Y362" s="15">
        <f t="shared" si="33"/>
        <v>1</v>
      </c>
      <c r="Z362" s="15">
        <f t="shared" si="33"/>
        <v>1</v>
      </c>
      <c r="AA362" s="15">
        <f t="shared" si="35"/>
        <v>2020</v>
      </c>
      <c r="AB362" s="15">
        <f t="shared" si="36"/>
        <v>2020</v>
      </c>
      <c r="AC362" s="15">
        <f t="shared" si="37"/>
        <v>2020</v>
      </c>
      <c r="AD362" s="18" t="b">
        <f t="shared" si="34"/>
        <v>1</v>
      </c>
    </row>
    <row r="363" spans="1:30" ht="15" hidden="1" customHeight="1" x14ac:dyDescent="0.2">
      <c r="A363" s="7" t="s">
        <v>675</v>
      </c>
      <c r="B363" s="7"/>
      <c r="C363" s="2" t="s">
        <v>641</v>
      </c>
      <c r="D363" s="6" t="s">
        <v>649</v>
      </c>
      <c r="E363" s="32" t="s">
        <v>651</v>
      </c>
      <c r="F363" s="7"/>
      <c r="G363" s="7"/>
      <c r="H363" s="7"/>
      <c r="I363" s="7"/>
      <c r="J363" s="7"/>
      <c r="K363" s="7"/>
      <c r="L363" s="7" t="s">
        <v>662</v>
      </c>
      <c r="M363" s="8">
        <v>43831</v>
      </c>
      <c r="N363" s="8">
        <v>43831</v>
      </c>
      <c r="O363" s="13">
        <v>5473095.2400000002</v>
      </c>
      <c r="P363" s="13"/>
      <c r="Q363" s="33"/>
      <c r="R363" s="9"/>
      <c r="S363" s="9"/>
      <c r="T363" s="9"/>
      <c r="U363" s="9"/>
      <c r="X363" s="15" t="str">
        <f>IF(B363="",VLOOKUP(A363,items_lookup!A:B,2,FALSE),B363)</f>
        <v>09. Item 09</v>
      </c>
      <c r="Y363" s="15">
        <f t="shared" si="33"/>
        <v>1</v>
      </c>
      <c r="Z363" s="15">
        <f t="shared" si="33"/>
        <v>1</v>
      </c>
      <c r="AA363" s="15">
        <f t="shared" si="35"/>
        <v>2020</v>
      </c>
      <c r="AB363" s="15">
        <f t="shared" si="36"/>
        <v>2020</v>
      </c>
      <c r="AC363" s="15">
        <f t="shared" si="37"/>
        <v>2020</v>
      </c>
      <c r="AD363" s="18" t="b">
        <f t="shared" si="34"/>
        <v>1</v>
      </c>
    </row>
    <row r="364" spans="1:30" ht="15" hidden="1" customHeight="1" x14ac:dyDescent="0.2">
      <c r="A364" s="7" t="s">
        <v>678</v>
      </c>
      <c r="B364" s="7"/>
      <c r="C364" s="2" t="s">
        <v>641</v>
      </c>
      <c r="D364" s="6" t="s">
        <v>649</v>
      </c>
      <c r="E364" s="32" t="s">
        <v>651</v>
      </c>
      <c r="F364" s="7"/>
      <c r="G364" s="7"/>
      <c r="H364" s="7"/>
      <c r="I364" s="7"/>
      <c r="J364" s="7"/>
      <c r="K364" s="7"/>
      <c r="L364" s="7" t="s">
        <v>662</v>
      </c>
      <c r="M364" s="8">
        <v>43831</v>
      </c>
      <c r="N364" s="8">
        <v>43831</v>
      </c>
      <c r="O364" s="13">
        <v>29047.62</v>
      </c>
      <c r="P364" s="13"/>
      <c r="Q364" s="33"/>
      <c r="R364" s="22"/>
      <c r="S364" s="22"/>
      <c r="T364" s="22"/>
      <c r="U364" s="22"/>
      <c r="X364" s="15" t="str">
        <f>IF(B364="",VLOOKUP(A364,items_lookup!A:B,2,FALSE),B364)</f>
        <v>13. Item 13</v>
      </c>
      <c r="Y364" s="15">
        <f t="shared" si="33"/>
        <v>1</v>
      </c>
      <c r="Z364" s="15">
        <f t="shared" si="33"/>
        <v>1</v>
      </c>
      <c r="AA364" s="15">
        <f t="shared" si="35"/>
        <v>2020</v>
      </c>
      <c r="AB364" s="15">
        <f t="shared" si="36"/>
        <v>2020</v>
      </c>
      <c r="AC364" s="15">
        <f t="shared" si="37"/>
        <v>2020</v>
      </c>
      <c r="AD364" s="18" t="b">
        <f t="shared" si="34"/>
        <v>1</v>
      </c>
    </row>
    <row r="365" spans="1:30" ht="12.6" hidden="1" customHeight="1" x14ac:dyDescent="0.2">
      <c r="A365" s="7" t="s">
        <v>678</v>
      </c>
      <c r="B365" s="7" t="s">
        <v>708</v>
      </c>
      <c r="C365" s="2" t="s">
        <v>641</v>
      </c>
      <c r="D365" s="6" t="s">
        <v>649</v>
      </c>
      <c r="E365" s="32" t="s">
        <v>651</v>
      </c>
      <c r="F365" s="7"/>
      <c r="G365" s="7"/>
      <c r="H365" s="7"/>
      <c r="I365" s="7"/>
      <c r="J365" s="7"/>
      <c r="K365" s="7"/>
      <c r="L365" s="7" t="s">
        <v>662</v>
      </c>
      <c r="M365" s="8">
        <v>43831</v>
      </c>
      <c r="N365" s="8">
        <v>43831</v>
      </c>
      <c r="O365" s="13">
        <v>3566666.67</v>
      </c>
      <c r="P365" s="13"/>
      <c r="Q365" s="33"/>
      <c r="R365" s="9"/>
      <c r="S365" s="9"/>
      <c r="T365" s="9"/>
      <c r="U365" s="9"/>
      <c r="X365" s="15" t="str">
        <f>IF(B365="",VLOOKUP(A365,items_lookup!A:B,2,FALSE),B365)</f>
        <v>03. Item 03</v>
      </c>
      <c r="Y365" s="15">
        <f t="shared" si="33"/>
        <v>1</v>
      </c>
      <c r="Z365" s="15">
        <f t="shared" si="33"/>
        <v>1</v>
      </c>
      <c r="AA365" s="15">
        <f t="shared" si="35"/>
        <v>2020</v>
      </c>
      <c r="AB365" s="15">
        <f t="shared" si="36"/>
        <v>2020</v>
      </c>
      <c r="AC365" s="15">
        <f t="shared" si="37"/>
        <v>2020</v>
      </c>
      <c r="AD365" s="18" t="b">
        <f t="shared" si="34"/>
        <v>1</v>
      </c>
    </row>
    <row r="366" spans="1:30" ht="15" hidden="1" customHeight="1" x14ac:dyDescent="0.2">
      <c r="A366" s="7" t="s">
        <v>679</v>
      </c>
      <c r="B366" s="7"/>
      <c r="C366" s="2" t="s">
        <v>641</v>
      </c>
      <c r="D366" s="6" t="s">
        <v>649</v>
      </c>
      <c r="E366" s="32" t="s">
        <v>651</v>
      </c>
      <c r="F366" s="7"/>
      <c r="G366" s="7"/>
      <c r="H366" s="7"/>
      <c r="I366" s="7"/>
      <c r="J366" s="7"/>
      <c r="K366" s="7"/>
      <c r="L366" s="7" t="s">
        <v>662</v>
      </c>
      <c r="M366" s="8">
        <v>43831</v>
      </c>
      <c r="N366" s="8">
        <v>43831</v>
      </c>
      <c r="O366" s="13">
        <v>53333.33</v>
      </c>
      <c r="P366" s="13"/>
      <c r="Q366" s="33"/>
      <c r="R366" s="22"/>
      <c r="S366" s="22"/>
      <c r="T366" s="22"/>
      <c r="U366" s="22"/>
      <c r="X366" s="15" t="str">
        <f>IF(B366="",VLOOKUP(A366,items_lookup!A:B,2,FALSE),B366)</f>
        <v>13. Item 13</v>
      </c>
      <c r="Y366" s="15">
        <f t="shared" ref="Y366:Z413" si="38">MONTH(M366)</f>
        <v>1</v>
      </c>
      <c r="Z366" s="15">
        <f t="shared" si="38"/>
        <v>1</v>
      </c>
      <c r="AA366" s="15">
        <f t="shared" si="35"/>
        <v>2020</v>
      </c>
      <c r="AB366" s="15">
        <f t="shared" si="36"/>
        <v>2020</v>
      </c>
      <c r="AC366" s="15">
        <f t="shared" si="37"/>
        <v>2020</v>
      </c>
      <c r="AD366" s="18" t="b">
        <f t="shared" si="34"/>
        <v>1</v>
      </c>
    </row>
    <row r="367" spans="1:30" ht="15" hidden="1" customHeight="1" x14ac:dyDescent="0.2">
      <c r="A367" s="7" t="s">
        <v>679</v>
      </c>
      <c r="B367" s="7" t="s">
        <v>709</v>
      </c>
      <c r="C367" s="2" t="s">
        <v>641</v>
      </c>
      <c r="D367" s="6" t="s">
        <v>649</v>
      </c>
      <c r="E367" s="32" t="s">
        <v>651</v>
      </c>
      <c r="F367" s="7"/>
      <c r="G367" s="7"/>
      <c r="H367" s="7"/>
      <c r="I367" s="7"/>
      <c r="J367" s="7"/>
      <c r="K367" s="7"/>
      <c r="L367" s="7" t="s">
        <v>662</v>
      </c>
      <c r="M367" s="8">
        <v>43831</v>
      </c>
      <c r="N367" s="8">
        <v>43831</v>
      </c>
      <c r="O367" s="13">
        <v>10154761.9</v>
      </c>
      <c r="P367" s="13"/>
      <c r="Q367" s="33"/>
      <c r="R367" s="9"/>
      <c r="S367" s="9"/>
      <c r="T367" s="9"/>
      <c r="U367" s="9"/>
      <c r="X367" s="15" t="str">
        <f>IF(B367="",VLOOKUP(A367,items_lookup!A:B,2,FALSE),B367)</f>
        <v>04. Item 04</v>
      </c>
      <c r="Y367" s="15">
        <f t="shared" si="38"/>
        <v>1</v>
      </c>
      <c r="Z367" s="15">
        <f t="shared" si="38"/>
        <v>1</v>
      </c>
      <c r="AA367" s="15">
        <f t="shared" si="35"/>
        <v>2020</v>
      </c>
      <c r="AB367" s="15">
        <f t="shared" si="36"/>
        <v>2020</v>
      </c>
      <c r="AC367" s="15">
        <f t="shared" si="37"/>
        <v>2020</v>
      </c>
      <c r="AD367" s="18" t="b">
        <f t="shared" si="34"/>
        <v>1</v>
      </c>
    </row>
    <row r="368" spans="1:30" ht="12.6" hidden="1" customHeight="1" x14ac:dyDescent="0.2">
      <c r="A368" s="7" t="s">
        <v>680</v>
      </c>
      <c r="B368" s="7" t="s">
        <v>712</v>
      </c>
      <c r="C368" s="2" t="s">
        <v>641</v>
      </c>
      <c r="D368" s="6" t="s">
        <v>649</v>
      </c>
      <c r="E368" s="32" t="s">
        <v>651</v>
      </c>
      <c r="F368" s="7"/>
      <c r="G368" s="7"/>
      <c r="H368" s="7"/>
      <c r="I368" s="7"/>
      <c r="J368" s="7"/>
      <c r="K368" s="7"/>
      <c r="L368" s="7" t="s">
        <v>662</v>
      </c>
      <c r="M368" s="8">
        <v>43831</v>
      </c>
      <c r="N368" s="8">
        <v>43831</v>
      </c>
      <c r="O368" s="13">
        <v>88809.52</v>
      </c>
      <c r="P368" s="13"/>
      <c r="Q368" s="33"/>
      <c r="R368" s="22"/>
      <c r="S368" s="22"/>
      <c r="T368" s="22"/>
      <c r="U368" s="22"/>
      <c r="X368" s="15" t="str">
        <f>IF(B368="",VLOOKUP(A368,items_lookup!A:B,2,FALSE),B368)</f>
        <v>10. Item 10</v>
      </c>
      <c r="Y368" s="15">
        <f t="shared" si="38"/>
        <v>1</v>
      </c>
      <c r="Z368" s="15">
        <f t="shared" si="38"/>
        <v>1</v>
      </c>
      <c r="AA368" s="15">
        <f t="shared" si="35"/>
        <v>2020</v>
      </c>
      <c r="AB368" s="15">
        <f t="shared" si="36"/>
        <v>2020</v>
      </c>
      <c r="AC368" s="15">
        <f t="shared" si="37"/>
        <v>2020</v>
      </c>
      <c r="AD368" s="18" t="b">
        <f t="shared" si="34"/>
        <v>1</v>
      </c>
    </row>
    <row r="369" spans="1:30" ht="15" hidden="1" customHeight="1" x14ac:dyDescent="0.2">
      <c r="A369" s="7" t="s">
        <v>680</v>
      </c>
      <c r="B369" s="7"/>
      <c r="C369" s="2" t="s">
        <v>641</v>
      </c>
      <c r="D369" s="6" t="s">
        <v>649</v>
      </c>
      <c r="E369" s="32" t="s">
        <v>651</v>
      </c>
      <c r="F369" s="7"/>
      <c r="G369" s="7"/>
      <c r="H369" s="7"/>
      <c r="I369" s="7"/>
      <c r="J369" s="7"/>
      <c r="K369" s="7"/>
      <c r="L369" s="7" t="s">
        <v>662</v>
      </c>
      <c r="M369" s="8">
        <v>43831</v>
      </c>
      <c r="N369" s="8">
        <v>43831</v>
      </c>
      <c r="O369" s="13">
        <v>97619.05</v>
      </c>
      <c r="P369" s="13"/>
      <c r="Q369" s="33"/>
      <c r="R369" s="22"/>
      <c r="S369" s="22"/>
      <c r="T369" s="22"/>
      <c r="U369" s="22"/>
      <c r="X369" s="15" t="str">
        <f>IF(B369="",VLOOKUP(A369,items_lookup!A:B,2,FALSE),B369)</f>
        <v>13. Item 13</v>
      </c>
      <c r="Y369" s="15">
        <f t="shared" si="38"/>
        <v>1</v>
      </c>
      <c r="Z369" s="15">
        <f t="shared" si="38"/>
        <v>1</v>
      </c>
      <c r="AA369" s="15">
        <f t="shared" si="35"/>
        <v>2020</v>
      </c>
      <c r="AB369" s="15">
        <f t="shared" si="36"/>
        <v>2020</v>
      </c>
      <c r="AC369" s="15">
        <f t="shared" si="37"/>
        <v>2020</v>
      </c>
      <c r="AD369" s="18" t="b">
        <f t="shared" si="34"/>
        <v>1</v>
      </c>
    </row>
    <row r="370" spans="1:30" ht="25.5" hidden="1" customHeight="1" x14ac:dyDescent="0.2">
      <c r="A370" s="7" t="s">
        <v>683</v>
      </c>
      <c r="B370" s="7"/>
      <c r="C370" s="2" t="s">
        <v>641</v>
      </c>
      <c r="D370" s="6" t="s">
        <v>649</v>
      </c>
      <c r="E370" s="32" t="s">
        <v>651</v>
      </c>
      <c r="F370" s="7"/>
      <c r="G370" s="7"/>
      <c r="H370" s="7"/>
      <c r="I370" s="7"/>
      <c r="J370" s="7"/>
      <c r="K370" s="7"/>
      <c r="L370" s="7" t="s">
        <v>662</v>
      </c>
      <c r="M370" s="8">
        <v>43831</v>
      </c>
      <c r="N370" s="8">
        <v>43831</v>
      </c>
      <c r="O370" s="13">
        <v>517380.95</v>
      </c>
      <c r="P370" s="13"/>
      <c r="Q370" s="33"/>
      <c r="R370" s="22"/>
      <c r="S370" s="22"/>
      <c r="T370" s="22"/>
      <c r="U370" s="22"/>
      <c r="X370" s="15" t="str">
        <f>IF(B370="",VLOOKUP(A370,items_lookup!A:B,2,FALSE),B370)</f>
        <v>_1. Item _1</v>
      </c>
      <c r="Y370" s="15">
        <f t="shared" si="38"/>
        <v>1</v>
      </c>
      <c r="Z370" s="15">
        <f t="shared" si="38"/>
        <v>1</v>
      </c>
      <c r="AA370" s="15">
        <f t="shared" si="35"/>
        <v>2020</v>
      </c>
      <c r="AB370" s="15">
        <f t="shared" si="36"/>
        <v>2020</v>
      </c>
      <c r="AC370" s="15">
        <f t="shared" si="37"/>
        <v>2020</v>
      </c>
      <c r="AD370" s="18" t="b">
        <f t="shared" si="34"/>
        <v>1</v>
      </c>
    </row>
    <row r="371" spans="1:30" ht="15" hidden="1" customHeight="1" x14ac:dyDescent="0.2">
      <c r="A371" s="7" t="s">
        <v>686</v>
      </c>
      <c r="B371" s="7"/>
      <c r="C371" s="2" t="s">
        <v>641</v>
      </c>
      <c r="D371" s="6" t="s">
        <v>650</v>
      </c>
      <c r="E371" s="32" t="s">
        <v>651</v>
      </c>
      <c r="F371" s="7"/>
      <c r="G371" s="7"/>
      <c r="H371" s="7"/>
      <c r="I371" s="7"/>
      <c r="J371" s="7"/>
      <c r="K371" s="7"/>
      <c r="L371" s="7" t="s">
        <v>662</v>
      </c>
      <c r="M371" s="8">
        <v>43831</v>
      </c>
      <c r="N371" s="8">
        <v>43831</v>
      </c>
      <c r="O371" s="13">
        <v>283238.09999999998</v>
      </c>
      <c r="P371" s="13"/>
      <c r="Q371" s="33"/>
      <c r="R371" s="9"/>
      <c r="S371" s="9"/>
      <c r="T371" s="9"/>
      <c r="U371" s="9"/>
      <c r="X371" s="15" t="str">
        <f>IF(B371="",VLOOKUP(A371,items_lookup!A:B,2,FALSE),B371)</f>
        <v>_2. Item _2</v>
      </c>
      <c r="Y371" s="15">
        <f t="shared" si="38"/>
        <v>1</v>
      </c>
      <c r="Z371" s="15">
        <f t="shared" si="38"/>
        <v>1</v>
      </c>
      <c r="AA371" s="15">
        <f t="shared" si="35"/>
        <v>2020</v>
      </c>
      <c r="AB371" s="15">
        <f t="shared" si="36"/>
        <v>2020</v>
      </c>
      <c r="AC371" s="15">
        <f t="shared" si="37"/>
        <v>2020</v>
      </c>
      <c r="AD371" s="18" t="b">
        <f t="shared" si="34"/>
        <v>1</v>
      </c>
    </row>
    <row r="372" spans="1:30" ht="15" hidden="1" customHeight="1" x14ac:dyDescent="0.2">
      <c r="A372" s="7" t="s">
        <v>683</v>
      </c>
      <c r="B372" s="7"/>
      <c r="C372" s="2" t="s">
        <v>641</v>
      </c>
      <c r="D372" s="6" t="s">
        <v>649</v>
      </c>
      <c r="E372" s="32" t="s">
        <v>651</v>
      </c>
      <c r="F372" s="7"/>
      <c r="G372" s="7"/>
      <c r="H372" s="7" t="s">
        <v>653</v>
      </c>
      <c r="I372" s="7"/>
      <c r="J372" s="7"/>
      <c r="K372" s="7"/>
      <c r="L372" s="7" t="s">
        <v>662</v>
      </c>
      <c r="M372" s="8">
        <v>43830</v>
      </c>
      <c r="N372" s="8">
        <v>43830</v>
      </c>
      <c r="O372" s="13">
        <v>-36646.629999999997</v>
      </c>
      <c r="P372" s="13"/>
      <c r="Q372" s="33"/>
      <c r="R372" s="9"/>
      <c r="S372" s="9"/>
      <c r="T372" s="9"/>
      <c r="U372" s="9"/>
      <c r="X372" s="15" t="str">
        <f>IF(B372="",VLOOKUP(A372,items_lookup!A:B,2,FALSE),B372)</f>
        <v>_1. Item _1</v>
      </c>
      <c r="Y372" s="15">
        <f t="shared" si="38"/>
        <v>12</v>
      </c>
      <c r="Z372" s="15">
        <f t="shared" si="38"/>
        <v>12</v>
      </c>
      <c r="AA372" s="15">
        <f t="shared" si="35"/>
        <v>2019</v>
      </c>
      <c r="AB372" s="15">
        <f t="shared" si="36"/>
        <v>2019</v>
      </c>
      <c r="AC372" s="15">
        <f t="shared" si="37"/>
        <v>2019</v>
      </c>
      <c r="AD372" s="18" t="b">
        <f t="shared" si="34"/>
        <v>1</v>
      </c>
    </row>
    <row r="373" spans="1:30" ht="15" hidden="1" customHeight="1" x14ac:dyDescent="0.2">
      <c r="A373" s="7" t="s">
        <v>682</v>
      </c>
      <c r="B373" s="7"/>
      <c r="C373" s="2" t="s">
        <v>641</v>
      </c>
      <c r="D373" s="6" t="s">
        <v>649</v>
      </c>
      <c r="E373" s="32" t="s">
        <v>651</v>
      </c>
      <c r="F373" s="7"/>
      <c r="G373" s="7"/>
      <c r="H373" s="7" t="s">
        <v>653</v>
      </c>
      <c r="I373" s="7"/>
      <c r="J373" s="7"/>
      <c r="K373" s="7"/>
      <c r="L373" s="7" t="s">
        <v>662</v>
      </c>
      <c r="M373" s="8">
        <v>43830</v>
      </c>
      <c r="N373" s="8">
        <v>43830</v>
      </c>
      <c r="O373" s="13">
        <v>-209.22</v>
      </c>
      <c r="P373" s="13"/>
      <c r="Q373" s="33"/>
      <c r="R373" s="9"/>
      <c r="S373" s="9"/>
      <c r="T373" s="9"/>
      <c r="U373" s="9"/>
      <c r="X373" s="15" t="str">
        <f>IF(B373="",VLOOKUP(A373,items_lookup!A:B,2,FALSE),B373)</f>
        <v>06. Item 06</v>
      </c>
      <c r="Y373" s="15">
        <f t="shared" si="38"/>
        <v>12</v>
      </c>
      <c r="Z373" s="15">
        <f t="shared" si="38"/>
        <v>12</v>
      </c>
      <c r="AA373" s="15">
        <f t="shared" si="35"/>
        <v>2019</v>
      </c>
      <c r="AB373" s="15">
        <f t="shared" si="36"/>
        <v>2019</v>
      </c>
      <c r="AC373" s="15">
        <f t="shared" si="37"/>
        <v>2019</v>
      </c>
      <c r="AD373" s="18" t="b">
        <f t="shared" si="34"/>
        <v>1</v>
      </c>
    </row>
    <row r="374" spans="1:30" ht="15" hidden="1" customHeight="1" x14ac:dyDescent="0.2">
      <c r="A374" s="7" t="s">
        <v>674</v>
      </c>
      <c r="B374" s="7"/>
      <c r="C374" s="2" t="s">
        <v>641</v>
      </c>
      <c r="D374" s="6" t="s">
        <v>649</v>
      </c>
      <c r="E374" s="32" t="s">
        <v>651</v>
      </c>
      <c r="F374" s="7"/>
      <c r="G374" s="7"/>
      <c r="H374" s="7" t="s">
        <v>653</v>
      </c>
      <c r="I374" s="7"/>
      <c r="J374" s="7"/>
      <c r="K374" s="7"/>
      <c r="L374" s="7" t="s">
        <v>662</v>
      </c>
      <c r="M374" s="8">
        <v>43830</v>
      </c>
      <c r="N374" s="8">
        <v>43830</v>
      </c>
      <c r="O374" s="13">
        <v>-1227.92</v>
      </c>
      <c r="P374" s="13"/>
      <c r="Q374" s="33"/>
      <c r="R374" s="9"/>
      <c r="S374" s="9"/>
      <c r="T374" s="9"/>
      <c r="U374" s="9"/>
      <c r="X374" s="15" t="str">
        <f>IF(B374="",VLOOKUP(A374,items_lookup!A:B,2,FALSE),B374)</f>
        <v>08. Item 08</v>
      </c>
      <c r="Y374" s="15">
        <f t="shared" si="38"/>
        <v>12</v>
      </c>
      <c r="Z374" s="15">
        <f t="shared" si="38"/>
        <v>12</v>
      </c>
      <c r="AA374" s="15">
        <f t="shared" si="35"/>
        <v>2019</v>
      </c>
      <c r="AB374" s="15">
        <f t="shared" si="36"/>
        <v>2019</v>
      </c>
      <c r="AC374" s="15">
        <f t="shared" si="37"/>
        <v>2019</v>
      </c>
      <c r="AD374" s="18" t="b">
        <f t="shared" si="34"/>
        <v>1</v>
      </c>
    </row>
    <row r="375" spans="1:30" ht="15" hidden="1" customHeight="1" x14ac:dyDescent="0.2">
      <c r="A375" s="7" t="s">
        <v>674</v>
      </c>
      <c r="B375" s="7" t="s">
        <v>711</v>
      </c>
      <c r="C375" s="2" t="s">
        <v>641</v>
      </c>
      <c r="D375" s="6" t="s">
        <v>649</v>
      </c>
      <c r="E375" s="32" t="s">
        <v>651</v>
      </c>
      <c r="F375" s="7"/>
      <c r="G375" s="7"/>
      <c r="H375" s="7"/>
      <c r="I375" s="7"/>
      <c r="J375" s="7"/>
      <c r="K375" s="7"/>
      <c r="L375" s="7" t="s">
        <v>662</v>
      </c>
      <c r="M375" s="8">
        <v>43831</v>
      </c>
      <c r="N375" s="8">
        <v>43831</v>
      </c>
      <c r="O375" s="13">
        <v>11904.76</v>
      </c>
      <c r="P375" s="13"/>
      <c r="Q375" s="33"/>
      <c r="R375" s="22"/>
      <c r="S375" s="22"/>
      <c r="T375" s="22"/>
      <c r="U375" s="22"/>
      <c r="X375" s="15" t="str">
        <f>IF(B375="",VLOOKUP(A375,items_lookup!A:B,2,FALSE),B375)</f>
        <v>12. Item 12</v>
      </c>
      <c r="Y375" s="15">
        <f t="shared" si="38"/>
        <v>1</v>
      </c>
      <c r="Z375" s="15">
        <f t="shared" si="38"/>
        <v>1</v>
      </c>
      <c r="AA375" s="15">
        <f t="shared" si="35"/>
        <v>2020</v>
      </c>
      <c r="AB375" s="15">
        <f t="shared" si="36"/>
        <v>2020</v>
      </c>
      <c r="AC375" s="15">
        <f t="shared" si="37"/>
        <v>2020</v>
      </c>
      <c r="AD375" s="18" t="b">
        <f t="shared" si="34"/>
        <v>1</v>
      </c>
    </row>
    <row r="376" spans="1:30" ht="15" hidden="1" customHeight="1" x14ac:dyDescent="0.2">
      <c r="A376" s="7" t="s">
        <v>687</v>
      </c>
      <c r="B376" s="7"/>
      <c r="C376" s="2" t="s">
        <v>641</v>
      </c>
      <c r="D376" s="6" t="s">
        <v>649</v>
      </c>
      <c r="E376" s="32" t="s">
        <v>651</v>
      </c>
      <c r="F376" s="7"/>
      <c r="G376" s="7"/>
      <c r="H376" s="7" t="s">
        <v>653</v>
      </c>
      <c r="I376" s="7"/>
      <c r="J376" s="7"/>
      <c r="K376" s="7"/>
      <c r="L376" s="7" t="s">
        <v>662</v>
      </c>
      <c r="M376" s="8">
        <v>43830</v>
      </c>
      <c r="N376" s="8">
        <v>43830</v>
      </c>
      <c r="O376" s="13">
        <v>-631.78</v>
      </c>
      <c r="P376" s="13"/>
      <c r="Q376" s="33"/>
      <c r="R376" s="22"/>
      <c r="S376" s="22"/>
      <c r="T376" s="22"/>
      <c r="U376" s="22"/>
      <c r="X376" s="15" t="str">
        <f>IF(B376="",VLOOKUP(A376,items_lookup!A:B,2,FALSE),B376)</f>
        <v>14. Item 14</v>
      </c>
      <c r="Y376" s="15">
        <f t="shared" si="38"/>
        <v>12</v>
      </c>
      <c r="Z376" s="15">
        <f t="shared" si="38"/>
        <v>12</v>
      </c>
      <c r="AA376" s="15">
        <f t="shared" si="35"/>
        <v>2019</v>
      </c>
      <c r="AB376" s="15">
        <f t="shared" si="36"/>
        <v>2019</v>
      </c>
      <c r="AC376" s="15">
        <f t="shared" si="37"/>
        <v>2019</v>
      </c>
      <c r="AD376" s="18" t="b">
        <f t="shared" si="34"/>
        <v>1</v>
      </c>
    </row>
    <row r="377" spans="1:30" ht="15" hidden="1" customHeight="1" x14ac:dyDescent="0.2">
      <c r="A377" s="7"/>
      <c r="B377" s="7" t="s">
        <v>710</v>
      </c>
      <c r="C377" s="2" t="s">
        <v>641</v>
      </c>
      <c r="D377" s="6" t="s">
        <v>649</v>
      </c>
      <c r="E377" s="32" t="s">
        <v>651</v>
      </c>
      <c r="F377" s="7"/>
      <c r="G377" s="7"/>
      <c r="H377" s="7"/>
      <c r="I377" s="7"/>
      <c r="J377" s="7"/>
      <c r="K377" s="7"/>
      <c r="L377" s="7" t="s">
        <v>662</v>
      </c>
      <c r="M377" s="8">
        <v>43831</v>
      </c>
      <c r="N377" s="8">
        <v>43831</v>
      </c>
      <c r="O377" s="13">
        <v>2460952.38</v>
      </c>
      <c r="P377" s="13"/>
      <c r="Q377" s="33"/>
      <c r="R377" s="22"/>
      <c r="S377" s="22"/>
      <c r="T377" s="22"/>
      <c r="U377" s="22"/>
      <c r="X377" s="15" t="str">
        <f>IF(B377="",VLOOKUP(A377,items_lookup!A:B,2,FALSE),B377)</f>
        <v>13. Item 13</v>
      </c>
      <c r="Y377" s="15">
        <f t="shared" si="38"/>
        <v>1</v>
      </c>
      <c r="Z377" s="15">
        <f t="shared" si="38"/>
        <v>1</v>
      </c>
      <c r="AA377" s="15">
        <f t="shared" si="35"/>
        <v>2020</v>
      </c>
      <c r="AB377" s="15">
        <f t="shared" si="36"/>
        <v>2020</v>
      </c>
      <c r="AC377" s="15">
        <f t="shared" si="37"/>
        <v>2020</v>
      </c>
      <c r="AD377" s="18" t="b">
        <f t="shared" si="34"/>
        <v>1</v>
      </c>
    </row>
    <row r="378" spans="1:30" ht="15" hidden="1" customHeight="1" x14ac:dyDescent="0.2">
      <c r="A378" s="7" t="s">
        <v>675</v>
      </c>
      <c r="B378" s="7" t="s">
        <v>712</v>
      </c>
      <c r="C378" s="2" t="s">
        <v>641</v>
      </c>
      <c r="D378" s="6" t="s">
        <v>649</v>
      </c>
      <c r="E378" s="32" t="s">
        <v>651</v>
      </c>
      <c r="F378" s="7"/>
      <c r="G378" s="7"/>
      <c r="H378" s="7"/>
      <c r="I378" s="7"/>
      <c r="J378" s="7"/>
      <c r="K378" s="7"/>
      <c r="L378" s="7" t="s">
        <v>662</v>
      </c>
      <c r="M378" s="8">
        <v>43831</v>
      </c>
      <c r="N378" s="8">
        <v>43831</v>
      </c>
      <c r="O378" s="13">
        <v>-165.91</v>
      </c>
      <c r="P378" s="13"/>
      <c r="Q378" s="33"/>
      <c r="R378" s="22"/>
      <c r="S378" s="22"/>
      <c r="T378" s="22"/>
      <c r="U378" s="22"/>
      <c r="X378" s="15" t="str">
        <f>IF(B378="",VLOOKUP(A378,items_lookup!A:B,2,FALSE),B378)</f>
        <v>10. Item 10</v>
      </c>
      <c r="Y378" s="15">
        <f t="shared" si="38"/>
        <v>1</v>
      </c>
      <c r="Z378" s="15">
        <f t="shared" si="38"/>
        <v>1</v>
      </c>
      <c r="AA378" s="15">
        <f t="shared" si="35"/>
        <v>2020</v>
      </c>
      <c r="AB378" s="15">
        <f t="shared" si="36"/>
        <v>2020</v>
      </c>
      <c r="AC378" s="15">
        <f t="shared" si="37"/>
        <v>2020</v>
      </c>
      <c r="AD378" s="18" t="b">
        <f t="shared" si="34"/>
        <v>1</v>
      </c>
    </row>
    <row r="379" spans="1:30" ht="15" hidden="1" customHeight="1" x14ac:dyDescent="0.2">
      <c r="A379" s="7" t="s">
        <v>676</v>
      </c>
      <c r="B379" s="7" t="s">
        <v>710</v>
      </c>
      <c r="C379" s="2" t="s">
        <v>641</v>
      </c>
      <c r="D379" s="6" t="s">
        <v>649</v>
      </c>
      <c r="E379" s="32" t="s">
        <v>651</v>
      </c>
      <c r="F379" s="7"/>
      <c r="G379" s="7"/>
      <c r="H379" s="7" t="s">
        <v>653</v>
      </c>
      <c r="I379" s="7"/>
      <c r="J379" s="7"/>
      <c r="K379" s="7"/>
      <c r="L379" s="7" t="s">
        <v>662</v>
      </c>
      <c r="M379" s="8">
        <v>43830</v>
      </c>
      <c r="N379" s="8">
        <v>43830</v>
      </c>
      <c r="O379" s="13">
        <v>-5.89</v>
      </c>
      <c r="P379" s="13"/>
      <c r="Q379" s="33"/>
      <c r="R379" s="22"/>
      <c r="S379" s="22"/>
      <c r="T379" s="22"/>
      <c r="U379" s="22"/>
      <c r="X379" s="15" t="str">
        <f>IF(B379="",VLOOKUP(A379,items_lookup!A:B,2,FALSE),B379)</f>
        <v>13. Item 13</v>
      </c>
      <c r="Y379" s="15">
        <f t="shared" si="38"/>
        <v>12</v>
      </c>
      <c r="Z379" s="15">
        <f t="shared" si="38"/>
        <v>12</v>
      </c>
      <c r="AA379" s="15">
        <f t="shared" si="35"/>
        <v>2019</v>
      </c>
      <c r="AB379" s="15">
        <f t="shared" si="36"/>
        <v>2019</v>
      </c>
      <c r="AC379" s="15">
        <f t="shared" si="37"/>
        <v>2019</v>
      </c>
      <c r="AD379" s="18" t="b">
        <f t="shared" si="34"/>
        <v>1</v>
      </c>
    </row>
    <row r="380" spans="1:30" ht="15" hidden="1" customHeight="1" x14ac:dyDescent="0.2">
      <c r="A380" s="7"/>
      <c r="B380" s="7" t="s">
        <v>708</v>
      </c>
      <c r="C380" s="2" t="s">
        <v>641</v>
      </c>
      <c r="D380" s="6" t="s">
        <v>649</v>
      </c>
      <c r="E380" s="32" t="s">
        <v>651</v>
      </c>
      <c r="F380" s="7"/>
      <c r="G380" s="7"/>
      <c r="H380" s="7" t="s">
        <v>653</v>
      </c>
      <c r="I380" s="7"/>
      <c r="J380" s="7"/>
      <c r="K380" s="7"/>
      <c r="L380" s="7" t="s">
        <v>662</v>
      </c>
      <c r="M380" s="8">
        <v>43830</v>
      </c>
      <c r="N380" s="8">
        <v>43830</v>
      </c>
      <c r="O380" s="13">
        <v>-738699.52</v>
      </c>
      <c r="P380" s="13"/>
      <c r="Q380" s="33"/>
      <c r="R380" s="9"/>
      <c r="S380" s="9"/>
      <c r="T380" s="9"/>
      <c r="U380" s="9"/>
      <c r="X380" s="15" t="str">
        <f>IF(B380="",VLOOKUP(A380,items_lookup!A:B,2,FALSE),B380)</f>
        <v>03. Item 03</v>
      </c>
      <c r="Y380" s="15">
        <f t="shared" si="38"/>
        <v>12</v>
      </c>
      <c r="Z380" s="15">
        <f t="shared" si="38"/>
        <v>12</v>
      </c>
      <c r="AA380" s="15">
        <f t="shared" si="35"/>
        <v>2019</v>
      </c>
      <c r="AB380" s="15">
        <f t="shared" si="36"/>
        <v>2019</v>
      </c>
      <c r="AC380" s="15">
        <f t="shared" si="37"/>
        <v>2019</v>
      </c>
      <c r="AD380" s="18" t="b">
        <f t="shared" si="34"/>
        <v>1</v>
      </c>
    </row>
    <row r="381" spans="1:30" ht="15" hidden="1" customHeight="1" x14ac:dyDescent="0.2">
      <c r="A381" s="7" t="s">
        <v>675</v>
      </c>
      <c r="B381" s="20"/>
      <c r="C381" s="2" t="s">
        <v>642</v>
      </c>
      <c r="D381" s="6"/>
      <c r="E381" s="32" t="s">
        <v>651</v>
      </c>
      <c r="F381" s="7"/>
      <c r="G381" s="7"/>
      <c r="H381" s="7"/>
      <c r="I381" s="7"/>
      <c r="J381" s="7"/>
      <c r="K381" s="7"/>
      <c r="L381" s="7" t="s">
        <v>662</v>
      </c>
      <c r="M381" s="8">
        <v>43831</v>
      </c>
      <c r="N381" s="8">
        <v>43831</v>
      </c>
      <c r="O381" s="13">
        <v>7977785.71</v>
      </c>
      <c r="P381" s="13"/>
      <c r="Q381" s="33"/>
      <c r="R381" s="9"/>
      <c r="S381" s="9"/>
      <c r="T381" s="9"/>
      <c r="U381" s="9"/>
      <c r="X381" s="15" t="str">
        <f>IF(B381="",VLOOKUP(A381,items_lookup!A:B,2,FALSE),B381)</f>
        <v>09. Item 09</v>
      </c>
      <c r="Y381" s="15">
        <f t="shared" si="38"/>
        <v>1</v>
      </c>
      <c r="Z381" s="15">
        <f t="shared" si="38"/>
        <v>1</v>
      </c>
      <c r="AA381" s="15">
        <f t="shared" si="35"/>
        <v>2020</v>
      </c>
      <c r="AB381" s="15">
        <f t="shared" si="36"/>
        <v>2020</v>
      </c>
      <c r="AC381" s="15">
        <f t="shared" si="37"/>
        <v>2020</v>
      </c>
      <c r="AD381" s="18" t="b">
        <f t="shared" si="34"/>
        <v>1</v>
      </c>
    </row>
    <row r="382" spans="1:30" ht="15" hidden="1" customHeight="1" x14ac:dyDescent="0.2">
      <c r="A382" s="7" t="s">
        <v>676</v>
      </c>
      <c r="B382" s="20"/>
      <c r="C382" s="2" t="s">
        <v>642</v>
      </c>
      <c r="D382" s="6"/>
      <c r="E382" s="32" t="s">
        <v>651</v>
      </c>
      <c r="F382" s="7"/>
      <c r="G382" s="7"/>
      <c r="H382" s="7"/>
      <c r="I382" s="7"/>
      <c r="J382" s="7"/>
      <c r="K382" s="7"/>
      <c r="L382" s="7" t="s">
        <v>662</v>
      </c>
      <c r="M382" s="8">
        <v>43831</v>
      </c>
      <c r="N382" s="8">
        <v>43831</v>
      </c>
      <c r="O382" s="13">
        <v>76500</v>
      </c>
      <c r="P382" s="13"/>
      <c r="Q382" s="33"/>
      <c r="R382" s="9"/>
      <c r="S382" s="9"/>
      <c r="T382" s="9"/>
      <c r="U382" s="9"/>
      <c r="X382" s="15" t="str">
        <f>IF(B382="",VLOOKUP(A382,items_lookup!A:B,2,FALSE),B382)</f>
        <v>09. Item 09</v>
      </c>
      <c r="Y382" s="15">
        <f t="shared" si="38"/>
        <v>1</v>
      </c>
      <c r="Z382" s="15">
        <f t="shared" si="38"/>
        <v>1</v>
      </c>
      <c r="AA382" s="15">
        <f t="shared" si="35"/>
        <v>2020</v>
      </c>
      <c r="AB382" s="15">
        <f t="shared" si="36"/>
        <v>2020</v>
      </c>
      <c r="AC382" s="15">
        <f t="shared" si="37"/>
        <v>2020</v>
      </c>
      <c r="AD382" s="18" t="b">
        <f t="shared" si="34"/>
        <v>1</v>
      </c>
    </row>
    <row r="383" spans="1:30" ht="15" hidden="1" customHeight="1" x14ac:dyDescent="0.2">
      <c r="A383" s="7" t="s">
        <v>687</v>
      </c>
      <c r="B383" s="20"/>
      <c r="C383" s="2" t="s">
        <v>642</v>
      </c>
      <c r="D383" s="6"/>
      <c r="E383" s="32" t="s">
        <v>651</v>
      </c>
      <c r="F383" s="7"/>
      <c r="G383" s="7"/>
      <c r="H383" s="7"/>
      <c r="I383" s="7"/>
      <c r="J383" s="7"/>
      <c r="K383" s="7"/>
      <c r="L383" s="7" t="s">
        <v>662</v>
      </c>
      <c r="M383" s="8">
        <v>43831</v>
      </c>
      <c r="N383" s="8">
        <v>43831</v>
      </c>
      <c r="O383" s="13">
        <v>6419619.0499999998</v>
      </c>
      <c r="P383" s="13"/>
      <c r="Q383" s="33"/>
      <c r="R383" s="9"/>
      <c r="S383" s="9"/>
      <c r="T383" s="9"/>
      <c r="U383" s="9"/>
      <c r="X383" s="15" t="str">
        <f>IF(B383="",VLOOKUP(A383,items_lookup!A:B,2,FALSE),B383)</f>
        <v>14. Item 14</v>
      </c>
      <c r="Y383" s="15">
        <f t="shared" si="38"/>
        <v>1</v>
      </c>
      <c r="Z383" s="15">
        <f t="shared" si="38"/>
        <v>1</v>
      </c>
      <c r="AA383" s="15">
        <f t="shared" si="35"/>
        <v>2020</v>
      </c>
      <c r="AB383" s="15">
        <f t="shared" si="36"/>
        <v>2020</v>
      </c>
      <c r="AC383" s="15">
        <f t="shared" si="37"/>
        <v>2020</v>
      </c>
      <c r="AD383" s="18" t="b">
        <f t="shared" si="34"/>
        <v>1</v>
      </c>
    </row>
    <row r="384" spans="1:30" ht="12.6" hidden="1" customHeight="1" x14ac:dyDescent="0.2">
      <c r="A384" s="7" t="s">
        <v>668</v>
      </c>
      <c r="B384" s="20"/>
      <c r="C384" s="2" t="s">
        <v>642</v>
      </c>
      <c r="D384" s="6"/>
      <c r="E384" s="32" t="s">
        <v>651</v>
      </c>
      <c r="F384" s="7"/>
      <c r="G384" s="7"/>
      <c r="H384" s="7"/>
      <c r="I384" s="7"/>
      <c r="J384" s="7"/>
      <c r="K384" s="7"/>
      <c r="L384" s="7" t="s">
        <v>662</v>
      </c>
      <c r="M384" s="8">
        <v>43831</v>
      </c>
      <c r="N384" s="8">
        <v>43831</v>
      </c>
      <c r="O384" s="13">
        <v>1693738.1</v>
      </c>
      <c r="P384" s="13"/>
      <c r="Q384" s="33"/>
      <c r="R384" s="9"/>
      <c r="S384" s="9"/>
      <c r="T384" s="9"/>
      <c r="U384" s="9"/>
      <c r="X384" s="15" t="str">
        <f>IF(B384="",VLOOKUP(A384,items_lookup!A:B,2,FALSE),B384)</f>
        <v>01. Item 01</v>
      </c>
      <c r="Y384" s="15">
        <f t="shared" si="38"/>
        <v>1</v>
      </c>
      <c r="Z384" s="15">
        <f t="shared" si="38"/>
        <v>1</v>
      </c>
      <c r="AA384" s="15">
        <f t="shared" si="35"/>
        <v>2020</v>
      </c>
      <c r="AB384" s="15">
        <f t="shared" si="36"/>
        <v>2020</v>
      </c>
      <c r="AC384" s="15">
        <f t="shared" si="37"/>
        <v>2020</v>
      </c>
      <c r="AD384" s="18" t="b">
        <f t="shared" si="34"/>
        <v>1</v>
      </c>
    </row>
    <row r="385" spans="1:30" ht="12.6" hidden="1" customHeight="1" x14ac:dyDescent="0.2">
      <c r="A385" s="7" t="s">
        <v>669</v>
      </c>
      <c r="B385" s="7"/>
      <c r="C385" s="2" t="s">
        <v>642</v>
      </c>
      <c r="D385" s="6"/>
      <c r="E385" s="32" t="s">
        <v>651</v>
      </c>
      <c r="F385" s="7"/>
      <c r="G385" s="7"/>
      <c r="H385" s="7"/>
      <c r="I385" s="7"/>
      <c r="J385" s="7"/>
      <c r="K385" s="7"/>
      <c r="L385" s="7" t="s">
        <v>662</v>
      </c>
      <c r="M385" s="8">
        <v>43831</v>
      </c>
      <c r="N385" s="8">
        <v>43831</v>
      </c>
      <c r="O385" s="13">
        <v>5726309.5199999996</v>
      </c>
      <c r="P385" s="13"/>
      <c r="Q385" s="33"/>
      <c r="R385" s="9"/>
      <c r="S385" s="9"/>
      <c r="T385" s="9"/>
      <c r="U385" s="9"/>
      <c r="X385" s="15" t="str">
        <f>IF(B385="",VLOOKUP(A385,items_lookup!A:B,2,FALSE),B385)</f>
        <v>02. Item 02</v>
      </c>
      <c r="Y385" s="15">
        <f t="shared" si="38"/>
        <v>1</v>
      </c>
      <c r="Z385" s="15">
        <f t="shared" si="38"/>
        <v>1</v>
      </c>
      <c r="AA385" s="15">
        <f t="shared" si="35"/>
        <v>2020</v>
      </c>
      <c r="AB385" s="15">
        <f t="shared" si="36"/>
        <v>2020</v>
      </c>
      <c r="AC385" s="15">
        <f t="shared" si="37"/>
        <v>2020</v>
      </c>
      <c r="AD385" s="18" t="b">
        <f t="shared" si="34"/>
        <v>1</v>
      </c>
    </row>
    <row r="386" spans="1:30" ht="15" hidden="1" customHeight="1" x14ac:dyDescent="0.2">
      <c r="A386" s="7" t="s">
        <v>671</v>
      </c>
      <c r="B386" s="7"/>
      <c r="C386" s="2" t="s">
        <v>642</v>
      </c>
      <c r="D386" s="6"/>
      <c r="E386" s="32" t="s">
        <v>651</v>
      </c>
      <c r="F386" s="7"/>
      <c r="G386" s="7"/>
      <c r="H386" s="7"/>
      <c r="I386" s="7"/>
      <c r="J386" s="7"/>
      <c r="K386" s="7"/>
      <c r="L386" s="7" t="s">
        <v>662</v>
      </c>
      <c r="M386" s="8">
        <v>43831</v>
      </c>
      <c r="N386" s="8">
        <v>43831</v>
      </c>
      <c r="O386" s="13">
        <v>40023.81</v>
      </c>
      <c r="P386" s="13"/>
      <c r="Q386" s="33"/>
      <c r="R386" s="9"/>
      <c r="S386" s="9"/>
      <c r="T386" s="9"/>
      <c r="U386" s="9"/>
      <c r="X386" s="15" t="str">
        <f>IF(B386="",VLOOKUP(A386,items_lookup!A:B,2,FALSE),B386)</f>
        <v>05. Item 05</v>
      </c>
      <c r="Y386" s="15">
        <f t="shared" si="38"/>
        <v>1</v>
      </c>
      <c r="Z386" s="15">
        <f t="shared" si="38"/>
        <v>1</v>
      </c>
      <c r="AA386" s="15">
        <f t="shared" si="35"/>
        <v>2020</v>
      </c>
      <c r="AB386" s="15">
        <f t="shared" si="36"/>
        <v>2020</v>
      </c>
      <c r="AC386" s="15">
        <f t="shared" si="37"/>
        <v>2020</v>
      </c>
      <c r="AD386" s="18" t="b">
        <f t="shared" si="34"/>
        <v>1</v>
      </c>
    </row>
    <row r="387" spans="1:30" ht="15" hidden="1" customHeight="1" x14ac:dyDescent="0.2">
      <c r="A387" s="7" t="s">
        <v>671</v>
      </c>
      <c r="B387" s="7"/>
      <c r="C387" s="2" t="s">
        <v>642</v>
      </c>
      <c r="D387" s="6"/>
      <c r="E387" s="32" t="s">
        <v>651</v>
      </c>
      <c r="F387" s="7"/>
      <c r="G387" s="7"/>
      <c r="H387" s="7"/>
      <c r="I387" s="7"/>
      <c r="J387" s="7"/>
      <c r="K387" s="7"/>
      <c r="L387" s="7" t="s">
        <v>662</v>
      </c>
      <c r="M387" s="8">
        <v>43831</v>
      </c>
      <c r="N387" s="8">
        <v>43831</v>
      </c>
      <c r="O387" s="13">
        <v>196595.24</v>
      </c>
      <c r="P387" s="13"/>
      <c r="Q387" s="33"/>
      <c r="R387" s="9"/>
      <c r="S387" s="9"/>
      <c r="T387" s="9"/>
      <c r="U387" s="9"/>
      <c r="X387" s="15" t="str">
        <f>IF(B387="",VLOOKUP(A387,items_lookup!A:B,2,FALSE),B387)</f>
        <v>05. Item 05</v>
      </c>
      <c r="Y387" s="15">
        <f t="shared" si="38"/>
        <v>1</v>
      </c>
      <c r="Z387" s="15">
        <f t="shared" si="38"/>
        <v>1</v>
      </c>
      <c r="AA387" s="15">
        <f t="shared" si="35"/>
        <v>2020</v>
      </c>
      <c r="AB387" s="15">
        <f t="shared" si="36"/>
        <v>2020</v>
      </c>
      <c r="AC387" s="15">
        <f t="shared" si="37"/>
        <v>2020</v>
      </c>
      <c r="AD387" s="18" t="b">
        <f t="shared" ref="AD387:AD450" si="39">AND(ROUND(O387,2)=O387,ROUND(P387,2)=P387,OR(AND(O387&lt;&gt;0,L387="p"),AND(P387&lt;&gt;0,L387="f")),_xlfn.ISFORMULA(X387),_xlfn.ISFORMULA(Y387),_xlfn.ISFORMULA(Z387),_xlfn.ISFORMULA(AA387),_xlfn.ISFORMULA(AB387),_xlfn.ISFORMULA(AC387),NOT(_xlfn.ISFORMULA(O387)),NOT(_xlfn.ISFORMULA(P387)),M387&lt;&gt;0,N387&lt;&gt;0)</f>
        <v>1</v>
      </c>
    </row>
    <row r="388" spans="1:30" ht="15" hidden="1" customHeight="1" x14ac:dyDescent="0.2">
      <c r="A388" s="7" t="s">
        <v>672</v>
      </c>
      <c r="B388" s="7"/>
      <c r="C388" s="2" t="s">
        <v>642</v>
      </c>
      <c r="D388" s="6"/>
      <c r="E388" s="32" t="s">
        <v>651</v>
      </c>
      <c r="F388" s="7"/>
      <c r="G388" s="7"/>
      <c r="H388" s="7"/>
      <c r="I388" s="7"/>
      <c r="J388" s="7"/>
      <c r="K388" s="7"/>
      <c r="L388" s="7" t="s">
        <v>662</v>
      </c>
      <c r="M388" s="8">
        <v>43831</v>
      </c>
      <c r="N388" s="8">
        <v>43831</v>
      </c>
      <c r="O388" s="13">
        <v>458928.57</v>
      </c>
      <c r="P388" s="13"/>
      <c r="Q388" s="33"/>
      <c r="R388" s="9"/>
      <c r="S388" s="9"/>
      <c r="T388" s="9"/>
      <c r="U388" s="9"/>
      <c r="X388" s="15" t="str">
        <f>IF(B388="",VLOOKUP(A388,items_lookup!A:B,2,FALSE),B388)</f>
        <v>05. Item 05</v>
      </c>
      <c r="Y388" s="15">
        <f t="shared" si="38"/>
        <v>1</v>
      </c>
      <c r="Z388" s="15">
        <f t="shared" si="38"/>
        <v>1</v>
      </c>
      <c r="AA388" s="15">
        <f t="shared" si="35"/>
        <v>2020</v>
      </c>
      <c r="AB388" s="15">
        <f t="shared" si="36"/>
        <v>2020</v>
      </c>
      <c r="AC388" s="15">
        <f t="shared" si="37"/>
        <v>2020</v>
      </c>
      <c r="AD388" s="18" t="b">
        <f t="shared" si="39"/>
        <v>1</v>
      </c>
    </row>
    <row r="389" spans="1:30" ht="12.75" hidden="1" customHeight="1" x14ac:dyDescent="0.2">
      <c r="A389" s="7" t="s">
        <v>682</v>
      </c>
      <c r="B389" s="7" t="s">
        <v>711</v>
      </c>
      <c r="C389" s="2" t="s">
        <v>642</v>
      </c>
      <c r="D389" s="6"/>
      <c r="E389" s="32" t="s">
        <v>651</v>
      </c>
      <c r="F389" s="7"/>
      <c r="G389" s="7"/>
      <c r="H389" s="7"/>
      <c r="I389" s="7"/>
      <c r="J389" s="7"/>
      <c r="K389" s="7"/>
      <c r="L389" s="7" t="s">
        <v>662</v>
      </c>
      <c r="M389" s="8">
        <v>43831</v>
      </c>
      <c r="N389" s="8">
        <v>43831</v>
      </c>
      <c r="O389" s="13">
        <v>1758261.9</v>
      </c>
      <c r="P389" s="13"/>
      <c r="Q389" s="33"/>
      <c r="R389" s="9"/>
      <c r="S389" s="9"/>
      <c r="T389" s="9"/>
      <c r="U389" s="9"/>
      <c r="X389" s="15" t="str">
        <f>IF(B389="",VLOOKUP(A389,items_lookup!A:B,2,FALSE),B389)</f>
        <v>12. Item 12</v>
      </c>
      <c r="Y389" s="15">
        <f t="shared" si="38"/>
        <v>1</v>
      </c>
      <c r="Z389" s="15">
        <f t="shared" si="38"/>
        <v>1</v>
      </c>
      <c r="AA389" s="15">
        <f t="shared" si="35"/>
        <v>2020</v>
      </c>
      <c r="AB389" s="15">
        <f t="shared" si="36"/>
        <v>2020</v>
      </c>
      <c r="AC389" s="15">
        <f t="shared" si="37"/>
        <v>2020</v>
      </c>
      <c r="AD389" s="18" t="b">
        <f t="shared" si="39"/>
        <v>1</v>
      </c>
    </row>
    <row r="390" spans="1:30" ht="12.6" hidden="1" customHeight="1" x14ac:dyDescent="0.2">
      <c r="A390" s="7" t="s">
        <v>673</v>
      </c>
      <c r="B390" s="20"/>
      <c r="C390" s="2" t="s">
        <v>642</v>
      </c>
      <c r="D390" s="6"/>
      <c r="E390" s="32" t="s">
        <v>651</v>
      </c>
      <c r="F390" s="7"/>
      <c r="G390" s="7"/>
      <c r="H390" s="7"/>
      <c r="I390" s="7"/>
      <c r="J390" s="7"/>
      <c r="K390" s="7"/>
      <c r="L390" s="7" t="s">
        <v>663</v>
      </c>
      <c r="M390" s="8">
        <v>43831</v>
      </c>
      <c r="N390" s="8">
        <v>43831</v>
      </c>
      <c r="O390" s="13"/>
      <c r="P390" s="13">
        <v>5718642.8600000003</v>
      </c>
      <c r="Q390" s="33"/>
      <c r="R390" s="9"/>
      <c r="S390" s="9"/>
      <c r="T390" s="9"/>
      <c r="U390" s="9"/>
      <c r="X390" s="15" t="str">
        <f>IF(B390="",VLOOKUP(A390,items_lookup!A:B,2,FALSE),B390)</f>
        <v>07. Item 07</v>
      </c>
      <c r="Y390" s="15">
        <f t="shared" si="38"/>
        <v>1</v>
      </c>
      <c r="Z390" s="15">
        <f t="shared" si="38"/>
        <v>1</v>
      </c>
      <c r="AA390" s="15">
        <f t="shared" si="35"/>
        <v>2020</v>
      </c>
      <c r="AB390" s="15">
        <f t="shared" si="36"/>
        <v>2020</v>
      </c>
      <c r="AC390" s="15">
        <f t="shared" si="37"/>
        <v>2020</v>
      </c>
      <c r="AD390" s="18" t="b">
        <f t="shared" si="39"/>
        <v>1</v>
      </c>
    </row>
    <row r="391" spans="1:30" ht="15" hidden="1" customHeight="1" x14ac:dyDescent="0.2">
      <c r="A391" s="7" t="s">
        <v>675</v>
      </c>
      <c r="B391" s="20"/>
      <c r="C391" s="2" t="s">
        <v>642</v>
      </c>
      <c r="D391" s="6"/>
      <c r="E391" s="32" t="s">
        <v>651</v>
      </c>
      <c r="F391" s="7"/>
      <c r="G391" s="7"/>
      <c r="H391" s="7"/>
      <c r="I391" s="7"/>
      <c r="J391" s="7"/>
      <c r="K391" s="7"/>
      <c r="L391" s="7" t="s">
        <v>663</v>
      </c>
      <c r="M391" s="8">
        <v>43831</v>
      </c>
      <c r="N391" s="8">
        <v>43831</v>
      </c>
      <c r="P391" s="13">
        <v>54023.81</v>
      </c>
      <c r="Q391" s="33"/>
      <c r="R391" s="9"/>
      <c r="S391" s="9"/>
      <c r="T391" s="9"/>
      <c r="U391" s="9"/>
      <c r="X391" s="15" t="str">
        <f>IF(B391="",VLOOKUP(A391,items_lookup!A:B,2,FALSE),B391)</f>
        <v>09. Item 09</v>
      </c>
      <c r="Y391" s="15">
        <f t="shared" si="38"/>
        <v>1</v>
      </c>
      <c r="Z391" s="15">
        <f t="shared" si="38"/>
        <v>1</v>
      </c>
      <c r="AA391" s="15">
        <f t="shared" si="35"/>
        <v>2020</v>
      </c>
      <c r="AB391" s="15">
        <f t="shared" si="36"/>
        <v>2020</v>
      </c>
      <c r="AC391" s="15">
        <f t="shared" si="37"/>
        <v>2020</v>
      </c>
      <c r="AD391" s="18" t="b">
        <f t="shared" si="39"/>
        <v>1</v>
      </c>
    </row>
    <row r="392" spans="1:30" ht="12.75" hidden="1" customHeight="1" x14ac:dyDescent="0.2">
      <c r="A392" s="7" t="s">
        <v>676</v>
      </c>
      <c r="B392" s="20"/>
      <c r="C392" s="2" t="s">
        <v>642</v>
      </c>
      <c r="D392" s="6"/>
      <c r="E392" s="32" t="s">
        <v>651</v>
      </c>
      <c r="F392" s="7"/>
      <c r="G392" s="7"/>
      <c r="H392" s="7"/>
      <c r="I392" s="7"/>
      <c r="J392" s="7"/>
      <c r="K392" s="7"/>
      <c r="L392" s="7" t="s">
        <v>663</v>
      </c>
      <c r="M392" s="8">
        <v>43831</v>
      </c>
      <c r="N392" s="8">
        <v>43831</v>
      </c>
      <c r="P392" s="13">
        <v>6331571.4299999997</v>
      </c>
      <c r="Q392" s="33"/>
      <c r="R392" s="9"/>
      <c r="S392" s="9"/>
      <c r="T392" s="9"/>
      <c r="U392" s="9"/>
      <c r="X392" s="15" t="str">
        <f>IF(B392="",VLOOKUP(A392,items_lookup!A:B,2,FALSE),B392)</f>
        <v>09. Item 09</v>
      </c>
      <c r="Y392" s="15">
        <f t="shared" si="38"/>
        <v>1</v>
      </c>
      <c r="Z392" s="15">
        <f t="shared" si="38"/>
        <v>1</v>
      </c>
      <c r="AA392" s="15">
        <f t="shared" si="35"/>
        <v>2020</v>
      </c>
      <c r="AB392" s="15">
        <f t="shared" si="36"/>
        <v>2020</v>
      </c>
      <c r="AC392" s="15">
        <f t="shared" si="37"/>
        <v>2020</v>
      </c>
      <c r="AD392" s="18" t="b">
        <f t="shared" si="39"/>
        <v>1</v>
      </c>
    </row>
    <row r="393" spans="1:30" ht="15" hidden="1" customHeight="1" x14ac:dyDescent="0.2">
      <c r="A393" s="7" t="s">
        <v>684</v>
      </c>
      <c r="B393" s="20"/>
      <c r="C393" s="2" t="s">
        <v>642</v>
      </c>
      <c r="D393" s="6"/>
      <c r="E393" s="32" t="s">
        <v>651</v>
      </c>
      <c r="F393" s="7"/>
      <c r="G393" s="7"/>
      <c r="H393" s="7"/>
      <c r="I393" s="7"/>
      <c r="J393" s="7"/>
      <c r="K393" s="7"/>
      <c r="L393" s="7" t="s">
        <v>663</v>
      </c>
      <c r="M393" s="8">
        <v>43831</v>
      </c>
      <c r="N393" s="8">
        <v>43831</v>
      </c>
      <c r="O393" s="13"/>
      <c r="P393" s="13">
        <v>1787523.81</v>
      </c>
      <c r="Q393" s="33"/>
      <c r="R393" s="9"/>
      <c r="S393" s="9"/>
      <c r="T393" s="9"/>
      <c r="U393" s="9"/>
      <c r="X393" s="15" t="str">
        <f>IF(B393="",VLOOKUP(A393,items_lookup!A:B,2,FALSE),B393)</f>
        <v>09. Item 09</v>
      </c>
      <c r="Y393" s="15">
        <f t="shared" si="38"/>
        <v>1</v>
      </c>
      <c r="Z393" s="15">
        <f t="shared" si="38"/>
        <v>1</v>
      </c>
      <c r="AA393" s="15">
        <f t="shared" si="35"/>
        <v>2020</v>
      </c>
      <c r="AB393" s="15">
        <f t="shared" si="36"/>
        <v>2020</v>
      </c>
      <c r="AC393" s="15">
        <f t="shared" si="37"/>
        <v>2020</v>
      </c>
      <c r="AD393" s="18" t="b">
        <f t="shared" si="39"/>
        <v>1</v>
      </c>
    </row>
    <row r="394" spans="1:30" ht="15" hidden="1" customHeight="1" x14ac:dyDescent="0.2">
      <c r="A394" s="7" t="s">
        <v>677</v>
      </c>
      <c r="B394" s="7"/>
      <c r="C394" s="2" t="s">
        <v>642</v>
      </c>
      <c r="D394" s="6"/>
      <c r="E394" s="32" t="s">
        <v>651</v>
      </c>
      <c r="F394" s="7"/>
      <c r="G394" s="7"/>
      <c r="H394" s="7"/>
      <c r="I394" s="7"/>
      <c r="J394" s="7"/>
      <c r="K394" s="7"/>
      <c r="L394" s="7" t="s">
        <v>663</v>
      </c>
      <c r="M394" s="8">
        <v>43831</v>
      </c>
      <c r="N394" s="8">
        <v>43831</v>
      </c>
      <c r="O394" s="13"/>
      <c r="P394" s="13">
        <v>34166.67</v>
      </c>
      <c r="Q394" s="33"/>
      <c r="R394" s="9"/>
      <c r="S394" s="9"/>
      <c r="T394" s="9"/>
      <c r="U394" s="9"/>
      <c r="X394" s="15" t="str">
        <f>IF(B394="",VLOOKUP(A394,items_lookup!A:B,2,FALSE),B394)</f>
        <v>11. Item 11</v>
      </c>
      <c r="Y394" s="15">
        <f t="shared" si="38"/>
        <v>1</v>
      </c>
      <c r="Z394" s="15">
        <f t="shared" si="38"/>
        <v>1</v>
      </c>
      <c r="AA394" s="15">
        <f t="shared" si="35"/>
        <v>2020</v>
      </c>
      <c r="AB394" s="15">
        <f t="shared" si="36"/>
        <v>2020</v>
      </c>
      <c r="AC394" s="15">
        <f t="shared" si="37"/>
        <v>2020</v>
      </c>
      <c r="AD394" s="18" t="b">
        <f t="shared" si="39"/>
        <v>1</v>
      </c>
    </row>
    <row r="395" spans="1:30" ht="12.75" hidden="1" customHeight="1" x14ac:dyDescent="0.2">
      <c r="A395" s="7" t="s">
        <v>687</v>
      </c>
      <c r="B395" s="7" t="s">
        <v>711</v>
      </c>
      <c r="C395" s="2" t="s">
        <v>642</v>
      </c>
      <c r="D395" s="6"/>
      <c r="E395" s="32" t="s">
        <v>651</v>
      </c>
      <c r="F395" s="7"/>
      <c r="G395" s="7"/>
      <c r="H395" s="7"/>
      <c r="I395" s="7"/>
      <c r="J395" s="7"/>
      <c r="K395" s="7"/>
      <c r="L395" s="7" t="s">
        <v>663</v>
      </c>
      <c r="M395" s="8">
        <v>43831</v>
      </c>
      <c r="N395" s="8">
        <v>43831</v>
      </c>
      <c r="O395" s="13"/>
      <c r="P395" s="13">
        <v>1495452.38</v>
      </c>
      <c r="Q395" s="33"/>
      <c r="R395" s="9"/>
      <c r="S395" s="9"/>
      <c r="T395" s="9"/>
      <c r="U395" s="9"/>
      <c r="X395" s="15" t="str">
        <f>IF(B395="",VLOOKUP(A395,items_lookup!A:B,2,FALSE),B395)</f>
        <v>12. Item 12</v>
      </c>
      <c r="Y395" s="15">
        <f t="shared" si="38"/>
        <v>1</v>
      </c>
      <c r="Z395" s="15">
        <f t="shared" si="38"/>
        <v>1</v>
      </c>
      <c r="AA395" s="15">
        <f t="shared" si="35"/>
        <v>2020</v>
      </c>
      <c r="AB395" s="15">
        <f t="shared" si="36"/>
        <v>2020</v>
      </c>
      <c r="AC395" s="15">
        <f t="shared" si="37"/>
        <v>2020</v>
      </c>
      <c r="AD395" s="18" t="b">
        <f t="shared" si="39"/>
        <v>1</v>
      </c>
    </row>
    <row r="396" spans="1:30" ht="25.5" hidden="1" customHeight="1" x14ac:dyDescent="0.2">
      <c r="A396" s="7" t="s">
        <v>681</v>
      </c>
      <c r="C396" s="2" t="s">
        <v>642</v>
      </c>
      <c r="D396" s="6"/>
      <c r="E396" s="32" t="s">
        <v>651</v>
      </c>
      <c r="H396" s="7"/>
      <c r="K396" s="7"/>
      <c r="L396" s="7" t="s">
        <v>662</v>
      </c>
      <c r="M396" s="8">
        <v>43831</v>
      </c>
      <c r="N396" s="8">
        <v>43831</v>
      </c>
      <c r="O396" s="14">
        <v>2809.52</v>
      </c>
      <c r="Q396" s="33"/>
      <c r="R396" s="23"/>
      <c r="S396" s="23"/>
      <c r="T396" s="23"/>
      <c r="U396" s="23"/>
      <c r="X396" s="15" t="str">
        <f>IF(B396="",VLOOKUP(A396,items_lookup!A:B,2,FALSE),B396)</f>
        <v>19. Item 19</v>
      </c>
      <c r="Y396" s="15">
        <f t="shared" si="38"/>
        <v>1</v>
      </c>
      <c r="Z396" s="15">
        <f t="shared" si="38"/>
        <v>1</v>
      </c>
      <c r="AA396" s="15">
        <f t="shared" si="35"/>
        <v>2020</v>
      </c>
      <c r="AB396" s="15">
        <f t="shared" si="36"/>
        <v>2020</v>
      </c>
      <c r="AC396" s="15">
        <f t="shared" si="37"/>
        <v>2020</v>
      </c>
      <c r="AD396" s="18" t="b">
        <f t="shared" si="39"/>
        <v>1</v>
      </c>
    </row>
    <row r="397" spans="1:30" ht="25.5" hidden="1" customHeight="1" x14ac:dyDescent="0.2">
      <c r="A397" s="7" t="s">
        <v>668</v>
      </c>
      <c r="C397" s="2" t="s">
        <v>642</v>
      </c>
      <c r="D397" s="6"/>
      <c r="E397" s="32" t="s">
        <v>651</v>
      </c>
      <c r="H397" s="7"/>
      <c r="K397" s="7"/>
      <c r="L397" s="7" t="s">
        <v>663</v>
      </c>
      <c r="M397" s="8">
        <v>43831</v>
      </c>
      <c r="N397" s="8">
        <v>43831</v>
      </c>
      <c r="P397" s="14">
        <v>2809.52</v>
      </c>
      <c r="Q397" s="33"/>
      <c r="R397" s="23"/>
      <c r="S397" s="23"/>
      <c r="T397" s="23"/>
      <c r="U397" s="23"/>
      <c r="X397" s="15" t="str">
        <f>IF(B397="",VLOOKUP(A397,items_lookup!A:B,2,FALSE),B397)</f>
        <v>01. Item 01</v>
      </c>
      <c r="Y397" s="15">
        <f t="shared" si="38"/>
        <v>1</v>
      </c>
      <c r="Z397" s="15">
        <f t="shared" si="38"/>
        <v>1</v>
      </c>
      <c r="AA397" s="15">
        <f t="shared" si="35"/>
        <v>2020</v>
      </c>
      <c r="AB397" s="15">
        <f t="shared" si="36"/>
        <v>2020</v>
      </c>
      <c r="AC397" s="15">
        <f t="shared" si="37"/>
        <v>2020</v>
      </c>
      <c r="AD397" s="18" t="b">
        <f t="shared" si="39"/>
        <v>1</v>
      </c>
    </row>
    <row r="398" spans="1:30" ht="25.5" hidden="1" customHeight="1" x14ac:dyDescent="0.2">
      <c r="A398" s="7" t="s">
        <v>673</v>
      </c>
      <c r="C398" s="2" t="s">
        <v>642</v>
      </c>
      <c r="D398" s="6"/>
      <c r="E398" s="32" t="s">
        <v>651</v>
      </c>
      <c r="H398" s="7"/>
      <c r="K398" s="7"/>
      <c r="L398" s="7" t="s">
        <v>662</v>
      </c>
      <c r="M398" s="8">
        <v>43831</v>
      </c>
      <c r="N398" s="8">
        <v>43831</v>
      </c>
      <c r="O398" s="14">
        <v>62238.1</v>
      </c>
      <c r="Q398" s="33"/>
      <c r="X398" s="15" t="str">
        <f>IF(B398="",VLOOKUP(A398,items_lookup!A:B,2,FALSE),B398)</f>
        <v>07. Item 07</v>
      </c>
      <c r="Y398" s="15">
        <f t="shared" si="38"/>
        <v>1</v>
      </c>
      <c r="Z398" s="15">
        <f t="shared" si="38"/>
        <v>1</v>
      </c>
      <c r="AA398" s="15">
        <f t="shared" si="35"/>
        <v>2020</v>
      </c>
      <c r="AB398" s="15">
        <f t="shared" si="36"/>
        <v>2020</v>
      </c>
      <c r="AC398" s="15">
        <f t="shared" si="37"/>
        <v>2020</v>
      </c>
      <c r="AD398" s="18" t="b">
        <f t="shared" si="39"/>
        <v>1</v>
      </c>
    </row>
    <row r="399" spans="1:30" ht="12.75" hidden="1" customHeight="1" x14ac:dyDescent="0.2">
      <c r="A399" s="7" t="s">
        <v>672</v>
      </c>
      <c r="C399" s="2" t="s">
        <v>642</v>
      </c>
      <c r="D399" s="6"/>
      <c r="E399" s="32" t="s">
        <v>651</v>
      </c>
      <c r="H399" s="7"/>
      <c r="K399" s="7"/>
      <c r="L399" s="7" t="s">
        <v>663</v>
      </c>
      <c r="M399" s="8">
        <v>43831</v>
      </c>
      <c r="N399" s="8">
        <v>43831</v>
      </c>
      <c r="P399" s="14">
        <v>19214.29</v>
      </c>
      <c r="Q399" s="33"/>
      <c r="X399" s="15" t="str">
        <f>IF(B399="",VLOOKUP(A399,items_lookup!A:B,2,FALSE),B399)</f>
        <v>05. Item 05</v>
      </c>
      <c r="Y399" s="15">
        <f t="shared" si="38"/>
        <v>1</v>
      </c>
      <c r="Z399" s="15">
        <f t="shared" si="38"/>
        <v>1</v>
      </c>
      <c r="AA399" s="15">
        <f t="shared" si="35"/>
        <v>2020</v>
      </c>
      <c r="AB399" s="15">
        <f t="shared" si="36"/>
        <v>2020</v>
      </c>
      <c r="AC399" s="15">
        <f t="shared" si="37"/>
        <v>2020</v>
      </c>
      <c r="AD399" s="18" t="b">
        <f t="shared" si="39"/>
        <v>1</v>
      </c>
    </row>
    <row r="400" spans="1:30" ht="12.75" hidden="1" customHeight="1" x14ac:dyDescent="0.2">
      <c r="A400" s="7" t="s">
        <v>671</v>
      </c>
      <c r="C400" s="2" t="s">
        <v>642</v>
      </c>
      <c r="D400" s="6"/>
      <c r="E400" s="32" t="s">
        <v>651</v>
      </c>
      <c r="H400" s="7"/>
      <c r="K400" s="7"/>
      <c r="L400" s="7" t="s">
        <v>662</v>
      </c>
      <c r="M400" s="8">
        <v>43831</v>
      </c>
      <c r="N400" s="8">
        <v>43831</v>
      </c>
      <c r="O400" s="14">
        <v>1318119.05</v>
      </c>
      <c r="Q400" s="33"/>
      <c r="X400" s="15" t="str">
        <f>IF(B400="",VLOOKUP(A400,items_lookup!A:B,2,FALSE),B400)</f>
        <v>05. Item 05</v>
      </c>
      <c r="Y400" s="15">
        <f t="shared" si="38"/>
        <v>1</v>
      </c>
      <c r="Z400" s="15">
        <f t="shared" si="38"/>
        <v>1</v>
      </c>
      <c r="AA400" s="15">
        <f t="shared" si="35"/>
        <v>2020</v>
      </c>
      <c r="AB400" s="15">
        <f t="shared" si="36"/>
        <v>2020</v>
      </c>
      <c r="AC400" s="15">
        <f t="shared" si="37"/>
        <v>2020</v>
      </c>
      <c r="AD400" s="18" t="b">
        <f t="shared" si="39"/>
        <v>1</v>
      </c>
    </row>
    <row r="401" spans="1:30" ht="15" hidden="1" customHeight="1" x14ac:dyDescent="0.2">
      <c r="A401" s="7" t="s">
        <v>677</v>
      </c>
      <c r="B401" s="7"/>
      <c r="C401" s="2" t="s">
        <v>641</v>
      </c>
      <c r="D401" s="6" t="s">
        <v>649</v>
      </c>
      <c r="E401" s="32" t="s">
        <v>651</v>
      </c>
      <c r="F401" s="7"/>
      <c r="G401" s="7"/>
      <c r="H401" s="7"/>
      <c r="I401" s="7"/>
      <c r="J401" s="7"/>
      <c r="K401" s="7"/>
      <c r="L401" s="7" t="s">
        <v>662</v>
      </c>
      <c r="M401" s="8">
        <v>44013</v>
      </c>
      <c r="N401" s="8">
        <v>44013</v>
      </c>
      <c r="O401" s="13">
        <v>6467551.1900000004</v>
      </c>
      <c r="P401" s="13"/>
      <c r="Q401" s="33"/>
      <c r="R401" s="22"/>
      <c r="S401" s="22"/>
      <c r="T401" s="22"/>
      <c r="U401" s="22"/>
      <c r="X401" s="15" t="str">
        <f>IF(B401="",VLOOKUP(A401,items_lookup!A:B,2,FALSE),B401)</f>
        <v>11. Item 11</v>
      </c>
      <c r="Y401" s="15">
        <f t="shared" si="38"/>
        <v>7</v>
      </c>
      <c r="Z401" s="15">
        <f t="shared" si="38"/>
        <v>7</v>
      </c>
      <c r="AA401" s="15">
        <f t="shared" si="35"/>
        <v>2020</v>
      </c>
      <c r="AB401" s="15">
        <f t="shared" si="36"/>
        <v>2020</v>
      </c>
      <c r="AC401" s="15">
        <f t="shared" si="37"/>
        <v>2020</v>
      </c>
      <c r="AD401" s="18" t="b">
        <f t="shared" si="39"/>
        <v>1</v>
      </c>
    </row>
    <row r="402" spans="1:30" ht="15" hidden="1" customHeight="1" x14ac:dyDescent="0.2">
      <c r="A402" s="7" t="s">
        <v>687</v>
      </c>
      <c r="B402" s="7"/>
      <c r="C402" s="2" t="s">
        <v>641</v>
      </c>
      <c r="D402" s="6" t="s">
        <v>649</v>
      </c>
      <c r="E402" s="32" t="s">
        <v>651</v>
      </c>
      <c r="F402" s="7"/>
      <c r="G402" s="7"/>
      <c r="H402" s="7"/>
      <c r="I402" s="7"/>
      <c r="J402" s="7"/>
      <c r="K402" s="7"/>
      <c r="L402" s="7" t="s">
        <v>662</v>
      </c>
      <c r="M402" s="8">
        <v>44044</v>
      </c>
      <c r="N402" s="8">
        <v>44044</v>
      </c>
      <c r="O402" s="13">
        <v>1902828.63</v>
      </c>
      <c r="P402" s="13"/>
      <c r="Q402" s="33"/>
      <c r="R402" s="22"/>
      <c r="S402" s="22"/>
      <c r="T402" s="22"/>
      <c r="U402" s="22"/>
      <c r="X402" s="15" t="str">
        <f>IF(B402="",VLOOKUP(A402,items_lookup!A:B,2,FALSE),B402)</f>
        <v>14. Item 14</v>
      </c>
      <c r="Y402" s="15">
        <f t="shared" si="38"/>
        <v>8</v>
      </c>
      <c r="Z402" s="15">
        <f t="shared" si="38"/>
        <v>8</v>
      </c>
      <c r="AA402" s="15">
        <f t="shared" si="35"/>
        <v>2020</v>
      </c>
      <c r="AB402" s="15">
        <f t="shared" si="36"/>
        <v>2020</v>
      </c>
      <c r="AC402" s="15">
        <f t="shared" si="37"/>
        <v>2020</v>
      </c>
      <c r="AD402" s="18" t="b">
        <f t="shared" si="39"/>
        <v>1</v>
      </c>
    </row>
    <row r="403" spans="1:30" ht="15" hidden="1" customHeight="1" x14ac:dyDescent="0.2">
      <c r="A403" s="7" t="s">
        <v>681</v>
      </c>
      <c r="B403" s="7"/>
      <c r="C403" s="2" t="s">
        <v>641</v>
      </c>
      <c r="D403" s="6" t="s">
        <v>649</v>
      </c>
      <c r="E403" s="32" t="s">
        <v>651</v>
      </c>
      <c r="F403" s="7"/>
      <c r="G403" s="7"/>
      <c r="H403" s="7"/>
      <c r="I403" s="7"/>
      <c r="J403" s="7"/>
      <c r="K403" s="7"/>
      <c r="L403" s="7" t="s">
        <v>662</v>
      </c>
      <c r="M403" s="8">
        <v>44075</v>
      </c>
      <c r="N403" s="8">
        <v>44075</v>
      </c>
      <c r="O403" s="13">
        <v>604905.71</v>
      </c>
      <c r="P403" s="13"/>
      <c r="Q403" s="33"/>
      <c r="R403" s="22"/>
      <c r="S403" s="22"/>
      <c r="T403" s="22"/>
      <c r="U403" s="22"/>
      <c r="X403" s="15" t="str">
        <f>IF(B403="",VLOOKUP(A403,items_lookup!A:B,2,FALSE),B403)</f>
        <v>19. Item 19</v>
      </c>
      <c r="Y403" s="15">
        <f t="shared" si="38"/>
        <v>9</v>
      </c>
      <c r="Z403" s="15">
        <f t="shared" si="38"/>
        <v>9</v>
      </c>
      <c r="AA403" s="15">
        <f t="shared" ref="AA403:AA457" si="40">YEAR(N403)</f>
        <v>2020</v>
      </c>
      <c r="AB403" s="15">
        <f t="shared" ref="AB403:AB457" si="41">YEAR(M403)</f>
        <v>2020</v>
      </c>
      <c r="AC403" s="15">
        <f t="shared" ref="AC403:AC457" si="42">IF(F403="X",AA403-1,AA403)</f>
        <v>2020</v>
      </c>
      <c r="AD403" s="18" t="b">
        <f t="shared" si="39"/>
        <v>1</v>
      </c>
    </row>
    <row r="404" spans="1:30" ht="15" hidden="1" customHeight="1" x14ac:dyDescent="0.2">
      <c r="A404" s="7" t="s">
        <v>673</v>
      </c>
      <c r="B404" s="20"/>
      <c r="C404" s="2" t="s">
        <v>642</v>
      </c>
      <c r="D404" s="6"/>
      <c r="E404" s="32" t="s">
        <v>651</v>
      </c>
      <c r="F404" s="7"/>
      <c r="G404" s="7"/>
      <c r="H404" s="7"/>
      <c r="I404" s="7"/>
      <c r="J404" s="7"/>
      <c r="K404" s="7"/>
      <c r="L404" s="7" t="s">
        <v>662</v>
      </c>
      <c r="M404" s="8">
        <v>44105</v>
      </c>
      <c r="N404" s="8">
        <v>44105</v>
      </c>
      <c r="O404" s="13">
        <v>1866261.9</v>
      </c>
      <c r="P404" s="13"/>
      <c r="Q404" s="33"/>
      <c r="R404" s="9"/>
      <c r="S404" s="9"/>
      <c r="T404" s="9"/>
      <c r="U404" s="9"/>
      <c r="X404" s="15" t="str">
        <f>IF(B404="",VLOOKUP(A404,items_lookup!A:B,2,FALSE),B404)</f>
        <v>07. Item 07</v>
      </c>
      <c r="Y404" s="15">
        <f t="shared" si="38"/>
        <v>10</v>
      </c>
      <c r="Z404" s="15">
        <f t="shared" si="38"/>
        <v>10</v>
      </c>
      <c r="AA404" s="15">
        <f t="shared" si="40"/>
        <v>2020</v>
      </c>
      <c r="AB404" s="15">
        <f t="shared" si="41"/>
        <v>2020</v>
      </c>
      <c r="AC404" s="15">
        <f t="shared" si="42"/>
        <v>2020</v>
      </c>
      <c r="AD404" s="18" t="b">
        <f t="shared" si="39"/>
        <v>1</v>
      </c>
    </row>
    <row r="405" spans="1:30" ht="15" hidden="1" customHeight="1" x14ac:dyDescent="0.2">
      <c r="A405" s="7" t="s">
        <v>672</v>
      </c>
      <c r="B405" s="20"/>
      <c r="C405" s="2" t="s">
        <v>642</v>
      </c>
      <c r="D405" s="6"/>
      <c r="E405" s="32" t="s">
        <v>651</v>
      </c>
      <c r="F405" s="7"/>
      <c r="G405" s="7"/>
      <c r="H405" s="7"/>
      <c r="I405" s="7"/>
      <c r="J405" s="7"/>
      <c r="K405" s="7"/>
      <c r="L405" s="7" t="s">
        <v>662</v>
      </c>
      <c r="M405" s="8">
        <v>44136</v>
      </c>
      <c r="N405" s="8">
        <v>44136</v>
      </c>
      <c r="O405" s="13">
        <v>1866261.9</v>
      </c>
      <c r="P405" s="13"/>
      <c r="Q405" s="33"/>
      <c r="R405" s="9"/>
      <c r="S405" s="9"/>
      <c r="T405" s="9"/>
      <c r="U405" s="9"/>
      <c r="X405" s="15" t="str">
        <f>IF(B405="",VLOOKUP(A405,items_lookup!A:B,2,FALSE),B405)</f>
        <v>05. Item 05</v>
      </c>
      <c r="Y405" s="15">
        <f t="shared" si="38"/>
        <v>11</v>
      </c>
      <c r="Z405" s="15">
        <f t="shared" si="38"/>
        <v>11</v>
      </c>
      <c r="AA405" s="15">
        <f t="shared" si="40"/>
        <v>2020</v>
      </c>
      <c r="AB405" s="15">
        <f t="shared" si="41"/>
        <v>2020</v>
      </c>
      <c r="AC405" s="15">
        <f t="shared" si="42"/>
        <v>2020</v>
      </c>
      <c r="AD405" s="18" t="b">
        <f t="shared" si="39"/>
        <v>1</v>
      </c>
    </row>
    <row r="406" spans="1:30" ht="15" hidden="1" customHeight="1" x14ac:dyDescent="0.2">
      <c r="A406" s="7" t="s">
        <v>668</v>
      </c>
      <c r="B406" s="7"/>
      <c r="C406" s="2" t="s">
        <v>641</v>
      </c>
      <c r="D406" s="6" t="s">
        <v>649</v>
      </c>
      <c r="E406" s="32" t="s">
        <v>651</v>
      </c>
      <c r="F406" s="7"/>
      <c r="G406" s="7"/>
      <c r="H406" s="7"/>
      <c r="I406" s="7"/>
      <c r="J406" s="7"/>
      <c r="K406" s="7"/>
      <c r="L406" s="7" t="s">
        <v>662</v>
      </c>
      <c r="M406" s="8">
        <v>44105</v>
      </c>
      <c r="N406" s="8">
        <v>44105</v>
      </c>
      <c r="O406" s="13">
        <v>47275476.189999998</v>
      </c>
      <c r="P406" s="13"/>
      <c r="Q406" s="33"/>
      <c r="R406" s="22"/>
      <c r="S406" s="22"/>
      <c r="T406" s="22"/>
      <c r="U406" s="22"/>
      <c r="X406" s="15" t="str">
        <f>IF(B406="",VLOOKUP(A406,items_lookup!A:B,2,FALSE),B406)</f>
        <v>01. Item 01</v>
      </c>
      <c r="Y406" s="15">
        <f t="shared" si="38"/>
        <v>10</v>
      </c>
      <c r="Z406" s="15">
        <f t="shared" si="38"/>
        <v>10</v>
      </c>
      <c r="AA406" s="15">
        <f t="shared" si="40"/>
        <v>2020</v>
      </c>
      <c r="AB406" s="15">
        <f t="shared" si="41"/>
        <v>2020</v>
      </c>
      <c r="AC406" s="15">
        <f t="shared" si="42"/>
        <v>2020</v>
      </c>
      <c r="AD406" s="18" t="b">
        <f t="shared" si="39"/>
        <v>1</v>
      </c>
    </row>
    <row r="407" spans="1:30" ht="15" hidden="1" customHeight="1" x14ac:dyDescent="0.2">
      <c r="A407" s="7" t="s">
        <v>669</v>
      </c>
      <c r="B407" s="7"/>
      <c r="C407" s="2" t="s">
        <v>641</v>
      </c>
      <c r="D407" s="6" t="s">
        <v>650</v>
      </c>
      <c r="E407" s="32" t="s">
        <v>651</v>
      </c>
      <c r="F407" s="7"/>
      <c r="G407" s="7"/>
      <c r="H407" s="7"/>
      <c r="I407" s="7"/>
      <c r="J407" s="7"/>
      <c r="K407" s="7"/>
      <c r="L407" s="7" t="s">
        <v>662</v>
      </c>
      <c r="M407" s="8">
        <v>44105</v>
      </c>
      <c r="N407" s="8">
        <v>44105</v>
      </c>
      <c r="O407" s="13">
        <v>30952.38</v>
      </c>
      <c r="P407" s="13"/>
      <c r="Q407" s="33"/>
      <c r="R407" s="22"/>
      <c r="S407" s="22"/>
      <c r="T407" s="22"/>
      <c r="U407" s="22"/>
      <c r="X407" s="15" t="str">
        <f>IF(B407="",VLOOKUP(A407,items_lookup!A:B,2,FALSE),B407)</f>
        <v>02. Item 02</v>
      </c>
      <c r="Y407" s="15">
        <f t="shared" si="38"/>
        <v>10</v>
      </c>
      <c r="Z407" s="15">
        <f t="shared" si="38"/>
        <v>10</v>
      </c>
      <c r="AA407" s="15">
        <f t="shared" si="40"/>
        <v>2020</v>
      </c>
      <c r="AB407" s="15">
        <f t="shared" si="41"/>
        <v>2020</v>
      </c>
      <c r="AC407" s="15">
        <f t="shared" si="42"/>
        <v>2020</v>
      </c>
      <c r="AD407" s="18" t="b">
        <f t="shared" si="39"/>
        <v>1</v>
      </c>
    </row>
    <row r="408" spans="1:30" ht="15" hidden="1" customHeight="1" x14ac:dyDescent="0.2">
      <c r="A408" s="7" t="s">
        <v>671</v>
      </c>
      <c r="B408" s="7"/>
      <c r="C408" s="2" t="s">
        <v>641</v>
      </c>
      <c r="D408" s="6" t="s">
        <v>649</v>
      </c>
      <c r="E408" s="32" t="s">
        <v>651</v>
      </c>
      <c r="F408" s="7"/>
      <c r="G408" s="7"/>
      <c r="H408" s="7"/>
      <c r="I408" s="7"/>
      <c r="J408" s="7"/>
      <c r="K408" s="7"/>
      <c r="L408" s="7" t="s">
        <v>662</v>
      </c>
      <c r="M408" s="8">
        <v>44136</v>
      </c>
      <c r="N408" s="8">
        <v>44136</v>
      </c>
      <c r="O408" s="13">
        <v>38209047.619999997</v>
      </c>
      <c r="P408" s="13"/>
      <c r="Q408" s="33"/>
      <c r="R408" s="22"/>
      <c r="S408" s="22"/>
      <c r="T408" s="22"/>
      <c r="U408" s="22"/>
      <c r="X408" s="15" t="str">
        <f>IF(B408="",VLOOKUP(A408,items_lookup!A:B,2,FALSE),B408)</f>
        <v>05. Item 05</v>
      </c>
      <c r="Y408" s="15">
        <f t="shared" si="38"/>
        <v>11</v>
      </c>
      <c r="Z408" s="15">
        <f t="shared" si="38"/>
        <v>11</v>
      </c>
      <c r="AA408" s="15">
        <f t="shared" si="40"/>
        <v>2020</v>
      </c>
      <c r="AB408" s="15">
        <f t="shared" si="41"/>
        <v>2020</v>
      </c>
      <c r="AC408" s="15">
        <f t="shared" si="42"/>
        <v>2020</v>
      </c>
      <c r="AD408" s="18" t="b">
        <f t="shared" si="39"/>
        <v>1</v>
      </c>
    </row>
    <row r="409" spans="1:30" ht="15" hidden="1" customHeight="1" x14ac:dyDescent="0.2">
      <c r="A409" s="7" t="s">
        <v>677</v>
      </c>
      <c r="B409" s="7"/>
      <c r="C409" s="2" t="s">
        <v>641</v>
      </c>
      <c r="D409" s="6" t="s">
        <v>650</v>
      </c>
      <c r="E409" s="32" t="s">
        <v>651</v>
      </c>
      <c r="F409" s="7"/>
      <c r="G409" s="7"/>
      <c r="H409" s="7"/>
      <c r="I409" s="7"/>
      <c r="J409" s="7"/>
      <c r="K409" s="7"/>
      <c r="L409" s="7" t="s">
        <v>662</v>
      </c>
      <c r="M409" s="8">
        <v>44136</v>
      </c>
      <c r="N409" s="8">
        <v>44136</v>
      </c>
      <c r="O409" s="13">
        <v>30952.38</v>
      </c>
      <c r="P409" s="13"/>
      <c r="Q409" s="33"/>
      <c r="R409" s="22"/>
      <c r="S409" s="22"/>
      <c r="T409" s="22"/>
      <c r="U409" s="22"/>
      <c r="X409" s="15" t="str">
        <f>IF(B409="",VLOOKUP(A409,items_lookup!A:B,2,FALSE),B409)</f>
        <v>11. Item 11</v>
      </c>
      <c r="Y409" s="15">
        <f t="shared" si="38"/>
        <v>11</v>
      </c>
      <c r="Z409" s="15">
        <f t="shared" si="38"/>
        <v>11</v>
      </c>
      <c r="AA409" s="15">
        <f t="shared" si="40"/>
        <v>2020</v>
      </c>
      <c r="AB409" s="15">
        <f t="shared" si="41"/>
        <v>2020</v>
      </c>
      <c r="AC409" s="15">
        <f t="shared" si="42"/>
        <v>2020</v>
      </c>
      <c r="AD409" s="18" t="b">
        <f t="shared" si="39"/>
        <v>1</v>
      </c>
    </row>
    <row r="410" spans="1:30" ht="15" hidden="1" customHeight="1" x14ac:dyDescent="0.2">
      <c r="A410" s="7" t="s">
        <v>676</v>
      </c>
      <c r="B410" s="7"/>
      <c r="C410" s="2" t="s">
        <v>641</v>
      </c>
      <c r="D410" s="6" t="s">
        <v>650</v>
      </c>
      <c r="E410" s="32" t="s">
        <v>651</v>
      </c>
      <c r="F410" s="7"/>
      <c r="G410" s="7"/>
      <c r="H410" s="7"/>
      <c r="I410" s="7"/>
      <c r="J410" s="7"/>
      <c r="K410" s="7"/>
      <c r="L410" s="7" t="s">
        <v>662</v>
      </c>
      <c r="M410" s="8">
        <v>44136</v>
      </c>
      <c r="N410" s="8">
        <v>44136</v>
      </c>
      <c r="O410" s="13">
        <v>130952.38</v>
      </c>
      <c r="P410" s="13"/>
      <c r="Q410" s="33"/>
      <c r="R410" s="22"/>
      <c r="S410" s="22"/>
      <c r="T410" s="22"/>
      <c r="U410" s="22"/>
      <c r="X410" s="15" t="str">
        <f>IF(B410="",VLOOKUP(A410,items_lookup!A:B,2,FALSE),B410)</f>
        <v>09. Item 09</v>
      </c>
      <c r="Y410" s="15">
        <f t="shared" si="38"/>
        <v>11</v>
      </c>
      <c r="Z410" s="15">
        <f t="shared" si="38"/>
        <v>11</v>
      </c>
      <c r="AA410" s="15">
        <f t="shared" si="40"/>
        <v>2020</v>
      </c>
      <c r="AB410" s="15">
        <f t="shared" si="41"/>
        <v>2020</v>
      </c>
      <c r="AC410" s="15">
        <f t="shared" si="42"/>
        <v>2020</v>
      </c>
      <c r="AD410" s="18" t="b">
        <f t="shared" si="39"/>
        <v>1</v>
      </c>
    </row>
    <row r="411" spans="1:30" ht="15" hidden="1" customHeight="1" x14ac:dyDescent="0.2">
      <c r="A411" s="7" t="s">
        <v>675</v>
      </c>
      <c r="B411" s="7"/>
      <c r="C411" s="2" t="s">
        <v>641</v>
      </c>
      <c r="D411" s="6" t="s">
        <v>649</v>
      </c>
      <c r="E411" s="32" t="s">
        <v>651</v>
      </c>
      <c r="F411" s="7"/>
      <c r="G411" s="7"/>
      <c r="H411" s="7"/>
      <c r="I411" s="7"/>
      <c r="J411" s="7"/>
      <c r="K411" s="7"/>
      <c r="L411" s="7" t="s">
        <v>662</v>
      </c>
      <c r="M411" s="8">
        <v>44166</v>
      </c>
      <c r="N411" s="8">
        <v>44166</v>
      </c>
      <c r="O411" s="13">
        <v>37420238.100000001</v>
      </c>
      <c r="P411" s="13"/>
      <c r="Q411" s="33"/>
      <c r="R411" s="22"/>
      <c r="S411" s="22"/>
      <c r="T411" s="22"/>
      <c r="U411" s="22"/>
      <c r="X411" s="15" t="str">
        <f>IF(B411="",VLOOKUP(A411,items_lookup!A:B,2,FALSE),B411)</f>
        <v>09. Item 09</v>
      </c>
      <c r="Y411" s="15">
        <f t="shared" si="38"/>
        <v>12</v>
      </c>
      <c r="Z411" s="15">
        <f t="shared" si="38"/>
        <v>12</v>
      </c>
      <c r="AA411" s="15">
        <f t="shared" si="40"/>
        <v>2020</v>
      </c>
      <c r="AB411" s="15">
        <f t="shared" si="41"/>
        <v>2020</v>
      </c>
      <c r="AC411" s="15">
        <f t="shared" si="42"/>
        <v>2020</v>
      </c>
      <c r="AD411" s="18" t="b">
        <f t="shared" si="39"/>
        <v>1</v>
      </c>
    </row>
    <row r="412" spans="1:30" ht="15" hidden="1" customHeight="1" x14ac:dyDescent="0.2">
      <c r="A412" s="7" t="s">
        <v>673</v>
      </c>
      <c r="B412" s="7"/>
      <c r="C412" s="2" t="s">
        <v>641</v>
      </c>
      <c r="D412" s="6" t="s">
        <v>650</v>
      </c>
      <c r="E412" s="32" t="s">
        <v>651</v>
      </c>
      <c r="F412" s="7"/>
      <c r="G412" s="7"/>
      <c r="H412" s="7"/>
      <c r="I412" s="7"/>
      <c r="J412" s="7"/>
      <c r="K412" s="7"/>
      <c r="L412" s="7" t="s">
        <v>662</v>
      </c>
      <c r="M412" s="8">
        <v>44166</v>
      </c>
      <c r="N412" s="8">
        <v>44166</v>
      </c>
      <c r="O412" s="13">
        <v>606666.67000000004</v>
      </c>
      <c r="P412" s="13"/>
      <c r="Q412" s="33"/>
      <c r="R412" s="22"/>
      <c r="S412" s="22"/>
      <c r="T412" s="22"/>
      <c r="U412" s="22"/>
      <c r="X412" s="15" t="str">
        <f>IF(B412="",VLOOKUP(A412,items_lookup!A:B,2,FALSE),B412)</f>
        <v>07. Item 07</v>
      </c>
      <c r="Y412" s="15">
        <f t="shared" si="38"/>
        <v>12</v>
      </c>
      <c r="Z412" s="15">
        <f t="shared" si="38"/>
        <v>12</v>
      </c>
      <c r="AA412" s="15">
        <f t="shared" si="40"/>
        <v>2020</v>
      </c>
      <c r="AB412" s="15">
        <f t="shared" si="41"/>
        <v>2020</v>
      </c>
      <c r="AC412" s="15">
        <f t="shared" si="42"/>
        <v>2020</v>
      </c>
      <c r="AD412" s="18" t="b">
        <f t="shared" si="39"/>
        <v>1</v>
      </c>
    </row>
    <row r="413" spans="1:30" ht="15" hidden="1" customHeight="1" x14ac:dyDescent="0.2">
      <c r="A413" s="7" t="s">
        <v>672</v>
      </c>
      <c r="B413" s="20"/>
      <c r="C413" s="2" t="s">
        <v>641</v>
      </c>
      <c r="D413" s="6" t="s">
        <v>649</v>
      </c>
      <c r="E413" s="32" t="s">
        <v>651</v>
      </c>
      <c r="F413" s="7"/>
      <c r="G413" s="7"/>
      <c r="H413" s="7"/>
      <c r="I413" s="7"/>
      <c r="J413" s="7"/>
      <c r="K413" s="7"/>
      <c r="L413" s="7" t="s">
        <v>662</v>
      </c>
      <c r="M413" s="8">
        <v>44105</v>
      </c>
      <c r="N413" s="8">
        <v>44105</v>
      </c>
      <c r="O413" s="13">
        <v>7048428.5700000003</v>
      </c>
      <c r="P413" s="13"/>
      <c r="Q413" s="33"/>
      <c r="R413" s="9"/>
      <c r="S413" s="9"/>
      <c r="T413" s="9"/>
      <c r="U413" s="9"/>
      <c r="X413" s="15" t="str">
        <f>IF(B413="",VLOOKUP(A413,items_lookup!A:B,2,FALSE),B413)</f>
        <v>05. Item 05</v>
      </c>
      <c r="Y413" s="15">
        <f t="shared" si="38"/>
        <v>10</v>
      </c>
      <c r="Z413" s="15">
        <f t="shared" si="38"/>
        <v>10</v>
      </c>
      <c r="AA413" s="15">
        <f t="shared" si="40"/>
        <v>2020</v>
      </c>
      <c r="AB413" s="15">
        <f t="shared" si="41"/>
        <v>2020</v>
      </c>
      <c r="AC413" s="15">
        <f t="shared" si="42"/>
        <v>2020</v>
      </c>
      <c r="AD413" s="18" t="b">
        <f t="shared" si="39"/>
        <v>1</v>
      </c>
    </row>
    <row r="414" spans="1:30" ht="15" hidden="1" customHeight="1" x14ac:dyDescent="0.2">
      <c r="A414" s="7" t="s">
        <v>668</v>
      </c>
      <c r="B414" s="20"/>
      <c r="C414" s="2" t="s">
        <v>641</v>
      </c>
      <c r="D414" s="6" t="s">
        <v>649</v>
      </c>
      <c r="E414" s="32" t="s">
        <v>651</v>
      </c>
      <c r="F414" s="7"/>
      <c r="G414" s="7"/>
      <c r="H414" s="7"/>
      <c r="I414" s="7"/>
      <c r="J414" s="7"/>
      <c r="K414" s="7"/>
      <c r="L414" s="7" t="s">
        <v>662</v>
      </c>
      <c r="M414" s="8">
        <v>44136</v>
      </c>
      <c r="N414" s="8">
        <v>44136</v>
      </c>
      <c r="O414" s="13">
        <v>5833333.3300000001</v>
      </c>
      <c r="P414" s="13"/>
      <c r="Q414" s="33"/>
      <c r="R414" s="9"/>
      <c r="S414" s="9"/>
      <c r="T414" s="9"/>
      <c r="U414" s="9"/>
      <c r="X414" s="15" t="str">
        <f>IF(B414="",VLOOKUP(A414,items_lookup!A:B,2,FALSE),B414)</f>
        <v>01. Item 01</v>
      </c>
      <c r="Y414" s="15">
        <f t="shared" ref="Y414:Z473" si="43">MONTH(M414)</f>
        <v>11</v>
      </c>
      <c r="Z414" s="15">
        <f t="shared" si="43"/>
        <v>11</v>
      </c>
      <c r="AA414" s="15">
        <f t="shared" si="40"/>
        <v>2020</v>
      </c>
      <c r="AB414" s="15">
        <f t="shared" si="41"/>
        <v>2020</v>
      </c>
      <c r="AC414" s="15">
        <f t="shared" si="42"/>
        <v>2020</v>
      </c>
      <c r="AD414" s="18" t="b">
        <f t="shared" si="39"/>
        <v>1</v>
      </c>
    </row>
    <row r="415" spans="1:30" ht="15" hidden="1" customHeight="1" x14ac:dyDescent="0.2">
      <c r="A415" s="7" t="s">
        <v>669</v>
      </c>
      <c r="B415" s="20"/>
      <c r="C415" s="2" t="s">
        <v>641</v>
      </c>
      <c r="D415" s="6" t="s">
        <v>649</v>
      </c>
      <c r="E415" s="32" t="s">
        <v>651</v>
      </c>
      <c r="F415" s="7"/>
      <c r="G415" s="7"/>
      <c r="H415" s="7"/>
      <c r="I415" s="7"/>
      <c r="J415" s="7"/>
      <c r="K415" s="7"/>
      <c r="L415" s="7" t="s">
        <v>662</v>
      </c>
      <c r="M415" s="8">
        <v>44166</v>
      </c>
      <c r="N415" s="8">
        <v>44166</v>
      </c>
      <c r="O415" s="13">
        <v>6719285.71</v>
      </c>
      <c r="P415" s="13"/>
      <c r="Q415" s="33"/>
      <c r="R415" s="9"/>
      <c r="S415" s="9"/>
      <c r="T415" s="9"/>
      <c r="U415" s="9"/>
      <c r="X415" s="15" t="str">
        <f>IF(B415="",VLOOKUP(A415,items_lookup!A:B,2,FALSE),B415)</f>
        <v>02. Item 02</v>
      </c>
      <c r="Y415" s="15">
        <f t="shared" si="43"/>
        <v>12</v>
      </c>
      <c r="Z415" s="15">
        <f t="shared" si="43"/>
        <v>12</v>
      </c>
      <c r="AA415" s="15">
        <f t="shared" si="40"/>
        <v>2020</v>
      </c>
      <c r="AB415" s="15">
        <f t="shared" si="41"/>
        <v>2020</v>
      </c>
      <c r="AC415" s="15">
        <f t="shared" si="42"/>
        <v>2020</v>
      </c>
      <c r="AD415" s="18" t="b">
        <f t="shared" si="39"/>
        <v>1</v>
      </c>
    </row>
    <row r="416" spans="1:30" ht="15" hidden="1" customHeight="1" x14ac:dyDescent="0.2">
      <c r="A416" s="7" t="s">
        <v>671</v>
      </c>
      <c r="B416" s="20"/>
      <c r="C416" s="2" t="s">
        <v>641</v>
      </c>
      <c r="D416" s="6" t="s">
        <v>649</v>
      </c>
      <c r="E416" s="32" t="s">
        <v>651</v>
      </c>
      <c r="F416" s="7"/>
      <c r="G416" s="7"/>
      <c r="H416" s="7"/>
      <c r="I416" s="7"/>
      <c r="J416" s="7"/>
      <c r="K416" s="7"/>
      <c r="L416" s="7" t="s">
        <v>662</v>
      </c>
      <c r="M416" s="8">
        <v>44136</v>
      </c>
      <c r="N416" s="8">
        <v>44136</v>
      </c>
      <c r="O416" s="13">
        <v>1595238.1</v>
      </c>
      <c r="P416" s="13"/>
      <c r="Q416" s="33"/>
      <c r="R416" s="9"/>
      <c r="S416" s="9"/>
      <c r="T416" s="9"/>
      <c r="U416" s="9"/>
      <c r="X416" s="15" t="str">
        <f>IF(B416="",VLOOKUP(A416,items_lookup!A:B,2,FALSE),B416)</f>
        <v>05. Item 05</v>
      </c>
      <c r="Y416" s="15">
        <f t="shared" si="43"/>
        <v>11</v>
      </c>
      <c r="Z416" s="15">
        <f t="shared" si="43"/>
        <v>11</v>
      </c>
      <c r="AA416" s="15">
        <f t="shared" si="40"/>
        <v>2020</v>
      </c>
      <c r="AB416" s="15">
        <f t="shared" si="41"/>
        <v>2020</v>
      </c>
      <c r="AC416" s="15">
        <f t="shared" si="42"/>
        <v>2020</v>
      </c>
      <c r="AD416" s="18" t="b">
        <f t="shared" si="39"/>
        <v>1</v>
      </c>
    </row>
    <row r="417" spans="1:30" ht="15" hidden="1" customHeight="1" x14ac:dyDescent="0.2">
      <c r="A417" s="7" t="s">
        <v>677</v>
      </c>
      <c r="B417" s="20"/>
      <c r="C417" s="2" t="s">
        <v>641</v>
      </c>
      <c r="D417" s="6" t="s">
        <v>649</v>
      </c>
      <c r="E417" s="32" t="s">
        <v>651</v>
      </c>
      <c r="F417" s="7"/>
      <c r="G417" s="7"/>
      <c r="H417" s="7"/>
      <c r="I417" s="7"/>
      <c r="J417" s="7"/>
      <c r="K417" s="7"/>
      <c r="L417" s="7" t="s">
        <v>662</v>
      </c>
      <c r="M417" s="8">
        <v>44166</v>
      </c>
      <c r="N417" s="8">
        <v>44166</v>
      </c>
      <c r="O417" s="13">
        <v>1464047.62</v>
      </c>
      <c r="P417" s="13"/>
      <c r="Q417" s="33"/>
      <c r="R417" s="9"/>
      <c r="S417" s="9"/>
      <c r="T417" s="9"/>
      <c r="U417" s="9"/>
      <c r="X417" s="15" t="str">
        <f>IF(B417="",VLOOKUP(A417,items_lookup!A:B,2,FALSE),B417)</f>
        <v>11. Item 11</v>
      </c>
      <c r="Y417" s="15">
        <f t="shared" si="43"/>
        <v>12</v>
      </c>
      <c r="Z417" s="15">
        <f t="shared" si="43"/>
        <v>12</v>
      </c>
      <c r="AA417" s="15">
        <f t="shared" si="40"/>
        <v>2020</v>
      </c>
      <c r="AB417" s="15">
        <f t="shared" si="41"/>
        <v>2020</v>
      </c>
      <c r="AC417" s="15">
        <f t="shared" si="42"/>
        <v>2020</v>
      </c>
      <c r="AD417" s="18" t="b">
        <f t="shared" si="39"/>
        <v>1</v>
      </c>
    </row>
    <row r="418" spans="1:30" ht="15" hidden="1" customHeight="1" x14ac:dyDescent="0.2">
      <c r="A418" s="7" t="s">
        <v>676</v>
      </c>
      <c r="B418" s="7" t="s">
        <v>708</v>
      </c>
      <c r="C418" s="2" t="s">
        <v>641</v>
      </c>
      <c r="D418" s="6" t="s">
        <v>649</v>
      </c>
      <c r="E418" s="32" t="s">
        <v>651</v>
      </c>
      <c r="F418" s="7"/>
      <c r="G418" s="7"/>
      <c r="H418" s="7"/>
      <c r="I418" s="7"/>
      <c r="J418" s="7"/>
      <c r="K418" s="7"/>
      <c r="L418" s="7" t="s">
        <v>662</v>
      </c>
      <c r="M418" s="8">
        <v>44105</v>
      </c>
      <c r="N418" s="8">
        <v>44105</v>
      </c>
      <c r="O418" s="13">
        <v>3903181.74</v>
      </c>
      <c r="P418" s="13"/>
      <c r="Q418" s="33"/>
      <c r="R418" s="9"/>
      <c r="S418" s="9"/>
      <c r="T418" s="9"/>
      <c r="U418" s="9"/>
      <c r="X418" s="15" t="str">
        <f>IF(B418="",VLOOKUP(A418,items_lookup!A:B,2,FALSE),B418)</f>
        <v>03. Item 03</v>
      </c>
      <c r="Y418" s="15">
        <f t="shared" si="43"/>
        <v>10</v>
      </c>
      <c r="Z418" s="15">
        <f t="shared" si="43"/>
        <v>10</v>
      </c>
      <c r="AA418" s="15">
        <f t="shared" si="40"/>
        <v>2020</v>
      </c>
      <c r="AB418" s="15">
        <f t="shared" si="41"/>
        <v>2020</v>
      </c>
      <c r="AC418" s="15">
        <f t="shared" si="42"/>
        <v>2020</v>
      </c>
      <c r="AD418" s="18" t="b">
        <f t="shared" si="39"/>
        <v>1</v>
      </c>
    </row>
    <row r="419" spans="1:30" ht="15" hidden="1" customHeight="1" x14ac:dyDescent="0.2">
      <c r="A419" s="7" t="s">
        <v>675</v>
      </c>
      <c r="B419" s="7" t="s">
        <v>708</v>
      </c>
      <c r="C419" s="2" t="s">
        <v>641</v>
      </c>
      <c r="D419" s="6" t="s">
        <v>649</v>
      </c>
      <c r="E419" s="32" t="s">
        <v>651</v>
      </c>
      <c r="F419" s="7"/>
      <c r="G419" s="7"/>
      <c r="H419" s="7"/>
      <c r="I419" s="7"/>
      <c r="J419" s="7"/>
      <c r="K419" s="7"/>
      <c r="L419" s="7" t="s">
        <v>662</v>
      </c>
      <c r="M419" s="8">
        <v>44136</v>
      </c>
      <c r="N419" s="8">
        <v>44136</v>
      </c>
      <c r="O419" s="13">
        <v>3314285.71</v>
      </c>
      <c r="P419" s="13"/>
      <c r="Q419" s="33"/>
      <c r="R419" s="9"/>
      <c r="S419" s="9"/>
      <c r="T419" s="9"/>
      <c r="U419" s="9"/>
      <c r="X419" s="15" t="str">
        <f>IF(B419="",VLOOKUP(A419,items_lookup!A:B,2,FALSE),B419)</f>
        <v>03. Item 03</v>
      </c>
      <c r="Y419" s="15">
        <f t="shared" si="43"/>
        <v>11</v>
      </c>
      <c r="Z419" s="15">
        <f t="shared" si="43"/>
        <v>11</v>
      </c>
      <c r="AA419" s="15">
        <f t="shared" si="40"/>
        <v>2020</v>
      </c>
      <c r="AB419" s="15">
        <f t="shared" si="41"/>
        <v>2020</v>
      </c>
      <c r="AC419" s="15">
        <f t="shared" si="42"/>
        <v>2020</v>
      </c>
      <c r="AD419" s="18" t="b">
        <f t="shared" si="39"/>
        <v>1</v>
      </c>
    </row>
    <row r="420" spans="1:30" ht="15" hidden="1" customHeight="1" x14ac:dyDescent="0.2">
      <c r="A420" s="7"/>
      <c r="B420" s="7" t="s">
        <v>708</v>
      </c>
      <c r="C420" s="2" t="s">
        <v>641</v>
      </c>
      <c r="D420" s="6" t="s">
        <v>649</v>
      </c>
      <c r="E420" s="32" t="s">
        <v>651</v>
      </c>
      <c r="F420" s="7"/>
      <c r="G420" s="7"/>
      <c r="H420" s="7"/>
      <c r="I420" s="7"/>
      <c r="J420" s="7"/>
      <c r="K420" s="7"/>
      <c r="L420" s="7" t="s">
        <v>662</v>
      </c>
      <c r="M420" s="8">
        <v>44166</v>
      </c>
      <c r="N420" s="8">
        <v>44166</v>
      </c>
      <c r="O420" s="13">
        <v>3314285.71</v>
      </c>
      <c r="P420" s="13"/>
      <c r="Q420" s="33"/>
      <c r="R420" s="9"/>
      <c r="S420" s="9"/>
      <c r="T420" s="9"/>
      <c r="U420" s="9"/>
      <c r="X420" s="15" t="str">
        <f>IF(B420="",VLOOKUP(A420,items_lookup!A:B,2,FALSE),B420)</f>
        <v>03. Item 03</v>
      </c>
      <c r="Y420" s="15">
        <f t="shared" si="43"/>
        <v>12</v>
      </c>
      <c r="Z420" s="15">
        <f t="shared" si="43"/>
        <v>12</v>
      </c>
      <c r="AA420" s="15">
        <f t="shared" si="40"/>
        <v>2020</v>
      </c>
      <c r="AB420" s="15">
        <f t="shared" si="41"/>
        <v>2020</v>
      </c>
      <c r="AC420" s="15">
        <f t="shared" si="42"/>
        <v>2020</v>
      </c>
      <c r="AD420" s="18" t="b">
        <f t="shared" si="39"/>
        <v>1</v>
      </c>
    </row>
    <row r="421" spans="1:30" ht="15" hidden="1" customHeight="1" x14ac:dyDescent="0.2">
      <c r="A421" s="7" t="s">
        <v>678</v>
      </c>
      <c r="B421" s="7"/>
      <c r="C421" s="2" t="s">
        <v>641</v>
      </c>
      <c r="D421" s="6" t="s">
        <v>649</v>
      </c>
      <c r="E421" s="32" t="s">
        <v>651</v>
      </c>
      <c r="F421" s="7"/>
      <c r="G421" s="7"/>
      <c r="H421" s="7"/>
      <c r="I421" s="7"/>
      <c r="J421" s="7"/>
      <c r="K421" s="7"/>
      <c r="L421" s="7" t="s">
        <v>662</v>
      </c>
      <c r="M421" s="8">
        <v>44105</v>
      </c>
      <c r="N421" s="8">
        <v>44105</v>
      </c>
      <c r="O421" s="13">
        <v>6071452.3799999999</v>
      </c>
      <c r="P421" s="13"/>
      <c r="Q421" s="33"/>
      <c r="R421" s="22"/>
      <c r="S421" s="22"/>
      <c r="T421" s="22"/>
      <c r="U421" s="22"/>
      <c r="X421" s="15" t="str">
        <f>IF(B421="",VLOOKUP(A421,items_lookup!A:B,2,FALSE),B421)</f>
        <v>13. Item 13</v>
      </c>
      <c r="Y421" s="15">
        <f t="shared" si="43"/>
        <v>10</v>
      </c>
      <c r="Z421" s="15">
        <f t="shared" si="43"/>
        <v>10</v>
      </c>
      <c r="AA421" s="15">
        <f t="shared" si="40"/>
        <v>2020</v>
      </c>
      <c r="AB421" s="15">
        <f t="shared" si="41"/>
        <v>2020</v>
      </c>
      <c r="AC421" s="15">
        <f t="shared" si="42"/>
        <v>2020</v>
      </c>
      <c r="AD421" s="18" t="b">
        <f t="shared" si="39"/>
        <v>1</v>
      </c>
    </row>
    <row r="422" spans="1:30" ht="15" hidden="1" customHeight="1" x14ac:dyDescent="0.2">
      <c r="A422" s="7" t="s">
        <v>678</v>
      </c>
      <c r="B422" s="7"/>
      <c r="C422" s="2" t="s">
        <v>641</v>
      </c>
      <c r="D422" s="6" t="s">
        <v>649</v>
      </c>
      <c r="E422" s="32" t="s">
        <v>651</v>
      </c>
      <c r="F422" s="7"/>
      <c r="G422" s="7"/>
      <c r="H422" s="7"/>
      <c r="I422" s="7"/>
      <c r="J422" s="7"/>
      <c r="K422" s="7"/>
      <c r="L422" s="7" t="s">
        <v>662</v>
      </c>
      <c r="M422" s="8">
        <v>44105</v>
      </c>
      <c r="N422" s="8">
        <v>44105</v>
      </c>
      <c r="O422" s="13">
        <v>475928.57</v>
      </c>
      <c r="P422" s="13"/>
      <c r="Q422" s="33"/>
      <c r="R422" s="22"/>
      <c r="S422" s="22"/>
      <c r="T422" s="22"/>
      <c r="U422" s="22"/>
      <c r="X422" s="15" t="str">
        <f>IF(B422="",VLOOKUP(A422,items_lookup!A:B,2,FALSE),B422)</f>
        <v>13. Item 13</v>
      </c>
      <c r="Y422" s="15">
        <f t="shared" si="43"/>
        <v>10</v>
      </c>
      <c r="Z422" s="15">
        <f t="shared" si="43"/>
        <v>10</v>
      </c>
      <c r="AA422" s="15">
        <f t="shared" si="40"/>
        <v>2020</v>
      </c>
      <c r="AB422" s="15">
        <f t="shared" si="41"/>
        <v>2020</v>
      </c>
      <c r="AC422" s="15">
        <f t="shared" si="42"/>
        <v>2020</v>
      </c>
      <c r="AD422" s="18" t="b">
        <f t="shared" si="39"/>
        <v>1</v>
      </c>
    </row>
    <row r="423" spans="1:30" ht="15" hidden="1" customHeight="1" x14ac:dyDescent="0.2">
      <c r="A423" s="7" t="s">
        <v>679</v>
      </c>
      <c r="B423" s="7"/>
      <c r="C423" s="2" t="s">
        <v>641</v>
      </c>
      <c r="D423" s="6" t="s">
        <v>649</v>
      </c>
      <c r="E423" s="32" t="s">
        <v>651</v>
      </c>
      <c r="F423" s="7"/>
      <c r="G423" s="7"/>
      <c r="H423" s="7"/>
      <c r="I423" s="7"/>
      <c r="J423" s="7"/>
      <c r="K423" s="7"/>
      <c r="L423" s="7" t="s">
        <v>662</v>
      </c>
      <c r="M423" s="8">
        <v>44136</v>
      </c>
      <c r="N423" s="8">
        <v>44136</v>
      </c>
      <c r="O423" s="13">
        <v>2445000</v>
      </c>
      <c r="P423" s="13"/>
      <c r="Q423" s="33"/>
      <c r="R423" s="22"/>
      <c r="S423" s="22"/>
      <c r="T423" s="22"/>
      <c r="U423" s="22"/>
      <c r="X423" s="15" t="str">
        <f>IF(B423="",VLOOKUP(A423,items_lookup!A:B,2,FALSE),B423)</f>
        <v>13. Item 13</v>
      </c>
      <c r="Y423" s="15">
        <f t="shared" si="43"/>
        <v>11</v>
      </c>
      <c r="Z423" s="15">
        <f t="shared" si="43"/>
        <v>11</v>
      </c>
      <c r="AA423" s="15">
        <f t="shared" si="40"/>
        <v>2020</v>
      </c>
      <c r="AB423" s="15">
        <f t="shared" si="41"/>
        <v>2020</v>
      </c>
      <c r="AC423" s="15">
        <f t="shared" si="42"/>
        <v>2020</v>
      </c>
      <c r="AD423" s="18" t="b">
        <f t="shared" si="39"/>
        <v>1</v>
      </c>
    </row>
    <row r="424" spans="1:30" ht="15" hidden="1" customHeight="1" x14ac:dyDescent="0.2">
      <c r="A424" s="7" t="s">
        <v>679</v>
      </c>
      <c r="B424" s="7"/>
      <c r="C424" s="2" t="s">
        <v>641</v>
      </c>
      <c r="D424" s="6" t="s">
        <v>649</v>
      </c>
      <c r="E424" s="32" t="s">
        <v>651</v>
      </c>
      <c r="F424" s="7"/>
      <c r="G424" s="7"/>
      <c r="H424" s="7"/>
      <c r="I424" s="7"/>
      <c r="J424" s="7"/>
      <c r="K424" s="7"/>
      <c r="L424" s="7" t="s">
        <v>662</v>
      </c>
      <c r="M424" s="8">
        <v>44136</v>
      </c>
      <c r="N424" s="8">
        <v>44136</v>
      </c>
      <c r="O424" s="13">
        <v>64761.9</v>
      </c>
      <c r="P424" s="13"/>
      <c r="Q424" s="33"/>
      <c r="R424" s="22"/>
      <c r="S424" s="22"/>
      <c r="T424" s="22"/>
      <c r="U424" s="22"/>
      <c r="X424" s="15" t="str">
        <f>IF(B424="",VLOOKUP(A424,items_lookup!A:B,2,FALSE),B424)</f>
        <v>13. Item 13</v>
      </c>
      <c r="Y424" s="15">
        <f t="shared" si="43"/>
        <v>11</v>
      </c>
      <c r="Z424" s="15">
        <f t="shared" si="43"/>
        <v>11</v>
      </c>
      <c r="AA424" s="15">
        <f t="shared" si="40"/>
        <v>2020</v>
      </c>
      <c r="AB424" s="15">
        <f t="shared" si="41"/>
        <v>2020</v>
      </c>
      <c r="AC424" s="15">
        <f t="shared" si="42"/>
        <v>2020</v>
      </c>
      <c r="AD424" s="18" t="b">
        <f t="shared" si="39"/>
        <v>1</v>
      </c>
    </row>
    <row r="425" spans="1:30" ht="15" hidden="1" customHeight="1" x14ac:dyDescent="0.2">
      <c r="A425" s="7" t="s">
        <v>680</v>
      </c>
      <c r="B425" s="7"/>
      <c r="C425" s="2" t="s">
        <v>641</v>
      </c>
      <c r="D425" s="6" t="s">
        <v>649</v>
      </c>
      <c r="E425" s="32" t="s">
        <v>651</v>
      </c>
      <c r="F425" s="7"/>
      <c r="G425" s="7"/>
      <c r="H425" s="7"/>
      <c r="I425" s="7"/>
      <c r="J425" s="7"/>
      <c r="K425" s="7"/>
      <c r="L425" s="7" t="s">
        <v>662</v>
      </c>
      <c r="M425" s="8">
        <v>44166</v>
      </c>
      <c r="N425" s="8">
        <v>44166</v>
      </c>
      <c r="O425" s="13">
        <v>5438787.6900000004</v>
      </c>
      <c r="P425" s="13"/>
      <c r="Q425" s="33"/>
      <c r="R425" s="22"/>
      <c r="S425" s="22"/>
      <c r="T425" s="22"/>
      <c r="U425" s="22"/>
      <c r="X425" s="15" t="str">
        <f>IF(B425="",VLOOKUP(A425,items_lookup!A:B,2,FALSE),B425)</f>
        <v>13. Item 13</v>
      </c>
      <c r="Y425" s="15">
        <f t="shared" si="43"/>
        <v>12</v>
      </c>
      <c r="Z425" s="15">
        <f t="shared" si="43"/>
        <v>12</v>
      </c>
      <c r="AA425" s="15">
        <f t="shared" si="40"/>
        <v>2020</v>
      </c>
      <c r="AB425" s="15">
        <f t="shared" si="41"/>
        <v>2020</v>
      </c>
      <c r="AC425" s="15">
        <f t="shared" si="42"/>
        <v>2020</v>
      </c>
      <c r="AD425" s="18" t="b">
        <f t="shared" si="39"/>
        <v>1</v>
      </c>
    </row>
    <row r="426" spans="1:30" ht="15" hidden="1" customHeight="1" x14ac:dyDescent="0.2">
      <c r="A426" s="7" t="s">
        <v>680</v>
      </c>
      <c r="B426" s="7"/>
      <c r="C426" s="2" t="s">
        <v>641</v>
      </c>
      <c r="D426" s="6" t="s">
        <v>649</v>
      </c>
      <c r="E426" s="32" t="s">
        <v>651</v>
      </c>
      <c r="F426" s="7"/>
      <c r="G426" s="7"/>
      <c r="H426" s="7"/>
      <c r="I426" s="7"/>
      <c r="J426" s="7"/>
      <c r="K426" s="7"/>
      <c r="L426" s="7" t="s">
        <v>662</v>
      </c>
      <c r="M426" s="8">
        <v>44166</v>
      </c>
      <c r="N426" s="8">
        <v>44166</v>
      </c>
      <c r="O426" s="13">
        <v>299589.68</v>
      </c>
      <c r="P426" s="13"/>
      <c r="Q426" s="33"/>
      <c r="R426" s="22"/>
      <c r="S426" s="22"/>
      <c r="T426" s="22"/>
      <c r="U426" s="22"/>
      <c r="X426" s="15" t="str">
        <f>IF(B426="",VLOOKUP(A426,items_lookup!A:B,2,FALSE),B426)</f>
        <v>13. Item 13</v>
      </c>
      <c r="Y426" s="15">
        <f t="shared" si="43"/>
        <v>12</v>
      </c>
      <c r="Z426" s="15">
        <f t="shared" si="43"/>
        <v>12</v>
      </c>
      <c r="AA426" s="15">
        <f t="shared" si="40"/>
        <v>2020</v>
      </c>
      <c r="AB426" s="15">
        <f t="shared" si="41"/>
        <v>2020</v>
      </c>
      <c r="AC426" s="15">
        <f t="shared" si="42"/>
        <v>2020</v>
      </c>
      <c r="AD426" s="18" t="b">
        <f t="shared" si="39"/>
        <v>1</v>
      </c>
    </row>
    <row r="427" spans="1:30" ht="15" hidden="1" customHeight="1" x14ac:dyDescent="0.2">
      <c r="A427" s="7" t="s">
        <v>689</v>
      </c>
      <c r="B427" s="7"/>
      <c r="C427" s="2" t="s">
        <v>641</v>
      </c>
      <c r="D427" s="6" t="s">
        <v>649</v>
      </c>
      <c r="E427" s="32" t="s">
        <v>651</v>
      </c>
      <c r="F427" s="7"/>
      <c r="G427" s="7"/>
      <c r="H427" s="7"/>
      <c r="I427" s="7"/>
      <c r="J427" s="7"/>
      <c r="K427" s="7"/>
      <c r="L427" s="7" t="s">
        <v>662</v>
      </c>
      <c r="M427" s="8">
        <v>44105</v>
      </c>
      <c r="N427" s="8">
        <v>44105</v>
      </c>
      <c r="O427" s="13">
        <v>5672857.1399999997</v>
      </c>
      <c r="P427" s="13"/>
      <c r="Q427" s="33"/>
      <c r="R427" s="9"/>
      <c r="S427" s="9"/>
      <c r="T427" s="9"/>
      <c r="U427" s="9"/>
      <c r="X427" s="15" t="str">
        <f>IF(B427="",VLOOKUP(A427,items_lookup!A:B,2,FALSE),B427)</f>
        <v>04. Item 04</v>
      </c>
      <c r="Y427" s="15">
        <f t="shared" si="43"/>
        <v>10</v>
      </c>
      <c r="Z427" s="15">
        <f t="shared" si="43"/>
        <v>10</v>
      </c>
      <c r="AA427" s="15">
        <f t="shared" si="40"/>
        <v>2020</v>
      </c>
      <c r="AB427" s="15">
        <f t="shared" si="41"/>
        <v>2020</v>
      </c>
      <c r="AC427" s="15">
        <f t="shared" si="42"/>
        <v>2020</v>
      </c>
      <c r="AD427" s="18" t="b">
        <f t="shared" si="39"/>
        <v>1</v>
      </c>
    </row>
    <row r="428" spans="1:30" ht="15" hidden="1" customHeight="1" x14ac:dyDescent="0.2">
      <c r="A428" s="7" t="s">
        <v>670</v>
      </c>
      <c r="B428" s="7"/>
      <c r="C428" s="2" t="s">
        <v>641</v>
      </c>
      <c r="D428" s="6" t="s">
        <v>650</v>
      </c>
      <c r="E428" s="32" t="s">
        <v>651</v>
      </c>
      <c r="F428" s="7"/>
      <c r="G428" s="7"/>
      <c r="H428" s="7"/>
      <c r="I428" s="7"/>
      <c r="J428" s="7"/>
      <c r="K428" s="7"/>
      <c r="L428" s="7" t="s">
        <v>662</v>
      </c>
      <c r="M428" s="8">
        <v>44105</v>
      </c>
      <c r="N428" s="8">
        <v>44105</v>
      </c>
      <c r="O428" s="13">
        <v>635238.1</v>
      </c>
      <c r="P428" s="13"/>
      <c r="Q428" s="33"/>
      <c r="R428" s="9"/>
      <c r="S428" s="9"/>
      <c r="T428" s="9"/>
      <c r="U428" s="9"/>
      <c r="X428" s="15" t="str">
        <f>IF(B428="",VLOOKUP(A428,items_lookup!A:B,2,FALSE),B428)</f>
        <v>04. Item 04</v>
      </c>
      <c r="Y428" s="15">
        <f t="shared" si="43"/>
        <v>10</v>
      </c>
      <c r="Z428" s="15">
        <f t="shared" si="43"/>
        <v>10</v>
      </c>
      <c r="AA428" s="15">
        <f t="shared" si="40"/>
        <v>2020</v>
      </c>
      <c r="AB428" s="15">
        <f t="shared" si="41"/>
        <v>2020</v>
      </c>
      <c r="AC428" s="15">
        <f t="shared" si="42"/>
        <v>2020</v>
      </c>
      <c r="AD428" s="18" t="b">
        <f t="shared" si="39"/>
        <v>1</v>
      </c>
    </row>
    <row r="429" spans="1:30" ht="15" hidden="1" customHeight="1" x14ac:dyDescent="0.2">
      <c r="A429" s="7" t="s">
        <v>689</v>
      </c>
      <c r="B429" s="7"/>
      <c r="C429" s="2" t="s">
        <v>641</v>
      </c>
      <c r="D429" s="6" t="s">
        <v>649</v>
      </c>
      <c r="E429" s="32" t="s">
        <v>651</v>
      </c>
      <c r="F429" s="7"/>
      <c r="G429" s="7"/>
      <c r="H429" s="7"/>
      <c r="I429" s="7"/>
      <c r="J429" s="7"/>
      <c r="K429" s="7"/>
      <c r="L429" s="7" t="s">
        <v>662</v>
      </c>
      <c r="M429" s="8">
        <v>44136</v>
      </c>
      <c r="N429" s="8">
        <v>44136</v>
      </c>
      <c r="O429" s="13">
        <v>3635238.1</v>
      </c>
      <c r="P429" s="13"/>
      <c r="Q429" s="33"/>
      <c r="R429" s="9"/>
      <c r="S429" s="9"/>
      <c r="T429" s="9"/>
      <c r="U429" s="9"/>
      <c r="X429" s="15" t="str">
        <f>IF(B429="",VLOOKUP(A429,items_lookup!A:B,2,FALSE),B429)</f>
        <v>04. Item 04</v>
      </c>
      <c r="Y429" s="15">
        <f t="shared" si="43"/>
        <v>11</v>
      </c>
      <c r="Z429" s="15">
        <f t="shared" si="43"/>
        <v>11</v>
      </c>
      <c r="AA429" s="15">
        <f t="shared" si="40"/>
        <v>2020</v>
      </c>
      <c r="AB429" s="15">
        <f t="shared" si="41"/>
        <v>2020</v>
      </c>
      <c r="AC429" s="15">
        <f t="shared" si="42"/>
        <v>2020</v>
      </c>
      <c r="AD429" s="18" t="b">
        <f t="shared" si="39"/>
        <v>1</v>
      </c>
    </row>
    <row r="430" spans="1:30" ht="15" hidden="1" customHeight="1" x14ac:dyDescent="0.2">
      <c r="A430" s="7" t="s">
        <v>670</v>
      </c>
      <c r="B430" s="7"/>
      <c r="C430" s="2" t="s">
        <v>641</v>
      </c>
      <c r="D430" s="6" t="s">
        <v>650</v>
      </c>
      <c r="E430" s="32" t="s">
        <v>651</v>
      </c>
      <c r="F430" s="7"/>
      <c r="G430" s="7"/>
      <c r="H430" s="7"/>
      <c r="I430" s="7"/>
      <c r="J430" s="7"/>
      <c r="K430" s="7"/>
      <c r="L430" s="7" t="s">
        <v>662</v>
      </c>
      <c r="M430" s="8">
        <v>44136</v>
      </c>
      <c r="N430" s="8">
        <v>44136</v>
      </c>
      <c r="O430" s="13">
        <v>638095.24</v>
      </c>
      <c r="P430" s="13"/>
      <c r="Q430" s="33"/>
      <c r="R430" s="9"/>
      <c r="S430" s="9"/>
      <c r="T430" s="9"/>
      <c r="U430" s="9"/>
      <c r="X430" s="15" t="str">
        <f>IF(B430="",VLOOKUP(A430,items_lookup!A:B,2,FALSE),B430)</f>
        <v>04. Item 04</v>
      </c>
      <c r="Y430" s="15">
        <f t="shared" si="43"/>
        <v>11</v>
      </c>
      <c r="Z430" s="15">
        <f t="shared" si="43"/>
        <v>11</v>
      </c>
      <c r="AA430" s="15">
        <f t="shared" si="40"/>
        <v>2020</v>
      </c>
      <c r="AB430" s="15">
        <f t="shared" si="41"/>
        <v>2020</v>
      </c>
      <c r="AC430" s="15">
        <f t="shared" si="42"/>
        <v>2020</v>
      </c>
      <c r="AD430" s="18" t="b">
        <f t="shared" si="39"/>
        <v>1</v>
      </c>
    </row>
    <row r="431" spans="1:30" ht="15" hidden="1" customHeight="1" x14ac:dyDescent="0.2">
      <c r="A431" s="7" t="s">
        <v>688</v>
      </c>
      <c r="B431" s="7"/>
      <c r="C431" s="2" t="s">
        <v>641</v>
      </c>
      <c r="D431" s="6" t="s">
        <v>649</v>
      </c>
      <c r="E431" s="32" t="s">
        <v>651</v>
      </c>
      <c r="F431" s="7"/>
      <c r="G431" s="7"/>
      <c r="H431" s="7"/>
      <c r="I431" s="7"/>
      <c r="J431" s="7"/>
      <c r="K431" s="7"/>
      <c r="L431" s="7" t="s">
        <v>662</v>
      </c>
      <c r="M431" s="8">
        <v>44166</v>
      </c>
      <c r="N431" s="8">
        <v>44166</v>
      </c>
      <c r="O431" s="13">
        <v>7385788.1200000001</v>
      </c>
      <c r="P431" s="13"/>
      <c r="Q431" s="33"/>
      <c r="R431" s="9"/>
      <c r="S431" s="9"/>
      <c r="T431" s="9"/>
      <c r="U431" s="9"/>
      <c r="X431" s="15" t="str">
        <f>IF(B431="",VLOOKUP(A431,items_lookup!A:B,2,FALSE),B431)</f>
        <v>09. Item 09</v>
      </c>
      <c r="Y431" s="15">
        <f t="shared" si="43"/>
        <v>12</v>
      </c>
      <c r="Z431" s="15">
        <f t="shared" si="43"/>
        <v>12</v>
      </c>
      <c r="AA431" s="15">
        <f t="shared" si="40"/>
        <v>2020</v>
      </c>
      <c r="AB431" s="15">
        <f t="shared" si="41"/>
        <v>2020</v>
      </c>
      <c r="AC431" s="15">
        <f t="shared" si="42"/>
        <v>2020</v>
      </c>
      <c r="AD431" s="18" t="b">
        <f t="shared" si="39"/>
        <v>1</v>
      </c>
    </row>
    <row r="432" spans="1:30" ht="15" hidden="1" customHeight="1" x14ac:dyDescent="0.2">
      <c r="A432" s="7" t="s">
        <v>689</v>
      </c>
      <c r="B432" s="7"/>
      <c r="C432" s="2" t="s">
        <v>641</v>
      </c>
      <c r="D432" s="6" t="s">
        <v>650</v>
      </c>
      <c r="E432" s="32" t="s">
        <v>651</v>
      </c>
      <c r="F432" s="7"/>
      <c r="G432" s="7"/>
      <c r="H432" s="7"/>
      <c r="I432" s="7"/>
      <c r="J432" s="7"/>
      <c r="K432" s="7"/>
      <c r="L432" s="7" t="s">
        <v>662</v>
      </c>
      <c r="M432" s="8">
        <v>44166</v>
      </c>
      <c r="N432" s="8">
        <v>44166</v>
      </c>
      <c r="O432" s="13">
        <v>957349.45</v>
      </c>
      <c r="P432" s="13"/>
      <c r="Q432" s="33"/>
      <c r="R432" s="9"/>
      <c r="S432" s="9"/>
      <c r="T432" s="9"/>
      <c r="U432" s="9"/>
      <c r="X432" s="15" t="str">
        <f>IF(B432="",VLOOKUP(A432,items_lookup!A:B,2,FALSE),B432)</f>
        <v>04. Item 04</v>
      </c>
      <c r="Y432" s="15">
        <f t="shared" si="43"/>
        <v>12</v>
      </c>
      <c r="Z432" s="15">
        <f t="shared" si="43"/>
        <v>12</v>
      </c>
      <c r="AA432" s="15">
        <f t="shared" si="40"/>
        <v>2020</v>
      </c>
      <c r="AB432" s="15">
        <f t="shared" si="41"/>
        <v>2020</v>
      </c>
      <c r="AC432" s="15">
        <f t="shared" si="42"/>
        <v>2020</v>
      </c>
      <c r="AD432" s="18" t="b">
        <f t="shared" si="39"/>
        <v>1</v>
      </c>
    </row>
    <row r="433" spans="1:30" ht="15" hidden="1" customHeight="1" x14ac:dyDescent="0.2">
      <c r="A433" s="7" t="s">
        <v>670</v>
      </c>
      <c r="B433" s="20"/>
      <c r="C433" s="2" t="s">
        <v>641</v>
      </c>
      <c r="D433" s="6" t="s">
        <v>649</v>
      </c>
      <c r="E433" s="32" t="s">
        <v>651</v>
      </c>
      <c r="F433" s="7"/>
      <c r="G433" s="7"/>
      <c r="H433" s="7"/>
      <c r="I433" s="7"/>
      <c r="J433" s="7"/>
      <c r="K433" s="7"/>
      <c r="L433" s="7" t="s">
        <v>662</v>
      </c>
      <c r="M433" s="8">
        <v>44105</v>
      </c>
      <c r="N433" s="8">
        <v>44105</v>
      </c>
      <c r="O433" s="13">
        <v>54761.9</v>
      </c>
      <c r="P433" s="13"/>
      <c r="Q433" s="33"/>
      <c r="R433" s="9"/>
      <c r="S433" s="9"/>
      <c r="T433" s="9"/>
      <c r="U433" s="9"/>
      <c r="X433" s="15" t="str">
        <f>IF(B433="",VLOOKUP(A433,items_lookup!A:B,2,FALSE),B433)</f>
        <v>04. Item 04</v>
      </c>
      <c r="Y433" s="15">
        <f t="shared" si="43"/>
        <v>10</v>
      </c>
      <c r="Z433" s="15">
        <f t="shared" si="43"/>
        <v>10</v>
      </c>
      <c r="AA433" s="15">
        <f t="shared" si="40"/>
        <v>2020</v>
      </c>
      <c r="AB433" s="15">
        <f t="shared" si="41"/>
        <v>2020</v>
      </c>
      <c r="AC433" s="15">
        <f t="shared" si="42"/>
        <v>2020</v>
      </c>
      <c r="AD433" s="18" t="b">
        <f t="shared" si="39"/>
        <v>1</v>
      </c>
    </row>
    <row r="434" spans="1:30" ht="15" hidden="1" customHeight="1" x14ac:dyDescent="0.2">
      <c r="A434" s="7" t="s">
        <v>682</v>
      </c>
      <c r="B434" s="20"/>
      <c r="C434" s="2" t="s">
        <v>641</v>
      </c>
      <c r="D434" s="6" t="s">
        <v>649</v>
      </c>
      <c r="E434" s="32" t="s">
        <v>651</v>
      </c>
      <c r="F434" s="7"/>
      <c r="G434" s="7"/>
      <c r="H434" s="7"/>
      <c r="I434" s="7"/>
      <c r="J434" s="7"/>
      <c r="K434" s="7"/>
      <c r="L434" s="7" t="s">
        <v>662</v>
      </c>
      <c r="M434" s="8">
        <v>44136</v>
      </c>
      <c r="N434" s="8">
        <v>44136</v>
      </c>
      <c r="O434" s="13">
        <v>57142.86</v>
      </c>
      <c r="P434" s="13"/>
      <c r="Q434" s="33"/>
      <c r="R434" s="9"/>
      <c r="S434" s="9"/>
      <c r="T434" s="9"/>
      <c r="U434" s="9"/>
      <c r="X434" s="15" t="str">
        <f>IF(B434="",VLOOKUP(A434,items_lookup!A:B,2,FALSE),B434)</f>
        <v>06. Item 06</v>
      </c>
      <c r="Y434" s="15">
        <f t="shared" si="43"/>
        <v>11</v>
      </c>
      <c r="Z434" s="15">
        <f t="shared" si="43"/>
        <v>11</v>
      </c>
      <c r="AA434" s="15">
        <f t="shared" si="40"/>
        <v>2020</v>
      </c>
      <c r="AB434" s="15">
        <f t="shared" si="41"/>
        <v>2020</v>
      </c>
      <c r="AC434" s="15">
        <f t="shared" si="42"/>
        <v>2020</v>
      </c>
      <c r="AD434" s="18" t="b">
        <f t="shared" si="39"/>
        <v>1</v>
      </c>
    </row>
    <row r="435" spans="1:30" ht="15" hidden="1" customHeight="1" x14ac:dyDescent="0.2">
      <c r="A435" s="7" t="s">
        <v>682</v>
      </c>
      <c r="B435" s="20"/>
      <c r="C435" s="2" t="s">
        <v>641</v>
      </c>
      <c r="D435" s="6" t="s">
        <v>649</v>
      </c>
      <c r="E435" s="32" t="s">
        <v>651</v>
      </c>
      <c r="F435" s="7"/>
      <c r="G435" s="7"/>
      <c r="H435" s="7"/>
      <c r="I435" s="7"/>
      <c r="J435" s="7"/>
      <c r="K435" s="7"/>
      <c r="L435" s="7" t="s">
        <v>662</v>
      </c>
      <c r="M435" s="8">
        <v>44166</v>
      </c>
      <c r="N435" s="8">
        <v>44166</v>
      </c>
      <c r="O435" s="13">
        <v>187742.87</v>
      </c>
      <c r="P435" s="13"/>
      <c r="Q435" s="33"/>
      <c r="R435" s="9"/>
      <c r="S435" s="9"/>
      <c r="T435" s="9"/>
      <c r="U435" s="9"/>
      <c r="X435" s="15" t="str">
        <f>IF(B435="",VLOOKUP(A435,items_lookup!A:B,2,FALSE),B435)</f>
        <v>06. Item 06</v>
      </c>
      <c r="Y435" s="15">
        <f t="shared" si="43"/>
        <v>12</v>
      </c>
      <c r="Z435" s="15">
        <f t="shared" si="43"/>
        <v>12</v>
      </c>
      <c r="AA435" s="15">
        <f t="shared" si="40"/>
        <v>2020</v>
      </c>
      <c r="AB435" s="15">
        <f t="shared" si="41"/>
        <v>2020</v>
      </c>
      <c r="AC435" s="15">
        <f t="shared" si="42"/>
        <v>2020</v>
      </c>
      <c r="AD435" s="18" t="b">
        <f t="shared" si="39"/>
        <v>1</v>
      </c>
    </row>
    <row r="436" spans="1:30" ht="15" hidden="1" customHeight="1" x14ac:dyDescent="0.2">
      <c r="A436" s="7" t="s">
        <v>682</v>
      </c>
      <c r="B436" s="20"/>
      <c r="C436" s="2" t="s">
        <v>641</v>
      </c>
      <c r="D436" s="6" t="s">
        <v>649</v>
      </c>
      <c r="E436" s="32" t="s">
        <v>651</v>
      </c>
      <c r="F436" s="7"/>
      <c r="G436" s="7"/>
      <c r="H436" s="7"/>
      <c r="I436" s="7"/>
      <c r="J436" s="7"/>
      <c r="K436" s="7"/>
      <c r="L436" s="7" t="s">
        <v>662</v>
      </c>
      <c r="M436" s="8">
        <v>44105</v>
      </c>
      <c r="N436" s="8">
        <v>44105</v>
      </c>
      <c r="O436" s="13">
        <v>4047619.05</v>
      </c>
      <c r="P436" s="13"/>
      <c r="Q436" s="33"/>
      <c r="R436" s="9"/>
      <c r="S436" s="9"/>
      <c r="T436" s="9"/>
      <c r="U436" s="9"/>
      <c r="X436" s="15" t="str">
        <f>IF(B436="",VLOOKUP(A436,items_lookup!A:B,2,FALSE),B436)</f>
        <v>06. Item 06</v>
      </c>
      <c r="Y436" s="15">
        <f t="shared" si="43"/>
        <v>10</v>
      </c>
      <c r="Z436" s="15">
        <f t="shared" si="43"/>
        <v>10</v>
      </c>
      <c r="AA436" s="15">
        <f t="shared" si="40"/>
        <v>2020</v>
      </c>
      <c r="AB436" s="15">
        <f t="shared" si="41"/>
        <v>2020</v>
      </c>
      <c r="AC436" s="15">
        <f t="shared" si="42"/>
        <v>2020</v>
      </c>
      <c r="AD436" s="18" t="b">
        <f t="shared" si="39"/>
        <v>1</v>
      </c>
    </row>
    <row r="437" spans="1:30" ht="15" hidden="1" customHeight="1" x14ac:dyDescent="0.2">
      <c r="A437" s="7" t="s">
        <v>683</v>
      </c>
      <c r="B437" s="20"/>
      <c r="C437" s="2" t="s">
        <v>641</v>
      </c>
      <c r="D437" s="6" t="s">
        <v>649</v>
      </c>
      <c r="E437" s="32" t="s">
        <v>651</v>
      </c>
      <c r="F437" s="7"/>
      <c r="G437" s="7"/>
      <c r="H437" s="7"/>
      <c r="I437" s="7"/>
      <c r="J437" s="7"/>
      <c r="K437" s="7"/>
      <c r="L437" s="7" t="s">
        <v>662</v>
      </c>
      <c r="M437" s="8">
        <v>44136</v>
      </c>
      <c r="N437" s="8">
        <v>44136</v>
      </c>
      <c r="O437" s="13">
        <v>3571428.57</v>
      </c>
      <c r="P437" s="13"/>
      <c r="Q437" s="33"/>
      <c r="R437" s="9"/>
      <c r="S437" s="9"/>
      <c r="T437" s="9"/>
      <c r="U437" s="9"/>
      <c r="X437" s="15" t="str">
        <f>IF(B437="",VLOOKUP(A437,items_lookup!A:B,2,FALSE),B437)</f>
        <v>_1. Item _1</v>
      </c>
      <c r="Y437" s="15">
        <f t="shared" si="43"/>
        <v>11</v>
      </c>
      <c r="Z437" s="15">
        <f t="shared" si="43"/>
        <v>11</v>
      </c>
      <c r="AA437" s="15">
        <f t="shared" si="40"/>
        <v>2020</v>
      </c>
      <c r="AB437" s="15">
        <f t="shared" si="41"/>
        <v>2020</v>
      </c>
      <c r="AC437" s="15">
        <f t="shared" si="42"/>
        <v>2020</v>
      </c>
      <c r="AD437" s="18" t="b">
        <f t="shared" si="39"/>
        <v>1</v>
      </c>
    </row>
    <row r="438" spans="1:30" ht="15" hidden="1" customHeight="1" x14ac:dyDescent="0.2">
      <c r="A438" s="7" t="s">
        <v>683</v>
      </c>
      <c r="B438" s="20"/>
      <c r="C438" s="2" t="s">
        <v>641</v>
      </c>
      <c r="D438" s="6" t="s">
        <v>649</v>
      </c>
      <c r="E438" s="32" t="s">
        <v>651</v>
      </c>
      <c r="F438" s="7"/>
      <c r="G438" s="7"/>
      <c r="H438" s="7"/>
      <c r="I438" s="7"/>
      <c r="J438" s="7"/>
      <c r="K438" s="7"/>
      <c r="L438" s="7" t="s">
        <v>662</v>
      </c>
      <c r="M438" s="8">
        <v>44166</v>
      </c>
      <c r="N438" s="8">
        <v>44166</v>
      </c>
      <c r="O438" s="13">
        <v>2670952.38</v>
      </c>
      <c r="P438" s="13"/>
      <c r="Q438" s="33"/>
      <c r="R438" s="9"/>
      <c r="S438" s="9"/>
      <c r="T438" s="9"/>
      <c r="U438" s="9"/>
      <c r="X438" s="15" t="str">
        <f>IF(B438="",VLOOKUP(A438,items_lookup!A:B,2,FALSE),B438)</f>
        <v>_1. Item _1</v>
      </c>
      <c r="Y438" s="15">
        <f t="shared" si="43"/>
        <v>12</v>
      </c>
      <c r="Z438" s="15">
        <f t="shared" si="43"/>
        <v>12</v>
      </c>
      <c r="AA438" s="15">
        <f t="shared" si="40"/>
        <v>2020</v>
      </c>
      <c r="AB438" s="15">
        <f t="shared" si="41"/>
        <v>2020</v>
      </c>
      <c r="AC438" s="15">
        <f t="shared" si="42"/>
        <v>2020</v>
      </c>
      <c r="AD438" s="18" t="b">
        <f t="shared" si="39"/>
        <v>1</v>
      </c>
    </row>
    <row r="439" spans="1:30" ht="15" hidden="1" customHeight="1" x14ac:dyDescent="0.2">
      <c r="A439" s="7" t="s">
        <v>686</v>
      </c>
      <c r="B439" s="20"/>
      <c r="C439" s="2" t="s">
        <v>641</v>
      </c>
      <c r="D439" s="6" t="s">
        <v>649</v>
      </c>
      <c r="E439" s="32" t="s">
        <v>651</v>
      </c>
      <c r="F439" s="7"/>
      <c r="G439" s="7"/>
      <c r="H439" s="7"/>
      <c r="I439" s="7"/>
      <c r="J439" s="7"/>
      <c r="K439" s="7"/>
      <c r="L439" s="7" t="s">
        <v>662</v>
      </c>
      <c r="M439" s="8">
        <v>44105</v>
      </c>
      <c r="N439" s="8">
        <v>44105</v>
      </c>
      <c r="O439" s="13">
        <v>8814285.7100000009</v>
      </c>
      <c r="P439" s="13"/>
      <c r="Q439" s="33"/>
      <c r="R439" s="9"/>
      <c r="S439" s="9"/>
      <c r="T439" s="9"/>
      <c r="U439" s="9"/>
      <c r="X439" s="15" t="str">
        <f>IF(B439="",VLOOKUP(A439,items_lookup!A:B,2,FALSE),B439)</f>
        <v>_2. Item _2</v>
      </c>
      <c r="Y439" s="15">
        <f t="shared" si="43"/>
        <v>10</v>
      </c>
      <c r="Z439" s="15">
        <f t="shared" si="43"/>
        <v>10</v>
      </c>
      <c r="AA439" s="15">
        <f t="shared" si="40"/>
        <v>2020</v>
      </c>
      <c r="AB439" s="15">
        <f t="shared" si="41"/>
        <v>2020</v>
      </c>
      <c r="AC439" s="15">
        <f t="shared" si="42"/>
        <v>2020</v>
      </c>
      <c r="AD439" s="18" t="b">
        <f t="shared" si="39"/>
        <v>1</v>
      </c>
    </row>
    <row r="440" spans="1:30" ht="12.6" hidden="1" customHeight="1" x14ac:dyDescent="0.2">
      <c r="A440" s="7" t="s">
        <v>683</v>
      </c>
      <c r="B440" s="20"/>
      <c r="C440" s="2" t="s">
        <v>641</v>
      </c>
      <c r="D440" s="6" t="s">
        <v>649</v>
      </c>
      <c r="E440" s="32" t="s">
        <v>651</v>
      </c>
      <c r="F440" s="7"/>
      <c r="G440" s="7"/>
      <c r="H440" s="7"/>
      <c r="I440" s="7"/>
      <c r="J440" s="7"/>
      <c r="K440" s="7"/>
      <c r="L440" s="7" t="s">
        <v>662</v>
      </c>
      <c r="M440" s="8">
        <v>44136</v>
      </c>
      <c r="N440" s="8">
        <v>44136</v>
      </c>
      <c r="O440" s="13">
        <v>8785714.2899999991</v>
      </c>
      <c r="P440" s="13"/>
      <c r="Q440" s="33"/>
      <c r="R440" s="9"/>
      <c r="S440" s="9"/>
      <c r="T440" s="9"/>
      <c r="U440" s="9"/>
      <c r="X440" s="15" t="str">
        <f>IF(B440="",VLOOKUP(A440,items_lookup!A:B,2,FALSE),B440)</f>
        <v>_1. Item _1</v>
      </c>
      <c r="Y440" s="15">
        <f t="shared" si="43"/>
        <v>11</v>
      </c>
      <c r="Z440" s="15">
        <f t="shared" si="43"/>
        <v>11</v>
      </c>
      <c r="AA440" s="15">
        <f t="shared" si="40"/>
        <v>2020</v>
      </c>
      <c r="AB440" s="15">
        <f t="shared" si="41"/>
        <v>2020</v>
      </c>
      <c r="AC440" s="15">
        <f t="shared" si="42"/>
        <v>2020</v>
      </c>
      <c r="AD440" s="18" t="b">
        <f t="shared" si="39"/>
        <v>1</v>
      </c>
    </row>
    <row r="441" spans="1:30" ht="12.6" hidden="1" customHeight="1" x14ac:dyDescent="0.2">
      <c r="A441" s="7" t="s">
        <v>683</v>
      </c>
      <c r="B441" s="20"/>
      <c r="C441" s="2" t="s">
        <v>641</v>
      </c>
      <c r="D441" s="6" t="s">
        <v>649</v>
      </c>
      <c r="E441" s="32" t="s">
        <v>651</v>
      </c>
      <c r="F441" s="7"/>
      <c r="G441" s="7"/>
      <c r="H441" s="7"/>
      <c r="I441" s="7"/>
      <c r="J441" s="7"/>
      <c r="K441" s="7"/>
      <c r="L441" s="7" t="s">
        <v>662</v>
      </c>
      <c r="M441" s="8">
        <v>44166</v>
      </c>
      <c r="N441" s="8">
        <v>44166</v>
      </c>
      <c r="O441" s="13">
        <v>9597814.9100000001</v>
      </c>
      <c r="P441" s="13"/>
      <c r="Q441" s="33"/>
      <c r="R441" s="9"/>
      <c r="S441" s="9"/>
      <c r="T441" s="9"/>
      <c r="U441" s="9"/>
      <c r="X441" s="15" t="str">
        <f>IF(B441="",VLOOKUP(A441,items_lookup!A:B,2,FALSE),B441)</f>
        <v>_1. Item _1</v>
      </c>
      <c r="Y441" s="15">
        <f t="shared" si="43"/>
        <v>12</v>
      </c>
      <c r="Z441" s="15">
        <f t="shared" si="43"/>
        <v>12</v>
      </c>
      <c r="AA441" s="15">
        <f t="shared" si="40"/>
        <v>2020</v>
      </c>
      <c r="AB441" s="15">
        <f t="shared" si="41"/>
        <v>2020</v>
      </c>
      <c r="AC441" s="15">
        <f t="shared" si="42"/>
        <v>2020</v>
      </c>
      <c r="AD441" s="18" t="b">
        <f t="shared" si="39"/>
        <v>1</v>
      </c>
    </row>
    <row r="442" spans="1:30" ht="12.6" hidden="1" customHeight="1" x14ac:dyDescent="0.2">
      <c r="A442" s="7" t="s">
        <v>686</v>
      </c>
      <c r="B442" s="7"/>
      <c r="C442" s="2" t="s">
        <v>641</v>
      </c>
      <c r="D442" s="6" t="s">
        <v>649</v>
      </c>
      <c r="E442" s="32" t="s">
        <v>651</v>
      </c>
      <c r="F442" s="7"/>
      <c r="G442" s="7"/>
      <c r="H442" s="7"/>
      <c r="I442" s="7"/>
      <c r="J442" s="7"/>
      <c r="K442" s="7"/>
      <c r="L442" s="7" t="s">
        <v>662</v>
      </c>
      <c r="M442" s="8">
        <v>44105</v>
      </c>
      <c r="N442" s="8">
        <v>44105</v>
      </c>
      <c r="O442" s="13">
        <v>1882547.62</v>
      </c>
      <c r="P442" s="13"/>
      <c r="Q442" s="33"/>
      <c r="R442" s="9"/>
      <c r="S442" s="9"/>
      <c r="T442" s="9"/>
      <c r="U442" s="9"/>
      <c r="X442" s="15" t="str">
        <f>IF(B442="",VLOOKUP(A442,items_lookup!A:B,2,FALSE),B442)</f>
        <v>_2. Item _2</v>
      </c>
      <c r="Y442" s="15">
        <f t="shared" si="43"/>
        <v>10</v>
      </c>
      <c r="Z442" s="15">
        <f t="shared" si="43"/>
        <v>10</v>
      </c>
      <c r="AA442" s="15">
        <f t="shared" si="40"/>
        <v>2020</v>
      </c>
      <c r="AB442" s="15">
        <f t="shared" si="41"/>
        <v>2020</v>
      </c>
      <c r="AC442" s="15">
        <f t="shared" si="42"/>
        <v>2020</v>
      </c>
      <c r="AD442" s="18" t="b">
        <f t="shared" si="39"/>
        <v>1</v>
      </c>
    </row>
    <row r="443" spans="1:30" ht="15" hidden="1" customHeight="1" x14ac:dyDescent="0.2">
      <c r="A443" s="7" t="s">
        <v>683</v>
      </c>
      <c r="B443" s="7"/>
      <c r="C443" s="2" t="s">
        <v>641</v>
      </c>
      <c r="D443" s="6" t="s">
        <v>649</v>
      </c>
      <c r="E443" s="32" t="s">
        <v>651</v>
      </c>
      <c r="F443" s="7"/>
      <c r="G443" s="7"/>
      <c r="H443" s="7"/>
      <c r="I443" s="7"/>
      <c r="J443" s="7"/>
      <c r="K443" s="7"/>
      <c r="L443" s="7" t="s">
        <v>662</v>
      </c>
      <c r="M443" s="8">
        <v>44136</v>
      </c>
      <c r="N443" s="8">
        <v>44136</v>
      </c>
      <c r="O443" s="13">
        <v>278261.90000000002</v>
      </c>
      <c r="P443" s="13"/>
      <c r="Q443" s="33"/>
      <c r="R443" s="9"/>
      <c r="S443" s="9"/>
      <c r="T443" s="9"/>
      <c r="U443" s="9"/>
      <c r="X443" s="15" t="str">
        <f>IF(B443="",VLOOKUP(A443,items_lookup!A:B,2,FALSE),B443)</f>
        <v>_1. Item _1</v>
      </c>
      <c r="Y443" s="15">
        <f t="shared" si="43"/>
        <v>11</v>
      </c>
      <c r="Z443" s="15">
        <f t="shared" si="43"/>
        <v>11</v>
      </c>
      <c r="AA443" s="15">
        <f t="shared" si="40"/>
        <v>2020</v>
      </c>
      <c r="AB443" s="15">
        <f t="shared" si="41"/>
        <v>2020</v>
      </c>
      <c r="AC443" s="15">
        <f t="shared" si="42"/>
        <v>2020</v>
      </c>
      <c r="AD443" s="18" t="b">
        <f t="shared" si="39"/>
        <v>1</v>
      </c>
    </row>
    <row r="444" spans="1:30" ht="15" hidden="1" customHeight="1" x14ac:dyDescent="0.2">
      <c r="A444" s="7" t="s">
        <v>683</v>
      </c>
      <c r="B444" s="7"/>
      <c r="C444" s="2" t="s">
        <v>641</v>
      </c>
      <c r="D444" s="6" t="s">
        <v>649</v>
      </c>
      <c r="E444" s="32" t="s">
        <v>651</v>
      </c>
      <c r="F444" s="7"/>
      <c r="G444" s="7"/>
      <c r="H444" s="7"/>
      <c r="I444" s="7"/>
      <c r="J444" s="7"/>
      <c r="K444" s="7"/>
      <c r="L444" s="7" t="s">
        <v>662</v>
      </c>
      <c r="M444" s="8">
        <v>44166</v>
      </c>
      <c r="N444" s="8">
        <v>44166</v>
      </c>
      <c r="O444" s="13">
        <v>1365420.79</v>
      </c>
      <c r="P444" s="13"/>
      <c r="Q444" s="33"/>
      <c r="R444" s="9"/>
      <c r="S444" s="9"/>
      <c r="T444" s="9"/>
      <c r="U444" s="9"/>
      <c r="X444" s="15" t="str">
        <f>IF(B444="",VLOOKUP(A444,items_lookup!A:B,2,FALSE),B444)</f>
        <v>_1. Item _1</v>
      </c>
      <c r="Y444" s="15">
        <f t="shared" si="43"/>
        <v>12</v>
      </c>
      <c r="Z444" s="15">
        <f t="shared" si="43"/>
        <v>12</v>
      </c>
      <c r="AA444" s="15">
        <f t="shared" si="40"/>
        <v>2020</v>
      </c>
      <c r="AB444" s="15">
        <f t="shared" si="41"/>
        <v>2020</v>
      </c>
      <c r="AC444" s="15">
        <f t="shared" si="42"/>
        <v>2020</v>
      </c>
      <c r="AD444" s="18" t="b">
        <f t="shared" si="39"/>
        <v>1</v>
      </c>
    </row>
    <row r="445" spans="1:30" ht="15" hidden="1" customHeight="1" x14ac:dyDescent="0.2">
      <c r="A445" s="7" t="s">
        <v>686</v>
      </c>
      <c r="B445" s="20"/>
      <c r="C445" s="2" t="s">
        <v>641</v>
      </c>
      <c r="D445" s="6" t="s">
        <v>649</v>
      </c>
      <c r="E445" s="32" t="s">
        <v>651</v>
      </c>
      <c r="F445" s="7"/>
      <c r="G445" s="7"/>
      <c r="H445" s="7"/>
      <c r="I445" s="7"/>
      <c r="J445" s="7"/>
      <c r="K445" s="7"/>
      <c r="L445" s="7" t="s">
        <v>662</v>
      </c>
      <c r="M445" s="8">
        <v>44105</v>
      </c>
      <c r="N445" s="8">
        <v>44105</v>
      </c>
      <c r="O445" s="13">
        <v>1400476.19</v>
      </c>
      <c r="P445" s="13"/>
      <c r="Q445" s="33"/>
      <c r="R445" s="9"/>
      <c r="S445" s="9"/>
      <c r="T445" s="9"/>
      <c r="U445" s="9"/>
      <c r="X445" s="15" t="str">
        <f>IF(B445="",VLOOKUP(A445,items_lookup!A:B,2,FALSE),B445)</f>
        <v>_2. Item _2</v>
      </c>
      <c r="Y445" s="15">
        <f t="shared" si="43"/>
        <v>10</v>
      </c>
      <c r="Z445" s="15">
        <f t="shared" si="43"/>
        <v>10</v>
      </c>
      <c r="AA445" s="15">
        <f t="shared" si="40"/>
        <v>2020</v>
      </c>
      <c r="AB445" s="15">
        <f t="shared" si="41"/>
        <v>2020</v>
      </c>
      <c r="AC445" s="15">
        <f t="shared" si="42"/>
        <v>2020</v>
      </c>
      <c r="AD445" s="18" t="b">
        <f t="shared" si="39"/>
        <v>1</v>
      </c>
    </row>
    <row r="446" spans="1:30" ht="15" hidden="1" customHeight="1" x14ac:dyDescent="0.2">
      <c r="A446" s="7" t="s">
        <v>668</v>
      </c>
      <c r="B446" s="20"/>
      <c r="C446" s="2" t="s">
        <v>641</v>
      </c>
      <c r="D446" s="6" t="s">
        <v>649</v>
      </c>
      <c r="E446" s="32" t="s">
        <v>651</v>
      </c>
      <c r="F446" s="7"/>
      <c r="G446" s="7"/>
      <c r="H446" s="7"/>
      <c r="I446" s="7"/>
      <c r="J446" s="7"/>
      <c r="K446" s="7"/>
      <c r="L446" s="7" t="s">
        <v>662</v>
      </c>
      <c r="M446" s="8">
        <v>44105</v>
      </c>
      <c r="N446" s="8">
        <v>44105</v>
      </c>
      <c r="O446" s="13">
        <v>1792904.76</v>
      </c>
      <c r="P446" s="13"/>
      <c r="Q446" s="33"/>
      <c r="R446" s="9"/>
      <c r="S446" s="9"/>
      <c r="T446" s="9"/>
      <c r="U446" s="9"/>
      <c r="X446" s="15" t="str">
        <f>IF(B446="",VLOOKUP(A446,items_lookup!A:B,2,FALSE),B446)</f>
        <v>01. Item 01</v>
      </c>
      <c r="Y446" s="15">
        <f t="shared" si="43"/>
        <v>10</v>
      </c>
      <c r="Z446" s="15">
        <f t="shared" si="43"/>
        <v>10</v>
      </c>
      <c r="AA446" s="15">
        <f t="shared" si="40"/>
        <v>2020</v>
      </c>
      <c r="AB446" s="15">
        <f t="shared" si="41"/>
        <v>2020</v>
      </c>
      <c r="AC446" s="15">
        <f t="shared" si="42"/>
        <v>2020</v>
      </c>
      <c r="AD446" s="18" t="b">
        <f t="shared" si="39"/>
        <v>1</v>
      </c>
    </row>
    <row r="447" spans="1:30" ht="15" hidden="1" customHeight="1" x14ac:dyDescent="0.2">
      <c r="A447" s="7" t="s">
        <v>668</v>
      </c>
      <c r="B447" s="20"/>
      <c r="C447" s="2" t="s">
        <v>641</v>
      </c>
      <c r="D447" s="6" t="s">
        <v>649</v>
      </c>
      <c r="E447" s="32" t="s">
        <v>651</v>
      </c>
      <c r="F447" s="7"/>
      <c r="G447" s="7"/>
      <c r="H447" s="7"/>
      <c r="I447" s="7"/>
      <c r="J447" s="7"/>
      <c r="K447" s="7"/>
      <c r="L447" s="7" t="s">
        <v>662</v>
      </c>
      <c r="M447" s="8">
        <v>44136</v>
      </c>
      <c r="N447" s="8">
        <v>44136</v>
      </c>
      <c r="O447" s="13">
        <v>420952.38</v>
      </c>
      <c r="P447" s="13"/>
      <c r="Q447" s="33"/>
      <c r="R447" s="9"/>
      <c r="S447" s="9"/>
      <c r="T447" s="9"/>
      <c r="U447" s="9"/>
      <c r="X447" s="15" t="str">
        <f>IF(B447="",VLOOKUP(A447,items_lookup!A:B,2,FALSE),B447)</f>
        <v>01. Item 01</v>
      </c>
      <c r="Y447" s="15">
        <f t="shared" si="43"/>
        <v>11</v>
      </c>
      <c r="Z447" s="15">
        <f t="shared" si="43"/>
        <v>11</v>
      </c>
      <c r="AA447" s="15">
        <f t="shared" si="40"/>
        <v>2020</v>
      </c>
      <c r="AB447" s="15">
        <f t="shared" si="41"/>
        <v>2020</v>
      </c>
      <c r="AC447" s="15">
        <f t="shared" si="42"/>
        <v>2020</v>
      </c>
      <c r="AD447" s="18" t="b">
        <f t="shared" si="39"/>
        <v>1</v>
      </c>
    </row>
    <row r="448" spans="1:30" ht="15" hidden="1" customHeight="1" x14ac:dyDescent="0.2">
      <c r="A448" s="7" t="s">
        <v>668</v>
      </c>
      <c r="B448" s="20"/>
      <c r="C448" s="2" t="s">
        <v>641</v>
      </c>
      <c r="D448" s="6" t="s">
        <v>649</v>
      </c>
      <c r="E448" s="32" t="s">
        <v>651</v>
      </c>
      <c r="F448" s="7"/>
      <c r="G448" s="7"/>
      <c r="H448" s="7"/>
      <c r="I448" s="7"/>
      <c r="J448" s="7"/>
      <c r="K448" s="7"/>
      <c r="L448" s="7" t="s">
        <v>662</v>
      </c>
      <c r="M448" s="8">
        <v>44166</v>
      </c>
      <c r="N448" s="8">
        <v>44166</v>
      </c>
      <c r="O448" s="13">
        <v>736042.04</v>
      </c>
      <c r="P448" s="13"/>
      <c r="Q448" s="33"/>
      <c r="R448" s="9"/>
      <c r="S448" s="9"/>
      <c r="T448" s="9"/>
      <c r="U448" s="9"/>
      <c r="X448" s="15" t="str">
        <f>IF(B448="",VLOOKUP(A448,items_lookup!A:B,2,FALSE),B448)</f>
        <v>01. Item 01</v>
      </c>
      <c r="Y448" s="15">
        <f t="shared" si="43"/>
        <v>12</v>
      </c>
      <c r="Z448" s="15">
        <f t="shared" si="43"/>
        <v>12</v>
      </c>
      <c r="AA448" s="15">
        <f t="shared" si="40"/>
        <v>2020</v>
      </c>
      <c r="AB448" s="15">
        <f t="shared" si="41"/>
        <v>2020</v>
      </c>
      <c r="AC448" s="15">
        <f t="shared" si="42"/>
        <v>2020</v>
      </c>
      <c r="AD448" s="18" t="b">
        <f t="shared" si="39"/>
        <v>1</v>
      </c>
    </row>
    <row r="449" spans="1:30" ht="15" hidden="1" customHeight="1" x14ac:dyDescent="0.2">
      <c r="A449" s="7" t="s">
        <v>669</v>
      </c>
      <c r="B449" s="20"/>
      <c r="C449" s="2" t="s">
        <v>641</v>
      </c>
      <c r="D449" s="6" t="s">
        <v>649</v>
      </c>
      <c r="E449" s="32" t="s">
        <v>651</v>
      </c>
      <c r="F449" s="7"/>
      <c r="G449" s="7"/>
      <c r="H449" s="7"/>
      <c r="I449" s="7"/>
      <c r="J449" s="7"/>
      <c r="K449" s="7"/>
      <c r="L449" s="7" t="s">
        <v>662</v>
      </c>
      <c r="M449" s="8">
        <v>44105</v>
      </c>
      <c r="N449" s="8">
        <v>44105</v>
      </c>
      <c r="O449" s="13">
        <v>333333.33</v>
      </c>
      <c r="P449" s="13"/>
      <c r="Q449" s="33"/>
      <c r="R449" s="9"/>
      <c r="S449" s="9"/>
      <c r="T449" s="9"/>
      <c r="U449" s="9"/>
      <c r="X449" s="15" t="str">
        <f>IF(B449="",VLOOKUP(A449,items_lookup!A:B,2,FALSE),B449)</f>
        <v>02. Item 02</v>
      </c>
      <c r="Y449" s="15">
        <f t="shared" si="43"/>
        <v>10</v>
      </c>
      <c r="Z449" s="15">
        <f t="shared" si="43"/>
        <v>10</v>
      </c>
      <c r="AA449" s="15">
        <f t="shared" si="40"/>
        <v>2020</v>
      </c>
      <c r="AB449" s="15">
        <f t="shared" si="41"/>
        <v>2020</v>
      </c>
      <c r="AC449" s="15">
        <f t="shared" si="42"/>
        <v>2020</v>
      </c>
      <c r="AD449" s="18" t="b">
        <f t="shared" si="39"/>
        <v>1</v>
      </c>
    </row>
    <row r="450" spans="1:30" ht="15" hidden="1" customHeight="1" x14ac:dyDescent="0.2">
      <c r="A450" s="7" t="s">
        <v>669</v>
      </c>
      <c r="B450" s="20"/>
      <c r="C450" s="2" t="s">
        <v>641</v>
      </c>
      <c r="D450" s="6" t="s">
        <v>649</v>
      </c>
      <c r="E450" s="32" t="s">
        <v>651</v>
      </c>
      <c r="F450" s="7"/>
      <c r="G450" s="7"/>
      <c r="H450" s="7"/>
      <c r="I450" s="7"/>
      <c r="J450" s="7"/>
      <c r="K450" s="7"/>
      <c r="L450" s="7" t="s">
        <v>662</v>
      </c>
      <c r="M450" s="8">
        <v>44136</v>
      </c>
      <c r="N450" s="8">
        <v>44136</v>
      </c>
      <c r="O450" s="13">
        <v>365000</v>
      </c>
      <c r="P450" s="13"/>
      <c r="Q450" s="33"/>
      <c r="R450" s="9"/>
      <c r="S450" s="9"/>
      <c r="T450" s="9"/>
      <c r="U450" s="9"/>
      <c r="X450" s="15" t="str">
        <f>IF(B450="",VLOOKUP(A450,items_lookup!A:B,2,FALSE),B450)</f>
        <v>02. Item 02</v>
      </c>
      <c r="Y450" s="15">
        <f t="shared" si="43"/>
        <v>11</v>
      </c>
      <c r="Z450" s="15">
        <f t="shared" si="43"/>
        <v>11</v>
      </c>
      <c r="AA450" s="15">
        <f t="shared" si="40"/>
        <v>2020</v>
      </c>
      <c r="AB450" s="15">
        <f t="shared" si="41"/>
        <v>2020</v>
      </c>
      <c r="AC450" s="15">
        <f t="shared" si="42"/>
        <v>2020</v>
      </c>
      <c r="AD450" s="18" t="b">
        <f t="shared" si="39"/>
        <v>1</v>
      </c>
    </row>
    <row r="451" spans="1:30" ht="15" hidden="1" customHeight="1" x14ac:dyDescent="0.2">
      <c r="A451" s="7" t="s">
        <v>669</v>
      </c>
      <c r="B451" s="20"/>
      <c r="C451" s="2" t="s">
        <v>641</v>
      </c>
      <c r="D451" s="6" t="s">
        <v>649</v>
      </c>
      <c r="E451" s="32" t="s">
        <v>651</v>
      </c>
      <c r="F451" s="7"/>
      <c r="G451" s="7"/>
      <c r="H451" s="7"/>
      <c r="I451" s="7"/>
      <c r="J451" s="7"/>
      <c r="K451" s="7"/>
      <c r="L451" s="7" t="s">
        <v>662</v>
      </c>
      <c r="M451" s="8">
        <v>44166</v>
      </c>
      <c r="N451" s="8">
        <v>44166</v>
      </c>
      <c r="O451" s="13">
        <v>363543.35</v>
      </c>
      <c r="P451" s="13"/>
      <c r="Q451" s="33"/>
      <c r="R451" s="9"/>
      <c r="S451" s="9"/>
      <c r="T451" s="9"/>
      <c r="U451" s="9"/>
      <c r="X451" s="15" t="str">
        <f>IF(B451="",VLOOKUP(A451,items_lookup!A:B,2,FALSE),B451)</f>
        <v>02. Item 02</v>
      </c>
      <c r="Y451" s="15">
        <f t="shared" si="43"/>
        <v>12</v>
      </c>
      <c r="Z451" s="15">
        <f t="shared" si="43"/>
        <v>12</v>
      </c>
      <c r="AA451" s="15">
        <f t="shared" si="40"/>
        <v>2020</v>
      </c>
      <c r="AB451" s="15">
        <f t="shared" si="41"/>
        <v>2020</v>
      </c>
      <c r="AC451" s="15">
        <f t="shared" si="42"/>
        <v>2020</v>
      </c>
      <c r="AD451" s="18" t="b">
        <f t="shared" ref="AD451:AD514" si="44">AND(ROUND(O451,2)=O451,ROUND(P451,2)=P451,OR(AND(O451&lt;&gt;0,L451="p"),AND(P451&lt;&gt;0,L451="f")),_xlfn.ISFORMULA(X451),_xlfn.ISFORMULA(Y451),_xlfn.ISFORMULA(Z451),_xlfn.ISFORMULA(AA451),_xlfn.ISFORMULA(AB451),_xlfn.ISFORMULA(AC451),NOT(_xlfn.ISFORMULA(O451)),NOT(_xlfn.ISFORMULA(P451)),M451&lt;&gt;0,N451&lt;&gt;0)</f>
        <v>1</v>
      </c>
    </row>
    <row r="452" spans="1:30" ht="15" hidden="1" customHeight="1" x14ac:dyDescent="0.2">
      <c r="A452" s="7" t="s">
        <v>689</v>
      </c>
      <c r="B452" s="7" t="s">
        <v>712</v>
      </c>
      <c r="C452" s="2" t="s">
        <v>641</v>
      </c>
      <c r="D452" s="6" t="s">
        <v>649</v>
      </c>
      <c r="E452" s="32" t="s">
        <v>651</v>
      </c>
      <c r="F452" s="7"/>
      <c r="G452" s="7"/>
      <c r="H452" s="7"/>
      <c r="I452" s="7"/>
      <c r="J452" s="7"/>
      <c r="K452" s="7"/>
      <c r="L452" s="7" t="s">
        <v>662</v>
      </c>
      <c r="M452" s="8">
        <v>44105</v>
      </c>
      <c r="N452" s="8">
        <v>44105</v>
      </c>
      <c r="O452" s="13">
        <v>50000</v>
      </c>
      <c r="P452" s="13"/>
      <c r="Q452" s="33"/>
      <c r="R452" s="22"/>
      <c r="S452" s="22"/>
      <c r="T452" s="22"/>
      <c r="U452" s="22"/>
      <c r="X452" s="15" t="str">
        <f>IF(B452="",VLOOKUP(A452,items_lookup!A:B,2,FALSE),B452)</f>
        <v>10. Item 10</v>
      </c>
      <c r="Y452" s="15">
        <f t="shared" si="43"/>
        <v>10</v>
      </c>
      <c r="Z452" s="15">
        <f t="shared" si="43"/>
        <v>10</v>
      </c>
      <c r="AA452" s="15">
        <f t="shared" si="40"/>
        <v>2020</v>
      </c>
      <c r="AB452" s="15">
        <f t="shared" si="41"/>
        <v>2020</v>
      </c>
      <c r="AC452" s="15">
        <f t="shared" si="42"/>
        <v>2020</v>
      </c>
      <c r="AD452" s="18" t="b">
        <f t="shared" si="44"/>
        <v>1</v>
      </c>
    </row>
    <row r="453" spans="1:30" ht="15" hidden="1" customHeight="1" x14ac:dyDescent="0.2">
      <c r="A453" s="7" t="s">
        <v>670</v>
      </c>
      <c r="B453" s="7" t="s">
        <v>712</v>
      </c>
      <c r="C453" s="2" t="s">
        <v>641</v>
      </c>
      <c r="D453" s="6" t="s">
        <v>649</v>
      </c>
      <c r="E453" s="32" t="s">
        <v>651</v>
      </c>
      <c r="F453" s="7"/>
      <c r="G453" s="7"/>
      <c r="H453" s="7"/>
      <c r="I453" s="7"/>
      <c r="J453" s="7"/>
      <c r="K453" s="7"/>
      <c r="L453" s="7" t="s">
        <v>662</v>
      </c>
      <c r="M453" s="8">
        <v>44136</v>
      </c>
      <c r="N453" s="8">
        <v>44136</v>
      </c>
      <c r="O453" s="13">
        <v>128571.43</v>
      </c>
      <c r="P453" s="13"/>
      <c r="Q453" s="33"/>
      <c r="R453" s="22"/>
      <c r="S453" s="22"/>
      <c r="T453" s="22"/>
      <c r="U453" s="22"/>
      <c r="X453" s="15" t="str">
        <f>IF(B453="",VLOOKUP(A453,items_lookup!A:B,2,FALSE),B453)</f>
        <v>10. Item 10</v>
      </c>
      <c r="Y453" s="15">
        <f t="shared" si="43"/>
        <v>11</v>
      </c>
      <c r="Z453" s="15">
        <f t="shared" si="43"/>
        <v>11</v>
      </c>
      <c r="AA453" s="15">
        <f t="shared" si="40"/>
        <v>2020</v>
      </c>
      <c r="AB453" s="15">
        <f t="shared" si="41"/>
        <v>2020</v>
      </c>
      <c r="AC453" s="15">
        <f t="shared" si="42"/>
        <v>2020</v>
      </c>
      <c r="AD453" s="18" t="b">
        <f t="shared" si="44"/>
        <v>1</v>
      </c>
    </row>
    <row r="454" spans="1:30" ht="15" hidden="1" customHeight="1" x14ac:dyDescent="0.2">
      <c r="A454" s="7" t="s">
        <v>689</v>
      </c>
      <c r="B454" s="7" t="s">
        <v>712</v>
      </c>
      <c r="C454" s="2" t="s">
        <v>641</v>
      </c>
      <c r="D454" s="6" t="s">
        <v>649</v>
      </c>
      <c r="E454" s="32" t="s">
        <v>651</v>
      </c>
      <c r="F454" s="7"/>
      <c r="G454" s="7"/>
      <c r="H454" s="7"/>
      <c r="I454" s="7"/>
      <c r="J454" s="7"/>
      <c r="K454" s="7"/>
      <c r="L454" s="7" t="s">
        <v>662</v>
      </c>
      <c r="M454" s="8">
        <v>44166</v>
      </c>
      <c r="N454" s="8">
        <v>44166</v>
      </c>
      <c r="O454" s="13">
        <v>70815.42</v>
      </c>
      <c r="P454" s="13"/>
      <c r="Q454" s="33"/>
      <c r="R454" s="22"/>
      <c r="S454" s="22"/>
      <c r="T454" s="22"/>
      <c r="U454" s="22"/>
      <c r="X454" s="15" t="str">
        <f>IF(B454="",VLOOKUP(A454,items_lookup!A:B,2,FALSE),B454)</f>
        <v>10. Item 10</v>
      </c>
      <c r="Y454" s="15">
        <f t="shared" si="43"/>
        <v>12</v>
      </c>
      <c r="Z454" s="15">
        <f t="shared" si="43"/>
        <v>12</v>
      </c>
      <c r="AA454" s="15">
        <f t="shared" si="40"/>
        <v>2020</v>
      </c>
      <c r="AB454" s="15">
        <f t="shared" si="41"/>
        <v>2020</v>
      </c>
      <c r="AC454" s="15">
        <f t="shared" si="42"/>
        <v>2020</v>
      </c>
      <c r="AD454" s="18" t="b">
        <f t="shared" si="44"/>
        <v>1</v>
      </c>
    </row>
    <row r="455" spans="1:30" ht="15" hidden="1" customHeight="1" x14ac:dyDescent="0.2">
      <c r="A455" s="7" t="s">
        <v>670</v>
      </c>
      <c r="B455" s="20"/>
      <c r="C455" s="2" t="s">
        <v>641</v>
      </c>
      <c r="D455" s="6" t="s">
        <v>649</v>
      </c>
      <c r="E455" s="32" t="s">
        <v>651</v>
      </c>
      <c r="F455" s="7"/>
      <c r="G455" s="7"/>
      <c r="H455" s="7"/>
      <c r="I455" s="7"/>
      <c r="J455" s="7"/>
      <c r="K455" s="7"/>
      <c r="L455" s="7" t="s">
        <v>662</v>
      </c>
      <c r="M455" s="8">
        <v>44105</v>
      </c>
      <c r="N455" s="8">
        <v>44105</v>
      </c>
      <c r="O455" s="13">
        <v>53571.43</v>
      </c>
      <c r="P455" s="13"/>
      <c r="Q455" s="33"/>
      <c r="R455" s="22"/>
      <c r="S455" s="22"/>
      <c r="T455" s="22"/>
      <c r="U455" s="22"/>
      <c r="X455" s="15" t="str">
        <f>IF(B455="",VLOOKUP(A455,items_lookup!A:B,2,FALSE),B455)</f>
        <v>04. Item 04</v>
      </c>
      <c r="Y455" s="15">
        <f t="shared" si="43"/>
        <v>10</v>
      </c>
      <c r="Z455" s="15">
        <f t="shared" si="43"/>
        <v>10</v>
      </c>
      <c r="AA455" s="15">
        <f t="shared" si="40"/>
        <v>2020</v>
      </c>
      <c r="AB455" s="15">
        <f t="shared" si="41"/>
        <v>2020</v>
      </c>
      <c r="AC455" s="15">
        <f t="shared" si="42"/>
        <v>2020</v>
      </c>
      <c r="AD455" s="18" t="b">
        <f t="shared" si="44"/>
        <v>1</v>
      </c>
    </row>
    <row r="456" spans="1:30" ht="15.75" hidden="1" customHeight="1" x14ac:dyDescent="0.2">
      <c r="A456" s="7" t="s">
        <v>689</v>
      </c>
      <c r="B456" s="20"/>
      <c r="C456" s="2" t="s">
        <v>641</v>
      </c>
      <c r="D456" s="6" t="s">
        <v>649</v>
      </c>
      <c r="E456" s="32" t="s">
        <v>651</v>
      </c>
      <c r="F456" s="7"/>
      <c r="G456" s="7"/>
      <c r="H456" s="7"/>
      <c r="I456" s="7"/>
      <c r="J456" s="7"/>
      <c r="K456" s="7"/>
      <c r="L456" s="7" t="s">
        <v>662</v>
      </c>
      <c r="M456" s="8">
        <v>44136</v>
      </c>
      <c r="N456" s="8">
        <v>44136</v>
      </c>
      <c r="O456" s="13">
        <v>28571.43</v>
      </c>
      <c r="P456" s="13"/>
      <c r="Q456" s="33"/>
      <c r="R456" s="22"/>
      <c r="S456" s="22"/>
      <c r="T456" s="22"/>
      <c r="U456" s="22"/>
      <c r="X456" s="15" t="str">
        <f>IF(B456="",VLOOKUP(A456,items_lookup!A:B,2,FALSE),B456)</f>
        <v>04. Item 04</v>
      </c>
      <c r="Y456" s="15">
        <f t="shared" si="43"/>
        <v>11</v>
      </c>
      <c r="Z456" s="15">
        <f t="shared" si="43"/>
        <v>11</v>
      </c>
      <c r="AA456" s="15">
        <f t="shared" si="40"/>
        <v>2020</v>
      </c>
      <c r="AB456" s="15">
        <f t="shared" si="41"/>
        <v>2020</v>
      </c>
      <c r="AC456" s="15">
        <f t="shared" si="42"/>
        <v>2020</v>
      </c>
      <c r="AD456" s="18" t="b">
        <f t="shared" si="44"/>
        <v>1</v>
      </c>
    </row>
    <row r="457" spans="1:30" ht="15.75" hidden="1" customHeight="1" x14ac:dyDescent="0.2">
      <c r="A457" s="7" t="s">
        <v>670</v>
      </c>
      <c r="B457" s="20"/>
      <c r="C457" s="2" t="s">
        <v>641</v>
      </c>
      <c r="D457" s="6" t="s">
        <v>649</v>
      </c>
      <c r="E457" s="32" t="s">
        <v>651</v>
      </c>
      <c r="F457" s="7"/>
      <c r="G457" s="7"/>
      <c r="H457" s="7"/>
      <c r="I457" s="7"/>
      <c r="J457" s="7"/>
      <c r="K457" s="7"/>
      <c r="L457" s="7" t="s">
        <v>662</v>
      </c>
      <c r="M457" s="8">
        <v>44166</v>
      </c>
      <c r="N457" s="8">
        <v>44166</v>
      </c>
      <c r="O457" s="13">
        <v>97844.55</v>
      </c>
      <c r="P457" s="13"/>
      <c r="Q457" s="33"/>
      <c r="R457" s="22"/>
      <c r="S457" s="22"/>
      <c r="T457" s="22"/>
      <c r="U457" s="22"/>
      <c r="X457" s="15" t="str">
        <f>IF(B457="",VLOOKUP(A457,items_lookup!A:B,2,FALSE),B457)</f>
        <v>04. Item 04</v>
      </c>
      <c r="Y457" s="15">
        <f t="shared" si="43"/>
        <v>12</v>
      </c>
      <c r="Z457" s="15">
        <f t="shared" si="43"/>
        <v>12</v>
      </c>
      <c r="AA457" s="15">
        <f t="shared" si="40"/>
        <v>2020</v>
      </c>
      <c r="AB457" s="15">
        <f t="shared" si="41"/>
        <v>2020</v>
      </c>
      <c r="AC457" s="15">
        <f t="shared" si="42"/>
        <v>2020</v>
      </c>
      <c r="AD457" s="18" t="b">
        <f t="shared" si="44"/>
        <v>1</v>
      </c>
    </row>
    <row r="458" spans="1:30" ht="15.75" hidden="1" customHeight="1" x14ac:dyDescent="0.2">
      <c r="A458" s="7" t="s">
        <v>671</v>
      </c>
      <c r="B458" s="7" t="s">
        <v>711</v>
      </c>
      <c r="C458" s="2" t="s">
        <v>641</v>
      </c>
      <c r="D458" s="6" t="s">
        <v>649</v>
      </c>
      <c r="E458" s="32" t="s">
        <v>651</v>
      </c>
      <c r="F458" s="7"/>
      <c r="G458" s="7"/>
      <c r="H458" s="7"/>
      <c r="I458" s="7"/>
      <c r="J458" s="7"/>
      <c r="K458" s="7"/>
      <c r="L458" s="7" t="s">
        <v>662</v>
      </c>
      <c r="M458" s="8">
        <v>44105</v>
      </c>
      <c r="N458" s="8">
        <v>44105</v>
      </c>
      <c r="O458" s="13">
        <v>259523.81</v>
      </c>
      <c r="P458" s="13"/>
      <c r="Q458" s="33"/>
      <c r="R458" s="22"/>
      <c r="S458" s="22"/>
      <c r="T458" s="22"/>
      <c r="U458" s="22"/>
      <c r="X458" s="15" t="str">
        <f>IF(B458="",VLOOKUP(A458,items_lookup!A:B,2,FALSE),B458)</f>
        <v>12. Item 12</v>
      </c>
      <c r="Y458" s="15">
        <f t="shared" si="43"/>
        <v>10</v>
      </c>
      <c r="Z458" s="15">
        <f t="shared" si="43"/>
        <v>10</v>
      </c>
      <c r="AA458" s="15">
        <f t="shared" ref="AA458:AA504" si="45">YEAR(N458)</f>
        <v>2020</v>
      </c>
      <c r="AB458" s="15">
        <f t="shared" ref="AB458:AB504" si="46">YEAR(M458)</f>
        <v>2020</v>
      </c>
      <c r="AC458" s="15">
        <f t="shared" ref="AC458:AC504" si="47">IF(F458="X",AA458-1,AA458)</f>
        <v>2020</v>
      </c>
      <c r="AD458" s="18" t="b">
        <f t="shared" si="44"/>
        <v>1</v>
      </c>
    </row>
    <row r="459" spans="1:30" ht="15" hidden="1" customHeight="1" x14ac:dyDescent="0.2">
      <c r="A459" s="7" t="s">
        <v>671</v>
      </c>
      <c r="B459" s="7" t="s">
        <v>711</v>
      </c>
      <c r="C459" s="2" t="s">
        <v>641</v>
      </c>
      <c r="D459" s="6" t="s">
        <v>649</v>
      </c>
      <c r="E459" s="32" t="s">
        <v>651</v>
      </c>
      <c r="F459" s="7"/>
      <c r="G459" s="7"/>
      <c r="H459" s="7"/>
      <c r="I459" s="7"/>
      <c r="J459" s="7"/>
      <c r="K459" s="7"/>
      <c r="L459" s="7" t="s">
        <v>662</v>
      </c>
      <c r="M459" s="8">
        <v>44136</v>
      </c>
      <c r="N459" s="8">
        <v>44136</v>
      </c>
      <c r="O459" s="13">
        <v>956190.48</v>
      </c>
      <c r="P459" s="13"/>
      <c r="Q459" s="33"/>
      <c r="R459" s="22"/>
      <c r="S459" s="22"/>
      <c r="T459" s="22"/>
      <c r="U459" s="22"/>
      <c r="X459" s="15" t="str">
        <f>IF(B459="",VLOOKUP(A459,items_lookup!A:B,2,FALSE),B459)</f>
        <v>12. Item 12</v>
      </c>
      <c r="Y459" s="15">
        <f t="shared" si="43"/>
        <v>11</v>
      </c>
      <c r="Z459" s="15">
        <f t="shared" si="43"/>
        <v>11</v>
      </c>
      <c r="AA459" s="15">
        <f t="shared" si="45"/>
        <v>2020</v>
      </c>
      <c r="AB459" s="15">
        <f t="shared" si="46"/>
        <v>2020</v>
      </c>
      <c r="AC459" s="15">
        <f t="shared" si="47"/>
        <v>2020</v>
      </c>
      <c r="AD459" s="18" t="b">
        <f t="shared" si="44"/>
        <v>1</v>
      </c>
    </row>
    <row r="460" spans="1:30" ht="15" hidden="1" customHeight="1" x14ac:dyDescent="0.2">
      <c r="A460" s="7" t="s">
        <v>671</v>
      </c>
      <c r="B460" s="7" t="s">
        <v>711</v>
      </c>
      <c r="C460" s="2" t="s">
        <v>641</v>
      </c>
      <c r="D460" s="6" t="s">
        <v>649</v>
      </c>
      <c r="E460" s="32" t="s">
        <v>651</v>
      </c>
      <c r="F460" s="7"/>
      <c r="G460" s="7"/>
      <c r="H460" s="7"/>
      <c r="I460" s="7"/>
      <c r="J460" s="7"/>
      <c r="K460" s="7"/>
      <c r="L460" s="7" t="s">
        <v>662</v>
      </c>
      <c r="M460" s="8">
        <v>44166</v>
      </c>
      <c r="N460" s="8">
        <v>44166</v>
      </c>
      <c r="O460" s="13">
        <v>548086.52</v>
      </c>
      <c r="P460" s="13"/>
      <c r="Q460" s="33"/>
      <c r="R460" s="22"/>
      <c r="S460" s="22"/>
      <c r="T460" s="22"/>
      <c r="U460" s="22"/>
      <c r="X460" s="15" t="str">
        <f>IF(B460="",VLOOKUP(A460,items_lookup!A:B,2,FALSE),B460)</f>
        <v>12. Item 12</v>
      </c>
      <c r="Y460" s="15">
        <f t="shared" si="43"/>
        <v>12</v>
      </c>
      <c r="Z460" s="15">
        <f t="shared" si="43"/>
        <v>12</v>
      </c>
      <c r="AA460" s="15">
        <f t="shared" si="45"/>
        <v>2020</v>
      </c>
      <c r="AB460" s="15">
        <f t="shared" si="46"/>
        <v>2020</v>
      </c>
      <c r="AC460" s="15">
        <f t="shared" si="47"/>
        <v>2020</v>
      </c>
      <c r="AD460" s="18" t="b">
        <f t="shared" si="44"/>
        <v>1</v>
      </c>
    </row>
    <row r="461" spans="1:30" ht="15" hidden="1" customHeight="1" x14ac:dyDescent="0.2">
      <c r="A461" s="7" t="s">
        <v>671</v>
      </c>
      <c r="B461" s="7" t="s">
        <v>710</v>
      </c>
      <c r="C461" s="2" t="s">
        <v>641</v>
      </c>
      <c r="D461" s="6" t="s">
        <v>649</v>
      </c>
      <c r="E461" s="32" t="s">
        <v>651</v>
      </c>
      <c r="F461" s="7"/>
      <c r="G461" s="7"/>
      <c r="H461" s="7"/>
      <c r="I461" s="7"/>
      <c r="J461" s="7"/>
      <c r="K461" s="7"/>
      <c r="L461" s="7" t="s">
        <v>662</v>
      </c>
      <c r="M461" s="8">
        <v>44105</v>
      </c>
      <c r="N461" s="8">
        <v>44105</v>
      </c>
      <c r="O461" s="13">
        <v>3380952.38</v>
      </c>
      <c r="P461" s="13"/>
      <c r="Q461" s="33"/>
      <c r="R461" s="22"/>
      <c r="S461" s="22"/>
      <c r="T461" s="22"/>
      <c r="U461" s="22"/>
      <c r="X461" s="15" t="str">
        <f>IF(B461="",VLOOKUP(A461,items_lookup!A:B,2,FALSE),B461)</f>
        <v>13. Item 13</v>
      </c>
      <c r="Y461" s="15">
        <f t="shared" si="43"/>
        <v>10</v>
      </c>
      <c r="Z461" s="15">
        <f t="shared" si="43"/>
        <v>10</v>
      </c>
      <c r="AA461" s="15">
        <f t="shared" si="45"/>
        <v>2020</v>
      </c>
      <c r="AB461" s="15">
        <f t="shared" si="46"/>
        <v>2020</v>
      </c>
      <c r="AC461" s="15">
        <f t="shared" si="47"/>
        <v>2020</v>
      </c>
      <c r="AD461" s="18" t="b">
        <f t="shared" si="44"/>
        <v>1</v>
      </c>
    </row>
    <row r="462" spans="1:30" ht="15" hidden="1" customHeight="1" x14ac:dyDescent="0.2">
      <c r="A462" s="7" t="s">
        <v>671</v>
      </c>
      <c r="B462" s="7" t="s">
        <v>710</v>
      </c>
      <c r="C462" s="2" t="s">
        <v>641</v>
      </c>
      <c r="D462" s="6" t="s">
        <v>649</v>
      </c>
      <c r="E462" s="32" t="s">
        <v>651</v>
      </c>
      <c r="F462" s="7"/>
      <c r="G462" s="7"/>
      <c r="H462" s="7"/>
      <c r="I462" s="7"/>
      <c r="J462" s="7"/>
      <c r="K462" s="7"/>
      <c r="L462" s="7" t="s">
        <v>662</v>
      </c>
      <c r="M462" s="8">
        <v>44136</v>
      </c>
      <c r="N462" s="8">
        <v>44136</v>
      </c>
      <c r="O462" s="13">
        <v>1309523.81</v>
      </c>
      <c r="P462" s="13"/>
      <c r="Q462" s="33"/>
      <c r="R462" s="22"/>
      <c r="S462" s="22"/>
      <c r="T462" s="22"/>
      <c r="U462" s="22"/>
      <c r="X462" s="15" t="str">
        <f>IF(B462="",VLOOKUP(A462,items_lookup!A:B,2,FALSE),B462)</f>
        <v>13. Item 13</v>
      </c>
      <c r="Y462" s="15">
        <f t="shared" si="43"/>
        <v>11</v>
      </c>
      <c r="Z462" s="15">
        <f t="shared" si="43"/>
        <v>11</v>
      </c>
      <c r="AA462" s="15">
        <f t="shared" si="45"/>
        <v>2020</v>
      </c>
      <c r="AB462" s="15">
        <f t="shared" si="46"/>
        <v>2020</v>
      </c>
      <c r="AC462" s="15">
        <f t="shared" si="47"/>
        <v>2020</v>
      </c>
      <c r="AD462" s="18" t="b">
        <f t="shared" si="44"/>
        <v>1</v>
      </c>
    </row>
    <row r="463" spans="1:30" ht="15" hidden="1" customHeight="1" x14ac:dyDescent="0.2">
      <c r="A463" s="7" t="s">
        <v>671</v>
      </c>
      <c r="B463" s="7" t="s">
        <v>710</v>
      </c>
      <c r="C463" s="2" t="s">
        <v>641</v>
      </c>
      <c r="D463" s="6" t="s">
        <v>649</v>
      </c>
      <c r="E463" s="32" t="s">
        <v>651</v>
      </c>
      <c r="F463" s="7"/>
      <c r="G463" s="7"/>
      <c r="H463" s="7"/>
      <c r="I463" s="7"/>
      <c r="J463" s="7"/>
      <c r="K463" s="7"/>
      <c r="L463" s="7" t="s">
        <v>662</v>
      </c>
      <c r="M463" s="8">
        <v>44166</v>
      </c>
      <c r="N463" s="8">
        <v>44166</v>
      </c>
      <c r="O463" s="13">
        <v>3377990.81</v>
      </c>
      <c r="P463" s="13"/>
      <c r="Q463" s="33"/>
      <c r="R463" s="22"/>
      <c r="S463" s="22"/>
      <c r="T463" s="22"/>
      <c r="U463" s="22"/>
      <c r="X463" s="15" t="str">
        <f>IF(B463="",VLOOKUP(A463,items_lookup!A:B,2,FALSE),B463)</f>
        <v>13. Item 13</v>
      </c>
      <c r="Y463" s="15">
        <f t="shared" si="43"/>
        <v>12</v>
      </c>
      <c r="Z463" s="15">
        <f t="shared" si="43"/>
        <v>12</v>
      </c>
      <c r="AA463" s="15">
        <f t="shared" si="45"/>
        <v>2020</v>
      </c>
      <c r="AB463" s="15">
        <f t="shared" si="46"/>
        <v>2020</v>
      </c>
      <c r="AC463" s="15">
        <f t="shared" si="47"/>
        <v>2020</v>
      </c>
      <c r="AD463" s="18" t="b">
        <f t="shared" si="44"/>
        <v>1</v>
      </c>
    </row>
    <row r="464" spans="1:30" ht="15" hidden="1" customHeight="1" x14ac:dyDescent="0.2">
      <c r="A464" s="7" t="s">
        <v>672</v>
      </c>
      <c r="B464" s="20"/>
      <c r="C464" s="2" t="s">
        <v>641</v>
      </c>
      <c r="D464" s="6" t="s">
        <v>649</v>
      </c>
      <c r="E464" s="32" t="s">
        <v>651</v>
      </c>
      <c r="F464" s="7"/>
      <c r="G464" s="7"/>
      <c r="H464" s="7"/>
      <c r="I464" s="7"/>
      <c r="J464" s="7"/>
      <c r="K464" s="7"/>
      <c r="L464" s="7" t="s">
        <v>662</v>
      </c>
      <c r="M464" s="8">
        <v>44105</v>
      </c>
      <c r="N464" s="8">
        <v>44105</v>
      </c>
      <c r="O464" s="13">
        <v>1426428.57</v>
      </c>
      <c r="P464" s="13"/>
      <c r="Q464" s="33"/>
      <c r="R464" s="22"/>
      <c r="S464" s="22"/>
      <c r="T464" s="22"/>
      <c r="U464" s="22"/>
      <c r="X464" s="15" t="str">
        <f>IF(B464="",VLOOKUP(A464,items_lookup!A:B,2,FALSE),B464)</f>
        <v>05. Item 05</v>
      </c>
      <c r="Y464" s="15">
        <f t="shared" si="43"/>
        <v>10</v>
      </c>
      <c r="Z464" s="15">
        <f t="shared" si="43"/>
        <v>10</v>
      </c>
      <c r="AA464" s="15">
        <f t="shared" si="45"/>
        <v>2020</v>
      </c>
      <c r="AB464" s="15">
        <f t="shared" si="46"/>
        <v>2020</v>
      </c>
      <c r="AC464" s="15">
        <f t="shared" si="47"/>
        <v>2020</v>
      </c>
      <c r="AD464" s="18" t="b">
        <f t="shared" si="44"/>
        <v>1</v>
      </c>
    </row>
    <row r="465" spans="1:30" ht="13.5" hidden="1" customHeight="1" x14ac:dyDescent="0.2">
      <c r="A465" s="7" t="s">
        <v>672</v>
      </c>
      <c r="B465" s="20"/>
      <c r="C465" s="2" t="s">
        <v>641</v>
      </c>
      <c r="D465" s="6" t="s">
        <v>649</v>
      </c>
      <c r="E465" s="32" t="s">
        <v>651</v>
      </c>
      <c r="F465" s="7"/>
      <c r="G465" s="7"/>
      <c r="H465" s="7"/>
      <c r="I465" s="7"/>
      <c r="J465" s="7"/>
      <c r="K465" s="7"/>
      <c r="L465" s="7" t="s">
        <v>662</v>
      </c>
      <c r="M465" s="8">
        <v>44136</v>
      </c>
      <c r="N465" s="8">
        <v>44136</v>
      </c>
      <c r="O465" s="13">
        <v>581428.56999999995</v>
      </c>
      <c r="P465" s="13"/>
      <c r="Q465" s="33"/>
      <c r="R465" s="22"/>
      <c r="S465" s="22"/>
      <c r="T465" s="22"/>
      <c r="U465" s="22"/>
      <c r="X465" s="15" t="str">
        <f>IF(B465="",VLOOKUP(A465,items_lookup!A:B,2,FALSE),B465)</f>
        <v>05. Item 05</v>
      </c>
      <c r="Y465" s="15">
        <f t="shared" si="43"/>
        <v>11</v>
      </c>
      <c r="Z465" s="15">
        <f t="shared" si="43"/>
        <v>11</v>
      </c>
      <c r="AA465" s="15">
        <f t="shared" si="45"/>
        <v>2020</v>
      </c>
      <c r="AB465" s="15">
        <f t="shared" si="46"/>
        <v>2020</v>
      </c>
      <c r="AC465" s="15">
        <f t="shared" si="47"/>
        <v>2020</v>
      </c>
      <c r="AD465" s="18" t="b">
        <f t="shared" si="44"/>
        <v>1</v>
      </c>
    </row>
    <row r="466" spans="1:30" ht="13.5" hidden="1" customHeight="1" x14ac:dyDescent="0.2">
      <c r="A466" s="7" t="s">
        <v>672</v>
      </c>
      <c r="B466" s="20"/>
      <c r="C466" s="2" t="s">
        <v>641</v>
      </c>
      <c r="D466" s="6" t="s">
        <v>649</v>
      </c>
      <c r="E466" s="32" t="s">
        <v>651</v>
      </c>
      <c r="F466" s="7"/>
      <c r="G466" s="7"/>
      <c r="H466" s="7"/>
      <c r="I466" s="7"/>
      <c r="J466" s="7"/>
      <c r="K466" s="7"/>
      <c r="L466" s="7" t="s">
        <v>662</v>
      </c>
      <c r="M466" s="8">
        <v>44166</v>
      </c>
      <c r="N466" s="8">
        <v>44166</v>
      </c>
      <c r="O466" s="13">
        <v>308827.19</v>
      </c>
      <c r="P466" s="13"/>
      <c r="Q466" s="33"/>
      <c r="R466" s="22"/>
      <c r="S466" s="22"/>
      <c r="T466" s="22"/>
      <c r="U466" s="22"/>
      <c r="X466" s="15" t="str">
        <f>IF(B466="",VLOOKUP(A466,items_lookup!A:B,2,FALSE),B466)</f>
        <v>05. Item 05</v>
      </c>
      <c r="Y466" s="15">
        <f t="shared" si="43"/>
        <v>12</v>
      </c>
      <c r="Z466" s="15">
        <f t="shared" si="43"/>
        <v>12</v>
      </c>
      <c r="AA466" s="15">
        <f t="shared" si="45"/>
        <v>2020</v>
      </c>
      <c r="AB466" s="15">
        <f t="shared" si="46"/>
        <v>2020</v>
      </c>
      <c r="AC466" s="15">
        <f t="shared" si="47"/>
        <v>2020</v>
      </c>
      <c r="AD466" s="18" t="b">
        <f t="shared" si="44"/>
        <v>1</v>
      </c>
    </row>
    <row r="467" spans="1:30" ht="13.5" hidden="1" customHeight="1" x14ac:dyDescent="0.2">
      <c r="A467" s="7" t="s">
        <v>682</v>
      </c>
      <c r="B467" s="20"/>
      <c r="C467" s="2" t="s">
        <v>641</v>
      </c>
      <c r="D467" s="6" t="s">
        <v>649</v>
      </c>
      <c r="E467" s="32" t="s">
        <v>651</v>
      </c>
      <c r="F467" s="7"/>
      <c r="G467" s="7"/>
      <c r="H467" s="7"/>
      <c r="I467" s="7"/>
      <c r="J467" s="7"/>
      <c r="K467" s="7"/>
      <c r="L467" s="7" t="s">
        <v>662</v>
      </c>
      <c r="M467" s="8">
        <v>44166</v>
      </c>
      <c r="N467" s="8">
        <v>44166</v>
      </c>
      <c r="O467" s="13">
        <v>18571.43</v>
      </c>
      <c r="P467" s="13"/>
      <c r="Q467" s="33"/>
      <c r="R467" s="22"/>
      <c r="S467" s="22"/>
      <c r="T467" s="22"/>
      <c r="U467" s="22"/>
      <c r="X467" s="15" t="str">
        <f>IF(B467="",VLOOKUP(A467,items_lookup!A:B,2,FALSE),B467)</f>
        <v>06. Item 06</v>
      </c>
      <c r="Y467" s="15">
        <f t="shared" si="43"/>
        <v>12</v>
      </c>
      <c r="Z467" s="15">
        <f t="shared" si="43"/>
        <v>12</v>
      </c>
      <c r="AA467" s="15">
        <f t="shared" si="45"/>
        <v>2020</v>
      </c>
      <c r="AB467" s="15">
        <f t="shared" si="46"/>
        <v>2020</v>
      </c>
      <c r="AC467" s="15">
        <f t="shared" si="47"/>
        <v>2020</v>
      </c>
      <c r="AD467" s="18" t="b">
        <f t="shared" si="44"/>
        <v>1</v>
      </c>
    </row>
    <row r="468" spans="1:30" ht="13.5" hidden="1" customHeight="1" x14ac:dyDescent="0.2">
      <c r="A468" s="7" t="s">
        <v>682</v>
      </c>
      <c r="B468" s="20"/>
      <c r="C468" s="2" t="s">
        <v>641</v>
      </c>
      <c r="D468" s="6" t="s">
        <v>649</v>
      </c>
      <c r="E468" s="32" t="s">
        <v>651</v>
      </c>
      <c r="F468" s="7"/>
      <c r="G468" s="7"/>
      <c r="H468" s="7"/>
      <c r="I468" s="7"/>
      <c r="J468" s="7"/>
      <c r="K468" s="7"/>
      <c r="L468" s="7" t="s">
        <v>662</v>
      </c>
      <c r="M468" s="8">
        <v>44136</v>
      </c>
      <c r="N468" s="8">
        <v>44136</v>
      </c>
      <c r="O468" s="13">
        <v>14285.71</v>
      </c>
      <c r="P468" s="13"/>
      <c r="Q468" s="33"/>
      <c r="R468" s="9"/>
      <c r="S468" s="9"/>
      <c r="T468" s="9"/>
      <c r="U468" s="9"/>
      <c r="X468" s="15" t="str">
        <f>IF(B468="",VLOOKUP(A468,items_lookup!A:B,2,FALSE),B468)</f>
        <v>06. Item 06</v>
      </c>
      <c r="Y468" s="15">
        <f t="shared" si="43"/>
        <v>11</v>
      </c>
      <c r="Z468" s="15">
        <f t="shared" si="43"/>
        <v>11</v>
      </c>
      <c r="AA468" s="15">
        <f t="shared" si="45"/>
        <v>2020</v>
      </c>
      <c r="AB468" s="15">
        <f t="shared" si="46"/>
        <v>2020</v>
      </c>
      <c r="AC468" s="15">
        <f t="shared" si="47"/>
        <v>2020</v>
      </c>
      <c r="AD468" s="18" t="b">
        <f t="shared" si="44"/>
        <v>1</v>
      </c>
    </row>
    <row r="469" spans="1:30" ht="15" hidden="1" customHeight="1" x14ac:dyDescent="0.2">
      <c r="A469" s="7" t="s">
        <v>682</v>
      </c>
      <c r="B469" s="7"/>
      <c r="C469" s="2" t="s">
        <v>641</v>
      </c>
      <c r="D469" s="6" t="s">
        <v>649</v>
      </c>
      <c r="E469" s="32" t="s">
        <v>651</v>
      </c>
      <c r="F469" s="7"/>
      <c r="G469" s="7"/>
      <c r="H469" s="7"/>
      <c r="I469" s="7"/>
      <c r="J469" s="7"/>
      <c r="K469" s="7"/>
      <c r="L469" s="7" t="s">
        <v>662</v>
      </c>
      <c r="M469" s="8">
        <v>44136</v>
      </c>
      <c r="N469" s="8">
        <v>44136</v>
      </c>
      <c r="O469" s="13">
        <v>23.81</v>
      </c>
      <c r="P469" s="13"/>
      <c r="Q469" s="33"/>
      <c r="R469" s="22"/>
      <c r="S469" s="22"/>
      <c r="T469" s="22"/>
      <c r="U469" s="22"/>
      <c r="X469" s="15" t="str">
        <f>IF(B469="",VLOOKUP(A469,items_lookup!A:B,2,FALSE),B469)</f>
        <v>06. Item 06</v>
      </c>
      <c r="Y469" s="15">
        <f t="shared" si="43"/>
        <v>11</v>
      </c>
      <c r="Z469" s="15">
        <f t="shared" si="43"/>
        <v>11</v>
      </c>
      <c r="AA469" s="15">
        <f t="shared" si="45"/>
        <v>2020</v>
      </c>
      <c r="AB469" s="15">
        <f t="shared" si="46"/>
        <v>2020</v>
      </c>
      <c r="AC469" s="15">
        <f t="shared" si="47"/>
        <v>2020</v>
      </c>
      <c r="AD469" s="18" t="b">
        <f t="shared" si="44"/>
        <v>1</v>
      </c>
    </row>
    <row r="470" spans="1:30" ht="15" hidden="1" customHeight="1" x14ac:dyDescent="0.2">
      <c r="A470" s="7" t="s">
        <v>673</v>
      </c>
      <c r="B470" s="20"/>
      <c r="C470" s="2" t="s">
        <v>641</v>
      </c>
      <c r="D470" s="6" t="s">
        <v>650</v>
      </c>
      <c r="E470" s="32" t="s">
        <v>651</v>
      </c>
      <c r="F470" s="7"/>
      <c r="G470" s="7"/>
      <c r="H470" s="7"/>
      <c r="I470" s="7"/>
      <c r="J470" s="7"/>
      <c r="K470" s="7"/>
      <c r="L470" s="7" t="s">
        <v>662</v>
      </c>
      <c r="M470" s="8">
        <v>44166</v>
      </c>
      <c r="N470" s="8">
        <v>44166</v>
      </c>
      <c r="O470" s="13">
        <v>83571.429999999993</v>
      </c>
      <c r="P470" s="13"/>
      <c r="Q470" s="33"/>
      <c r="R470" s="9"/>
      <c r="S470" s="9"/>
      <c r="T470" s="9"/>
      <c r="U470" s="9"/>
      <c r="X470" s="15" t="str">
        <f>IF(B470="",VLOOKUP(A470,items_lookup!A:B,2,FALSE),B470)</f>
        <v>07. Item 07</v>
      </c>
      <c r="Y470" s="15">
        <f t="shared" si="43"/>
        <v>12</v>
      </c>
      <c r="Z470" s="15">
        <f t="shared" si="43"/>
        <v>12</v>
      </c>
      <c r="AA470" s="15">
        <f t="shared" si="45"/>
        <v>2020</v>
      </c>
      <c r="AB470" s="15">
        <f t="shared" si="46"/>
        <v>2020</v>
      </c>
      <c r="AC470" s="15">
        <f t="shared" si="47"/>
        <v>2020</v>
      </c>
      <c r="AD470" s="18" t="b">
        <f t="shared" si="44"/>
        <v>1</v>
      </c>
    </row>
    <row r="471" spans="1:30" ht="15" hidden="1" customHeight="1" x14ac:dyDescent="0.2">
      <c r="A471" s="7" t="s">
        <v>673</v>
      </c>
      <c r="B471" s="20"/>
      <c r="C471" s="2" t="s">
        <v>641</v>
      </c>
      <c r="D471" s="6" t="s">
        <v>649</v>
      </c>
      <c r="E471" s="32" t="s">
        <v>651</v>
      </c>
      <c r="F471" s="7"/>
      <c r="G471" s="7"/>
      <c r="H471" s="7"/>
      <c r="I471" s="7"/>
      <c r="J471" s="7"/>
      <c r="K471" s="7"/>
      <c r="L471" s="7" t="s">
        <v>662</v>
      </c>
      <c r="M471" s="8">
        <v>44166</v>
      </c>
      <c r="N471" s="8">
        <v>44166</v>
      </c>
      <c r="O471" s="13">
        <v>7142.86</v>
      </c>
      <c r="P471" s="13"/>
      <c r="Q471" s="33"/>
      <c r="R471" s="9"/>
      <c r="S471" s="9"/>
      <c r="T471" s="9"/>
      <c r="U471" s="9"/>
      <c r="X471" s="15" t="str">
        <f>IF(B471="",VLOOKUP(A471,items_lookup!A:B,2,FALSE),B471)</f>
        <v>07. Item 07</v>
      </c>
      <c r="Y471" s="15">
        <f t="shared" si="43"/>
        <v>12</v>
      </c>
      <c r="Z471" s="15">
        <f t="shared" si="43"/>
        <v>12</v>
      </c>
      <c r="AA471" s="15">
        <f t="shared" si="45"/>
        <v>2020</v>
      </c>
      <c r="AB471" s="15">
        <f t="shared" si="46"/>
        <v>2020</v>
      </c>
      <c r="AC471" s="15">
        <f t="shared" si="47"/>
        <v>2020</v>
      </c>
      <c r="AD471" s="18" t="b">
        <f t="shared" si="44"/>
        <v>1</v>
      </c>
    </row>
    <row r="472" spans="1:30" ht="15" hidden="1" customHeight="1" x14ac:dyDescent="0.2">
      <c r="A472" s="7" t="s">
        <v>673</v>
      </c>
      <c r="B472" s="7" t="s">
        <v>710</v>
      </c>
      <c r="C472" s="2" t="s">
        <v>641</v>
      </c>
      <c r="D472" s="6" t="s">
        <v>650</v>
      </c>
      <c r="E472" s="32" t="s">
        <v>651</v>
      </c>
      <c r="F472" s="7"/>
      <c r="G472" s="7"/>
      <c r="H472" s="7"/>
      <c r="I472" s="7"/>
      <c r="J472" s="7"/>
      <c r="K472" s="7"/>
      <c r="L472" s="7" t="s">
        <v>662</v>
      </c>
      <c r="M472" s="8">
        <v>44166</v>
      </c>
      <c r="N472" s="8">
        <v>44166</v>
      </c>
      <c r="O472" s="13">
        <v>30238.1</v>
      </c>
      <c r="P472" s="13"/>
      <c r="Q472" s="33"/>
      <c r="R472" s="22"/>
      <c r="S472" s="22"/>
      <c r="T472" s="22"/>
      <c r="U472" s="22"/>
      <c r="X472" s="15" t="str">
        <f>IF(B472="",VLOOKUP(A472,items_lookup!A:B,2,FALSE),B472)</f>
        <v>13. Item 13</v>
      </c>
      <c r="Y472" s="15">
        <f t="shared" si="43"/>
        <v>12</v>
      </c>
      <c r="Z472" s="15">
        <f t="shared" si="43"/>
        <v>12</v>
      </c>
      <c r="AA472" s="15">
        <f t="shared" si="45"/>
        <v>2020</v>
      </c>
      <c r="AB472" s="15">
        <f t="shared" si="46"/>
        <v>2020</v>
      </c>
      <c r="AC472" s="15">
        <f t="shared" si="47"/>
        <v>2020</v>
      </c>
      <c r="AD472" s="18" t="b">
        <f t="shared" si="44"/>
        <v>1</v>
      </c>
    </row>
    <row r="473" spans="1:30" ht="15" hidden="1" customHeight="1" x14ac:dyDescent="0.2">
      <c r="A473" s="7" t="s">
        <v>674</v>
      </c>
      <c r="B473" s="20"/>
      <c r="C473" s="2" t="s">
        <v>642</v>
      </c>
      <c r="D473" s="6"/>
      <c r="E473" s="32" t="s">
        <v>651</v>
      </c>
      <c r="F473" s="7"/>
      <c r="G473" s="7"/>
      <c r="H473" s="7"/>
      <c r="I473" s="7"/>
      <c r="J473" s="7"/>
      <c r="K473" s="7"/>
      <c r="L473" s="7" t="s">
        <v>663</v>
      </c>
      <c r="M473" s="8">
        <v>44013</v>
      </c>
      <c r="N473" s="8">
        <v>44013</v>
      </c>
      <c r="O473" s="13"/>
      <c r="P473" s="13">
        <v>6484761.9000000004</v>
      </c>
      <c r="Q473" s="33"/>
      <c r="R473" s="9"/>
      <c r="S473" s="9"/>
      <c r="T473" s="9"/>
      <c r="U473" s="9"/>
      <c r="X473" s="15" t="str">
        <f>IF(B473="",VLOOKUP(A473,items_lookup!A:B,2,FALSE),B473)</f>
        <v>08. Item 08</v>
      </c>
      <c r="Y473" s="15">
        <f t="shared" si="43"/>
        <v>7</v>
      </c>
      <c r="Z473" s="15">
        <f t="shared" si="43"/>
        <v>7</v>
      </c>
      <c r="AA473" s="15">
        <f t="shared" si="45"/>
        <v>2020</v>
      </c>
      <c r="AB473" s="15">
        <f t="shared" si="46"/>
        <v>2020</v>
      </c>
      <c r="AC473" s="15">
        <f t="shared" si="47"/>
        <v>2020</v>
      </c>
      <c r="AD473" s="18" t="b">
        <f t="shared" si="44"/>
        <v>1</v>
      </c>
    </row>
    <row r="474" spans="1:30" ht="12.6" hidden="1" customHeight="1" x14ac:dyDescent="0.2">
      <c r="A474" s="7" t="s">
        <v>674</v>
      </c>
      <c r="B474" s="20"/>
      <c r="C474" s="2" t="s">
        <v>642</v>
      </c>
      <c r="D474" s="6"/>
      <c r="E474" s="32" t="s">
        <v>651</v>
      </c>
      <c r="F474" s="7"/>
      <c r="G474" s="7"/>
      <c r="H474" s="7"/>
      <c r="I474" s="7"/>
      <c r="J474" s="7"/>
      <c r="K474" s="7"/>
      <c r="L474" s="7" t="s">
        <v>663</v>
      </c>
      <c r="M474" s="8">
        <v>44013</v>
      </c>
      <c r="N474" s="8">
        <v>44013</v>
      </c>
      <c r="O474" s="13"/>
      <c r="P474" s="13">
        <v>58095.24</v>
      </c>
      <c r="Q474" s="33"/>
      <c r="R474" s="9"/>
      <c r="S474" s="9"/>
      <c r="T474" s="9"/>
      <c r="U474" s="9"/>
      <c r="X474" s="15" t="str">
        <f>IF(B474="",VLOOKUP(A474,items_lookup!A:B,2,FALSE),B474)</f>
        <v>08. Item 08</v>
      </c>
      <c r="Y474" s="15">
        <f t="shared" ref="Y474:Z516" si="48">MONTH(M474)</f>
        <v>7</v>
      </c>
      <c r="Z474" s="15">
        <f t="shared" si="48"/>
        <v>7</v>
      </c>
      <c r="AA474" s="15">
        <f t="shared" si="45"/>
        <v>2020</v>
      </c>
      <c r="AB474" s="15">
        <f t="shared" si="46"/>
        <v>2020</v>
      </c>
      <c r="AC474" s="15">
        <f t="shared" si="47"/>
        <v>2020</v>
      </c>
      <c r="AD474" s="18" t="b">
        <f t="shared" si="44"/>
        <v>1</v>
      </c>
    </row>
    <row r="475" spans="1:30" ht="12.6" hidden="1" customHeight="1" x14ac:dyDescent="0.2">
      <c r="A475" s="7" t="s">
        <v>674</v>
      </c>
      <c r="B475" s="20"/>
      <c r="C475" s="2" t="s">
        <v>642</v>
      </c>
      <c r="D475" s="6"/>
      <c r="E475" s="32" t="s">
        <v>651</v>
      </c>
      <c r="F475" s="7"/>
      <c r="G475" s="7"/>
      <c r="H475" s="7"/>
      <c r="I475" s="7"/>
      <c r="J475" s="7"/>
      <c r="K475" s="7"/>
      <c r="L475" s="7" t="s">
        <v>663</v>
      </c>
      <c r="M475" s="8">
        <v>44013</v>
      </c>
      <c r="N475" s="8">
        <v>44013</v>
      </c>
      <c r="O475" s="13"/>
      <c r="P475" s="13">
        <v>8846833.3300000001</v>
      </c>
      <c r="Q475" s="33"/>
      <c r="R475" s="9"/>
      <c r="S475" s="9"/>
      <c r="T475" s="9"/>
      <c r="U475" s="9"/>
      <c r="X475" s="15" t="str">
        <f>IF(B475="",VLOOKUP(A475,items_lookup!A:B,2,FALSE),B475)</f>
        <v>08. Item 08</v>
      </c>
      <c r="Y475" s="15">
        <f t="shared" si="48"/>
        <v>7</v>
      </c>
      <c r="Z475" s="15">
        <f t="shared" si="48"/>
        <v>7</v>
      </c>
      <c r="AA475" s="15">
        <f t="shared" si="45"/>
        <v>2020</v>
      </c>
      <c r="AB475" s="15">
        <f t="shared" si="46"/>
        <v>2020</v>
      </c>
      <c r="AC475" s="15">
        <f t="shared" si="47"/>
        <v>2020</v>
      </c>
      <c r="AD475" s="18" t="b">
        <f t="shared" si="44"/>
        <v>1</v>
      </c>
    </row>
    <row r="476" spans="1:30" ht="12.6" hidden="1" customHeight="1" x14ac:dyDescent="0.2">
      <c r="A476" s="7" t="s">
        <v>688</v>
      </c>
      <c r="B476" s="20"/>
      <c r="C476" s="2" t="s">
        <v>642</v>
      </c>
      <c r="D476" s="6"/>
      <c r="E476" s="32" t="s">
        <v>651</v>
      </c>
      <c r="F476" s="7"/>
      <c r="G476" s="7"/>
      <c r="H476" s="7"/>
      <c r="I476" s="7"/>
      <c r="J476" s="7"/>
      <c r="K476" s="7"/>
      <c r="L476" s="7" t="s">
        <v>663</v>
      </c>
      <c r="M476" s="8">
        <v>44013</v>
      </c>
      <c r="N476" s="8">
        <v>44013</v>
      </c>
      <c r="O476" s="13"/>
      <c r="P476" s="13">
        <v>2192619.0499999998</v>
      </c>
      <c r="Q476" s="33"/>
      <c r="R476" s="9"/>
      <c r="S476" s="9"/>
      <c r="T476" s="9"/>
      <c r="U476" s="9"/>
      <c r="X476" s="15" t="str">
        <f>IF(B476="",VLOOKUP(A476,items_lookup!A:B,2,FALSE),B476)</f>
        <v>09. Item 09</v>
      </c>
      <c r="Y476" s="15">
        <f t="shared" si="48"/>
        <v>7</v>
      </c>
      <c r="Z476" s="15">
        <f t="shared" si="48"/>
        <v>7</v>
      </c>
      <c r="AA476" s="15">
        <f t="shared" si="45"/>
        <v>2020</v>
      </c>
      <c r="AB476" s="15">
        <f t="shared" si="46"/>
        <v>2020</v>
      </c>
      <c r="AC476" s="15">
        <f t="shared" si="47"/>
        <v>2020</v>
      </c>
      <c r="AD476" s="18" t="b">
        <f t="shared" si="44"/>
        <v>1</v>
      </c>
    </row>
    <row r="477" spans="1:30" ht="12.6" hidden="1" customHeight="1" x14ac:dyDescent="0.2">
      <c r="A477" s="7" t="s">
        <v>675</v>
      </c>
      <c r="B477" s="7" t="s">
        <v>709</v>
      </c>
      <c r="C477" s="2" t="s">
        <v>642</v>
      </c>
      <c r="D477" s="6"/>
      <c r="E477" s="32" t="s">
        <v>651</v>
      </c>
      <c r="F477" s="7"/>
      <c r="G477" s="7"/>
      <c r="H477" s="7"/>
      <c r="I477" s="7"/>
      <c r="J477" s="7"/>
      <c r="K477" s="7"/>
      <c r="L477" s="7" t="s">
        <v>663</v>
      </c>
      <c r="M477" s="8">
        <v>44013</v>
      </c>
      <c r="N477" s="8">
        <v>44013</v>
      </c>
      <c r="O477" s="13"/>
      <c r="P477" s="13">
        <v>2474404.7599999998</v>
      </c>
      <c r="Q477" s="33"/>
      <c r="R477" s="22"/>
      <c r="S477" s="22"/>
      <c r="T477" s="22"/>
      <c r="U477" s="22"/>
      <c r="X477" s="15" t="str">
        <f>IF(B477="",VLOOKUP(A477,items_lookup!A:B,2,FALSE),B477)</f>
        <v>04. Item 04</v>
      </c>
      <c r="Y477" s="15">
        <f t="shared" si="48"/>
        <v>7</v>
      </c>
      <c r="Z477" s="15">
        <f t="shared" si="48"/>
        <v>7</v>
      </c>
      <c r="AA477" s="15">
        <f t="shared" si="45"/>
        <v>2020</v>
      </c>
      <c r="AB477" s="15">
        <f t="shared" si="46"/>
        <v>2020</v>
      </c>
      <c r="AC477" s="15">
        <f t="shared" si="47"/>
        <v>2020</v>
      </c>
      <c r="AD477" s="18" t="b">
        <f t="shared" si="44"/>
        <v>1</v>
      </c>
    </row>
    <row r="478" spans="1:30" ht="12.6" hidden="1" customHeight="1" x14ac:dyDescent="0.2">
      <c r="A478" s="7" t="s">
        <v>675</v>
      </c>
      <c r="B478" s="7"/>
      <c r="C478" s="2" t="s">
        <v>642</v>
      </c>
      <c r="D478" s="6"/>
      <c r="E478" s="32" t="s">
        <v>651</v>
      </c>
      <c r="F478" s="7"/>
      <c r="G478" s="7"/>
      <c r="H478" s="7"/>
      <c r="I478" s="7"/>
      <c r="J478" s="7"/>
      <c r="K478" s="7"/>
      <c r="L478" s="7" t="s">
        <v>663</v>
      </c>
      <c r="M478" s="8">
        <v>44013</v>
      </c>
      <c r="N478" s="8">
        <v>44013</v>
      </c>
      <c r="O478" s="13"/>
      <c r="P478" s="13">
        <v>5256714.29</v>
      </c>
      <c r="Q478" s="33"/>
      <c r="R478" s="9"/>
      <c r="S478" s="9"/>
      <c r="T478" s="9"/>
      <c r="U478" s="9"/>
      <c r="X478" s="15" t="str">
        <f>IF(B478="",VLOOKUP(A478,items_lookup!A:B,2,FALSE),B478)</f>
        <v>09. Item 09</v>
      </c>
      <c r="Y478" s="15">
        <f t="shared" si="48"/>
        <v>7</v>
      </c>
      <c r="Z478" s="15">
        <f t="shared" si="48"/>
        <v>7</v>
      </c>
      <c r="AA478" s="15">
        <f t="shared" si="45"/>
        <v>2020</v>
      </c>
      <c r="AB478" s="15">
        <f t="shared" si="46"/>
        <v>2020</v>
      </c>
      <c r="AC478" s="15">
        <f t="shared" si="47"/>
        <v>2020</v>
      </c>
      <c r="AD478" s="18" t="b">
        <f t="shared" si="44"/>
        <v>1</v>
      </c>
    </row>
    <row r="479" spans="1:30" ht="12.6" hidden="1" customHeight="1" x14ac:dyDescent="0.2">
      <c r="A479" s="7" t="s">
        <v>675</v>
      </c>
      <c r="B479" s="7"/>
      <c r="C479" s="2" t="s">
        <v>642</v>
      </c>
      <c r="D479" s="6"/>
      <c r="E479" s="32" t="s">
        <v>651</v>
      </c>
      <c r="F479" s="7"/>
      <c r="G479" s="7"/>
      <c r="H479" s="7"/>
      <c r="I479" s="7"/>
      <c r="J479" s="7"/>
      <c r="K479" s="7"/>
      <c r="L479" s="7" t="s">
        <v>663</v>
      </c>
      <c r="M479" s="8">
        <v>44013</v>
      </c>
      <c r="N479" s="8">
        <v>44013</v>
      </c>
      <c r="O479" s="13"/>
      <c r="P479" s="13">
        <v>20380.95</v>
      </c>
      <c r="Q479" s="33"/>
      <c r="R479" s="9"/>
      <c r="S479" s="9"/>
      <c r="T479" s="9"/>
      <c r="U479" s="9"/>
      <c r="X479" s="15" t="str">
        <f>IF(B479="",VLOOKUP(A479,items_lookup!A:B,2,FALSE),B479)</f>
        <v>09. Item 09</v>
      </c>
      <c r="Y479" s="15">
        <f t="shared" si="48"/>
        <v>7</v>
      </c>
      <c r="Z479" s="15">
        <f t="shared" si="48"/>
        <v>7</v>
      </c>
      <c r="AA479" s="15">
        <f t="shared" si="45"/>
        <v>2020</v>
      </c>
      <c r="AB479" s="15">
        <f t="shared" si="46"/>
        <v>2020</v>
      </c>
      <c r="AC479" s="15">
        <f t="shared" si="47"/>
        <v>2020</v>
      </c>
      <c r="AD479" s="18" t="b">
        <f t="shared" si="44"/>
        <v>1</v>
      </c>
    </row>
    <row r="480" spans="1:30" ht="13.5" hidden="1" customHeight="1" x14ac:dyDescent="0.2">
      <c r="A480" s="7" t="s">
        <v>676</v>
      </c>
      <c r="B480" s="7"/>
      <c r="C480" s="2" t="s">
        <v>642</v>
      </c>
      <c r="D480" s="6"/>
      <c r="E480" s="32" t="s">
        <v>651</v>
      </c>
      <c r="F480" s="7"/>
      <c r="G480" s="7"/>
      <c r="H480" s="7"/>
      <c r="I480" s="7"/>
      <c r="J480" s="7"/>
      <c r="K480" s="7"/>
      <c r="L480" s="7" t="s">
        <v>663</v>
      </c>
      <c r="M480" s="8">
        <v>44013</v>
      </c>
      <c r="N480" s="8">
        <v>44013</v>
      </c>
      <c r="O480" s="13"/>
      <c r="P480" s="13">
        <v>33261.9</v>
      </c>
      <c r="Q480" s="33"/>
      <c r="R480" s="9"/>
      <c r="S480" s="9"/>
      <c r="T480" s="9"/>
      <c r="U480" s="9"/>
      <c r="X480" s="15" t="str">
        <f>IF(B480="",VLOOKUP(A480,items_lookup!A:B,2,FALSE),B480)</f>
        <v>09. Item 09</v>
      </c>
      <c r="Y480" s="15">
        <f t="shared" si="48"/>
        <v>7</v>
      </c>
      <c r="Z480" s="15">
        <f t="shared" si="48"/>
        <v>7</v>
      </c>
      <c r="AA480" s="15">
        <f t="shared" si="45"/>
        <v>2020</v>
      </c>
      <c r="AB480" s="15">
        <f t="shared" si="46"/>
        <v>2020</v>
      </c>
      <c r="AC480" s="15">
        <f t="shared" si="47"/>
        <v>2020</v>
      </c>
      <c r="AD480" s="18" t="b">
        <f t="shared" si="44"/>
        <v>1</v>
      </c>
    </row>
    <row r="481" spans="1:30" ht="12.6" hidden="1" customHeight="1" x14ac:dyDescent="0.2">
      <c r="A481" s="7" t="s">
        <v>676</v>
      </c>
      <c r="B481" s="7"/>
      <c r="C481" s="2" t="s">
        <v>642</v>
      </c>
      <c r="D481" s="6"/>
      <c r="E481" s="32" t="s">
        <v>651</v>
      </c>
      <c r="F481" s="7"/>
      <c r="G481" s="7"/>
      <c r="H481" s="7"/>
      <c r="I481" s="7"/>
      <c r="J481" s="7"/>
      <c r="K481" s="7"/>
      <c r="L481" s="7" t="s">
        <v>663</v>
      </c>
      <c r="M481" s="8">
        <v>44013</v>
      </c>
      <c r="N481" s="8">
        <v>44013</v>
      </c>
      <c r="O481" s="13"/>
      <c r="P481" s="13">
        <v>282309.52</v>
      </c>
      <c r="Q481" s="33"/>
      <c r="R481" s="9"/>
      <c r="S481" s="9"/>
      <c r="T481" s="9"/>
      <c r="U481" s="9"/>
      <c r="X481" s="15" t="str">
        <f>IF(B481="",VLOOKUP(A481,items_lookup!A:B,2,FALSE),B481)</f>
        <v>09. Item 09</v>
      </c>
      <c r="Y481" s="15">
        <f t="shared" si="48"/>
        <v>7</v>
      </c>
      <c r="Z481" s="15">
        <f t="shared" si="48"/>
        <v>7</v>
      </c>
      <c r="AA481" s="15">
        <f t="shared" si="45"/>
        <v>2020</v>
      </c>
      <c r="AB481" s="15">
        <f t="shared" si="46"/>
        <v>2020</v>
      </c>
      <c r="AC481" s="15">
        <f t="shared" si="47"/>
        <v>2020</v>
      </c>
      <c r="AD481" s="18" t="b">
        <f t="shared" si="44"/>
        <v>1</v>
      </c>
    </row>
    <row r="482" spans="1:30" ht="12.6" hidden="1" customHeight="1" x14ac:dyDescent="0.2">
      <c r="A482" s="7" t="s">
        <v>676</v>
      </c>
      <c r="B482" s="7"/>
      <c r="C482" s="2" t="s">
        <v>642</v>
      </c>
      <c r="D482" s="6"/>
      <c r="E482" s="32" t="s">
        <v>651</v>
      </c>
      <c r="F482" s="7"/>
      <c r="G482" s="7"/>
      <c r="H482" s="7"/>
      <c r="I482" s="7"/>
      <c r="J482" s="7"/>
      <c r="K482" s="7"/>
      <c r="L482" s="7" t="s">
        <v>663</v>
      </c>
      <c r="M482" s="8">
        <v>44013</v>
      </c>
      <c r="N482" s="8">
        <v>44013</v>
      </c>
      <c r="O482" s="13"/>
      <c r="P482" s="13">
        <v>736452.38</v>
      </c>
      <c r="Q482" s="33"/>
      <c r="R482" s="9"/>
      <c r="S482" s="9"/>
      <c r="T482" s="9"/>
      <c r="U482" s="9"/>
      <c r="X482" s="15" t="str">
        <f>IF(B482="",VLOOKUP(A482,items_lookup!A:B,2,FALSE),B482)</f>
        <v>09. Item 09</v>
      </c>
      <c r="Y482" s="15">
        <f t="shared" si="48"/>
        <v>7</v>
      </c>
      <c r="Z482" s="15">
        <f t="shared" si="48"/>
        <v>7</v>
      </c>
      <c r="AA482" s="15">
        <f t="shared" si="45"/>
        <v>2020</v>
      </c>
      <c r="AB482" s="15">
        <f t="shared" si="46"/>
        <v>2020</v>
      </c>
      <c r="AC482" s="15">
        <f t="shared" si="47"/>
        <v>2020</v>
      </c>
      <c r="AD482" s="18" t="b">
        <f t="shared" si="44"/>
        <v>1</v>
      </c>
    </row>
    <row r="483" spans="1:30" ht="12.6" hidden="1" customHeight="1" x14ac:dyDescent="0.2">
      <c r="A483" s="7" t="s">
        <v>684</v>
      </c>
      <c r="B483" s="20"/>
      <c r="C483" s="2" t="s">
        <v>642</v>
      </c>
      <c r="D483" s="6"/>
      <c r="E483" s="32" t="s">
        <v>651</v>
      </c>
      <c r="F483" s="7"/>
      <c r="G483" s="7"/>
      <c r="H483" s="7"/>
      <c r="I483" s="7"/>
      <c r="J483" s="7"/>
      <c r="K483" s="7"/>
      <c r="L483" s="7" t="s">
        <v>663</v>
      </c>
      <c r="M483" s="8">
        <v>44013</v>
      </c>
      <c r="N483" s="8">
        <v>44013</v>
      </c>
      <c r="O483" s="13"/>
      <c r="P483" s="13">
        <v>3341500</v>
      </c>
      <c r="Q483" s="33"/>
      <c r="R483" s="9"/>
      <c r="S483" s="9"/>
      <c r="T483" s="9"/>
      <c r="U483" s="9"/>
      <c r="X483" s="15" t="str">
        <f>IF(B483="",VLOOKUP(A483,items_lookup!A:B,2,FALSE),B483)</f>
        <v>09. Item 09</v>
      </c>
      <c r="Y483" s="15">
        <f t="shared" si="48"/>
        <v>7</v>
      </c>
      <c r="Z483" s="15">
        <f t="shared" si="48"/>
        <v>7</v>
      </c>
      <c r="AA483" s="15">
        <f t="shared" si="45"/>
        <v>2020</v>
      </c>
      <c r="AB483" s="15">
        <f t="shared" si="46"/>
        <v>2020</v>
      </c>
      <c r="AC483" s="15">
        <f t="shared" si="47"/>
        <v>2020</v>
      </c>
      <c r="AD483" s="18" t="b">
        <f t="shared" si="44"/>
        <v>1</v>
      </c>
    </row>
    <row r="484" spans="1:30" ht="15" hidden="1" customHeight="1" x14ac:dyDescent="0.2">
      <c r="A484" s="7" t="s">
        <v>684</v>
      </c>
      <c r="C484" s="2" t="s">
        <v>642</v>
      </c>
      <c r="D484" s="6"/>
      <c r="E484" s="32" t="s">
        <v>651</v>
      </c>
      <c r="H484" s="7"/>
      <c r="K484" s="7"/>
      <c r="L484" s="7" t="s">
        <v>662</v>
      </c>
      <c r="M484" s="8">
        <v>44013</v>
      </c>
      <c r="N484" s="8">
        <v>44013</v>
      </c>
      <c r="O484" s="14">
        <v>4714.29</v>
      </c>
      <c r="Q484" s="33"/>
      <c r="X484" s="15" t="str">
        <f>IF(B484="",VLOOKUP(A484,items_lookup!A:B,2,FALSE),B484)</f>
        <v>09. Item 09</v>
      </c>
      <c r="Y484" s="15">
        <f t="shared" si="48"/>
        <v>7</v>
      </c>
      <c r="Z484" s="15">
        <f t="shared" si="48"/>
        <v>7</v>
      </c>
      <c r="AA484" s="15">
        <f t="shared" si="45"/>
        <v>2020</v>
      </c>
      <c r="AB484" s="15">
        <f t="shared" si="46"/>
        <v>2020</v>
      </c>
      <c r="AC484" s="15">
        <f t="shared" si="47"/>
        <v>2020</v>
      </c>
      <c r="AD484" s="18" t="b">
        <f t="shared" si="44"/>
        <v>1</v>
      </c>
    </row>
    <row r="485" spans="1:30" ht="12.75" hidden="1" customHeight="1" x14ac:dyDescent="0.2">
      <c r="A485" s="7" t="s">
        <v>684</v>
      </c>
      <c r="C485" s="2" t="s">
        <v>642</v>
      </c>
      <c r="D485" s="6"/>
      <c r="E485" s="32" t="s">
        <v>651</v>
      </c>
      <c r="H485" s="7"/>
      <c r="K485" s="7"/>
      <c r="L485" s="7" t="s">
        <v>663</v>
      </c>
      <c r="M485" s="8">
        <v>44013</v>
      </c>
      <c r="N485" s="8">
        <v>44013</v>
      </c>
      <c r="P485" s="14">
        <v>31357.14</v>
      </c>
      <c r="Q485" s="33"/>
      <c r="X485" s="15" t="str">
        <f>IF(B485="",VLOOKUP(A485,items_lookup!A:B,2,FALSE),B485)</f>
        <v>09. Item 09</v>
      </c>
      <c r="Y485" s="15">
        <f t="shared" si="48"/>
        <v>7</v>
      </c>
      <c r="Z485" s="15">
        <f t="shared" si="48"/>
        <v>7</v>
      </c>
      <c r="AA485" s="15">
        <f t="shared" si="45"/>
        <v>2020</v>
      </c>
      <c r="AB485" s="15">
        <f t="shared" si="46"/>
        <v>2020</v>
      </c>
      <c r="AC485" s="15">
        <f t="shared" si="47"/>
        <v>2020</v>
      </c>
      <c r="AD485" s="18" t="b">
        <f t="shared" si="44"/>
        <v>1</v>
      </c>
    </row>
    <row r="486" spans="1:30" ht="25.5" hidden="1" customHeight="1" x14ac:dyDescent="0.2">
      <c r="A486" s="7" t="s">
        <v>677</v>
      </c>
      <c r="C486" s="2" t="s">
        <v>642</v>
      </c>
      <c r="D486" s="6"/>
      <c r="E486" s="32" t="s">
        <v>651</v>
      </c>
      <c r="H486" s="7"/>
      <c r="K486" s="7"/>
      <c r="L486" s="7" t="s">
        <v>663</v>
      </c>
      <c r="M486" s="8">
        <v>44013</v>
      </c>
      <c r="N486" s="8">
        <v>44013</v>
      </c>
      <c r="P486" s="14">
        <v>193785.71</v>
      </c>
      <c r="Q486" s="33"/>
      <c r="R486" s="23"/>
      <c r="S486" s="23"/>
      <c r="T486" s="23"/>
      <c r="U486" s="23"/>
      <c r="X486" s="15" t="str">
        <f>IF(B486="",VLOOKUP(A486,items_lookup!A:B,2,FALSE),B486)</f>
        <v>11. Item 11</v>
      </c>
      <c r="Y486" s="15">
        <f t="shared" si="48"/>
        <v>7</v>
      </c>
      <c r="Z486" s="15">
        <f t="shared" si="48"/>
        <v>7</v>
      </c>
      <c r="AA486" s="15">
        <f t="shared" si="45"/>
        <v>2020</v>
      </c>
      <c r="AB486" s="15">
        <f t="shared" si="46"/>
        <v>2020</v>
      </c>
      <c r="AC486" s="15">
        <f t="shared" si="47"/>
        <v>2020</v>
      </c>
      <c r="AD486" s="18" t="b">
        <f t="shared" si="44"/>
        <v>1</v>
      </c>
    </row>
    <row r="487" spans="1:30" ht="25.5" hidden="1" customHeight="1" x14ac:dyDescent="0.2">
      <c r="A487" s="7" t="s">
        <v>677</v>
      </c>
      <c r="B487" s="7" t="s">
        <v>711</v>
      </c>
      <c r="C487" s="2" t="s">
        <v>642</v>
      </c>
      <c r="D487" s="6"/>
      <c r="E487" s="32" t="s">
        <v>651</v>
      </c>
      <c r="F487" s="7"/>
      <c r="G487" s="7"/>
      <c r="H487" s="7"/>
      <c r="I487" s="7"/>
      <c r="J487" s="7"/>
      <c r="K487" s="7"/>
      <c r="L487" s="7" t="s">
        <v>663</v>
      </c>
      <c r="M487" s="8">
        <v>44013</v>
      </c>
      <c r="N487" s="8">
        <v>44013</v>
      </c>
      <c r="O487" s="13"/>
      <c r="P487" s="13">
        <v>647904.76</v>
      </c>
      <c r="Q487" s="33"/>
      <c r="R487" s="9"/>
      <c r="S487" s="9"/>
      <c r="T487" s="9"/>
      <c r="U487" s="9"/>
      <c r="X487" s="15" t="str">
        <f>IF(B487="",VLOOKUP(A487,items_lookup!A:B,2,FALSE),B487)</f>
        <v>12. Item 12</v>
      </c>
      <c r="Y487" s="15">
        <f t="shared" si="48"/>
        <v>7</v>
      </c>
      <c r="Z487" s="15">
        <f t="shared" si="48"/>
        <v>7</v>
      </c>
      <c r="AA487" s="15">
        <f t="shared" si="45"/>
        <v>2020</v>
      </c>
      <c r="AB487" s="15">
        <f t="shared" si="46"/>
        <v>2020</v>
      </c>
      <c r="AC487" s="15">
        <f t="shared" si="47"/>
        <v>2020</v>
      </c>
      <c r="AD487" s="18" t="b">
        <f t="shared" si="44"/>
        <v>1</v>
      </c>
    </row>
    <row r="488" spans="1:30" ht="12.6" hidden="1" customHeight="1" x14ac:dyDescent="0.2">
      <c r="A488" s="7" t="s">
        <v>677</v>
      </c>
      <c r="B488" s="20"/>
      <c r="C488" s="2" t="s">
        <v>642</v>
      </c>
      <c r="D488" s="6"/>
      <c r="E488" s="32" t="s">
        <v>651</v>
      </c>
      <c r="F488" s="7"/>
      <c r="G488" s="7"/>
      <c r="H488" s="7"/>
      <c r="I488" s="7"/>
      <c r="J488" s="7"/>
      <c r="K488" s="7"/>
      <c r="L488" s="7" t="s">
        <v>663</v>
      </c>
      <c r="M488" s="8">
        <v>44044</v>
      </c>
      <c r="N488" s="8">
        <v>44044</v>
      </c>
      <c r="O488" s="13"/>
      <c r="P488" s="13">
        <v>7004071.4299999997</v>
      </c>
      <c r="Q488" s="33"/>
      <c r="R488" s="9"/>
      <c r="S488" s="9"/>
      <c r="T488" s="9"/>
      <c r="U488" s="9"/>
      <c r="X488" s="15" t="str">
        <f>IF(B488="",VLOOKUP(A488,items_lookup!A:B,2,FALSE),B488)</f>
        <v>11. Item 11</v>
      </c>
      <c r="Y488" s="15">
        <f t="shared" si="48"/>
        <v>8</v>
      </c>
      <c r="Z488" s="15">
        <f t="shared" si="48"/>
        <v>8</v>
      </c>
      <c r="AA488" s="15">
        <f t="shared" si="45"/>
        <v>2020</v>
      </c>
      <c r="AB488" s="15">
        <f t="shared" si="46"/>
        <v>2020</v>
      </c>
      <c r="AC488" s="15">
        <f t="shared" si="47"/>
        <v>2020</v>
      </c>
      <c r="AD488" s="18" t="b">
        <f t="shared" si="44"/>
        <v>1</v>
      </c>
    </row>
    <row r="489" spans="1:30" ht="15" hidden="1" customHeight="1" x14ac:dyDescent="0.2">
      <c r="A489" s="7"/>
      <c r="B489" s="7" t="s">
        <v>709</v>
      </c>
      <c r="C489" s="2" t="s">
        <v>642</v>
      </c>
      <c r="D489" s="6"/>
      <c r="E489" s="32" t="s">
        <v>651</v>
      </c>
      <c r="F489" s="7"/>
      <c r="G489" s="7"/>
      <c r="H489" s="7"/>
      <c r="I489" s="7"/>
      <c r="J489" s="7"/>
      <c r="K489" s="7"/>
      <c r="L489" s="7" t="s">
        <v>663</v>
      </c>
      <c r="M489" s="8">
        <v>44044</v>
      </c>
      <c r="N489" s="8">
        <v>44044</v>
      </c>
      <c r="O489" s="13"/>
      <c r="P489" s="13">
        <v>2836404.76</v>
      </c>
      <c r="Q489" s="33"/>
      <c r="R489" s="22"/>
      <c r="S489" s="22"/>
      <c r="T489" s="22"/>
      <c r="U489" s="22"/>
      <c r="X489" s="15" t="str">
        <f>IF(B489="",VLOOKUP(A489,items_lookup!A:B,2,FALSE),B489)</f>
        <v>04. Item 04</v>
      </c>
      <c r="Y489" s="15">
        <f t="shared" si="48"/>
        <v>8</v>
      </c>
      <c r="Z489" s="15">
        <f t="shared" si="48"/>
        <v>8</v>
      </c>
      <c r="AA489" s="15">
        <f t="shared" si="45"/>
        <v>2020</v>
      </c>
      <c r="AB489" s="15">
        <f t="shared" si="46"/>
        <v>2020</v>
      </c>
      <c r="AC489" s="15">
        <f t="shared" si="47"/>
        <v>2020</v>
      </c>
      <c r="AD489" s="18" t="b">
        <f t="shared" si="44"/>
        <v>1</v>
      </c>
    </row>
    <row r="490" spans="1:30" ht="15" hidden="1" customHeight="1" x14ac:dyDescent="0.2">
      <c r="A490" s="7" t="s">
        <v>687</v>
      </c>
      <c r="B490" s="7"/>
      <c r="C490" s="2" t="s">
        <v>642</v>
      </c>
      <c r="D490" s="6"/>
      <c r="E490" s="32" t="s">
        <v>651</v>
      </c>
      <c r="F490" s="7"/>
      <c r="G490" s="7"/>
      <c r="H490" s="7"/>
      <c r="I490" s="7"/>
      <c r="J490" s="7"/>
      <c r="K490" s="7"/>
      <c r="L490" s="7" t="s">
        <v>663</v>
      </c>
      <c r="M490" s="8">
        <v>44044</v>
      </c>
      <c r="N490" s="8">
        <v>44044</v>
      </c>
      <c r="O490" s="13"/>
      <c r="P490" s="13">
        <v>4368452.38</v>
      </c>
      <c r="Q490" s="33"/>
      <c r="R490" s="9"/>
      <c r="S490" s="9"/>
      <c r="T490" s="9"/>
      <c r="U490" s="9"/>
      <c r="X490" s="15" t="str">
        <f>IF(B490="",VLOOKUP(A490,items_lookup!A:B,2,FALSE),B490)</f>
        <v>14. Item 14</v>
      </c>
      <c r="Y490" s="15">
        <f t="shared" si="48"/>
        <v>8</v>
      </c>
      <c r="Z490" s="15">
        <f t="shared" si="48"/>
        <v>8</v>
      </c>
      <c r="AA490" s="15">
        <f t="shared" si="45"/>
        <v>2020</v>
      </c>
      <c r="AB490" s="15">
        <f t="shared" si="46"/>
        <v>2020</v>
      </c>
      <c r="AC490" s="15">
        <f t="shared" si="47"/>
        <v>2020</v>
      </c>
      <c r="AD490" s="18" t="b">
        <f t="shared" si="44"/>
        <v>1</v>
      </c>
    </row>
    <row r="491" spans="1:30" ht="15" hidden="1" customHeight="1" x14ac:dyDescent="0.2">
      <c r="A491" s="7" t="s">
        <v>687</v>
      </c>
      <c r="B491" s="7" t="s">
        <v>711</v>
      </c>
      <c r="C491" s="2" t="s">
        <v>642</v>
      </c>
      <c r="D491" s="6"/>
      <c r="E491" s="32" t="s">
        <v>651</v>
      </c>
      <c r="F491" s="7"/>
      <c r="G491" s="7"/>
      <c r="H491" s="7"/>
      <c r="I491" s="7"/>
      <c r="J491" s="7"/>
      <c r="K491" s="7"/>
      <c r="L491" s="7" t="s">
        <v>663</v>
      </c>
      <c r="M491" s="8">
        <v>44044</v>
      </c>
      <c r="N491" s="8">
        <v>44044</v>
      </c>
      <c r="O491" s="13"/>
      <c r="P491" s="13">
        <v>363452.38</v>
      </c>
      <c r="Q491" s="33"/>
      <c r="R491" s="9"/>
      <c r="S491" s="9"/>
      <c r="T491" s="9"/>
      <c r="U491" s="9"/>
      <c r="X491" s="15" t="str">
        <f>IF(B491="",VLOOKUP(A491,items_lookup!A:B,2,FALSE),B491)</f>
        <v>12. Item 12</v>
      </c>
      <c r="Y491" s="15">
        <f t="shared" si="48"/>
        <v>8</v>
      </c>
      <c r="Z491" s="15">
        <f t="shared" si="48"/>
        <v>8</v>
      </c>
      <c r="AA491" s="15">
        <f t="shared" si="45"/>
        <v>2020</v>
      </c>
      <c r="AB491" s="15">
        <f t="shared" si="46"/>
        <v>2020</v>
      </c>
      <c r="AC491" s="15">
        <f t="shared" si="47"/>
        <v>2020</v>
      </c>
      <c r="AD491" s="18" t="b">
        <f t="shared" si="44"/>
        <v>1</v>
      </c>
    </row>
    <row r="492" spans="1:30" ht="15" hidden="1" customHeight="1" x14ac:dyDescent="0.2">
      <c r="A492" s="7" t="s">
        <v>687</v>
      </c>
      <c r="B492" s="20"/>
      <c r="C492" s="2" t="s">
        <v>642</v>
      </c>
      <c r="D492" s="6"/>
      <c r="E492" s="32" t="s">
        <v>651</v>
      </c>
      <c r="F492" s="7"/>
      <c r="G492" s="7"/>
      <c r="H492" s="7"/>
      <c r="I492" s="7"/>
      <c r="J492" s="7"/>
      <c r="K492" s="7"/>
      <c r="L492" s="7" t="s">
        <v>663</v>
      </c>
      <c r="M492" s="8">
        <v>44044</v>
      </c>
      <c r="N492" s="8">
        <v>44044</v>
      </c>
      <c r="O492" s="13"/>
      <c r="P492" s="13">
        <v>2617738.1</v>
      </c>
      <c r="Q492" s="33"/>
      <c r="R492" s="9"/>
      <c r="S492" s="9"/>
      <c r="T492" s="9"/>
      <c r="U492" s="9"/>
      <c r="X492" s="15" t="str">
        <f>IF(B492="",VLOOKUP(A492,items_lookup!A:B,2,FALSE),B492)</f>
        <v>14. Item 14</v>
      </c>
      <c r="Y492" s="15">
        <f t="shared" si="48"/>
        <v>8</v>
      </c>
      <c r="Z492" s="15">
        <f t="shared" si="48"/>
        <v>8</v>
      </c>
      <c r="AA492" s="15">
        <f t="shared" si="45"/>
        <v>2020</v>
      </c>
      <c r="AB492" s="15">
        <f t="shared" si="46"/>
        <v>2020</v>
      </c>
      <c r="AC492" s="15">
        <f t="shared" si="47"/>
        <v>2020</v>
      </c>
      <c r="AD492" s="18" t="b">
        <f t="shared" si="44"/>
        <v>1</v>
      </c>
    </row>
    <row r="493" spans="1:30" ht="15" hidden="1" customHeight="1" x14ac:dyDescent="0.2">
      <c r="A493" s="7" t="s">
        <v>690</v>
      </c>
      <c r="C493" s="2" t="s">
        <v>642</v>
      </c>
      <c r="D493" s="6"/>
      <c r="E493" s="32" t="s">
        <v>651</v>
      </c>
      <c r="H493" s="7"/>
      <c r="K493" s="7"/>
      <c r="L493" s="7" t="s">
        <v>662</v>
      </c>
      <c r="M493" s="8">
        <v>44044</v>
      </c>
      <c r="N493" s="8">
        <v>44044</v>
      </c>
      <c r="O493" s="14">
        <v>4714.29</v>
      </c>
      <c r="Q493" s="33"/>
      <c r="X493" s="15" t="str">
        <f>IF(B493="",VLOOKUP(A493,items_lookup!A:B,2,FALSE),B493)</f>
        <v>21. Item 21</v>
      </c>
      <c r="Y493" s="15">
        <f t="shared" si="48"/>
        <v>8</v>
      </c>
      <c r="Z493" s="15">
        <f t="shared" si="48"/>
        <v>8</v>
      </c>
      <c r="AA493" s="15">
        <f t="shared" si="45"/>
        <v>2020</v>
      </c>
      <c r="AB493" s="15">
        <f t="shared" si="46"/>
        <v>2020</v>
      </c>
      <c r="AC493" s="15">
        <f t="shared" si="47"/>
        <v>2020</v>
      </c>
      <c r="AD493" s="18" t="b">
        <f t="shared" si="44"/>
        <v>1</v>
      </c>
    </row>
    <row r="494" spans="1:30" ht="12.75" hidden="1" customHeight="1" x14ac:dyDescent="0.2">
      <c r="A494" s="7" t="s">
        <v>688</v>
      </c>
      <c r="C494" s="2" t="s">
        <v>642</v>
      </c>
      <c r="D494" s="6"/>
      <c r="E494" s="32" t="s">
        <v>651</v>
      </c>
      <c r="H494" s="7"/>
      <c r="K494" s="7"/>
      <c r="L494" s="7" t="s">
        <v>663</v>
      </c>
      <c r="M494" s="8">
        <v>44044</v>
      </c>
      <c r="N494" s="8">
        <v>44044</v>
      </c>
      <c r="P494" s="14">
        <v>34761.9</v>
      </c>
      <c r="Q494" s="33"/>
      <c r="X494" s="15" t="str">
        <f>IF(B494="",VLOOKUP(A494,items_lookup!A:B,2,FALSE),B494)</f>
        <v>09. Item 09</v>
      </c>
      <c r="Y494" s="15">
        <f t="shared" si="48"/>
        <v>8</v>
      </c>
      <c r="Z494" s="15">
        <f t="shared" si="48"/>
        <v>8</v>
      </c>
      <c r="AA494" s="15">
        <f t="shared" si="45"/>
        <v>2020</v>
      </c>
      <c r="AB494" s="15">
        <f t="shared" si="46"/>
        <v>2020</v>
      </c>
      <c r="AC494" s="15">
        <f t="shared" si="47"/>
        <v>2020</v>
      </c>
      <c r="AD494" s="18" t="b">
        <f t="shared" si="44"/>
        <v>1</v>
      </c>
    </row>
    <row r="495" spans="1:30" ht="13.5" hidden="1" customHeight="1" x14ac:dyDescent="0.2">
      <c r="A495" s="7" t="s">
        <v>681</v>
      </c>
      <c r="C495" s="2" t="s">
        <v>642</v>
      </c>
      <c r="D495" s="6"/>
      <c r="E495" s="32" t="s">
        <v>651</v>
      </c>
      <c r="H495" s="7"/>
      <c r="K495" s="7"/>
      <c r="L495" s="7" t="s">
        <v>662</v>
      </c>
      <c r="M495" s="8">
        <v>44044</v>
      </c>
      <c r="N495" s="8">
        <v>44044</v>
      </c>
      <c r="O495" s="14">
        <v>1049071.43</v>
      </c>
      <c r="Q495" s="33"/>
      <c r="X495" s="15" t="str">
        <f>IF(B495="",VLOOKUP(A495,items_lookup!A:B,2,FALSE),B495)</f>
        <v>19. Item 19</v>
      </c>
      <c r="Y495" s="15">
        <f t="shared" si="48"/>
        <v>8</v>
      </c>
      <c r="Z495" s="15">
        <f t="shared" si="48"/>
        <v>8</v>
      </c>
      <c r="AA495" s="15">
        <f t="shared" si="45"/>
        <v>2020</v>
      </c>
      <c r="AB495" s="15">
        <f t="shared" si="46"/>
        <v>2020</v>
      </c>
      <c r="AC495" s="15">
        <f t="shared" si="47"/>
        <v>2020</v>
      </c>
      <c r="AD495" s="18" t="b">
        <f t="shared" si="44"/>
        <v>1</v>
      </c>
    </row>
    <row r="496" spans="1:30" ht="12.75" hidden="1" customHeight="1" x14ac:dyDescent="0.2">
      <c r="A496" s="7" t="s">
        <v>669</v>
      </c>
      <c r="C496" s="2" t="s">
        <v>642</v>
      </c>
      <c r="D496" s="6"/>
      <c r="E496" s="32" t="s">
        <v>651</v>
      </c>
      <c r="H496" s="7"/>
      <c r="K496" s="7"/>
      <c r="L496" s="7" t="s">
        <v>663</v>
      </c>
      <c r="M496" s="8">
        <v>44044</v>
      </c>
      <c r="N496" s="8">
        <v>44044</v>
      </c>
      <c r="P496" s="14">
        <v>707095.24</v>
      </c>
      <c r="Q496" s="33"/>
      <c r="X496" s="15" t="str">
        <f>IF(B496="",VLOOKUP(A496,items_lookup!A:B,2,FALSE),B496)</f>
        <v>02. Item 02</v>
      </c>
      <c r="Y496" s="15">
        <f t="shared" si="48"/>
        <v>8</v>
      </c>
      <c r="Z496" s="15">
        <f t="shared" si="48"/>
        <v>8</v>
      </c>
      <c r="AA496" s="15">
        <f t="shared" si="45"/>
        <v>2020</v>
      </c>
      <c r="AB496" s="15">
        <f t="shared" si="46"/>
        <v>2020</v>
      </c>
      <c r="AC496" s="15">
        <f t="shared" si="47"/>
        <v>2020</v>
      </c>
      <c r="AD496" s="18" t="b">
        <f t="shared" si="44"/>
        <v>1</v>
      </c>
    </row>
    <row r="497" spans="1:30" ht="12.75" hidden="1" customHeight="1" x14ac:dyDescent="0.2">
      <c r="A497" s="7" t="s">
        <v>688</v>
      </c>
      <c r="C497" s="2" t="s">
        <v>642</v>
      </c>
      <c r="D497" s="6"/>
      <c r="E497" s="32" t="s">
        <v>651</v>
      </c>
      <c r="H497" s="7"/>
      <c r="K497" s="7"/>
      <c r="L497" s="7" t="s">
        <v>662</v>
      </c>
      <c r="M497" s="8">
        <v>44044</v>
      </c>
      <c r="N497" s="8">
        <v>44044</v>
      </c>
      <c r="O497" s="14">
        <v>160500</v>
      </c>
      <c r="Q497" s="33"/>
      <c r="R497" s="23"/>
      <c r="S497" s="23"/>
      <c r="T497" s="23"/>
      <c r="U497" s="23"/>
      <c r="X497" s="15" t="str">
        <f>IF(B497="",VLOOKUP(A497,items_lookup!A:B,2,FALSE),B497)</f>
        <v>09. Item 09</v>
      </c>
      <c r="Y497" s="15">
        <f t="shared" si="48"/>
        <v>8</v>
      </c>
      <c r="Z497" s="15">
        <f t="shared" si="48"/>
        <v>8</v>
      </c>
      <c r="AA497" s="15">
        <f t="shared" si="45"/>
        <v>2020</v>
      </c>
      <c r="AB497" s="15">
        <f t="shared" si="46"/>
        <v>2020</v>
      </c>
      <c r="AC497" s="15">
        <f t="shared" si="47"/>
        <v>2020</v>
      </c>
      <c r="AD497" s="18" t="b">
        <f t="shared" si="44"/>
        <v>1</v>
      </c>
    </row>
    <row r="498" spans="1:30" ht="25.5" hidden="1" customHeight="1" x14ac:dyDescent="0.2">
      <c r="A498" s="7" t="s">
        <v>673</v>
      </c>
      <c r="B498" s="7"/>
      <c r="C498" s="2" t="s">
        <v>642</v>
      </c>
      <c r="D498" s="6"/>
      <c r="E498" s="32" t="s">
        <v>651</v>
      </c>
      <c r="F498" s="7"/>
      <c r="G498" s="7"/>
      <c r="H498" s="7"/>
      <c r="I498" s="7"/>
      <c r="J498" s="7"/>
      <c r="K498" s="7"/>
      <c r="L498" s="7" t="s">
        <v>663</v>
      </c>
      <c r="M498" s="8">
        <v>44075</v>
      </c>
      <c r="N498" s="8">
        <v>44075</v>
      </c>
      <c r="O498" s="13"/>
      <c r="P498" s="13">
        <v>250214.29</v>
      </c>
      <c r="Q498" s="33"/>
      <c r="R498" s="9"/>
      <c r="S498" s="9"/>
      <c r="T498" s="9"/>
      <c r="U498" s="9"/>
      <c r="X498" s="15" t="str">
        <f>IF(B498="",VLOOKUP(A498,items_lookup!A:B,2,FALSE),B498)</f>
        <v>07. Item 07</v>
      </c>
      <c r="Y498" s="15">
        <f t="shared" si="48"/>
        <v>9</v>
      </c>
      <c r="Z498" s="15">
        <f t="shared" si="48"/>
        <v>9</v>
      </c>
      <c r="AA498" s="15">
        <f t="shared" si="45"/>
        <v>2020</v>
      </c>
      <c r="AB498" s="15">
        <f t="shared" si="46"/>
        <v>2020</v>
      </c>
      <c r="AC498" s="15">
        <f t="shared" si="47"/>
        <v>2020</v>
      </c>
      <c r="AD498" s="18" t="b">
        <f t="shared" si="44"/>
        <v>1</v>
      </c>
    </row>
    <row r="499" spans="1:30" ht="12.6" hidden="1" customHeight="1" x14ac:dyDescent="0.2">
      <c r="A499" s="7" t="s">
        <v>672</v>
      </c>
      <c r="B499" s="7"/>
      <c r="C499" s="2" t="s">
        <v>642</v>
      </c>
      <c r="D499" s="6"/>
      <c r="E499" s="32" t="s">
        <v>651</v>
      </c>
      <c r="F499" s="7"/>
      <c r="G499" s="7"/>
      <c r="H499" s="7"/>
      <c r="I499" s="7"/>
      <c r="J499" s="7"/>
      <c r="K499" s="7"/>
      <c r="L499" s="7" t="s">
        <v>663</v>
      </c>
      <c r="M499" s="8">
        <v>44075</v>
      </c>
      <c r="N499" s="8">
        <v>44075</v>
      </c>
      <c r="O499" s="13"/>
      <c r="P499" s="13">
        <v>8964666.6699999999</v>
      </c>
      <c r="Q499" s="33"/>
      <c r="R499" s="9"/>
      <c r="S499" s="9"/>
      <c r="T499" s="9"/>
      <c r="U499" s="9"/>
      <c r="X499" s="15" t="str">
        <f>IF(B499="",VLOOKUP(A499,items_lookup!A:B,2,FALSE),B499)</f>
        <v>05. Item 05</v>
      </c>
      <c r="Y499" s="15">
        <f t="shared" si="48"/>
        <v>9</v>
      </c>
      <c r="Z499" s="15">
        <f t="shared" si="48"/>
        <v>9</v>
      </c>
      <c r="AA499" s="15">
        <f t="shared" si="45"/>
        <v>2020</v>
      </c>
      <c r="AB499" s="15">
        <f t="shared" si="46"/>
        <v>2020</v>
      </c>
      <c r="AC499" s="15">
        <f t="shared" si="47"/>
        <v>2020</v>
      </c>
      <c r="AD499" s="18" t="b">
        <f t="shared" si="44"/>
        <v>1</v>
      </c>
    </row>
    <row r="500" spans="1:30" ht="15" hidden="1" customHeight="1" x14ac:dyDescent="0.2">
      <c r="A500" s="7" t="s">
        <v>668</v>
      </c>
      <c r="B500" s="20"/>
      <c r="C500" s="2" t="s">
        <v>642</v>
      </c>
      <c r="D500" s="6"/>
      <c r="E500" s="32" t="s">
        <v>651</v>
      </c>
      <c r="F500" s="7"/>
      <c r="G500" s="7"/>
      <c r="H500" s="7"/>
      <c r="I500" s="7"/>
      <c r="J500" s="7"/>
      <c r="K500" s="7"/>
      <c r="L500" s="7" t="s">
        <v>663</v>
      </c>
      <c r="M500" s="8">
        <v>44075</v>
      </c>
      <c r="N500" s="8">
        <v>44075</v>
      </c>
      <c r="O500" s="13"/>
      <c r="P500" s="13">
        <v>65666.67</v>
      </c>
      <c r="Q500" s="33"/>
      <c r="R500" s="9"/>
      <c r="S500" s="9"/>
      <c r="T500" s="9"/>
      <c r="U500" s="9"/>
      <c r="X500" s="15" t="str">
        <f>IF(B500="",VLOOKUP(A500,items_lookup!A:B,2,FALSE),B500)</f>
        <v>01. Item 01</v>
      </c>
      <c r="Y500" s="15">
        <f t="shared" si="48"/>
        <v>9</v>
      </c>
      <c r="Z500" s="15">
        <f t="shared" si="48"/>
        <v>9</v>
      </c>
      <c r="AA500" s="15">
        <f t="shared" si="45"/>
        <v>2020</v>
      </c>
      <c r="AB500" s="15">
        <f t="shared" si="46"/>
        <v>2020</v>
      </c>
      <c r="AC500" s="15">
        <f t="shared" si="47"/>
        <v>2020</v>
      </c>
      <c r="AD500" s="18" t="b">
        <f t="shared" si="44"/>
        <v>1</v>
      </c>
    </row>
    <row r="501" spans="1:30" ht="15" hidden="1" customHeight="1" x14ac:dyDescent="0.2">
      <c r="A501" s="7" t="s">
        <v>669</v>
      </c>
      <c r="B501" s="20"/>
      <c r="C501" s="2" t="s">
        <v>642</v>
      </c>
      <c r="D501" s="6"/>
      <c r="E501" s="32" t="s">
        <v>651</v>
      </c>
      <c r="F501" s="7"/>
      <c r="G501" s="7"/>
      <c r="H501" s="7"/>
      <c r="I501" s="7"/>
      <c r="J501" s="7"/>
      <c r="K501" s="7"/>
      <c r="L501" s="7" t="s">
        <v>663</v>
      </c>
      <c r="M501" s="8">
        <v>44075</v>
      </c>
      <c r="N501" s="8">
        <v>44075</v>
      </c>
      <c r="O501" s="13"/>
      <c r="P501" s="13">
        <v>10541904.76</v>
      </c>
      <c r="Q501" s="33"/>
      <c r="R501" s="9"/>
      <c r="S501" s="9"/>
      <c r="T501" s="9"/>
      <c r="U501" s="9"/>
      <c r="X501" s="15" t="str">
        <f>IF(B501="",VLOOKUP(A501,items_lookup!A:B,2,FALSE),B501)</f>
        <v>02. Item 02</v>
      </c>
      <c r="Y501" s="15">
        <f t="shared" si="48"/>
        <v>9</v>
      </c>
      <c r="Z501" s="15">
        <f t="shared" si="48"/>
        <v>9</v>
      </c>
      <c r="AA501" s="15">
        <f t="shared" si="45"/>
        <v>2020</v>
      </c>
      <c r="AB501" s="15">
        <f t="shared" si="46"/>
        <v>2020</v>
      </c>
      <c r="AC501" s="15">
        <f t="shared" si="47"/>
        <v>2020</v>
      </c>
      <c r="AD501" s="18" t="b">
        <f t="shared" si="44"/>
        <v>1</v>
      </c>
    </row>
    <row r="502" spans="1:30" ht="12.6" hidden="1" customHeight="1" x14ac:dyDescent="0.2">
      <c r="A502" s="7" t="s">
        <v>670</v>
      </c>
      <c r="B502" s="7" t="s">
        <v>709</v>
      </c>
      <c r="C502" s="2" t="s">
        <v>642</v>
      </c>
      <c r="D502" s="6"/>
      <c r="E502" s="32" t="s">
        <v>651</v>
      </c>
      <c r="F502" s="7"/>
      <c r="G502" s="7"/>
      <c r="H502" s="7"/>
      <c r="I502" s="7"/>
      <c r="J502" s="7"/>
      <c r="K502" s="7"/>
      <c r="L502" s="7" t="s">
        <v>663</v>
      </c>
      <c r="M502" s="8">
        <v>44075</v>
      </c>
      <c r="N502" s="8">
        <v>44075</v>
      </c>
      <c r="O502" s="13"/>
      <c r="P502" s="13">
        <v>6588166.6699999999</v>
      </c>
      <c r="Q502" s="33"/>
      <c r="R502" s="22"/>
      <c r="S502" s="22"/>
      <c r="T502" s="22"/>
      <c r="U502" s="22"/>
      <c r="X502" s="15" t="str">
        <f>IF(B502="",VLOOKUP(A502,items_lookup!A:B,2,FALSE),B502)</f>
        <v>04. Item 04</v>
      </c>
      <c r="Y502" s="15">
        <f t="shared" si="48"/>
        <v>9</v>
      </c>
      <c r="Z502" s="15">
        <f t="shared" si="48"/>
        <v>9</v>
      </c>
      <c r="AA502" s="15">
        <f t="shared" si="45"/>
        <v>2020</v>
      </c>
      <c r="AB502" s="15">
        <f t="shared" si="46"/>
        <v>2020</v>
      </c>
      <c r="AC502" s="15">
        <f t="shared" si="47"/>
        <v>2020</v>
      </c>
      <c r="AD502" s="18" t="b">
        <f t="shared" si="44"/>
        <v>1</v>
      </c>
    </row>
    <row r="503" spans="1:30" ht="12.6" hidden="1" customHeight="1" x14ac:dyDescent="0.2">
      <c r="A503" s="7" t="s">
        <v>671</v>
      </c>
      <c r="B503" s="7"/>
      <c r="C503" s="2" t="s">
        <v>642</v>
      </c>
      <c r="D503" s="6"/>
      <c r="E503" s="32" t="s">
        <v>651</v>
      </c>
      <c r="F503" s="7"/>
      <c r="G503" s="7"/>
      <c r="H503" s="7"/>
      <c r="I503" s="7"/>
      <c r="J503" s="7"/>
      <c r="K503" s="7"/>
      <c r="L503" s="7" t="s">
        <v>663</v>
      </c>
      <c r="M503" s="8">
        <v>44075</v>
      </c>
      <c r="N503" s="8">
        <v>44075</v>
      </c>
      <c r="O503" s="13"/>
      <c r="P503" s="13">
        <v>5256714.29</v>
      </c>
      <c r="Q503" s="33"/>
      <c r="R503" s="9"/>
      <c r="S503" s="9"/>
      <c r="T503" s="9"/>
      <c r="U503" s="9"/>
      <c r="X503" s="15" t="str">
        <f>IF(B503="",VLOOKUP(A503,items_lookup!A:B,2,FALSE),B503)</f>
        <v>05. Item 05</v>
      </c>
      <c r="Y503" s="15">
        <f t="shared" si="48"/>
        <v>9</v>
      </c>
      <c r="Z503" s="15">
        <f t="shared" si="48"/>
        <v>9</v>
      </c>
      <c r="AA503" s="15">
        <f t="shared" si="45"/>
        <v>2020</v>
      </c>
      <c r="AB503" s="15">
        <f t="shared" si="46"/>
        <v>2020</v>
      </c>
      <c r="AC503" s="15">
        <f t="shared" si="47"/>
        <v>2020</v>
      </c>
      <c r="AD503" s="18" t="b">
        <f t="shared" si="44"/>
        <v>1</v>
      </c>
    </row>
    <row r="504" spans="1:30" ht="12.6" hidden="1" customHeight="1" x14ac:dyDescent="0.2">
      <c r="A504" s="7" t="s">
        <v>674</v>
      </c>
      <c r="B504" s="7"/>
      <c r="C504" s="2" t="s">
        <v>642</v>
      </c>
      <c r="D504" s="6"/>
      <c r="E504" s="32" t="s">
        <v>651</v>
      </c>
      <c r="F504" s="7"/>
      <c r="G504" s="7"/>
      <c r="H504" s="7"/>
      <c r="I504" s="7"/>
      <c r="J504" s="7"/>
      <c r="K504" s="7"/>
      <c r="L504" s="7" t="s">
        <v>663</v>
      </c>
      <c r="M504" s="8">
        <v>44075</v>
      </c>
      <c r="N504" s="8">
        <v>44075</v>
      </c>
      <c r="O504" s="13"/>
      <c r="P504" s="13">
        <v>1497428.57</v>
      </c>
      <c r="Q504" s="33"/>
      <c r="R504" s="9"/>
      <c r="S504" s="9"/>
      <c r="T504" s="9"/>
      <c r="U504" s="9"/>
      <c r="X504" s="15" t="str">
        <f>IF(B504="",VLOOKUP(A504,items_lookup!A:B,2,FALSE),B504)</f>
        <v>08. Item 08</v>
      </c>
      <c r="Y504" s="15">
        <f t="shared" si="48"/>
        <v>9</v>
      </c>
      <c r="Z504" s="15">
        <f t="shared" si="48"/>
        <v>9</v>
      </c>
      <c r="AA504" s="15">
        <f t="shared" si="45"/>
        <v>2020</v>
      </c>
      <c r="AB504" s="15">
        <f t="shared" si="46"/>
        <v>2020</v>
      </c>
      <c r="AC504" s="15">
        <f t="shared" si="47"/>
        <v>2020</v>
      </c>
      <c r="AD504" s="18" t="b">
        <f t="shared" si="44"/>
        <v>1</v>
      </c>
    </row>
    <row r="505" spans="1:30" ht="12.6" hidden="1" customHeight="1" x14ac:dyDescent="0.2">
      <c r="A505" s="7" t="s">
        <v>677</v>
      </c>
      <c r="B505" s="7"/>
      <c r="C505" s="2" t="s">
        <v>642</v>
      </c>
      <c r="D505" s="6"/>
      <c r="E505" s="32" t="s">
        <v>651</v>
      </c>
      <c r="F505" s="7"/>
      <c r="G505" s="7"/>
      <c r="H505" s="7"/>
      <c r="I505" s="7"/>
      <c r="J505" s="7"/>
      <c r="K505" s="7"/>
      <c r="L505" s="7" t="s">
        <v>663</v>
      </c>
      <c r="M505" s="8">
        <v>44075</v>
      </c>
      <c r="N505" s="8">
        <v>44075</v>
      </c>
      <c r="O505" s="13"/>
      <c r="P505" s="13">
        <v>99928.57</v>
      </c>
      <c r="Q505" s="33"/>
      <c r="R505" s="9"/>
      <c r="S505" s="9"/>
      <c r="T505" s="9"/>
      <c r="U505" s="9"/>
      <c r="X505" s="15" t="str">
        <f>IF(B505="",VLOOKUP(A505,items_lookup!A:B,2,FALSE),B505)</f>
        <v>11. Item 11</v>
      </c>
      <c r="Y505" s="15">
        <f t="shared" si="48"/>
        <v>9</v>
      </c>
      <c r="Z505" s="15">
        <f t="shared" si="48"/>
        <v>9</v>
      </c>
      <c r="AA505" s="15">
        <f t="shared" ref="AA505:AA553" si="49">YEAR(N505)</f>
        <v>2020</v>
      </c>
      <c r="AB505" s="15">
        <f t="shared" ref="AB505:AB553" si="50">YEAR(M505)</f>
        <v>2020</v>
      </c>
      <c r="AC505" s="15">
        <f t="shared" ref="AC505:AC553" si="51">IF(F505="X",AA505-1,AA505)</f>
        <v>2020</v>
      </c>
      <c r="AD505" s="18" t="b">
        <f t="shared" si="44"/>
        <v>1</v>
      </c>
    </row>
    <row r="506" spans="1:30" ht="12.6" hidden="1" customHeight="1" x14ac:dyDescent="0.2">
      <c r="A506" s="7" t="s">
        <v>676</v>
      </c>
      <c r="B506" s="7" t="s">
        <v>711</v>
      </c>
      <c r="C506" s="2" t="s">
        <v>642</v>
      </c>
      <c r="D506" s="6"/>
      <c r="E506" s="32" t="s">
        <v>651</v>
      </c>
      <c r="F506" s="7"/>
      <c r="G506" s="7"/>
      <c r="H506" s="7"/>
      <c r="I506" s="7"/>
      <c r="J506" s="7"/>
      <c r="K506" s="7"/>
      <c r="L506" s="7" t="s">
        <v>663</v>
      </c>
      <c r="M506" s="8">
        <v>44075</v>
      </c>
      <c r="N506" s="8">
        <v>44075</v>
      </c>
      <c r="O506" s="13"/>
      <c r="P506" s="13">
        <v>358571.43</v>
      </c>
      <c r="Q506" s="33"/>
      <c r="R506" s="9"/>
      <c r="S506" s="9"/>
      <c r="T506" s="9"/>
      <c r="U506" s="9"/>
      <c r="X506" s="15" t="str">
        <f>IF(B506="",VLOOKUP(A506,items_lookup!A:B,2,FALSE),B506)</f>
        <v>12. Item 12</v>
      </c>
      <c r="Y506" s="15">
        <f t="shared" si="48"/>
        <v>9</v>
      </c>
      <c r="Z506" s="15">
        <f t="shared" si="48"/>
        <v>9</v>
      </c>
      <c r="AA506" s="15">
        <f t="shared" si="49"/>
        <v>2020</v>
      </c>
      <c r="AB506" s="15">
        <f t="shared" si="50"/>
        <v>2020</v>
      </c>
      <c r="AC506" s="15">
        <f t="shared" si="51"/>
        <v>2020</v>
      </c>
      <c r="AD506" s="18" t="b">
        <f t="shared" si="44"/>
        <v>1</v>
      </c>
    </row>
    <row r="507" spans="1:30" ht="12.6" hidden="1" customHeight="1" x14ac:dyDescent="0.2">
      <c r="A507" s="7" t="s">
        <v>675</v>
      </c>
      <c r="C507" s="2" t="s">
        <v>642</v>
      </c>
      <c r="D507" s="6"/>
      <c r="E507" s="32" t="s">
        <v>651</v>
      </c>
      <c r="H507" s="7"/>
      <c r="K507" s="7"/>
      <c r="L507" s="7" t="s">
        <v>662</v>
      </c>
      <c r="M507" s="8">
        <v>44075</v>
      </c>
      <c r="N507" s="8">
        <v>44075</v>
      </c>
      <c r="O507" s="14">
        <v>4714.29</v>
      </c>
      <c r="Q507" s="33"/>
      <c r="X507" s="15" t="str">
        <f>IF(B507="",VLOOKUP(A507,items_lookup!A:B,2,FALSE),B507)</f>
        <v>09. Item 09</v>
      </c>
      <c r="Y507" s="15">
        <f t="shared" si="48"/>
        <v>9</v>
      </c>
      <c r="Z507" s="15">
        <f t="shared" si="48"/>
        <v>9</v>
      </c>
      <c r="AA507" s="15">
        <f t="shared" si="49"/>
        <v>2020</v>
      </c>
      <c r="AB507" s="15">
        <f t="shared" si="50"/>
        <v>2020</v>
      </c>
      <c r="AC507" s="15">
        <f t="shared" si="51"/>
        <v>2020</v>
      </c>
      <c r="AD507" s="18" t="b">
        <f t="shared" si="44"/>
        <v>1</v>
      </c>
    </row>
    <row r="508" spans="1:30" ht="12.75" hidden="1" customHeight="1" x14ac:dyDescent="0.2">
      <c r="A508" s="7" t="s">
        <v>682</v>
      </c>
      <c r="C508" s="2" t="s">
        <v>642</v>
      </c>
      <c r="D508" s="6"/>
      <c r="E508" s="32" t="s">
        <v>651</v>
      </c>
      <c r="H508" s="7"/>
      <c r="K508" s="7"/>
      <c r="L508" s="7" t="s">
        <v>663</v>
      </c>
      <c r="M508" s="8">
        <v>44075</v>
      </c>
      <c r="N508" s="8">
        <v>44075</v>
      </c>
      <c r="P508" s="14">
        <v>32142.86</v>
      </c>
      <c r="Q508" s="33"/>
      <c r="X508" s="15" t="str">
        <f>IF(B508="",VLOOKUP(A508,items_lookup!A:B,2,FALSE),B508)</f>
        <v>06. Item 06</v>
      </c>
      <c r="Y508" s="15">
        <f t="shared" si="48"/>
        <v>9</v>
      </c>
      <c r="Z508" s="15">
        <f t="shared" si="48"/>
        <v>9</v>
      </c>
      <c r="AA508" s="15">
        <f t="shared" si="49"/>
        <v>2020</v>
      </c>
      <c r="AB508" s="15">
        <f t="shared" si="50"/>
        <v>2020</v>
      </c>
      <c r="AC508" s="15">
        <f t="shared" si="51"/>
        <v>2020</v>
      </c>
      <c r="AD508" s="18" t="b">
        <f t="shared" si="44"/>
        <v>1</v>
      </c>
    </row>
    <row r="509" spans="1:30" ht="13.5" hidden="1" customHeight="1" x14ac:dyDescent="0.2">
      <c r="A509" s="7" t="s">
        <v>679</v>
      </c>
      <c r="C509" s="2" t="s">
        <v>642</v>
      </c>
      <c r="D509" s="6"/>
      <c r="E509" s="32" t="s">
        <v>651</v>
      </c>
      <c r="H509" s="7"/>
      <c r="K509" s="7"/>
      <c r="L509" s="7" t="s">
        <v>662</v>
      </c>
      <c r="M509" s="8">
        <v>44075</v>
      </c>
      <c r="N509" s="8">
        <v>44075</v>
      </c>
      <c r="O509" s="14">
        <v>1049071.43</v>
      </c>
      <c r="Q509" s="33"/>
      <c r="X509" s="15" t="str">
        <f>IF(B509="",VLOOKUP(A509,items_lookup!A:B,2,FALSE),B509)</f>
        <v>13. Item 13</v>
      </c>
      <c r="Y509" s="15">
        <f t="shared" si="48"/>
        <v>9</v>
      </c>
      <c r="Z509" s="15">
        <f t="shared" si="48"/>
        <v>9</v>
      </c>
      <c r="AA509" s="15">
        <f t="shared" si="49"/>
        <v>2020</v>
      </c>
      <c r="AB509" s="15">
        <f t="shared" si="50"/>
        <v>2020</v>
      </c>
      <c r="AC509" s="15">
        <f t="shared" si="51"/>
        <v>2020</v>
      </c>
      <c r="AD509" s="18" t="b">
        <f t="shared" si="44"/>
        <v>1</v>
      </c>
    </row>
    <row r="510" spans="1:30" ht="12.75" hidden="1" customHeight="1" x14ac:dyDescent="0.2">
      <c r="A510" s="7" t="s">
        <v>679</v>
      </c>
      <c r="C510" s="2" t="s">
        <v>642</v>
      </c>
      <c r="D510" s="6"/>
      <c r="E510" s="32" t="s">
        <v>651</v>
      </c>
      <c r="H510" s="7"/>
      <c r="K510" s="7"/>
      <c r="L510" s="7" t="s">
        <v>663</v>
      </c>
      <c r="M510" s="8">
        <v>44075</v>
      </c>
      <c r="N510" s="8">
        <v>44075</v>
      </c>
      <c r="P510" s="14">
        <v>1429666.67</v>
      </c>
      <c r="Q510" s="33"/>
      <c r="X510" s="15" t="str">
        <f>IF(B510="",VLOOKUP(A510,items_lookup!A:B,2,FALSE),B510)</f>
        <v>13. Item 13</v>
      </c>
      <c r="Y510" s="15">
        <f t="shared" si="48"/>
        <v>9</v>
      </c>
      <c r="Z510" s="15">
        <f t="shared" si="48"/>
        <v>9</v>
      </c>
      <c r="AA510" s="15">
        <f t="shared" si="49"/>
        <v>2020</v>
      </c>
      <c r="AB510" s="15">
        <f t="shared" si="50"/>
        <v>2020</v>
      </c>
      <c r="AC510" s="15">
        <f t="shared" si="51"/>
        <v>2020</v>
      </c>
      <c r="AD510" s="18" t="b">
        <f t="shared" si="44"/>
        <v>1</v>
      </c>
    </row>
    <row r="511" spans="1:30" ht="12.75" hidden="1" customHeight="1" x14ac:dyDescent="0.2">
      <c r="A511" s="7" t="s">
        <v>680</v>
      </c>
      <c r="C511" s="2" t="s">
        <v>642</v>
      </c>
      <c r="D511" s="6"/>
      <c r="E511" s="32" t="s">
        <v>651</v>
      </c>
      <c r="H511" s="7"/>
      <c r="K511" s="7"/>
      <c r="L511" s="7" t="s">
        <v>662</v>
      </c>
      <c r="M511" s="8">
        <v>44075</v>
      </c>
      <c r="N511" s="8">
        <v>44075</v>
      </c>
      <c r="O511" s="14">
        <v>2009714.29</v>
      </c>
      <c r="Q511" s="33"/>
      <c r="R511" s="23"/>
      <c r="S511" s="23"/>
      <c r="T511" s="23"/>
      <c r="U511" s="23"/>
      <c r="X511" s="15" t="str">
        <f>IF(B511="",VLOOKUP(A511,items_lookup!A:B,2,FALSE),B511)</f>
        <v>13. Item 13</v>
      </c>
      <c r="Y511" s="15">
        <f t="shared" si="48"/>
        <v>9</v>
      </c>
      <c r="Z511" s="15">
        <f t="shared" si="48"/>
        <v>9</v>
      </c>
      <c r="AA511" s="15">
        <f t="shared" si="49"/>
        <v>2020</v>
      </c>
      <c r="AB511" s="15">
        <f t="shared" si="50"/>
        <v>2020</v>
      </c>
      <c r="AC511" s="15">
        <f t="shared" si="51"/>
        <v>2020</v>
      </c>
      <c r="AD511" s="18" t="b">
        <f t="shared" si="44"/>
        <v>1</v>
      </c>
    </row>
    <row r="512" spans="1:30" ht="25.5" hidden="1" customHeight="1" x14ac:dyDescent="0.2">
      <c r="A512" s="7" t="s">
        <v>680</v>
      </c>
      <c r="C512" s="2" t="s">
        <v>642</v>
      </c>
      <c r="D512" s="6"/>
      <c r="E512" s="32" t="s">
        <v>651</v>
      </c>
      <c r="H512" s="7"/>
      <c r="K512" s="7"/>
      <c r="L512" s="7" t="s">
        <v>663</v>
      </c>
      <c r="M512" s="8">
        <v>44075</v>
      </c>
      <c r="N512" s="8">
        <v>44075</v>
      </c>
      <c r="P512" s="14">
        <v>1458642.86</v>
      </c>
      <c r="Q512" s="33"/>
      <c r="R512" s="23"/>
      <c r="S512" s="23"/>
      <c r="T512" s="23"/>
      <c r="U512" s="23"/>
      <c r="X512" s="15" t="str">
        <f>IF(B512="",VLOOKUP(A512,items_lookup!A:B,2,FALSE),B512)</f>
        <v>13. Item 13</v>
      </c>
      <c r="Y512" s="15">
        <f t="shared" si="48"/>
        <v>9</v>
      </c>
      <c r="Z512" s="15">
        <f t="shared" si="48"/>
        <v>9</v>
      </c>
      <c r="AA512" s="15">
        <f t="shared" si="49"/>
        <v>2020</v>
      </c>
      <c r="AB512" s="15">
        <f t="shared" si="50"/>
        <v>2020</v>
      </c>
      <c r="AC512" s="15">
        <f t="shared" si="51"/>
        <v>2020</v>
      </c>
      <c r="AD512" s="18" t="b">
        <f t="shared" si="44"/>
        <v>1</v>
      </c>
    </row>
    <row r="513" spans="1:30" ht="25.5" hidden="1" customHeight="1" x14ac:dyDescent="0.2">
      <c r="A513" s="7" t="s">
        <v>678</v>
      </c>
      <c r="B513" s="20"/>
      <c r="C513" s="2" t="s">
        <v>642</v>
      </c>
      <c r="D513" s="6"/>
      <c r="E513" s="32" t="s">
        <v>651</v>
      </c>
      <c r="F513" s="7"/>
      <c r="G513" s="7"/>
      <c r="H513" s="7"/>
      <c r="I513" s="7"/>
      <c r="J513" s="7"/>
      <c r="K513" s="7"/>
      <c r="L513" s="7" t="s">
        <v>663</v>
      </c>
      <c r="M513" s="8">
        <v>44075</v>
      </c>
      <c r="N513" s="8">
        <v>44075</v>
      </c>
      <c r="O513" s="13"/>
      <c r="P513" s="13">
        <v>3300142.86</v>
      </c>
      <c r="Q513" s="33"/>
      <c r="R513" s="9"/>
      <c r="S513" s="9"/>
      <c r="T513" s="9"/>
      <c r="U513" s="9"/>
      <c r="X513" s="15" t="str">
        <f>IF(B513="",VLOOKUP(A513,items_lookup!A:B,2,FALSE),B513)</f>
        <v>13. Item 13</v>
      </c>
      <c r="Y513" s="15">
        <f t="shared" si="48"/>
        <v>9</v>
      </c>
      <c r="Z513" s="15">
        <f t="shared" si="48"/>
        <v>9</v>
      </c>
      <c r="AA513" s="15">
        <f t="shared" si="49"/>
        <v>2020</v>
      </c>
      <c r="AB513" s="15">
        <f t="shared" si="50"/>
        <v>2020</v>
      </c>
      <c r="AC513" s="15">
        <f t="shared" si="51"/>
        <v>2020</v>
      </c>
      <c r="AD513" s="18" t="b">
        <f t="shared" si="44"/>
        <v>1</v>
      </c>
    </row>
    <row r="514" spans="1:30" ht="15" hidden="1" customHeight="1" x14ac:dyDescent="0.2">
      <c r="A514" s="7" t="s">
        <v>678</v>
      </c>
      <c r="B514" s="7" t="s">
        <v>711</v>
      </c>
      <c r="C514" s="2" t="s">
        <v>642</v>
      </c>
      <c r="D514" s="6"/>
      <c r="E514" s="32" t="s">
        <v>651</v>
      </c>
      <c r="F514" s="7"/>
      <c r="G514" s="7"/>
      <c r="H514" s="7"/>
      <c r="I514" s="7"/>
      <c r="J514" s="7"/>
      <c r="K514" s="7"/>
      <c r="L514" s="7" t="s">
        <v>662</v>
      </c>
      <c r="M514" s="8">
        <v>43800</v>
      </c>
      <c r="N514" s="8">
        <v>43800</v>
      </c>
      <c r="O514" s="13">
        <v>357285.71</v>
      </c>
      <c r="P514" s="13"/>
      <c r="Q514" s="33"/>
      <c r="R514" s="9"/>
      <c r="S514" s="9"/>
      <c r="T514" s="9"/>
      <c r="U514" s="9"/>
      <c r="X514" s="15" t="str">
        <f>IF(B514="",VLOOKUP(A514,items_lookup!A:B,2,FALSE),B514)</f>
        <v>12. Item 12</v>
      </c>
      <c r="Y514" s="15">
        <f t="shared" si="48"/>
        <v>12</v>
      </c>
      <c r="Z514" s="15">
        <f t="shared" si="48"/>
        <v>12</v>
      </c>
      <c r="AA514" s="15">
        <f t="shared" si="49"/>
        <v>2019</v>
      </c>
      <c r="AB514" s="15">
        <f t="shared" si="50"/>
        <v>2019</v>
      </c>
      <c r="AC514" s="15">
        <f t="shared" si="51"/>
        <v>2019</v>
      </c>
      <c r="AD514" s="18" t="b">
        <f t="shared" si="44"/>
        <v>1</v>
      </c>
    </row>
    <row r="515" spans="1:30" ht="12.6" hidden="1" customHeight="1" x14ac:dyDescent="0.2">
      <c r="A515" s="7"/>
      <c r="B515" s="7" t="s">
        <v>711</v>
      </c>
      <c r="C515" s="2" t="s">
        <v>642</v>
      </c>
      <c r="D515" s="6"/>
      <c r="E515" s="32" t="s">
        <v>651</v>
      </c>
      <c r="F515" s="7"/>
      <c r="G515" s="7"/>
      <c r="H515" s="7"/>
      <c r="I515" s="7"/>
      <c r="J515" s="7"/>
      <c r="K515" s="7"/>
      <c r="L515" s="7" t="s">
        <v>663</v>
      </c>
      <c r="M515" s="8">
        <v>43800</v>
      </c>
      <c r="N515" s="8">
        <v>43800</v>
      </c>
      <c r="O515" s="13"/>
      <c r="P515" s="13">
        <v>398547.62</v>
      </c>
      <c r="Q515" s="33"/>
      <c r="R515" s="9"/>
      <c r="S515" s="9"/>
      <c r="T515" s="9"/>
      <c r="U515" s="9"/>
      <c r="X515" s="15" t="str">
        <f>IF(B515="",VLOOKUP(A515,items_lookup!A:B,2,FALSE),B515)</f>
        <v>12. Item 12</v>
      </c>
      <c r="Y515" s="15">
        <f t="shared" si="48"/>
        <v>12</v>
      </c>
      <c r="Z515" s="15">
        <f t="shared" si="48"/>
        <v>12</v>
      </c>
      <c r="AA515" s="15">
        <f t="shared" si="49"/>
        <v>2019</v>
      </c>
      <c r="AB515" s="15">
        <f t="shared" si="50"/>
        <v>2019</v>
      </c>
      <c r="AC515" s="15">
        <f t="shared" si="51"/>
        <v>2019</v>
      </c>
      <c r="AD515" s="18" t="b">
        <f t="shared" ref="AD515:AD578" si="52">AND(ROUND(O515,2)=O515,ROUND(P515,2)=P515,OR(AND(O515&lt;&gt;0,L515="p"),AND(P515&lt;&gt;0,L515="f")),_xlfn.ISFORMULA(X515),_xlfn.ISFORMULA(Y515),_xlfn.ISFORMULA(Z515),_xlfn.ISFORMULA(AA515),_xlfn.ISFORMULA(AB515),_xlfn.ISFORMULA(AC515),NOT(_xlfn.ISFORMULA(O515)),NOT(_xlfn.ISFORMULA(P515)),M515&lt;&gt;0,N515&lt;&gt;0)</f>
        <v>1</v>
      </c>
    </row>
    <row r="516" spans="1:30" ht="12.6" hidden="1" customHeight="1" x14ac:dyDescent="0.2">
      <c r="A516" s="7" t="s">
        <v>673</v>
      </c>
      <c r="B516" s="7"/>
      <c r="C516" s="2" t="s">
        <v>641</v>
      </c>
      <c r="D516" s="6" t="s">
        <v>649</v>
      </c>
      <c r="E516" s="32" t="s">
        <v>651</v>
      </c>
      <c r="F516" s="7"/>
      <c r="G516" s="7"/>
      <c r="H516" s="7"/>
      <c r="I516" s="7"/>
      <c r="J516" s="7"/>
      <c r="K516" s="7"/>
      <c r="L516" s="7" t="s">
        <v>662</v>
      </c>
      <c r="M516" s="8">
        <v>44166</v>
      </c>
      <c r="N516" s="8">
        <v>44166</v>
      </c>
      <c r="O516" s="13">
        <v>23.81</v>
      </c>
      <c r="P516" s="13"/>
      <c r="Q516" s="33"/>
      <c r="R516" s="22"/>
      <c r="S516" s="22"/>
      <c r="T516" s="22"/>
      <c r="U516" s="22"/>
      <c r="X516" s="15" t="str">
        <f>IF(B516="",VLOOKUP(A516,items_lookup!A:B,2,FALSE),B516)</f>
        <v>07. Item 07</v>
      </c>
      <c r="Y516" s="15">
        <f t="shared" si="48"/>
        <v>12</v>
      </c>
      <c r="Z516" s="15">
        <f t="shared" si="48"/>
        <v>12</v>
      </c>
      <c r="AA516" s="15">
        <f t="shared" si="49"/>
        <v>2020</v>
      </c>
      <c r="AB516" s="15">
        <f t="shared" si="50"/>
        <v>2020</v>
      </c>
      <c r="AC516" s="15">
        <f t="shared" si="51"/>
        <v>2020</v>
      </c>
      <c r="AD516" s="18" t="b">
        <f t="shared" si="52"/>
        <v>1</v>
      </c>
    </row>
    <row r="517" spans="1:30" ht="15" hidden="1" customHeight="1" x14ac:dyDescent="0.2">
      <c r="A517" s="7" t="s">
        <v>668</v>
      </c>
      <c r="B517" s="7"/>
      <c r="C517" s="2" t="s">
        <v>641</v>
      </c>
      <c r="D517" s="6" t="s">
        <v>650</v>
      </c>
      <c r="E517" s="32" t="s">
        <v>651</v>
      </c>
      <c r="F517" s="7"/>
      <c r="G517" s="7"/>
      <c r="H517" s="7"/>
      <c r="I517" s="7"/>
      <c r="J517" s="7"/>
      <c r="K517" s="7"/>
      <c r="L517" s="7" t="s">
        <v>662</v>
      </c>
      <c r="M517" s="8">
        <v>44197</v>
      </c>
      <c r="N517" s="8">
        <v>44197</v>
      </c>
      <c r="O517" s="13">
        <v>33052.39</v>
      </c>
      <c r="P517" s="13"/>
      <c r="Q517" s="33"/>
      <c r="R517" s="9"/>
      <c r="S517" s="9"/>
      <c r="T517" s="9"/>
      <c r="U517" s="9"/>
      <c r="X517" s="15" t="str">
        <f>IF(B517="",VLOOKUP(A517,items_lookup!A:B,2,FALSE),B517)</f>
        <v>01. Item 01</v>
      </c>
      <c r="Y517" s="15">
        <f t="shared" ref="Y517:Z567" si="53">MONTH(M517)</f>
        <v>1</v>
      </c>
      <c r="Z517" s="15">
        <f t="shared" si="53"/>
        <v>1</v>
      </c>
      <c r="AA517" s="15">
        <f t="shared" si="49"/>
        <v>2021</v>
      </c>
      <c r="AB517" s="15">
        <f t="shared" si="50"/>
        <v>2021</v>
      </c>
      <c r="AC517" s="15">
        <f t="shared" si="51"/>
        <v>2021</v>
      </c>
      <c r="AD517" s="18" t="b">
        <f t="shared" si="52"/>
        <v>1</v>
      </c>
    </row>
    <row r="518" spans="1:30" ht="15" hidden="1" customHeight="1" x14ac:dyDescent="0.2">
      <c r="A518" s="7" t="s">
        <v>669</v>
      </c>
      <c r="B518" s="7"/>
      <c r="C518" s="2" t="s">
        <v>641</v>
      </c>
      <c r="D518" s="6" t="s">
        <v>649</v>
      </c>
      <c r="E518" s="32" t="s">
        <v>651</v>
      </c>
      <c r="F518" s="7"/>
      <c r="G518" s="7"/>
      <c r="H518" s="7"/>
      <c r="I518" s="7"/>
      <c r="J518" s="7"/>
      <c r="K518" s="7"/>
      <c r="L518" s="7" t="s">
        <v>662</v>
      </c>
      <c r="M518" s="8">
        <v>44197</v>
      </c>
      <c r="N518" s="8">
        <v>44197</v>
      </c>
      <c r="O518" s="13">
        <v>1785714.29</v>
      </c>
      <c r="P518" s="13"/>
      <c r="Q518" s="33"/>
      <c r="R518" s="9"/>
      <c r="S518" s="9"/>
      <c r="T518" s="9"/>
      <c r="U518" s="9"/>
      <c r="X518" s="15" t="str">
        <f>IF(B518="",VLOOKUP(A518,items_lookup!A:B,2,FALSE),B518)</f>
        <v>02. Item 02</v>
      </c>
      <c r="Y518" s="15">
        <f t="shared" si="53"/>
        <v>1</v>
      </c>
      <c r="Z518" s="15">
        <f t="shared" si="53"/>
        <v>1</v>
      </c>
      <c r="AA518" s="15">
        <f t="shared" si="49"/>
        <v>2021</v>
      </c>
      <c r="AB518" s="15">
        <f t="shared" si="50"/>
        <v>2021</v>
      </c>
      <c r="AC518" s="15">
        <f t="shared" si="51"/>
        <v>2021</v>
      </c>
      <c r="AD518" s="18" t="b">
        <f t="shared" si="52"/>
        <v>1</v>
      </c>
    </row>
    <row r="519" spans="1:30" ht="15" hidden="1" customHeight="1" x14ac:dyDescent="0.2">
      <c r="A519" s="7"/>
      <c r="B519" s="7" t="s">
        <v>708</v>
      </c>
      <c r="C519" s="2" t="s">
        <v>641</v>
      </c>
      <c r="D519" s="6" t="s">
        <v>649</v>
      </c>
      <c r="E519" s="32" t="s">
        <v>651</v>
      </c>
      <c r="F519" s="7"/>
      <c r="G519" s="7"/>
      <c r="H519" s="7"/>
      <c r="I519" s="7"/>
      <c r="J519" s="7"/>
      <c r="K519" s="7"/>
      <c r="L519" s="7" t="s">
        <v>662</v>
      </c>
      <c r="M519" s="8">
        <v>44197</v>
      </c>
      <c r="N519" s="8">
        <v>44197</v>
      </c>
      <c r="O519" s="13">
        <v>1408474.79</v>
      </c>
      <c r="P519" s="13"/>
      <c r="Q519" s="33"/>
      <c r="R519" s="9"/>
      <c r="S519" s="9"/>
      <c r="T519" s="9"/>
      <c r="U519" s="9"/>
      <c r="X519" s="15" t="str">
        <f>IF(B519="",VLOOKUP(A519,items_lookup!A:B,2,FALSE),B519)</f>
        <v>03. Item 03</v>
      </c>
      <c r="Y519" s="15">
        <f t="shared" si="53"/>
        <v>1</v>
      </c>
      <c r="Z519" s="15">
        <f t="shared" si="53"/>
        <v>1</v>
      </c>
      <c r="AA519" s="15">
        <f t="shared" si="49"/>
        <v>2021</v>
      </c>
      <c r="AB519" s="15">
        <f t="shared" si="50"/>
        <v>2021</v>
      </c>
      <c r="AC519" s="15">
        <f t="shared" si="51"/>
        <v>2021</v>
      </c>
      <c r="AD519" s="18" t="b">
        <f t="shared" si="52"/>
        <v>1</v>
      </c>
    </row>
    <row r="520" spans="1:30" ht="15" hidden="1" customHeight="1" x14ac:dyDescent="0.2">
      <c r="A520" s="7" t="s">
        <v>670</v>
      </c>
      <c r="B520" s="7"/>
      <c r="C520" s="2" t="s">
        <v>641</v>
      </c>
      <c r="D520" s="6" t="s">
        <v>649</v>
      </c>
      <c r="E520" s="32" t="s">
        <v>651</v>
      </c>
      <c r="F520" s="7"/>
      <c r="G520" s="7"/>
      <c r="H520" s="7"/>
      <c r="I520" s="7"/>
      <c r="J520" s="7"/>
      <c r="K520" s="7"/>
      <c r="L520" s="7" t="s">
        <v>662</v>
      </c>
      <c r="M520" s="8">
        <v>44197</v>
      </c>
      <c r="N520" s="8">
        <v>44197</v>
      </c>
      <c r="O520" s="13">
        <v>5498290.4900000002</v>
      </c>
      <c r="P520" s="13"/>
      <c r="Q520" s="33"/>
      <c r="R520" s="9"/>
      <c r="S520" s="9"/>
      <c r="T520" s="9"/>
      <c r="U520" s="9"/>
      <c r="X520" s="15" t="str">
        <f>IF(B520="",VLOOKUP(A520,items_lookup!A:B,2,FALSE),B520)</f>
        <v>04. Item 04</v>
      </c>
      <c r="Y520" s="15">
        <f t="shared" si="53"/>
        <v>1</v>
      </c>
      <c r="Z520" s="15">
        <f t="shared" si="53"/>
        <v>1</v>
      </c>
      <c r="AA520" s="15">
        <f t="shared" si="49"/>
        <v>2021</v>
      </c>
      <c r="AB520" s="15">
        <f t="shared" si="50"/>
        <v>2021</v>
      </c>
      <c r="AC520" s="15">
        <f t="shared" si="51"/>
        <v>2021</v>
      </c>
      <c r="AD520" s="18" t="b">
        <f t="shared" si="52"/>
        <v>1</v>
      </c>
    </row>
    <row r="521" spans="1:30" ht="15" hidden="1" customHeight="1" x14ac:dyDescent="0.2">
      <c r="A521" s="7" t="s">
        <v>671</v>
      </c>
      <c r="B521" s="7"/>
      <c r="C521" s="2" t="s">
        <v>641</v>
      </c>
      <c r="D521" s="6" t="s">
        <v>650</v>
      </c>
      <c r="E521" s="32" t="s">
        <v>651</v>
      </c>
      <c r="F521" s="7"/>
      <c r="G521" s="7"/>
      <c r="H521" s="7"/>
      <c r="I521" s="7"/>
      <c r="J521" s="7"/>
      <c r="K521" s="7"/>
      <c r="L521" s="7" t="s">
        <v>662</v>
      </c>
      <c r="M521" s="8">
        <v>44197</v>
      </c>
      <c r="N521" s="8">
        <v>44197</v>
      </c>
      <c r="O521" s="13">
        <v>1192185.7</v>
      </c>
      <c r="P521" s="13"/>
      <c r="Q521" s="33"/>
      <c r="R521" s="9"/>
      <c r="S521" s="9"/>
      <c r="T521" s="9"/>
      <c r="U521" s="9"/>
      <c r="X521" s="15" t="str">
        <f>IF(B521="",VLOOKUP(A521,items_lookup!A:B,2,FALSE),B521)</f>
        <v>05. Item 05</v>
      </c>
      <c r="Y521" s="15">
        <f t="shared" si="53"/>
        <v>1</v>
      </c>
      <c r="Z521" s="15">
        <f t="shared" si="53"/>
        <v>1</v>
      </c>
      <c r="AA521" s="15">
        <f t="shared" si="49"/>
        <v>2021</v>
      </c>
      <c r="AB521" s="15">
        <f t="shared" si="50"/>
        <v>2021</v>
      </c>
      <c r="AC521" s="15">
        <f t="shared" si="51"/>
        <v>2021</v>
      </c>
      <c r="AD521" s="18" t="b">
        <f t="shared" si="52"/>
        <v>1</v>
      </c>
    </row>
    <row r="522" spans="1:30" ht="15" hidden="1" customHeight="1" x14ac:dyDescent="0.2">
      <c r="A522" s="7" t="s">
        <v>677</v>
      </c>
      <c r="B522" s="7"/>
      <c r="C522" s="2" t="s">
        <v>641</v>
      </c>
      <c r="D522" s="6" t="s">
        <v>649</v>
      </c>
      <c r="E522" s="32" t="s">
        <v>651</v>
      </c>
      <c r="F522" s="7"/>
      <c r="G522" s="7"/>
      <c r="H522" s="7"/>
      <c r="I522" s="7"/>
      <c r="J522" s="7"/>
      <c r="K522" s="7"/>
      <c r="L522" s="7" t="s">
        <v>662</v>
      </c>
      <c r="M522" s="8">
        <v>44197</v>
      </c>
      <c r="N522" s="8">
        <v>44197</v>
      </c>
      <c r="O522" s="13">
        <v>29047.62</v>
      </c>
      <c r="P522" s="13"/>
      <c r="Q522" s="33"/>
      <c r="R522" s="9"/>
      <c r="S522" s="9"/>
      <c r="T522" s="9"/>
      <c r="U522" s="9"/>
      <c r="X522" s="15" t="str">
        <f>IF(B522="",VLOOKUP(A522,items_lookup!A:B,2,FALSE),B522)</f>
        <v>11. Item 11</v>
      </c>
      <c r="Y522" s="15">
        <f t="shared" si="53"/>
        <v>1</v>
      </c>
      <c r="Z522" s="15">
        <f t="shared" si="53"/>
        <v>1</v>
      </c>
      <c r="AA522" s="15">
        <f t="shared" si="49"/>
        <v>2021</v>
      </c>
      <c r="AB522" s="15">
        <f t="shared" si="50"/>
        <v>2021</v>
      </c>
      <c r="AC522" s="15">
        <f t="shared" si="51"/>
        <v>2021</v>
      </c>
      <c r="AD522" s="18" t="b">
        <f t="shared" si="52"/>
        <v>1</v>
      </c>
    </row>
    <row r="523" spans="1:30" ht="27.75" hidden="1" customHeight="1" x14ac:dyDescent="0.2">
      <c r="A523" s="7" t="s">
        <v>676</v>
      </c>
      <c r="B523" s="7"/>
      <c r="C523" s="2" t="s">
        <v>641</v>
      </c>
      <c r="D523" s="6" t="s">
        <v>649</v>
      </c>
      <c r="E523" s="32" t="s">
        <v>651</v>
      </c>
      <c r="F523" s="7"/>
      <c r="G523" s="7"/>
      <c r="H523" s="7"/>
      <c r="I523" s="7"/>
      <c r="J523" s="7"/>
      <c r="K523" s="7"/>
      <c r="L523" s="7" t="s">
        <v>662</v>
      </c>
      <c r="M523" s="8">
        <v>44197</v>
      </c>
      <c r="N523" s="8">
        <v>44197</v>
      </c>
      <c r="O523" s="13">
        <v>3571428.57</v>
      </c>
      <c r="P523" s="13"/>
      <c r="Q523" s="33"/>
      <c r="R523" s="9"/>
      <c r="S523" s="9"/>
      <c r="T523" s="9"/>
      <c r="U523" s="9"/>
      <c r="X523" s="15" t="str">
        <f>IF(B523="",VLOOKUP(A523,items_lookup!A:B,2,FALSE),B523)</f>
        <v>09. Item 09</v>
      </c>
      <c r="Y523" s="15">
        <f t="shared" si="53"/>
        <v>1</v>
      </c>
      <c r="Z523" s="15">
        <f t="shared" si="53"/>
        <v>1</v>
      </c>
      <c r="AA523" s="15">
        <f t="shared" si="49"/>
        <v>2021</v>
      </c>
      <c r="AB523" s="15">
        <f t="shared" si="50"/>
        <v>2021</v>
      </c>
      <c r="AC523" s="15">
        <f t="shared" si="51"/>
        <v>2021</v>
      </c>
      <c r="AD523" s="18" t="b">
        <f t="shared" si="52"/>
        <v>1</v>
      </c>
    </row>
    <row r="524" spans="1:30" ht="12" hidden="1" customHeight="1" x14ac:dyDescent="0.2">
      <c r="A524" s="7" t="s">
        <v>675</v>
      </c>
      <c r="B524" s="7"/>
      <c r="C524" s="2" t="s">
        <v>641</v>
      </c>
      <c r="D524" s="6" t="s">
        <v>649</v>
      </c>
      <c r="E524" s="32" t="s">
        <v>651</v>
      </c>
      <c r="F524" s="7"/>
      <c r="G524" s="7"/>
      <c r="H524" s="7"/>
      <c r="I524" s="7"/>
      <c r="J524" s="7"/>
      <c r="K524" s="7"/>
      <c r="L524" s="7" t="s">
        <v>662</v>
      </c>
      <c r="M524" s="8">
        <v>44197</v>
      </c>
      <c r="N524" s="8">
        <v>44197</v>
      </c>
      <c r="O524" s="13">
        <v>8862857.1400000006</v>
      </c>
      <c r="P524" s="13"/>
      <c r="Q524" s="33"/>
      <c r="R524" s="9"/>
      <c r="S524" s="9"/>
      <c r="T524" s="9"/>
      <c r="U524" s="9"/>
      <c r="X524" s="15" t="str">
        <f>IF(B524="",VLOOKUP(A524,items_lookup!A:B,2,FALSE),B524)</f>
        <v>09. Item 09</v>
      </c>
      <c r="Y524" s="15">
        <f t="shared" si="53"/>
        <v>1</v>
      </c>
      <c r="Z524" s="15">
        <f t="shared" si="53"/>
        <v>1</v>
      </c>
      <c r="AA524" s="15">
        <f t="shared" si="49"/>
        <v>2021</v>
      </c>
      <c r="AB524" s="15">
        <f t="shared" si="50"/>
        <v>2021</v>
      </c>
      <c r="AC524" s="15">
        <f t="shared" si="51"/>
        <v>2021</v>
      </c>
      <c r="AD524" s="18" t="b">
        <f t="shared" si="52"/>
        <v>1</v>
      </c>
    </row>
    <row r="525" spans="1:30" ht="15" hidden="1" customHeight="1" x14ac:dyDescent="0.2">
      <c r="A525" s="7" t="s">
        <v>682</v>
      </c>
      <c r="B525" s="7"/>
      <c r="C525" s="2" t="s">
        <v>641</v>
      </c>
      <c r="D525" s="6" t="s">
        <v>649</v>
      </c>
      <c r="E525" s="32" t="s">
        <v>651</v>
      </c>
      <c r="F525" s="7"/>
      <c r="G525" s="7"/>
      <c r="H525" s="7"/>
      <c r="I525" s="7"/>
      <c r="J525" s="7"/>
      <c r="K525" s="7"/>
      <c r="L525" s="7" t="s">
        <v>662</v>
      </c>
      <c r="M525" s="8">
        <v>44197</v>
      </c>
      <c r="N525" s="8">
        <v>44197</v>
      </c>
      <c r="O525" s="13">
        <v>280714.28999999998</v>
      </c>
      <c r="P525" s="13"/>
      <c r="Q525" s="33"/>
      <c r="R525" s="9"/>
      <c r="S525" s="9"/>
      <c r="T525" s="9"/>
      <c r="U525" s="9"/>
      <c r="X525" s="15" t="str">
        <f>IF(B525="",VLOOKUP(A525,items_lookup!A:B,2,FALSE),B525)</f>
        <v>06. Item 06</v>
      </c>
      <c r="Y525" s="15">
        <f t="shared" si="53"/>
        <v>1</v>
      </c>
      <c r="Z525" s="15">
        <f t="shared" si="53"/>
        <v>1</v>
      </c>
      <c r="AA525" s="15">
        <f t="shared" si="49"/>
        <v>2021</v>
      </c>
      <c r="AB525" s="15">
        <f t="shared" si="50"/>
        <v>2021</v>
      </c>
      <c r="AC525" s="15">
        <f t="shared" si="51"/>
        <v>2021</v>
      </c>
      <c r="AD525" s="18" t="b">
        <f t="shared" si="52"/>
        <v>1</v>
      </c>
    </row>
    <row r="526" spans="1:30" ht="15" hidden="1" customHeight="1" x14ac:dyDescent="0.2">
      <c r="A526" s="7" t="s">
        <v>679</v>
      </c>
      <c r="B526" s="20"/>
      <c r="C526" s="2" t="s">
        <v>641</v>
      </c>
      <c r="D526" s="6" t="s">
        <v>649</v>
      </c>
      <c r="E526" s="32" t="s">
        <v>651</v>
      </c>
      <c r="F526" s="7"/>
      <c r="G526" s="7"/>
      <c r="H526" s="7"/>
      <c r="I526" s="7"/>
      <c r="J526" s="7"/>
      <c r="K526" s="7"/>
      <c r="L526" s="7" t="s">
        <v>662</v>
      </c>
      <c r="M526" s="8">
        <v>44197</v>
      </c>
      <c r="N526" s="8">
        <v>44197</v>
      </c>
      <c r="O526" s="13">
        <v>1983809.52</v>
      </c>
      <c r="P526" s="13"/>
      <c r="Q526" s="33"/>
      <c r="R526" s="9"/>
      <c r="S526" s="9"/>
      <c r="T526" s="9"/>
      <c r="U526" s="9"/>
      <c r="X526" s="15" t="str">
        <f>IF(B526="",VLOOKUP(A526,items_lookup!A:B,2,FALSE),B526)</f>
        <v>13. Item 13</v>
      </c>
      <c r="Y526" s="15">
        <f t="shared" si="53"/>
        <v>1</v>
      </c>
      <c r="Z526" s="15">
        <f t="shared" si="53"/>
        <v>1</v>
      </c>
      <c r="AA526" s="15">
        <f t="shared" si="49"/>
        <v>2021</v>
      </c>
      <c r="AB526" s="15">
        <f t="shared" si="50"/>
        <v>2021</v>
      </c>
      <c r="AC526" s="15">
        <f t="shared" si="51"/>
        <v>2021</v>
      </c>
      <c r="AD526" s="18" t="b">
        <f t="shared" si="52"/>
        <v>1</v>
      </c>
    </row>
    <row r="527" spans="1:30" ht="15" hidden="1" customHeight="1" x14ac:dyDescent="0.2">
      <c r="A527" s="7" t="s">
        <v>679</v>
      </c>
      <c r="B527" s="7"/>
      <c r="C527" s="2" t="s">
        <v>641</v>
      </c>
      <c r="D527" s="6" t="s">
        <v>649</v>
      </c>
      <c r="E527" s="32" t="s">
        <v>651</v>
      </c>
      <c r="F527" s="7" t="s">
        <v>20</v>
      </c>
      <c r="G527" s="7"/>
      <c r="H527" s="7"/>
      <c r="I527" s="7"/>
      <c r="J527" s="7"/>
      <c r="K527" s="7"/>
      <c r="L527" s="7" t="s">
        <v>662</v>
      </c>
      <c r="M527" s="8">
        <v>44197</v>
      </c>
      <c r="N527" s="8">
        <v>44197</v>
      </c>
      <c r="O527" s="13">
        <v>137568.88</v>
      </c>
      <c r="P527" s="13"/>
      <c r="Q527" s="33"/>
      <c r="R527" s="9"/>
      <c r="S527" s="9"/>
      <c r="T527" s="9"/>
      <c r="U527" s="9"/>
      <c r="X527" s="15" t="str">
        <f>IF(B527="",VLOOKUP(A527,items_lookup!A:B,2,FALSE),B527)</f>
        <v>13. Item 13</v>
      </c>
      <c r="Y527" s="15">
        <f t="shared" si="53"/>
        <v>1</v>
      </c>
      <c r="Z527" s="15">
        <f t="shared" si="53"/>
        <v>1</v>
      </c>
      <c r="AA527" s="15">
        <f t="shared" si="49"/>
        <v>2021</v>
      </c>
      <c r="AB527" s="15">
        <f t="shared" si="50"/>
        <v>2021</v>
      </c>
      <c r="AC527" s="15">
        <f t="shared" si="51"/>
        <v>2020</v>
      </c>
      <c r="AD527" s="18" t="b">
        <f t="shared" si="52"/>
        <v>1</v>
      </c>
    </row>
    <row r="528" spans="1:30" ht="15" hidden="1" customHeight="1" x14ac:dyDescent="0.2">
      <c r="A528" s="7" t="s">
        <v>680</v>
      </c>
      <c r="B528" s="7"/>
      <c r="C528" s="2" t="s">
        <v>641</v>
      </c>
      <c r="D528" s="6" t="s">
        <v>649</v>
      </c>
      <c r="E528" s="32" t="s">
        <v>651</v>
      </c>
      <c r="F528" s="7"/>
      <c r="G528" s="7"/>
      <c r="H528" s="7"/>
      <c r="I528" s="7"/>
      <c r="J528" s="7"/>
      <c r="K528" s="7"/>
      <c r="L528" s="7" t="s">
        <v>662</v>
      </c>
      <c r="M528" s="8">
        <v>44197</v>
      </c>
      <c r="N528" s="8">
        <v>44197</v>
      </c>
      <c r="O528" s="13">
        <v>488502.54</v>
      </c>
      <c r="P528" s="13"/>
      <c r="Q528" s="33"/>
      <c r="R528" s="9"/>
      <c r="S528" s="9"/>
      <c r="T528" s="9"/>
      <c r="U528" s="9"/>
      <c r="X528" s="15" t="str">
        <f>IF(B528="",VLOOKUP(A528,items_lookup!A:B,2,FALSE),B528)</f>
        <v>13. Item 13</v>
      </c>
      <c r="Y528" s="15">
        <f t="shared" si="53"/>
        <v>1</v>
      </c>
      <c r="Z528" s="15">
        <f t="shared" si="53"/>
        <v>1</v>
      </c>
      <c r="AA528" s="15">
        <f t="shared" si="49"/>
        <v>2021</v>
      </c>
      <c r="AB528" s="15">
        <f t="shared" si="50"/>
        <v>2021</v>
      </c>
      <c r="AC528" s="15">
        <f t="shared" si="51"/>
        <v>2021</v>
      </c>
      <c r="AD528" s="18" t="b">
        <f t="shared" si="52"/>
        <v>1</v>
      </c>
    </row>
    <row r="529" spans="1:32" ht="15" hidden="1" customHeight="1" x14ac:dyDescent="0.2">
      <c r="A529" s="7" t="s">
        <v>680</v>
      </c>
      <c r="B529" s="7"/>
      <c r="C529" s="2" t="s">
        <v>641</v>
      </c>
      <c r="D529" s="6" t="s">
        <v>649</v>
      </c>
      <c r="E529" s="32" t="s">
        <v>651</v>
      </c>
      <c r="F529" s="7"/>
      <c r="G529" s="7"/>
      <c r="H529" s="7"/>
      <c r="I529" s="7"/>
      <c r="J529" s="7"/>
      <c r="K529" s="7"/>
      <c r="L529" s="7" t="s">
        <v>662</v>
      </c>
      <c r="M529" s="8">
        <v>44197</v>
      </c>
      <c r="N529" s="8">
        <v>44197</v>
      </c>
      <c r="O529" s="13">
        <v>1113521.26</v>
      </c>
      <c r="P529" s="13"/>
      <c r="Q529" s="33"/>
      <c r="R529" s="9"/>
      <c r="S529" s="9"/>
      <c r="T529" s="9"/>
      <c r="U529" s="9"/>
      <c r="X529" s="15" t="str">
        <f>IF(B529="",VLOOKUP(A529,items_lookup!A:B,2,FALSE),B529)</f>
        <v>13. Item 13</v>
      </c>
      <c r="Y529" s="15">
        <f t="shared" si="53"/>
        <v>1</v>
      </c>
      <c r="Z529" s="15">
        <f t="shared" si="53"/>
        <v>1</v>
      </c>
      <c r="AA529" s="15">
        <f t="shared" si="49"/>
        <v>2021</v>
      </c>
      <c r="AB529" s="15">
        <f t="shared" si="50"/>
        <v>2021</v>
      </c>
      <c r="AC529" s="15">
        <f t="shared" si="51"/>
        <v>2021</v>
      </c>
      <c r="AD529" s="18" t="b">
        <f t="shared" si="52"/>
        <v>1</v>
      </c>
    </row>
    <row r="530" spans="1:32" ht="15" hidden="1" customHeight="1" x14ac:dyDescent="0.2">
      <c r="A530" s="7" t="s">
        <v>678</v>
      </c>
      <c r="B530" s="7"/>
      <c r="C530" s="2" t="s">
        <v>641</v>
      </c>
      <c r="D530" s="6" t="s">
        <v>649</v>
      </c>
      <c r="E530" s="32" t="s">
        <v>651</v>
      </c>
      <c r="F530" s="7"/>
      <c r="G530" s="7"/>
      <c r="H530" s="7"/>
      <c r="I530" s="7"/>
      <c r="J530" s="7"/>
      <c r="K530" s="7"/>
      <c r="L530" s="7" t="s">
        <v>662</v>
      </c>
      <c r="M530" s="8">
        <v>44197</v>
      </c>
      <c r="N530" s="8">
        <v>44197</v>
      </c>
      <c r="O530" s="13">
        <v>8333.33</v>
      </c>
      <c r="P530" s="13"/>
      <c r="Q530" s="33"/>
      <c r="R530" s="22"/>
      <c r="S530" s="22"/>
      <c r="T530" s="22"/>
      <c r="U530" s="22"/>
      <c r="X530" s="15" t="str">
        <f>IF(B530="",VLOOKUP(A530,items_lookup!A:B,2,FALSE),B530)</f>
        <v>13. Item 13</v>
      </c>
      <c r="Y530" s="15">
        <f t="shared" si="53"/>
        <v>1</v>
      </c>
      <c r="Z530" s="15">
        <f t="shared" si="53"/>
        <v>1</v>
      </c>
      <c r="AA530" s="15">
        <f t="shared" si="49"/>
        <v>2021</v>
      </c>
      <c r="AB530" s="15">
        <f t="shared" si="50"/>
        <v>2021</v>
      </c>
      <c r="AC530" s="15">
        <f t="shared" si="51"/>
        <v>2021</v>
      </c>
      <c r="AD530" s="18" t="b">
        <f t="shared" si="52"/>
        <v>1</v>
      </c>
    </row>
    <row r="531" spans="1:32" ht="12.6" hidden="1" customHeight="1" x14ac:dyDescent="0.2">
      <c r="A531" s="7" t="s">
        <v>678</v>
      </c>
      <c r="B531" s="7" t="s">
        <v>712</v>
      </c>
      <c r="C531" s="2" t="s">
        <v>641</v>
      </c>
      <c r="D531" s="6" t="s">
        <v>649</v>
      </c>
      <c r="E531" s="32" t="s">
        <v>651</v>
      </c>
      <c r="F531" s="7"/>
      <c r="G531" s="7"/>
      <c r="H531" s="7"/>
      <c r="I531" s="7"/>
      <c r="J531" s="7"/>
      <c r="K531" s="7"/>
      <c r="L531" s="7" t="s">
        <v>662</v>
      </c>
      <c r="M531" s="8">
        <v>44197</v>
      </c>
      <c r="N531" s="8">
        <v>44197</v>
      </c>
      <c r="O531" s="13">
        <v>73809.52</v>
      </c>
      <c r="P531" s="13"/>
      <c r="Q531" s="33"/>
      <c r="R531" s="22"/>
      <c r="S531" s="22"/>
      <c r="T531" s="22"/>
      <c r="U531" s="22"/>
      <c r="X531" s="15" t="str">
        <f>IF(B531="",VLOOKUP(A531,items_lookup!A:B,2,FALSE),B531)</f>
        <v>10. Item 10</v>
      </c>
      <c r="Y531" s="15">
        <f t="shared" si="53"/>
        <v>1</v>
      </c>
      <c r="Z531" s="15">
        <f t="shared" si="53"/>
        <v>1</v>
      </c>
      <c r="AA531" s="15">
        <f t="shared" si="49"/>
        <v>2021</v>
      </c>
      <c r="AB531" s="15">
        <f t="shared" si="50"/>
        <v>2021</v>
      </c>
      <c r="AC531" s="15">
        <f t="shared" si="51"/>
        <v>2021</v>
      </c>
      <c r="AD531" s="18" t="b">
        <f t="shared" si="52"/>
        <v>1</v>
      </c>
    </row>
    <row r="532" spans="1:32" ht="15" hidden="1" customHeight="1" x14ac:dyDescent="0.2">
      <c r="A532" s="7" t="s">
        <v>676</v>
      </c>
      <c r="B532" s="7"/>
      <c r="C532" s="2" t="s">
        <v>641</v>
      </c>
      <c r="D532" s="6" t="s">
        <v>649</v>
      </c>
      <c r="E532" s="32" t="s">
        <v>651</v>
      </c>
      <c r="F532" s="7"/>
      <c r="G532" s="7"/>
      <c r="H532" s="7"/>
      <c r="I532" s="7"/>
      <c r="J532" s="7"/>
      <c r="K532" s="7"/>
      <c r="L532" s="7" t="s">
        <v>662</v>
      </c>
      <c r="M532" s="8">
        <v>44197</v>
      </c>
      <c r="N532" s="8">
        <v>44197</v>
      </c>
      <c r="O532" s="13">
        <v>40238.1</v>
      </c>
      <c r="P532" s="13"/>
      <c r="Q532" s="33"/>
      <c r="R532" s="22"/>
      <c r="S532" s="22"/>
      <c r="T532" s="22"/>
      <c r="U532" s="22"/>
      <c r="X532" s="15" t="str">
        <f>IF(B532="",VLOOKUP(A532,items_lookup!A:B,2,FALSE),B532)</f>
        <v>09. Item 09</v>
      </c>
      <c r="Y532" s="15">
        <f t="shared" si="53"/>
        <v>1</v>
      </c>
      <c r="Z532" s="15">
        <f t="shared" si="53"/>
        <v>1</v>
      </c>
      <c r="AA532" s="15">
        <f t="shared" si="49"/>
        <v>2021</v>
      </c>
      <c r="AB532" s="15">
        <f t="shared" si="50"/>
        <v>2021</v>
      </c>
      <c r="AC532" s="15">
        <f t="shared" si="51"/>
        <v>2021</v>
      </c>
      <c r="AD532" s="18" t="b">
        <f t="shared" si="52"/>
        <v>1</v>
      </c>
    </row>
    <row r="533" spans="1:32" ht="15" hidden="1" customHeight="1" x14ac:dyDescent="0.2">
      <c r="A533" s="7" t="s">
        <v>675</v>
      </c>
      <c r="B533" s="20"/>
      <c r="C533" s="2" t="s">
        <v>641</v>
      </c>
      <c r="D533" s="6" t="s">
        <v>649</v>
      </c>
      <c r="E533" s="32" t="s">
        <v>651</v>
      </c>
      <c r="F533" s="7"/>
      <c r="G533" s="7"/>
      <c r="H533" s="7"/>
      <c r="I533" s="7"/>
      <c r="J533" s="7"/>
      <c r="K533" s="7"/>
      <c r="L533" s="7" t="s">
        <v>662</v>
      </c>
      <c r="M533" s="8">
        <v>44197</v>
      </c>
      <c r="N533" s="8">
        <v>44197</v>
      </c>
      <c r="O533" s="13">
        <v>76190.48</v>
      </c>
      <c r="P533" s="13"/>
      <c r="Q533" s="33"/>
      <c r="R533" s="22"/>
      <c r="S533" s="22"/>
      <c r="T533" s="22"/>
      <c r="U533" s="22"/>
      <c r="X533" s="15" t="str">
        <f>IF(B533="",VLOOKUP(A533,items_lookup!A:B,2,FALSE),B533)</f>
        <v>09. Item 09</v>
      </c>
      <c r="Y533" s="15">
        <f t="shared" si="53"/>
        <v>1</v>
      </c>
      <c r="Z533" s="15">
        <f t="shared" si="53"/>
        <v>1</v>
      </c>
      <c r="AA533" s="15">
        <f t="shared" si="49"/>
        <v>2021</v>
      </c>
      <c r="AB533" s="15">
        <f t="shared" si="50"/>
        <v>2021</v>
      </c>
      <c r="AC533" s="15">
        <f t="shared" si="51"/>
        <v>2021</v>
      </c>
      <c r="AD533" s="18" t="b">
        <f t="shared" si="52"/>
        <v>1</v>
      </c>
    </row>
    <row r="534" spans="1:32" ht="13.5" hidden="1" customHeight="1" x14ac:dyDescent="0.2">
      <c r="A534" s="7" t="s">
        <v>673</v>
      </c>
      <c r="B534" s="7" t="s">
        <v>711</v>
      </c>
      <c r="C534" s="2" t="s">
        <v>641</v>
      </c>
      <c r="D534" s="6" t="s">
        <v>649</v>
      </c>
      <c r="E534" s="32" t="s">
        <v>651</v>
      </c>
      <c r="F534" s="7"/>
      <c r="G534" s="7"/>
      <c r="H534" s="7"/>
      <c r="I534" s="7"/>
      <c r="J534" s="7"/>
      <c r="K534" s="7"/>
      <c r="L534" s="7" t="s">
        <v>662</v>
      </c>
      <c r="M534" s="8">
        <v>44197</v>
      </c>
      <c r="N534" s="8">
        <v>44197</v>
      </c>
      <c r="O534" s="13">
        <v>29285.71</v>
      </c>
      <c r="P534" s="13"/>
      <c r="Q534" s="33"/>
      <c r="R534" s="22"/>
      <c r="S534" s="22"/>
      <c r="T534" s="22"/>
      <c r="U534" s="22"/>
      <c r="X534" s="15" t="str">
        <f>IF(B534="",VLOOKUP(A534,items_lookup!A:B,2,FALSE),B534)</f>
        <v>12. Item 12</v>
      </c>
      <c r="Y534" s="15">
        <f t="shared" si="53"/>
        <v>1</v>
      </c>
      <c r="Z534" s="15">
        <f t="shared" si="53"/>
        <v>1</v>
      </c>
      <c r="AA534" s="15">
        <f t="shared" si="49"/>
        <v>2021</v>
      </c>
      <c r="AB534" s="15">
        <f t="shared" si="50"/>
        <v>2021</v>
      </c>
      <c r="AC534" s="15">
        <f t="shared" si="51"/>
        <v>2021</v>
      </c>
      <c r="AD534" s="18" t="b">
        <f t="shared" si="52"/>
        <v>1</v>
      </c>
    </row>
    <row r="535" spans="1:32" ht="15" hidden="1" customHeight="1" x14ac:dyDescent="0.2">
      <c r="A535" s="7" t="s">
        <v>672</v>
      </c>
      <c r="B535" s="7" t="s">
        <v>710</v>
      </c>
      <c r="C535" s="2" t="s">
        <v>641</v>
      </c>
      <c r="D535" s="6" t="s">
        <v>649</v>
      </c>
      <c r="E535" s="32" t="s">
        <v>651</v>
      </c>
      <c r="F535" s="7" t="s">
        <v>20</v>
      </c>
      <c r="G535" s="7"/>
      <c r="H535" s="7"/>
      <c r="I535" s="7"/>
      <c r="J535" s="7"/>
      <c r="K535" s="7"/>
      <c r="L535" s="7" t="s">
        <v>662</v>
      </c>
      <c r="M535" s="8">
        <v>44197</v>
      </c>
      <c r="N535" s="8">
        <v>44197</v>
      </c>
      <c r="O535" s="13">
        <v>1292252.3700000001</v>
      </c>
      <c r="P535" s="13"/>
      <c r="Q535" s="33"/>
      <c r="R535" s="9"/>
      <c r="S535" s="9"/>
      <c r="T535" s="9"/>
      <c r="U535" s="9"/>
      <c r="X535" s="15" t="str">
        <f>IF(B535="",VLOOKUP(A535,items_lookup!A:B,2,FALSE),B535)</f>
        <v>13. Item 13</v>
      </c>
      <c r="Y535" s="15">
        <f t="shared" si="53"/>
        <v>1</v>
      </c>
      <c r="Z535" s="15">
        <f t="shared" si="53"/>
        <v>1</v>
      </c>
      <c r="AA535" s="15">
        <f t="shared" si="49"/>
        <v>2021</v>
      </c>
      <c r="AB535" s="15">
        <f t="shared" si="50"/>
        <v>2021</v>
      </c>
      <c r="AC535" s="15">
        <f t="shared" si="51"/>
        <v>2020</v>
      </c>
      <c r="AD535" s="18" t="b">
        <f t="shared" si="52"/>
        <v>1</v>
      </c>
    </row>
    <row r="536" spans="1:32" ht="15" hidden="1" customHeight="1" x14ac:dyDescent="0.2">
      <c r="A536" s="7"/>
      <c r="B536" s="7" t="s">
        <v>710</v>
      </c>
      <c r="C536" s="2" t="s">
        <v>641</v>
      </c>
      <c r="D536" s="6" t="s">
        <v>649</v>
      </c>
      <c r="E536" s="32" t="s">
        <v>651</v>
      </c>
      <c r="F536" s="7"/>
      <c r="G536" s="7"/>
      <c r="H536" s="7"/>
      <c r="I536" s="7"/>
      <c r="J536" s="7"/>
      <c r="K536" s="7"/>
      <c r="L536" s="7" t="s">
        <v>662</v>
      </c>
      <c r="M536" s="8">
        <v>44197</v>
      </c>
      <c r="N536" s="8">
        <v>44197</v>
      </c>
      <c r="O536" s="13">
        <v>1448523.81</v>
      </c>
      <c r="P536" s="13"/>
      <c r="Q536" s="33"/>
      <c r="R536" s="22"/>
      <c r="S536" s="22"/>
      <c r="T536" s="22"/>
      <c r="U536" s="22"/>
      <c r="X536" s="15" t="str">
        <f>IF(B536="",VLOOKUP(A536,items_lookup!A:B,2,FALSE),B536)</f>
        <v>13. Item 13</v>
      </c>
      <c r="Y536" s="15">
        <f t="shared" si="53"/>
        <v>1</v>
      </c>
      <c r="Z536" s="15">
        <f t="shared" si="53"/>
        <v>1</v>
      </c>
      <c r="AA536" s="15">
        <f t="shared" si="49"/>
        <v>2021</v>
      </c>
      <c r="AB536" s="15">
        <f t="shared" si="50"/>
        <v>2021</v>
      </c>
      <c r="AC536" s="15">
        <f t="shared" si="51"/>
        <v>2021</v>
      </c>
      <c r="AD536" s="18" t="b">
        <f t="shared" si="52"/>
        <v>1</v>
      </c>
    </row>
    <row r="537" spans="1:32" ht="21.75" hidden="1" customHeight="1" x14ac:dyDescent="0.2">
      <c r="A537" s="7" t="s">
        <v>668</v>
      </c>
      <c r="B537" s="7"/>
      <c r="C537" s="2" t="s">
        <v>641</v>
      </c>
      <c r="D537" s="6" t="s">
        <v>649</v>
      </c>
      <c r="E537" s="32" t="s">
        <v>651</v>
      </c>
      <c r="F537" s="7" t="s">
        <v>20</v>
      </c>
      <c r="G537" s="7"/>
      <c r="H537" s="7"/>
      <c r="I537" s="7"/>
      <c r="J537" s="7"/>
      <c r="K537" s="7"/>
      <c r="L537" s="7" t="s">
        <v>662</v>
      </c>
      <c r="M537" s="8">
        <v>44197</v>
      </c>
      <c r="N537" s="8">
        <v>44197</v>
      </c>
      <c r="O537" s="13">
        <v>552751.56999999995</v>
      </c>
      <c r="P537" s="13"/>
      <c r="Q537" s="33"/>
      <c r="R537" s="22"/>
      <c r="S537" s="22"/>
      <c r="T537" s="22"/>
      <c r="U537" s="22"/>
      <c r="X537" s="15" t="str">
        <f>IF(B537="",VLOOKUP(A537,items_lookup!A:B,2,FALSE),B537)</f>
        <v>01. Item 01</v>
      </c>
      <c r="Y537" s="15">
        <f t="shared" si="53"/>
        <v>1</v>
      </c>
      <c r="Z537" s="15">
        <f t="shared" si="53"/>
        <v>1</v>
      </c>
      <c r="AA537" s="15">
        <f t="shared" si="49"/>
        <v>2021</v>
      </c>
      <c r="AB537" s="15">
        <f t="shared" si="50"/>
        <v>2021</v>
      </c>
      <c r="AC537" s="15">
        <f t="shared" si="51"/>
        <v>2020</v>
      </c>
      <c r="AD537" s="18" t="b">
        <f t="shared" si="52"/>
        <v>1</v>
      </c>
    </row>
    <row r="538" spans="1:32" ht="31.5" hidden="1" customHeight="1" x14ac:dyDescent="0.2">
      <c r="A538" s="7" t="s">
        <v>669</v>
      </c>
      <c r="B538" s="7"/>
      <c r="C538" s="2" t="s">
        <v>641</v>
      </c>
      <c r="D538" s="6" t="s">
        <v>649</v>
      </c>
      <c r="E538" s="32" t="s">
        <v>651</v>
      </c>
      <c r="F538" s="7"/>
      <c r="G538" s="7"/>
      <c r="H538" s="7"/>
      <c r="I538" s="7"/>
      <c r="J538" s="7"/>
      <c r="K538" s="7"/>
      <c r="L538" s="7" t="s">
        <v>662</v>
      </c>
      <c r="M538" s="8">
        <v>44197</v>
      </c>
      <c r="N538" s="8">
        <v>44197</v>
      </c>
      <c r="O538" s="13">
        <v>2954761.9</v>
      </c>
      <c r="P538" s="13"/>
      <c r="Q538" s="33"/>
      <c r="R538" s="22"/>
      <c r="S538" s="22"/>
      <c r="T538" s="22"/>
      <c r="U538" s="22"/>
      <c r="X538" s="15" t="str">
        <f>IF(B538="",VLOOKUP(A538,items_lookup!A:B,2,FALSE),B538)</f>
        <v>02. Item 02</v>
      </c>
      <c r="Y538" s="15">
        <f t="shared" si="53"/>
        <v>1</v>
      </c>
      <c r="Z538" s="15">
        <f t="shared" si="53"/>
        <v>1</v>
      </c>
      <c r="AA538" s="15">
        <f t="shared" si="49"/>
        <v>2021</v>
      </c>
      <c r="AB538" s="15">
        <f t="shared" si="50"/>
        <v>2021</v>
      </c>
      <c r="AC538" s="15">
        <f t="shared" si="51"/>
        <v>2021</v>
      </c>
      <c r="AD538" s="18" t="b">
        <f t="shared" si="52"/>
        <v>1</v>
      </c>
      <c r="AF538"/>
    </row>
    <row r="539" spans="1:32" ht="15" hidden="1" customHeight="1" x14ac:dyDescent="0.2">
      <c r="A539" s="7" t="s">
        <v>670</v>
      </c>
      <c r="B539" s="7"/>
      <c r="C539" s="2" t="s">
        <v>641</v>
      </c>
      <c r="D539" s="6" t="s">
        <v>649</v>
      </c>
      <c r="E539" s="32" t="s">
        <v>651</v>
      </c>
      <c r="F539" s="7"/>
      <c r="G539" s="7"/>
      <c r="H539" s="7"/>
      <c r="I539" s="7"/>
      <c r="J539" s="7"/>
      <c r="K539" s="7"/>
      <c r="L539" s="7" t="s">
        <v>662</v>
      </c>
      <c r="M539" s="8">
        <v>44197</v>
      </c>
      <c r="N539" s="8">
        <v>44197</v>
      </c>
      <c r="O539" s="13">
        <v>9060.7999999999993</v>
      </c>
      <c r="P539" s="13"/>
      <c r="Q539" s="33"/>
      <c r="R539" s="22"/>
      <c r="S539" s="22"/>
      <c r="T539" s="22"/>
      <c r="U539" s="22"/>
      <c r="X539" s="15" t="str">
        <f>IF(B539="",VLOOKUP(A539,items_lookup!A:B,2,FALSE),B539)</f>
        <v>04. Item 04</v>
      </c>
      <c r="Y539" s="15">
        <f t="shared" si="53"/>
        <v>1</v>
      </c>
      <c r="Z539" s="15">
        <f t="shared" si="53"/>
        <v>1</v>
      </c>
      <c r="AA539" s="15">
        <f t="shared" si="49"/>
        <v>2021</v>
      </c>
      <c r="AB539" s="15">
        <f t="shared" si="50"/>
        <v>2021</v>
      </c>
      <c r="AC539" s="15">
        <f t="shared" si="51"/>
        <v>2021</v>
      </c>
      <c r="AD539" s="18" t="b">
        <f t="shared" si="52"/>
        <v>1</v>
      </c>
    </row>
    <row r="540" spans="1:32" ht="15" hidden="1" customHeight="1" x14ac:dyDescent="0.2">
      <c r="A540" s="7" t="s">
        <v>671</v>
      </c>
      <c r="B540" s="7"/>
      <c r="C540" s="2" t="s">
        <v>641</v>
      </c>
      <c r="D540" s="6" t="s">
        <v>649</v>
      </c>
      <c r="E540" s="32" t="s">
        <v>651</v>
      </c>
      <c r="F540" s="7"/>
      <c r="G540" s="7"/>
      <c r="H540" s="7"/>
      <c r="I540" s="7"/>
      <c r="J540" s="7">
        <v>3</v>
      </c>
      <c r="K540" s="7" t="s">
        <v>660</v>
      </c>
      <c r="L540" s="7" t="s">
        <v>663</v>
      </c>
      <c r="M540" s="8">
        <v>44211</v>
      </c>
      <c r="N540" s="8">
        <v>44225</v>
      </c>
      <c r="O540" s="13"/>
      <c r="P540" s="13">
        <v>5280313.53</v>
      </c>
      <c r="Q540" s="33"/>
      <c r="R540" s="22"/>
      <c r="S540" s="22"/>
      <c r="T540" s="22"/>
      <c r="U540" s="22"/>
      <c r="X540" s="15" t="str">
        <f>IF(B540="",VLOOKUP(A540,items_lookup!A:B,2,FALSE),B540)</f>
        <v>05. Item 05</v>
      </c>
      <c r="Y540" s="15">
        <f t="shared" si="53"/>
        <v>1</v>
      </c>
      <c r="Z540" s="15">
        <f t="shared" si="53"/>
        <v>1</v>
      </c>
      <c r="AA540" s="15">
        <f t="shared" si="49"/>
        <v>2021</v>
      </c>
      <c r="AB540" s="15">
        <f t="shared" si="50"/>
        <v>2021</v>
      </c>
      <c r="AC540" s="15">
        <f t="shared" si="51"/>
        <v>2021</v>
      </c>
      <c r="AD540" s="18" t="b">
        <f t="shared" si="52"/>
        <v>1</v>
      </c>
    </row>
    <row r="541" spans="1:32" ht="15" hidden="1" customHeight="1" x14ac:dyDescent="0.2">
      <c r="A541" s="7" t="s">
        <v>674</v>
      </c>
      <c r="B541" s="7"/>
      <c r="C541" s="2" t="s">
        <v>641</v>
      </c>
      <c r="D541" s="6" t="s">
        <v>649</v>
      </c>
      <c r="E541" s="32" t="s">
        <v>651</v>
      </c>
      <c r="F541" s="7"/>
      <c r="G541" s="7"/>
      <c r="H541" s="7"/>
      <c r="I541" s="7"/>
      <c r="J541" s="7">
        <v>3</v>
      </c>
      <c r="K541" s="7" t="s">
        <v>660</v>
      </c>
      <c r="L541" s="7" t="s">
        <v>663</v>
      </c>
      <c r="M541" s="8">
        <v>44211</v>
      </c>
      <c r="N541" s="8">
        <v>44225</v>
      </c>
      <c r="O541" s="13"/>
      <c r="P541" s="13">
        <v>8862857.1400000006</v>
      </c>
      <c r="Q541" s="33"/>
      <c r="R541" s="22"/>
      <c r="S541" s="22"/>
      <c r="T541" s="22"/>
      <c r="U541" s="22"/>
      <c r="X541" s="15" t="str">
        <f>IF(B541="",VLOOKUP(A541,items_lookup!A:B,2,FALSE),B541)</f>
        <v>08. Item 08</v>
      </c>
      <c r="Y541" s="15">
        <f t="shared" si="53"/>
        <v>1</v>
      </c>
      <c r="Z541" s="15">
        <f t="shared" si="53"/>
        <v>1</v>
      </c>
      <c r="AA541" s="15">
        <f t="shared" si="49"/>
        <v>2021</v>
      </c>
      <c r="AB541" s="15">
        <f t="shared" si="50"/>
        <v>2021</v>
      </c>
      <c r="AC541" s="15">
        <f t="shared" si="51"/>
        <v>2021</v>
      </c>
      <c r="AD541" s="18" t="b">
        <f t="shared" si="52"/>
        <v>1</v>
      </c>
    </row>
    <row r="542" spans="1:32" ht="15" hidden="1" customHeight="1" x14ac:dyDescent="0.2">
      <c r="A542" s="7" t="s">
        <v>677</v>
      </c>
      <c r="B542" s="7"/>
      <c r="C542" s="2" t="s">
        <v>641</v>
      </c>
      <c r="D542" s="6" t="s">
        <v>649</v>
      </c>
      <c r="E542" s="32" t="s">
        <v>651</v>
      </c>
      <c r="F542" s="7" t="s">
        <v>20</v>
      </c>
      <c r="G542" s="7"/>
      <c r="H542" s="7"/>
      <c r="I542" s="7"/>
      <c r="J542" s="7">
        <v>3</v>
      </c>
      <c r="K542" s="7" t="s">
        <v>660</v>
      </c>
      <c r="L542" s="7" t="s">
        <v>663</v>
      </c>
      <c r="M542" s="8">
        <v>44211</v>
      </c>
      <c r="N542" s="8">
        <v>44225</v>
      </c>
      <c r="O542" s="13"/>
      <c r="P542" s="13">
        <v>1781996.15</v>
      </c>
      <c r="Q542" s="33"/>
      <c r="R542" s="22"/>
      <c r="S542" s="22"/>
      <c r="T542" s="22"/>
      <c r="U542" s="22"/>
      <c r="X542" s="15" t="str">
        <f>IF(B542="",VLOOKUP(A542,items_lookup!A:B,2,FALSE),B542)</f>
        <v>11. Item 11</v>
      </c>
      <c r="Y542" s="15">
        <f t="shared" si="53"/>
        <v>1</v>
      </c>
      <c r="Z542" s="15">
        <f t="shared" si="53"/>
        <v>1</v>
      </c>
      <c r="AA542" s="15">
        <f t="shared" si="49"/>
        <v>2021</v>
      </c>
      <c r="AB542" s="15">
        <f t="shared" si="50"/>
        <v>2021</v>
      </c>
      <c r="AC542" s="15">
        <f t="shared" si="51"/>
        <v>2020</v>
      </c>
      <c r="AD542" s="18" t="b">
        <f t="shared" si="52"/>
        <v>1</v>
      </c>
    </row>
    <row r="543" spans="1:32" ht="15" hidden="1" customHeight="1" x14ac:dyDescent="0.2">
      <c r="A543" s="7" t="s">
        <v>679</v>
      </c>
      <c r="B543" s="7"/>
      <c r="C543" s="2" t="s">
        <v>641</v>
      </c>
      <c r="D543" s="6" t="s">
        <v>649</v>
      </c>
      <c r="E543" s="32" t="s">
        <v>651</v>
      </c>
      <c r="F543" s="7"/>
      <c r="G543" s="7"/>
      <c r="H543" s="7"/>
      <c r="I543" s="7"/>
      <c r="J543" s="7">
        <v>3</v>
      </c>
      <c r="K543" s="7" t="s">
        <v>660</v>
      </c>
      <c r="L543" s="7" t="s">
        <v>663</v>
      </c>
      <c r="M543" s="8">
        <v>44221</v>
      </c>
      <c r="N543" s="8">
        <v>44221</v>
      </c>
      <c r="O543" s="13"/>
      <c r="P543" s="13">
        <v>1380952.38</v>
      </c>
      <c r="Q543" s="33"/>
      <c r="R543" s="22"/>
      <c r="S543" s="22"/>
      <c r="T543" s="22"/>
      <c r="U543" s="22"/>
      <c r="X543" s="15" t="str">
        <f>IF(B543="",VLOOKUP(A543,items_lookup!A:B,2,FALSE),B543)</f>
        <v>13. Item 13</v>
      </c>
      <c r="Y543" s="15">
        <f t="shared" si="53"/>
        <v>1</v>
      </c>
      <c r="Z543" s="15">
        <f t="shared" si="53"/>
        <v>1</v>
      </c>
      <c r="AA543" s="15">
        <f t="shared" si="49"/>
        <v>2021</v>
      </c>
      <c r="AB543" s="15">
        <f t="shared" si="50"/>
        <v>2021</v>
      </c>
      <c r="AC543" s="15">
        <f t="shared" si="51"/>
        <v>2021</v>
      </c>
      <c r="AD543" s="18" t="b">
        <f t="shared" si="52"/>
        <v>1</v>
      </c>
    </row>
    <row r="544" spans="1:32" ht="15" hidden="1" customHeight="1" x14ac:dyDescent="0.2">
      <c r="A544" s="7" t="s">
        <v>679</v>
      </c>
      <c r="B544" s="7"/>
      <c r="C544" s="2" t="s">
        <v>641</v>
      </c>
      <c r="D544" s="6" t="s">
        <v>649</v>
      </c>
      <c r="E544" s="32" t="s">
        <v>651</v>
      </c>
      <c r="F544" s="7"/>
      <c r="G544" s="7"/>
      <c r="H544" s="7"/>
      <c r="I544" s="7"/>
      <c r="J544" s="7">
        <v>3</v>
      </c>
      <c r="K544" s="7" t="s">
        <v>660</v>
      </c>
      <c r="L544" s="7" t="s">
        <v>663</v>
      </c>
      <c r="M544" s="8">
        <v>44211</v>
      </c>
      <c r="N544" s="8">
        <v>44222</v>
      </c>
      <c r="O544" s="13"/>
      <c r="P544" s="13">
        <v>129422.93</v>
      </c>
      <c r="Q544" s="33"/>
      <c r="R544" s="22"/>
      <c r="S544" s="22"/>
      <c r="T544" s="22"/>
      <c r="U544" s="22"/>
      <c r="X544" s="15" t="str">
        <f>IF(B544="",VLOOKUP(A544,items_lookup!A:B,2,FALSE),B544)</f>
        <v>13. Item 13</v>
      </c>
      <c r="Y544" s="15">
        <f t="shared" si="53"/>
        <v>1</v>
      </c>
      <c r="Z544" s="15">
        <f t="shared" si="53"/>
        <v>1</v>
      </c>
      <c r="AA544" s="15">
        <f t="shared" si="49"/>
        <v>2021</v>
      </c>
      <c r="AB544" s="15">
        <f t="shared" si="50"/>
        <v>2021</v>
      </c>
      <c r="AC544" s="15">
        <f t="shared" si="51"/>
        <v>2021</v>
      </c>
      <c r="AD544" s="18" t="b">
        <f t="shared" si="52"/>
        <v>1</v>
      </c>
    </row>
    <row r="545" spans="1:30" ht="17.25" hidden="1" customHeight="1" x14ac:dyDescent="0.2">
      <c r="A545" s="7" t="s">
        <v>680</v>
      </c>
      <c r="B545" s="7"/>
      <c r="C545" s="2" t="s">
        <v>641</v>
      </c>
      <c r="D545" s="6" t="s">
        <v>649</v>
      </c>
      <c r="E545" s="32" t="s">
        <v>651</v>
      </c>
      <c r="F545" s="7" t="s">
        <v>20</v>
      </c>
      <c r="G545" s="7"/>
      <c r="H545" s="7"/>
      <c r="I545" s="7"/>
      <c r="J545" s="7">
        <v>3</v>
      </c>
      <c r="K545" s="7" t="s">
        <v>660</v>
      </c>
      <c r="L545" s="7" t="s">
        <v>663</v>
      </c>
      <c r="M545" s="8">
        <v>44211</v>
      </c>
      <c r="N545" s="8">
        <v>44222</v>
      </c>
      <c r="O545" s="13"/>
      <c r="P545" s="13">
        <v>73360.89</v>
      </c>
      <c r="Q545" s="33"/>
      <c r="R545" s="22"/>
      <c r="S545" s="22"/>
      <c r="T545" s="22"/>
      <c r="U545" s="22"/>
      <c r="X545" s="15" t="str">
        <f>IF(B545="",VLOOKUP(A545,items_lookup!A:B,2,FALSE),B545)</f>
        <v>13. Item 13</v>
      </c>
      <c r="Y545" s="15">
        <f t="shared" si="53"/>
        <v>1</v>
      </c>
      <c r="Z545" s="15">
        <f t="shared" si="53"/>
        <v>1</v>
      </c>
      <c r="AA545" s="15">
        <f t="shared" si="49"/>
        <v>2021</v>
      </c>
      <c r="AB545" s="15">
        <f t="shared" si="50"/>
        <v>2021</v>
      </c>
      <c r="AC545" s="15">
        <f t="shared" si="51"/>
        <v>2020</v>
      </c>
      <c r="AD545" s="18" t="b">
        <f t="shared" si="52"/>
        <v>1</v>
      </c>
    </row>
    <row r="546" spans="1:30" ht="15" hidden="1" customHeight="1" x14ac:dyDescent="0.2">
      <c r="A546" s="7" t="s">
        <v>680</v>
      </c>
      <c r="B546" s="7"/>
      <c r="C546" s="2" t="s">
        <v>641</v>
      </c>
      <c r="D546" s="6" t="s">
        <v>649</v>
      </c>
      <c r="E546" s="32" t="s">
        <v>651</v>
      </c>
      <c r="F546" s="7"/>
      <c r="G546" s="7"/>
      <c r="H546" s="7"/>
      <c r="I546" s="7" t="s">
        <v>20</v>
      </c>
      <c r="J546" s="7">
        <v>3</v>
      </c>
      <c r="K546" s="7" t="s">
        <v>660</v>
      </c>
      <c r="L546" s="7" t="s">
        <v>663</v>
      </c>
      <c r="M546" s="8">
        <v>44211</v>
      </c>
      <c r="N546" s="8">
        <v>44222</v>
      </c>
      <c r="O546" s="13"/>
      <c r="P546" s="13">
        <v>8160.05</v>
      </c>
      <c r="Q546" s="33"/>
      <c r="R546" s="22"/>
      <c r="S546" s="22"/>
      <c r="T546" s="22"/>
      <c r="U546" s="22"/>
      <c r="X546" s="15" t="str">
        <f>IF(B546="",VLOOKUP(A546,items_lookup!A:B,2,FALSE),B546)</f>
        <v>13. Item 13</v>
      </c>
      <c r="Y546" s="15">
        <f t="shared" si="53"/>
        <v>1</v>
      </c>
      <c r="Z546" s="15">
        <f t="shared" si="53"/>
        <v>1</v>
      </c>
      <c r="AA546" s="15">
        <f t="shared" si="49"/>
        <v>2021</v>
      </c>
      <c r="AB546" s="15">
        <f t="shared" si="50"/>
        <v>2021</v>
      </c>
      <c r="AC546" s="15">
        <f t="shared" si="51"/>
        <v>2021</v>
      </c>
      <c r="AD546" s="18" t="b">
        <f t="shared" si="52"/>
        <v>1</v>
      </c>
    </row>
    <row r="547" spans="1:30" ht="15" hidden="1" customHeight="1" x14ac:dyDescent="0.2">
      <c r="A547" s="7" t="s">
        <v>678</v>
      </c>
      <c r="B547" s="7"/>
      <c r="C547" s="2" t="s">
        <v>641</v>
      </c>
      <c r="D547" s="6" t="s">
        <v>649</v>
      </c>
      <c r="E547" s="32" t="s">
        <v>651</v>
      </c>
      <c r="F547" s="7"/>
      <c r="G547" s="7"/>
      <c r="H547" s="7"/>
      <c r="I547" s="7"/>
      <c r="J547" s="7">
        <v>4</v>
      </c>
      <c r="K547" s="7" t="s">
        <v>660</v>
      </c>
      <c r="L547" s="7" t="s">
        <v>663</v>
      </c>
      <c r="M547" s="8">
        <v>44217</v>
      </c>
      <c r="N547" s="8">
        <v>44217</v>
      </c>
      <c r="O547" s="13"/>
      <c r="P547" s="13">
        <v>3054400.15</v>
      </c>
      <c r="Q547" s="33"/>
      <c r="R547" s="22"/>
      <c r="S547" s="22"/>
      <c r="T547" s="22"/>
      <c r="U547" s="22"/>
      <c r="X547" s="15" t="str">
        <f>IF(B547="",VLOOKUP(A547,items_lookup!A:B,2,FALSE),B547)</f>
        <v>13. Item 13</v>
      </c>
      <c r="Y547" s="15">
        <f t="shared" si="53"/>
        <v>1</v>
      </c>
      <c r="Z547" s="15">
        <f t="shared" si="53"/>
        <v>1</v>
      </c>
      <c r="AA547" s="15">
        <f t="shared" si="49"/>
        <v>2021</v>
      </c>
      <c r="AB547" s="15">
        <f t="shared" si="50"/>
        <v>2021</v>
      </c>
      <c r="AC547" s="15">
        <f t="shared" si="51"/>
        <v>2021</v>
      </c>
      <c r="AD547" s="18" t="b">
        <f t="shared" si="52"/>
        <v>1</v>
      </c>
    </row>
    <row r="548" spans="1:30" ht="15" hidden="1" customHeight="1" x14ac:dyDescent="0.2">
      <c r="A548" s="7" t="s">
        <v>678</v>
      </c>
      <c r="B548" s="7"/>
      <c r="C548" s="2" t="s">
        <v>641</v>
      </c>
      <c r="D548" s="6" t="s">
        <v>649</v>
      </c>
      <c r="E548" s="32" t="s">
        <v>651</v>
      </c>
      <c r="F548" s="7"/>
      <c r="G548" s="7"/>
      <c r="H548" s="7"/>
      <c r="I548" s="7"/>
      <c r="J548" s="7">
        <v>4</v>
      </c>
      <c r="K548" s="7" t="s">
        <v>660</v>
      </c>
      <c r="L548" s="7" t="s">
        <v>663</v>
      </c>
      <c r="M548" s="8">
        <v>44218</v>
      </c>
      <c r="N548" s="8">
        <v>44218</v>
      </c>
      <c r="O548" s="13"/>
      <c r="P548" s="13">
        <v>75517.59</v>
      </c>
      <c r="Q548" s="33"/>
      <c r="R548" s="22"/>
      <c r="S548" s="22"/>
      <c r="T548" s="22"/>
      <c r="U548" s="22"/>
      <c r="X548" s="15" t="str">
        <f>IF(B548="",VLOOKUP(A548,items_lookup!A:B,2,FALSE),B548)</f>
        <v>13. Item 13</v>
      </c>
      <c r="Y548" s="15">
        <f t="shared" si="53"/>
        <v>1</v>
      </c>
      <c r="Z548" s="15">
        <f t="shared" si="53"/>
        <v>1</v>
      </c>
      <c r="AA548" s="15">
        <f t="shared" si="49"/>
        <v>2021</v>
      </c>
      <c r="AB548" s="15">
        <f t="shared" si="50"/>
        <v>2021</v>
      </c>
      <c r="AC548" s="15">
        <f t="shared" si="51"/>
        <v>2021</v>
      </c>
      <c r="AD548" s="18" t="b">
        <f t="shared" si="52"/>
        <v>1</v>
      </c>
    </row>
    <row r="549" spans="1:30" ht="15" hidden="1" customHeight="1" x14ac:dyDescent="0.2">
      <c r="A549" s="7" t="s">
        <v>682</v>
      </c>
      <c r="B549" s="7"/>
      <c r="C549" s="2" t="s">
        <v>641</v>
      </c>
      <c r="D549" s="6" t="s">
        <v>649</v>
      </c>
      <c r="E549" s="32" t="s">
        <v>651</v>
      </c>
      <c r="F549" s="7"/>
      <c r="G549" s="7"/>
      <c r="H549" s="7"/>
      <c r="I549" s="7"/>
      <c r="J549" s="7">
        <v>4</v>
      </c>
      <c r="K549" s="7" t="s">
        <v>660</v>
      </c>
      <c r="L549" s="7" t="s">
        <v>663</v>
      </c>
      <c r="M549" s="8">
        <v>44217</v>
      </c>
      <c r="N549" s="8">
        <v>44217</v>
      </c>
      <c r="O549" s="13"/>
      <c r="P549" s="13">
        <v>36021.94</v>
      </c>
      <c r="Q549" s="33"/>
      <c r="R549" s="22"/>
      <c r="S549" s="22"/>
      <c r="T549" s="22"/>
      <c r="U549" s="22"/>
      <c r="X549" s="15" t="str">
        <f>IF(B549="",VLOOKUP(A549,items_lookup!A:B,2,FALSE),B549)</f>
        <v>06. Item 06</v>
      </c>
      <c r="Y549" s="15">
        <f t="shared" si="53"/>
        <v>1</v>
      </c>
      <c r="Z549" s="15">
        <f t="shared" si="53"/>
        <v>1</v>
      </c>
      <c r="AA549" s="15">
        <f t="shared" si="49"/>
        <v>2021</v>
      </c>
      <c r="AB549" s="15">
        <f t="shared" si="50"/>
        <v>2021</v>
      </c>
      <c r="AC549" s="15">
        <f t="shared" si="51"/>
        <v>2021</v>
      </c>
      <c r="AD549" s="18" t="b">
        <f t="shared" si="52"/>
        <v>1</v>
      </c>
    </row>
    <row r="550" spans="1:30" ht="15" hidden="1" customHeight="1" x14ac:dyDescent="0.2">
      <c r="A550" s="7" t="s">
        <v>681</v>
      </c>
      <c r="B550" s="20"/>
      <c r="C550" s="2" t="s">
        <v>641</v>
      </c>
      <c r="D550" s="6" t="s">
        <v>649</v>
      </c>
      <c r="E550" s="32" t="s">
        <v>651</v>
      </c>
      <c r="F550" s="7"/>
      <c r="G550" s="7"/>
      <c r="H550" s="7"/>
      <c r="I550" s="7"/>
      <c r="J550" s="7">
        <v>3</v>
      </c>
      <c r="K550" s="7" t="s">
        <v>660</v>
      </c>
      <c r="L550" s="7" t="s">
        <v>663</v>
      </c>
      <c r="M550" s="8">
        <v>44211</v>
      </c>
      <c r="N550" s="8">
        <v>44229</v>
      </c>
      <c r="O550" s="13"/>
      <c r="P550" s="13">
        <v>989011.8</v>
      </c>
      <c r="Q550" s="33"/>
      <c r="R550" s="22"/>
      <c r="S550" s="22"/>
      <c r="T550" s="22"/>
      <c r="U550" s="22"/>
      <c r="X550" s="15" t="str">
        <f>IF(B550="",VLOOKUP(A550,items_lookup!A:B,2,FALSE),B550)</f>
        <v>19. Item 19</v>
      </c>
      <c r="Y550" s="15">
        <f t="shared" si="53"/>
        <v>1</v>
      </c>
      <c r="Z550" s="15">
        <f t="shared" si="53"/>
        <v>2</v>
      </c>
      <c r="AA550" s="15">
        <f t="shared" si="49"/>
        <v>2021</v>
      </c>
      <c r="AB550" s="15">
        <f t="shared" si="50"/>
        <v>2021</v>
      </c>
      <c r="AC550" s="15">
        <f t="shared" si="51"/>
        <v>2021</v>
      </c>
      <c r="AD550" s="18" t="b">
        <f t="shared" si="52"/>
        <v>1</v>
      </c>
    </row>
    <row r="551" spans="1:30" ht="15" hidden="1" customHeight="1" x14ac:dyDescent="0.2">
      <c r="A551" s="7" t="s">
        <v>668</v>
      </c>
      <c r="B551" s="20"/>
      <c r="C551" s="2" t="s">
        <v>641</v>
      </c>
      <c r="D551" s="6" t="s">
        <v>649</v>
      </c>
      <c r="E551" s="32" t="s">
        <v>651</v>
      </c>
      <c r="F551" s="7"/>
      <c r="G551" s="7"/>
      <c r="H551" s="7"/>
      <c r="I551" s="7"/>
      <c r="J551" s="7">
        <v>3</v>
      </c>
      <c r="K551" s="7" t="s">
        <v>660</v>
      </c>
      <c r="L551" s="7" t="s">
        <v>663</v>
      </c>
      <c r="M551" s="8">
        <v>44211</v>
      </c>
      <c r="N551" s="8">
        <v>44224</v>
      </c>
      <c r="O551" s="13"/>
      <c r="P551" s="13">
        <v>861816.49</v>
      </c>
      <c r="Q551" s="33"/>
      <c r="R551" s="22"/>
      <c r="S551" s="22"/>
      <c r="T551" s="22"/>
      <c r="U551" s="22"/>
      <c r="X551" s="15" t="str">
        <f>IF(B551="",VLOOKUP(A551,items_lookup!A:B,2,FALSE),B551)</f>
        <v>01. Item 01</v>
      </c>
      <c r="Y551" s="15">
        <f t="shared" si="53"/>
        <v>1</v>
      </c>
      <c r="Z551" s="15">
        <f t="shared" si="53"/>
        <v>1</v>
      </c>
      <c r="AA551" s="15">
        <f t="shared" si="49"/>
        <v>2021</v>
      </c>
      <c r="AB551" s="15">
        <f t="shared" si="50"/>
        <v>2021</v>
      </c>
      <c r="AC551" s="15">
        <f t="shared" si="51"/>
        <v>2021</v>
      </c>
      <c r="AD551" s="18" t="b">
        <f t="shared" si="52"/>
        <v>1</v>
      </c>
    </row>
    <row r="552" spans="1:30" ht="15" hidden="1" customHeight="1" x14ac:dyDescent="0.2">
      <c r="A552" s="7" t="s">
        <v>668</v>
      </c>
      <c r="B552" s="20"/>
      <c r="C552" s="2" t="s">
        <v>641</v>
      </c>
      <c r="D552" s="6" t="s">
        <v>649</v>
      </c>
      <c r="E552" s="32" t="s">
        <v>651</v>
      </c>
      <c r="F552" s="7"/>
      <c r="G552" s="7"/>
      <c r="H552" s="7"/>
      <c r="I552" s="7"/>
      <c r="J552" s="7">
        <v>3</v>
      </c>
      <c r="K552" s="7" t="s">
        <v>660</v>
      </c>
      <c r="L552" s="7" t="s">
        <v>663</v>
      </c>
      <c r="M552" s="8">
        <v>44211</v>
      </c>
      <c r="N552" s="8">
        <v>44229</v>
      </c>
      <c r="O552" s="13"/>
      <c r="P552" s="13">
        <v>53635.79</v>
      </c>
      <c r="Q552" s="33"/>
      <c r="R552" s="22"/>
      <c r="S552" s="22"/>
      <c r="T552" s="22"/>
      <c r="U552" s="22"/>
      <c r="X552" s="15" t="str">
        <f>IF(B552="",VLOOKUP(A552,items_lookup!A:B,2,FALSE),B552)</f>
        <v>01. Item 01</v>
      </c>
      <c r="Y552" s="15">
        <f t="shared" si="53"/>
        <v>1</v>
      </c>
      <c r="Z552" s="15">
        <f t="shared" si="53"/>
        <v>2</v>
      </c>
      <c r="AA552" s="15">
        <f t="shared" si="49"/>
        <v>2021</v>
      </c>
      <c r="AB552" s="15">
        <f t="shared" si="50"/>
        <v>2021</v>
      </c>
      <c r="AC552" s="15">
        <f t="shared" si="51"/>
        <v>2021</v>
      </c>
      <c r="AD552" s="18" t="b">
        <f t="shared" si="52"/>
        <v>1</v>
      </c>
    </row>
    <row r="553" spans="1:30" ht="15.75" hidden="1" customHeight="1" x14ac:dyDescent="0.2">
      <c r="A553" s="7" t="s">
        <v>669</v>
      </c>
      <c r="B553" s="7"/>
      <c r="C553" s="2" t="s">
        <v>641</v>
      </c>
      <c r="D553" s="6" t="s">
        <v>649</v>
      </c>
      <c r="E553" s="32" t="s">
        <v>651</v>
      </c>
      <c r="F553" s="7"/>
      <c r="G553" s="7"/>
      <c r="H553" s="7"/>
      <c r="I553" s="7"/>
      <c r="J553" s="7"/>
      <c r="K553" s="7" t="s">
        <v>660</v>
      </c>
      <c r="L553" s="7" t="s">
        <v>663</v>
      </c>
      <c r="M553" s="8">
        <v>44216</v>
      </c>
      <c r="N553" s="8">
        <v>44216</v>
      </c>
      <c r="O553" s="13"/>
      <c r="P553" s="13">
        <v>192.83</v>
      </c>
      <c r="Q553" s="33"/>
      <c r="R553" s="22"/>
      <c r="S553" s="22"/>
      <c r="T553" s="22"/>
      <c r="U553" s="22"/>
      <c r="X553" s="15" t="str">
        <f>IF(B553="",VLOOKUP(A553,items_lookup!A:B,2,FALSE),B553)</f>
        <v>02. Item 02</v>
      </c>
      <c r="Y553" s="15">
        <f t="shared" si="53"/>
        <v>1</v>
      </c>
      <c r="Z553" s="15">
        <f t="shared" si="53"/>
        <v>1</v>
      </c>
      <c r="AA553" s="15">
        <f t="shared" si="49"/>
        <v>2021</v>
      </c>
      <c r="AB553" s="15">
        <f t="shared" si="50"/>
        <v>2021</v>
      </c>
      <c r="AC553" s="15">
        <f t="shared" si="51"/>
        <v>2021</v>
      </c>
      <c r="AD553" s="18" t="b">
        <f t="shared" si="52"/>
        <v>1</v>
      </c>
    </row>
    <row r="554" spans="1:30" ht="15.75" hidden="1" customHeight="1" x14ac:dyDescent="0.2">
      <c r="A554" s="7" t="s">
        <v>671</v>
      </c>
      <c r="B554" s="7"/>
      <c r="C554" s="2" t="s">
        <v>641</v>
      </c>
      <c r="D554" s="6" t="s">
        <v>649</v>
      </c>
      <c r="E554" s="32" t="s">
        <v>651</v>
      </c>
      <c r="F554" s="7"/>
      <c r="G554" s="7"/>
      <c r="H554" s="7"/>
      <c r="I554" s="7"/>
      <c r="J554" s="7">
        <v>3</v>
      </c>
      <c r="K554" s="7" t="s">
        <v>660</v>
      </c>
      <c r="L554" s="7" t="s">
        <v>663</v>
      </c>
      <c r="M554" s="8">
        <v>44211</v>
      </c>
      <c r="N554" s="8">
        <v>44223</v>
      </c>
      <c r="O554" s="13"/>
      <c r="P554" s="13">
        <v>83279.91</v>
      </c>
      <c r="Q554" s="33"/>
      <c r="R554" s="22"/>
      <c r="S554" s="22"/>
      <c r="T554" s="22"/>
      <c r="U554" s="22"/>
      <c r="X554" s="15" t="str">
        <f>IF(B554="",VLOOKUP(A554,items_lookup!A:B,2,FALSE),B554)</f>
        <v>05. Item 05</v>
      </c>
      <c r="Y554" s="15">
        <f t="shared" si="53"/>
        <v>1</v>
      </c>
      <c r="Z554" s="15">
        <f t="shared" si="53"/>
        <v>1</v>
      </c>
      <c r="AA554" s="15">
        <f t="shared" ref="AA554:AA613" si="54">YEAR(N554)</f>
        <v>2021</v>
      </c>
      <c r="AB554" s="15">
        <f t="shared" ref="AB554:AB613" si="55">YEAR(M554)</f>
        <v>2021</v>
      </c>
      <c r="AC554" s="15">
        <f t="shared" ref="AC554:AC613" si="56">IF(F554="X",AA554-1,AA554)</f>
        <v>2021</v>
      </c>
      <c r="AD554" s="18" t="b">
        <f t="shared" si="52"/>
        <v>1</v>
      </c>
    </row>
    <row r="555" spans="1:30" ht="17.25" hidden="1" customHeight="1" x14ac:dyDescent="0.2">
      <c r="A555" s="7" t="s">
        <v>671</v>
      </c>
      <c r="B555" s="7"/>
      <c r="C555" s="2" t="s">
        <v>641</v>
      </c>
      <c r="D555" s="6" t="s">
        <v>649</v>
      </c>
      <c r="E555" s="32" t="s">
        <v>651</v>
      </c>
      <c r="F555" s="7" t="s">
        <v>20</v>
      </c>
      <c r="G555" s="7"/>
      <c r="H555" s="7"/>
      <c r="I555" s="7"/>
      <c r="J555" s="7">
        <v>3</v>
      </c>
      <c r="K555" s="7" t="s">
        <v>660</v>
      </c>
      <c r="L555" s="7" t="s">
        <v>663</v>
      </c>
      <c r="M555" s="8">
        <v>44211</v>
      </c>
      <c r="N555" s="8">
        <v>44223</v>
      </c>
      <c r="O555" s="13"/>
      <c r="P555" s="13">
        <v>64207.99</v>
      </c>
      <c r="Q555" s="33"/>
      <c r="R555" s="22"/>
      <c r="S555" s="22"/>
      <c r="T555" s="22"/>
      <c r="U555" s="22"/>
      <c r="X555" s="15" t="str">
        <f>IF(B555="",VLOOKUP(A555,items_lookup!A:B,2,FALSE),B555)</f>
        <v>05. Item 05</v>
      </c>
      <c r="Y555" s="15">
        <f t="shared" si="53"/>
        <v>1</v>
      </c>
      <c r="Z555" s="15">
        <f t="shared" si="53"/>
        <v>1</v>
      </c>
      <c r="AA555" s="15">
        <f t="shared" si="54"/>
        <v>2021</v>
      </c>
      <c r="AB555" s="15">
        <f t="shared" si="55"/>
        <v>2021</v>
      </c>
      <c r="AC555" s="15">
        <f t="shared" si="56"/>
        <v>2020</v>
      </c>
      <c r="AD555" s="18" t="b">
        <f t="shared" si="52"/>
        <v>1</v>
      </c>
    </row>
    <row r="556" spans="1:30" ht="15" hidden="1" customHeight="1" x14ac:dyDescent="0.2">
      <c r="A556" s="7" t="s">
        <v>672</v>
      </c>
      <c r="B556" s="20"/>
      <c r="C556" s="2" t="s">
        <v>641</v>
      </c>
      <c r="D556" s="6" t="s">
        <v>649</v>
      </c>
      <c r="E556" s="32" t="s">
        <v>651</v>
      </c>
      <c r="F556" s="7"/>
      <c r="G556" s="7"/>
      <c r="H556" s="7"/>
      <c r="I556" s="7"/>
      <c r="J556" s="7">
        <v>3</v>
      </c>
      <c r="K556" s="7" t="s">
        <v>660</v>
      </c>
      <c r="L556" s="7" t="s">
        <v>663</v>
      </c>
      <c r="M556" s="8">
        <v>44211</v>
      </c>
      <c r="N556" s="8">
        <v>44231</v>
      </c>
      <c r="O556" s="13"/>
      <c r="P556" s="13">
        <v>19326.41</v>
      </c>
      <c r="Q556" s="33"/>
      <c r="R556" s="22"/>
      <c r="S556" s="22"/>
      <c r="T556" s="22"/>
      <c r="U556" s="22"/>
      <c r="X556" s="15" t="str">
        <f>IF(B556="",VLOOKUP(A556,items_lookup!A:B,2,FALSE),B556)</f>
        <v>05. Item 05</v>
      </c>
      <c r="Y556" s="15">
        <f t="shared" si="53"/>
        <v>1</v>
      </c>
      <c r="Z556" s="15">
        <f t="shared" si="53"/>
        <v>2</v>
      </c>
      <c r="AA556" s="15">
        <f t="shared" si="54"/>
        <v>2021</v>
      </c>
      <c r="AB556" s="15">
        <f t="shared" si="55"/>
        <v>2021</v>
      </c>
      <c r="AC556" s="15">
        <f t="shared" si="56"/>
        <v>2021</v>
      </c>
      <c r="AD556" s="18" t="b">
        <f t="shared" si="52"/>
        <v>1</v>
      </c>
    </row>
    <row r="557" spans="1:30" ht="15" hidden="1" customHeight="1" x14ac:dyDescent="0.2">
      <c r="A557" s="7" t="s">
        <v>682</v>
      </c>
      <c r="B557" s="7"/>
      <c r="C557" s="2" t="s">
        <v>641</v>
      </c>
      <c r="D557" s="6" t="s">
        <v>649</v>
      </c>
      <c r="E557" s="32" t="s">
        <v>651</v>
      </c>
      <c r="F557" s="7"/>
      <c r="G557" s="7"/>
      <c r="H557" s="7"/>
      <c r="I557" s="7"/>
      <c r="J557" s="7">
        <v>3</v>
      </c>
      <c r="K557" s="7" t="s">
        <v>660</v>
      </c>
      <c r="L557" s="7" t="s">
        <v>663</v>
      </c>
      <c r="M557" s="8">
        <v>44211</v>
      </c>
      <c r="N557" s="8">
        <v>44224</v>
      </c>
      <c r="O557" s="13"/>
      <c r="P557" s="13">
        <v>278767.86</v>
      </c>
      <c r="Q557" s="33"/>
      <c r="R557" s="22"/>
      <c r="S557" s="22"/>
      <c r="T557" s="22"/>
      <c r="U557" s="22"/>
      <c r="X557" s="15" t="str">
        <f>IF(B557="",VLOOKUP(A557,items_lookup!A:B,2,FALSE),B557)</f>
        <v>06. Item 06</v>
      </c>
      <c r="Y557" s="15">
        <f t="shared" si="53"/>
        <v>1</v>
      </c>
      <c r="Z557" s="15">
        <f t="shared" si="53"/>
        <v>1</v>
      </c>
      <c r="AA557" s="15">
        <f t="shared" si="54"/>
        <v>2021</v>
      </c>
      <c r="AB557" s="15">
        <f t="shared" si="55"/>
        <v>2021</v>
      </c>
      <c r="AC557" s="15">
        <f t="shared" si="56"/>
        <v>2021</v>
      </c>
      <c r="AD557" s="18" t="b">
        <f t="shared" si="52"/>
        <v>1</v>
      </c>
    </row>
    <row r="558" spans="1:30" ht="17.25" hidden="1" customHeight="1" x14ac:dyDescent="0.2">
      <c r="A558" s="7" t="s">
        <v>673</v>
      </c>
      <c r="B558" s="7"/>
      <c r="C558" s="2" t="s">
        <v>641</v>
      </c>
      <c r="D558" s="6" t="s">
        <v>649</v>
      </c>
      <c r="E558" s="32" t="s">
        <v>651</v>
      </c>
      <c r="F558" s="7"/>
      <c r="G558" s="7"/>
      <c r="H558" s="7"/>
      <c r="I558" s="7"/>
      <c r="J558" s="7">
        <v>4</v>
      </c>
      <c r="K558" s="7" t="s">
        <v>660</v>
      </c>
      <c r="L558" s="7" t="s">
        <v>663</v>
      </c>
      <c r="M558" s="8">
        <v>44216</v>
      </c>
      <c r="N558" s="8">
        <v>44224</v>
      </c>
      <c r="O558" s="13"/>
      <c r="P558" s="13">
        <v>9060.7999999999993</v>
      </c>
      <c r="Q558" s="33"/>
      <c r="R558" s="22"/>
      <c r="S558" s="22"/>
      <c r="T558" s="22"/>
      <c r="U558" s="22"/>
      <c r="X558" s="15" t="str">
        <f>IF(B558="",VLOOKUP(A558,items_lookup!A:B,2,FALSE),B558)</f>
        <v>07. Item 07</v>
      </c>
      <c r="Y558" s="15">
        <f t="shared" si="53"/>
        <v>1</v>
      </c>
      <c r="Z558" s="15">
        <f t="shared" si="53"/>
        <v>1</v>
      </c>
      <c r="AA558" s="15">
        <f t="shared" si="54"/>
        <v>2021</v>
      </c>
      <c r="AB558" s="15">
        <f t="shared" si="55"/>
        <v>2021</v>
      </c>
      <c r="AC558" s="15">
        <f t="shared" si="56"/>
        <v>2021</v>
      </c>
      <c r="AD558" s="18" t="b">
        <f t="shared" si="52"/>
        <v>1</v>
      </c>
    </row>
    <row r="559" spans="1:30" ht="13.5" hidden="1" customHeight="1" x14ac:dyDescent="0.2">
      <c r="A559" s="7" t="s">
        <v>673</v>
      </c>
      <c r="B559" s="7"/>
      <c r="C559" s="2" t="s">
        <v>641</v>
      </c>
      <c r="D559" s="6" t="s">
        <v>649</v>
      </c>
      <c r="E559" s="32" t="s">
        <v>651</v>
      </c>
      <c r="F559" s="7"/>
      <c r="G559" s="7"/>
      <c r="H559" s="7"/>
      <c r="I559" s="7"/>
      <c r="J559" s="7">
        <v>3</v>
      </c>
      <c r="K559" s="7" t="s">
        <v>660</v>
      </c>
      <c r="L559" s="7" t="s">
        <v>663</v>
      </c>
      <c r="M559" s="8">
        <v>44216</v>
      </c>
      <c r="N559" s="8">
        <v>44225</v>
      </c>
      <c r="O559" s="13"/>
      <c r="P559" s="13">
        <v>2994.05</v>
      </c>
      <c r="Q559" s="33"/>
      <c r="R559" s="22"/>
      <c r="S559" s="22"/>
      <c r="T559" s="22"/>
      <c r="U559" s="22"/>
      <c r="X559" s="15" t="str">
        <f>IF(B559="",VLOOKUP(A559,items_lookup!A:B,2,FALSE),B559)</f>
        <v>07. Item 07</v>
      </c>
      <c r="Y559" s="15">
        <f t="shared" si="53"/>
        <v>1</v>
      </c>
      <c r="Z559" s="15">
        <f t="shared" si="53"/>
        <v>1</v>
      </c>
      <c r="AA559" s="15">
        <f t="shared" si="54"/>
        <v>2021</v>
      </c>
      <c r="AB559" s="15">
        <f t="shared" si="55"/>
        <v>2021</v>
      </c>
      <c r="AC559" s="15">
        <f t="shared" si="56"/>
        <v>2021</v>
      </c>
      <c r="AD559" s="18" t="b">
        <f t="shared" si="52"/>
        <v>1</v>
      </c>
    </row>
    <row r="560" spans="1:30" ht="15" hidden="1" customHeight="1" x14ac:dyDescent="0.2">
      <c r="A560" s="7" t="s">
        <v>674</v>
      </c>
      <c r="B560" s="7"/>
      <c r="C560" s="2" t="s">
        <v>641</v>
      </c>
      <c r="D560" s="6" t="s">
        <v>649</v>
      </c>
      <c r="E560" s="32" t="s">
        <v>651</v>
      </c>
      <c r="F560" s="7"/>
      <c r="G560" s="7"/>
      <c r="H560" s="7"/>
      <c r="I560" s="7"/>
      <c r="J560" s="7">
        <v>3</v>
      </c>
      <c r="K560" s="7" t="s">
        <v>660</v>
      </c>
      <c r="L560" s="7" t="s">
        <v>663</v>
      </c>
      <c r="M560" s="8">
        <v>44216</v>
      </c>
      <c r="N560" s="8">
        <v>44225</v>
      </c>
      <c r="O560" s="13"/>
      <c r="P560" s="13">
        <v>16586.03</v>
      </c>
      <c r="Q560" s="33"/>
      <c r="R560" s="22"/>
      <c r="S560" s="22"/>
      <c r="T560" s="22"/>
      <c r="U560" s="22"/>
      <c r="X560" s="15" t="str">
        <f>IF(B560="",VLOOKUP(A560,items_lookup!A:B,2,FALSE),B560)</f>
        <v>08. Item 08</v>
      </c>
      <c r="Y560" s="15">
        <f t="shared" si="53"/>
        <v>1</v>
      </c>
      <c r="Z560" s="15">
        <f t="shared" si="53"/>
        <v>1</v>
      </c>
      <c r="AA560" s="15">
        <f t="shared" si="54"/>
        <v>2021</v>
      </c>
      <c r="AB560" s="15">
        <f t="shared" si="55"/>
        <v>2021</v>
      </c>
      <c r="AC560" s="15">
        <f t="shared" si="56"/>
        <v>2021</v>
      </c>
      <c r="AD560" s="18" t="b">
        <f t="shared" si="52"/>
        <v>1</v>
      </c>
    </row>
    <row r="561" spans="1:30" ht="15" hidden="1" customHeight="1" x14ac:dyDescent="0.2">
      <c r="A561" s="7" t="s">
        <v>688</v>
      </c>
      <c r="B561" s="7"/>
      <c r="C561" s="2" t="s">
        <v>641</v>
      </c>
      <c r="D561" s="6" t="s">
        <v>649</v>
      </c>
      <c r="E561" s="32" t="s">
        <v>651</v>
      </c>
      <c r="F561" s="7" t="s">
        <v>20</v>
      </c>
      <c r="G561" s="7"/>
      <c r="H561" s="7"/>
      <c r="I561" s="7"/>
      <c r="J561" s="7">
        <v>3</v>
      </c>
      <c r="K561" s="7" t="s">
        <v>660</v>
      </c>
      <c r="L561" s="7" t="s">
        <v>663</v>
      </c>
      <c r="M561" s="8">
        <v>44211</v>
      </c>
      <c r="N561" s="8">
        <v>44225</v>
      </c>
      <c r="O561" s="13"/>
      <c r="P561" s="13">
        <v>69391.97</v>
      </c>
      <c r="Q561" s="33"/>
      <c r="R561" s="22"/>
      <c r="S561" s="22"/>
      <c r="T561" s="22"/>
      <c r="U561" s="22"/>
      <c r="X561" s="15" t="str">
        <f>IF(B561="",VLOOKUP(A561,items_lookup!A:B,2,FALSE),B561)</f>
        <v>09. Item 09</v>
      </c>
      <c r="Y561" s="15">
        <f t="shared" si="53"/>
        <v>1</v>
      </c>
      <c r="Z561" s="15">
        <f t="shared" si="53"/>
        <v>1</v>
      </c>
      <c r="AA561" s="15">
        <f t="shared" si="54"/>
        <v>2021</v>
      </c>
      <c r="AB561" s="15">
        <f t="shared" si="55"/>
        <v>2021</v>
      </c>
      <c r="AC561" s="15">
        <f t="shared" si="56"/>
        <v>2020</v>
      </c>
      <c r="AD561" s="18" t="b">
        <f t="shared" si="52"/>
        <v>1</v>
      </c>
    </row>
    <row r="562" spans="1:30" ht="15" hidden="1" customHeight="1" x14ac:dyDescent="0.2">
      <c r="A562" s="7" t="s">
        <v>676</v>
      </c>
      <c r="B562" s="7"/>
      <c r="C562" s="2" t="s">
        <v>641</v>
      </c>
      <c r="D562" s="6" t="s">
        <v>649</v>
      </c>
      <c r="E562" s="32" t="s">
        <v>651</v>
      </c>
      <c r="F562" s="7" t="s">
        <v>20</v>
      </c>
      <c r="G562" s="7"/>
      <c r="H562" s="7"/>
      <c r="I562" s="7"/>
      <c r="J562" s="7">
        <v>3</v>
      </c>
      <c r="K562" s="7" t="s">
        <v>660</v>
      </c>
      <c r="L562" s="7" t="s">
        <v>663</v>
      </c>
      <c r="M562" s="8">
        <v>44211</v>
      </c>
      <c r="N562" s="8">
        <v>44225</v>
      </c>
      <c r="O562" s="13"/>
      <c r="P562" s="13">
        <v>580080.17000000004</v>
      </c>
      <c r="Q562" s="33"/>
      <c r="R562" s="22"/>
      <c r="S562" s="22"/>
      <c r="T562" s="22"/>
      <c r="U562" s="22"/>
      <c r="X562" s="15" t="str">
        <f>IF(B562="",VLOOKUP(A562,items_lookup!A:B,2,FALSE),B562)</f>
        <v>09. Item 09</v>
      </c>
      <c r="Y562" s="15">
        <f t="shared" si="53"/>
        <v>1</v>
      </c>
      <c r="Z562" s="15">
        <f t="shared" si="53"/>
        <v>1</v>
      </c>
      <c r="AA562" s="15">
        <f t="shared" si="54"/>
        <v>2021</v>
      </c>
      <c r="AB562" s="15">
        <f t="shared" si="55"/>
        <v>2021</v>
      </c>
      <c r="AC562" s="15">
        <f t="shared" si="56"/>
        <v>2020</v>
      </c>
      <c r="AD562" s="18" t="b">
        <f t="shared" si="52"/>
        <v>1</v>
      </c>
    </row>
    <row r="563" spans="1:30" ht="15" hidden="1" customHeight="1" x14ac:dyDescent="0.2">
      <c r="A563" s="7" t="s">
        <v>676</v>
      </c>
      <c r="B563" s="7"/>
      <c r="C563" s="2" t="s">
        <v>641</v>
      </c>
      <c r="D563" s="6" t="s">
        <v>649</v>
      </c>
      <c r="E563" s="32" t="s">
        <v>651</v>
      </c>
      <c r="F563" s="7"/>
      <c r="G563" s="7"/>
      <c r="H563" s="7"/>
      <c r="I563" s="7"/>
      <c r="J563" s="7">
        <v>3</v>
      </c>
      <c r="K563" s="7" t="s">
        <v>660</v>
      </c>
      <c r="L563" s="7" t="s">
        <v>663</v>
      </c>
      <c r="M563" s="8">
        <v>44211</v>
      </c>
      <c r="N563" s="8">
        <v>44225</v>
      </c>
      <c r="O563" s="13"/>
      <c r="P563" s="13">
        <v>2316583.21</v>
      </c>
      <c r="Q563" s="33"/>
      <c r="R563" s="22"/>
      <c r="S563" s="22"/>
      <c r="T563" s="22"/>
      <c r="U563" s="22"/>
      <c r="X563" s="15" t="str">
        <f>IF(B563="",VLOOKUP(A563,items_lookup!A:B,2,FALSE),B563)</f>
        <v>09. Item 09</v>
      </c>
      <c r="Y563" s="15">
        <f t="shared" si="53"/>
        <v>1</v>
      </c>
      <c r="Z563" s="15">
        <f t="shared" si="53"/>
        <v>1</v>
      </c>
      <c r="AA563" s="15">
        <f t="shared" si="54"/>
        <v>2021</v>
      </c>
      <c r="AB563" s="15">
        <f t="shared" si="55"/>
        <v>2021</v>
      </c>
      <c r="AC563" s="15">
        <f t="shared" si="56"/>
        <v>2021</v>
      </c>
      <c r="AD563" s="18" t="b">
        <f t="shared" si="52"/>
        <v>1</v>
      </c>
    </row>
    <row r="564" spans="1:30" ht="15" hidden="1" customHeight="1" x14ac:dyDescent="0.2">
      <c r="A564" s="7" t="s">
        <v>675</v>
      </c>
      <c r="B564" s="7"/>
      <c r="C564" s="2" t="s">
        <v>641</v>
      </c>
      <c r="D564" s="6" t="s">
        <v>649</v>
      </c>
      <c r="E564" s="32" t="s">
        <v>651</v>
      </c>
      <c r="F564" s="7" t="s">
        <v>20</v>
      </c>
      <c r="G564" s="7"/>
      <c r="H564" s="7"/>
      <c r="I564" s="7"/>
      <c r="J564" s="7">
        <v>3</v>
      </c>
      <c r="K564" s="7" t="s">
        <v>660</v>
      </c>
      <c r="L564" s="7" t="s">
        <v>663</v>
      </c>
      <c r="M564" s="8">
        <v>44211</v>
      </c>
      <c r="N564" s="8">
        <v>44225</v>
      </c>
      <c r="O564" s="13"/>
      <c r="P564" s="13">
        <v>2580205.63</v>
      </c>
      <c r="Q564" s="33"/>
      <c r="R564" s="22"/>
      <c r="S564" s="22"/>
      <c r="T564" s="22"/>
      <c r="U564" s="22"/>
      <c r="X564" s="15" t="str">
        <f>IF(B564="",VLOOKUP(A564,items_lookup!A:B,2,FALSE),B564)</f>
        <v>09. Item 09</v>
      </c>
      <c r="Y564" s="15">
        <f t="shared" si="53"/>
        <v>1</v>
      </c>
      <c r="Z564" s="15">
        <f t="shared" si="53"/>
        <v>1</v>
      </c>
      <c r="AA564" s="15">
        <f t="shared" si="54"/>
        <v>2021</v>
      </c>
      <c r="AB564" s="15">
        <f t="shared" si="55"/>
        <v>2021</v>
      </c>
      <c r="AC564" s="15">
        <f t="shared" si="56"/>
        <v>2020</v>
      </c>
      <c r="AD564" s="18" t="b">
        <f t="shared" si="52"/>
        <v>1</v>
      </c>
    </row>
    <row r="565" spans="1:30" ht="15" hidden="1" customHeight="1" x14ac:dyDescent="0.2">
      <c r="A565" s="7" t="s">
        <v>684</v>
      </c>
      <c r="B565" s="7"/>
      <c r="C565" s="2" t="s">
        <v>641</v>
      </c>
      <c r="D565" s="6" t="s">
        <v>649</v>
      </c>
      <c r="E565" s="32" t="s">
        <v>651</v>
      </c>
      <c r="F565" s="7"/>
      <c r="G565" s="7"/>
      <c r="H565" s="7"/>
      <c r="I565" s="7"/>
      <c r="J565" s="7">
        <v>3</v>
      </c>
      <c r="K565" s="7" t="s">
        <v>660</v>
      </c>
      <c r="L565" s="7" t="s">
        <v>663</v>
      </c>
      <c r="M565" s="8">
        <v>44211</v>
      </c>
      <c r="N565" s="8">
        <v>44231</v>
      </c>
      <c r="O565" s="13"/>
      <c r="P565" s="13">
        <v>86672.4</v>
      </c>
      <c r="Q565" s="33"/>
      <c r="R565" s="22"/>
      <c r="S565" s="22"/>
      <c r="T565" s="22"/>
      <c r="U565" s="22"/>
      <c r="X565" s="15" t="str">
        <f>IF(B565="",VLOOKUP(A565,items_lookup!A:B,2,FALSE),B565)</f>
        <v>09. Item 09</v>
      </c>
      <c r="Y565" s="15">
        <f t="shared" si="53"/>
        <v>1</v>
      </c>
      <c r="Z565" s="15">
        <f t="shared" si="53"/>
        <v>2</v>
      </c>
      <c r="AA565" s="15">
        <f t="shared" si="54"/>
        <v>2021</v>
      </c>
      <c r="AB565" s="15">
        <f t="shared" si="55"/>
        <v>2021</v>
      </c>
      <c r="AC565" s="15">
        <f t="shared" si="56"/>
        <v>2021</v>
      </c>
      <c r="AD565" s="18" t="b">
        <f t="shared" si="52"/>
        <v>1</v>
      </c>
    </row>
    <row r="566" spans="1:30" ht="15" hidden="1" customHeight="1" x14ac:dyDescent="0.2">
      <c r="A566" s="7" t="s">
        <v>677</v>
      </c>
      <c r="B566" s="7"/>
      <c r="C566" s="2" t="s">
        <v>648</v>
      </c>
      <c r="D566" s="6" t="s">
        <v>649</v>
      </c>
      <c r="E566" s="32" t="s">
        <v>651</v>
      </c>
      <c r="F566" s="7"/>
      <c r="G566" s="7"/>
      <c r="H566" s="7"/>
      <c r="I566" s="7"/>
      <c r="J566" s="7"/>
      <c r="K566" s="7"/>
      <c r="L566" s="7" t="s">
        <v>663</v>
      </c>
      <c r="M566" s="8">
        <v>44197</v>
      </c>
      <c r="N566" s="8">
        <v>44197</v>
      </c>
      <c r="O566" s="13"/>
      <c r="P566" s="13">
        <v>7710324.4199999999</v>
      </c>
      <c r="Q566" s="33"/>
      <c r="R566" s="22"/>
      <c r="S566" s="22"/>
      <c r="T566" s="22"/>
      <c r="U566" s="22"/>
      <c r="X566" s="15" t="str">
        <f>IF(B566="",VLOOKUP(A566,items_lookup!A:B,2,FALSE),B566)</f>
        <v>11. Item 11</v>
      </c>
      <c r="Y566" s="15">
        <f t="shared" si="53"/>
        <v>1</v>
      </c>
      <c r="Z566" s="15">
        <f t="shared" si="53"/>
        <v>1</v>
      </c>
      <c r="AA566" s="15">
        <f t="shared" si="54"/>
        <v>2021</v>
      </c>
      <c r="AB566" s="15">
        <f t="shared" si="55"/>
        <v>2021</v>
      </c>
      <c r="AC566" s="15">
        <f t="shared" si="56"/>
        <v>2021</v>
      </c>
      <c r="AD566" s="18" t="b">
        <f t="shared" si="52"/>
        <v>1</v>
      </c>
    </row>
    <row r="567" spans="1:30" ht="15" hidden="1" customHeight="1" x14ac:dyDescent="0.2">
      <c r="A567" s="7" t="s">
        <v>690</v>
      </c>
      <c r="B567" s="7"/>
      <c r="C567" s="2" t="s">
        <v>648</v>
      </c>
      <c r="D567" s="6" t="s">
        <v>649</v>
      </c>
      <c r="E567" s="32" t="s">
        <v>651</v>
      </c>
      <c r="F567" s="7"/>
      <c r="G567" s="7"/>
      <c r="H567" s="7"/>
      <c r="I567" s="7"/>
      <c r="J567" s="7"/>
      <c r="K567" s="7"/>
      <c r="L567" s="7" t="s">
        <v>663</v>
      </c>
      <c r="M567" s="8">
        <v>44197</v>
      </c>
      <c r="N567" s="8">
        <v>44197</v>
      </c>
      <c r="O567" s="13"/>
      <c r="P567" s="13">
        <v>6685422.1399999997</v>
      </c>
      <c r="Q567" s="33"/>
      <c r="R567" s="22"/>
      <c r="S567" s="22"/>
      <c r="T567" s="22"/>
      <c r="U567" s="22"/>
      <c r="X567" s="15" t="str">
        <f>IF(B567="",VLOOKUP(A567,items_lookup!A:B,2,FALSE),B567)</f>
        <v>21. Item 21</v>
      </c>
      <c r="Y567" s="15">
        <f t="shared" si="53"/>
        <v>1</v>
      </c>
      <c r="Z567" s="15">
        <f t="shared" si="53"/>
        <v>1</v>
      </c>
      <c r="AA567" s="15">
        <f t="shared" si="54"/>
        <v>2021</v>
      </c>
      <c r="AB567" s="15">
        <f t="shared" si="55"/>
        <v>2021</v>
      </c>
      <c r="AC567" s="15">
        <f t="shared" si="56"/>
        <v>2021</v>
      </c>
      <c r="AD567" s="18" t="b">
        <f t="shared" si="52"/>
        <v>1</v>
      </c>
    </row>
    <row r="568" spans="1:30" ht="15" hidden="1" customHeight="1" x14ac:dyDescent="0.2">
      <c r="A568" s="7" t="s">
        <v>687</v>
      </c>
      <c r="B568" s="7"/>
      <c r="C568" s="2" t="s">
        <v>648</v>
      </c>
      <c r="D568" s="6" t="s">
        <v>649</v>
      </c>
      <c r="E568" s="32" t="s">
        <v>651</v>
      </c>
      <c r="F568" s="7"/>
      <c r="G568" s="7"/>
      <c r="H568" s="7"/>
      <c r="I568" s="7"/>
      <c r="J568" s="7"/>
      <c r="K568" s="7"/>
      <c r="L568" s="7" t="s">
        <v>663</v>
      </c>
      <c r="M568" s="8">
        <v>44197</v>
      </c>
      <c r="N568" s="8">
        <v>44197</v>
      </c>
      <c r="O568" s="13"/>
      <c r="P568" s="13">
        <v>1352834.33</v>
      </c>
      <c r="Q568" s="33"/>
      <c r="R568" s="22"/>
      <c r="S568" s="22"/>
      <c r="T568" s="22"/>
      <c r="U568" s="22"/>
      <c r="X568" s="15" t="str">
        <f>IF(B568="",VLOOKUP(A568,items_lookup!A:B,2,FALSE),B568)</f>
        <v>14. Item 14</v>
      </c>
      <c r="Y568" s="15">
        <f t="shared" ref="Y568:Z629" si="57">MONTH(M568)</f>
        <v>1</v>
      </c>
      <c r="Z568" s="15">
        <f t="shared" si="57"/>
        <v>1</v>
      </c>
      <c r="AA568" s="15">
        <f t="shared" si="54"/>
        <v>2021</v>
      </c>
      <c r="AB568" s="15">
        <f t="shared" si="55"/>
        <v>2021</v>
      </c>
      <c r="AC568" s="15">
        <f t="shared" si="56"/>
        <v>2021</v>
      </c>
      <c r="AD568" s="18" t="b">
        <f t="shared" si="52"/>
        <v>1</v>
      </c>
    </row>
    <row r="569" spans="1:30" ht="15" hidden="1" customHeight="1" x14ac:dyDescent="0.2">
      <c r="A569" s="7" t="s">
        <v>687</v>
      </c>
      <c r="B569" s="7"/>
      <c r="C569" s="2" t="s">
        <v>648</v>
      </c>
      <c r="D569" s="6" t="s">
        <v>649</v>
      </c>
      <c r="E569" s="32" t="s">
        <v>651</v>
      </c>
      <c r="F569" s="7"/>
      <c r="G569" s="7"/>
      <c r="H569" s="7"/>
      <c r="I569" s="7"/>
      <c r="J569" s="7"/>
      <c r="K569" s="7"/>
      <c r="L569" s="7" t="s">
        <v>663</v>
      </c>
      <c r="M569" s="8">
        <v>44197</v>
      </c>
      <c r="N569" s="8">
        <v>44197</v>
      </c>
      <c r="O569" s="13"/>
      <c r="P569" s="13">
        <v>1870637.85</v>
      </c>
      <c r="Q569" s="33"/>
      <c r="X569" s="15" t="str">
        <f>IF(B569="",VLOOKUP(A569,items_lookup!A:B,2,FALSE),B569)</f>
        <v>14. Item 14</v>
      </c>
      <c r="Y569" s="15">
        <f t="shared" si="57"/>
        <v>1</v>
      </c>
      <c r="Z569" s="15">
        <f t="shared" si="57"/>
        <v>1</v>
      </c>
      <c r="AA569" s="15">
        <f t="shared" si="54"/>
        <v>2021</v>
      </c>
      <c r="AB569" s="15">
        <f t="shared" si="55"/>
        <v>2021</v>
      </c>
      <c r="AC569" s="15">
        <f t="shared" si="56"/>
        <v>2021</v>
      </c>
      <c r="AD569" s="18" t="b">
        <f t="shared" si="52"/>
        <v>1</v>
      </c>
    </row>
    <row r="570" spans="1:30" ht="15" hidden="1" customHeight="1" x14ac:dyDescent="0.2">
      <c r="A570" s="7" t="s">
        <v>675</v>
      </c>
      <c r="B570" s="7"/>
      <c r="C570" s="2" t="s">
        <v>648</v>
      </c>
      <c r="D570" s="6" t="s">
        <v>649</v>
      </c>
      <c r="E570" s="32" t="s">
        <v>651</v>
      </c>
      <c r="F570" s="7"/>
      <c r="G570" s="7"/>
      <c r="H570" s="7"/>
      <c r="I570" s="7"/>
      <c r="J570" s="7"/>
      <c r="K570" s="7"/>
      <c r="L570" s="7" t="s">
        <v>663</v>
      </c>
      <c r="M570" s="8">
        <v>44197</v>
      </c>
      <c r="N570" s="8">
        <v>44197</v>
      </c>
      <c r="O570" s="13"/>
      <c r="P570" s="13">
        <v>636296.01</v>
      </c>
      <c r="Q570" s="33"/>
      <c r="X570" s="15" t="str">
        <f>IF(B570="",VLOOKUP(A570,items_lookup!A:B,2,FALSE),B570)</f>
        <v>09. Item 09</v>
      </c>
      <c r="Y570" s="15">
        <f t="shared" si="57"/>
        <v>1</v>
      </c>
      <c r="Z570" s="15">
        <f t="shared" si="57"/>
        <v>1</v>
      </c>
      <c r="AA570" s="15">
        <f t="shared" si="54"/>
        <v>2021</v>
      </c>
      <c r="AB570" s="15">
        <f t="shared" si="55"/>
        <v>2021</v>
      </c>
      <c r="AC570" s="15">
        <f t="shared" si="56"/>
        <v>2021</v>
      </c>
      <c r="AD570" s="18" t="b">
        <f t="shared" si="52"/>
        <v>1</v>
      </c>
    </row>
    <row r="571" spans="1:30" ht="15" hidden="1" customHeight="1" x14ac:dyDescent="0.2">
      <c r="A571" s="7" t="s">
        <v>681</v>
      </c>
      <c r="B571" s="7"/>
      <c r="C571" s="2" t="s">
        <v>648</v>
      </c>
      <c r="D571" s="6" t="s">
        <v>649</v>
      </c>
      <c r="E571" s="32" t="s">
        <v>651</v>
      </c>
      <c r="F571" s="7"/>
      <c r="G571" s="7"/>
      <c r="H571" s="7"/>
      <c r="I571" s="7"/>
      <c r="J571" s="7"/>
      <c r="K571" s="7"/>
      <c r="L571" s="7" t="s">
        <v>663</v>
      </c>
      <c r="M571" s="8">
        <v>44197</v>
      </c>
      <c r="N571" s="8">
        <v>44197</v>
      </c>
      <c r="O571" s="13"/>
      <c r="P571" s="13">
        <v>1048906.43</v>
      </c>
      <c r="Q571" s="33"/>
      <c r="X571" s="15" t="str">
        <f>IF(B571="",VLOOKUP(A571,items_lookup!A:B,2,FALSE),B571)</f>
        <v>19. Item 19</v>
      </c>
      <c r="Y571" s="15">
        <f t="shared" si="57"/>
        <v>1</v>
      </c>
      <c r="Z571" s="15">
        <f t="shared" si="57"/>
        <v>1</v>
      </c>
      <c r="AA571" s="15">
        <f t="shared" si="54"/>
        <v>2021</v>
      </c>
      <c r="AB571" s="15">
        <f t="shared" si="55"/>
        <v>2021</v>
      </c>
      <c r="AC571" s="15">
        <f t="shared" si="56"/>
        <v>2021</v>
      </c>
      <c r="AD571" s="18" t="b">
        <f t="shared" si="52"/>
        <v>1</v>
      </c>
    </row>
    <row r="572" spans="1:30" ht="12.75" hidden="1" customHeight="1" x14ac:dyDescent="0.2">
      <c r="A572" s="7" t="s">
        <v>671</v>
      </c>
      <c r="B572" s="7"/>
      <c r="C572" s="2" t="s">
        <v>648</v>
      </c>
      <c r="D572" s="6" t="s">
        <v>649</v>
      </c>
      <c r="E572" s="32" t="s">
        <v>651</v>
      </c>
      <c r="F572" s="7"/>
      <c r="G572" s="7"/>
      <c r="H572" s="7"/>
      <c r="I572" s="7"/>
      <c r="J572" s="7"/>
      <c r="K572" s="7"/>
      <c r="L572" s="7" t="s">
        <v>663</v>
      </c>
      <c r="M572" s="8">
        <v>44197</v>
      </c>
      <c r="N572" s="8">
        <v>44197</v>
      </c>
      <c r="O572" s="13"/>
      <c r="P572" s="13">
        <v>13475.36</v>
      </c>
      <c r="Q572" s="33"/>
      <c r="R572" s="22"/>
      <c r="S572" s="22"/>
      <c r="T572" s="22"/>
      <c r="U572" s="22"/>
      <c r="X572" s="15" t="str">
        <f>IF(B572="",VLOOKUP(A572,items_lookup!A:B,2,FALSE),B572)</f>
        <v>05. Item 05</v>
      </c>
      <c r="Y572" s="15">
        <f t="shared" si="57"/>
        <v>1</v>
      </c>
      <c r="Z572" s="15">
        <f t="shared" si="57"/>
        <v>1</v>
      </c>
      <c r="AA572" s="15">
        <f t="shared" si="54"/>
        <v>2021</v>
      </c>
      <c r="AB572" s="15">
        <f t="shared" si="55"/>
        <v>2021</v>
      </c>
      <c r="AC572" s="15">
        <f t="shared" si="56"/>
        <v>2021</v>
      </c>
      <c r="AD572" s="18" t="b">
        <f t="shared" si="52"/>
        <v>1</v>
      </c>
    </row>
    <row r="573" spans="1:30" ht="15.75" hidden="1" customHeight="1" x14ac:dyDescent="0.2">
      <c r="A573" s="7" t="s">
        <v>673</v>
      </c>
      <c r="B573" s="7"/>
      <c r="C573" s="2" t="s">
        <v>648</v>
      </c>
      <c r="D573" s="6" t="s">
        <v>649</v>
      </c>
      <c r="E573" s="32" t="s">
        <v>651</v>
      </c>
      <c r="F573" s="7"/>
      <c r="G573" s="7"/>
      <c r="H573" s="7"/>
      <c r="I573" s="7"/>
      <c r="J573" s="7"/>
      <c r="K573" s="7"/>
      <c r="L573" s="7" t="s">
        <v>663</v>
      </c>
      <c r="M573" s="8">
        <v>44197</v>
      </c>
      <c r="N573" s="8">
        <v>44197</v>
      </c>
      <c r="O573" s="13"/>
      <c r="P573" s="13">
        <v>60159.16</v>
      </c>
      <c r="Q573" s="33"/>
      <c r="R573" s="22"/>
      <c r="S573" s="22"/>
      <c r="T573" s="22"/>
      <c r="U573" s="22"/>
      <c r="X573" s="15" t="str">
        <f>IF(B573="",VLOOKUP(A573,items_lookup!A:B,2,FALSE),B573)</f>
        <v>07. Item 07</v>
      </c>
      <c r="Y573" s="15">
        <f t="shared" si="57"/>
        <v>1</v>
      </c>
      <c r="Z573" s="15">
        <f t="shared" si="57"/>
        <v>1</v>
      </c>
      <c r="AA573" s="15">
        <f t="shared" si="54"/>
        <v>2021</v>
      </c>
      <c r="AB573" s="15">
        <f t="shared" si="55"/>
        <v>2021</v>
      </c>
      <c r="AC573" s="15">
        <f t="shared" si="56"/>
        <v>2021</v>
      </c>
      <c r="AD573" s="18" t="b">
        <f t="shared" si="52"/>
        <v>1</v>
      </c>
    </row>
    <row r="574" spans="1:30" ht="15" hidden="1" customHeight="1" x14ac:dyDescent="0.2">
      <c r="A574" s="7" t="s">
        <v>673</v>
      </c>
      <c r="B574" s="7"/>
      <c r="C574" s="2" t="s">
        <v>648</v>
      </c>
      <c r="D574" s="6" t="s">
        <v>649</v>
      </c>
      <c r="E574" s="32" t="s">
        <v>651</v>
      </c>
      <c r="F574" s="7"/>
      <c r="G574" s="7"/>
      <c r="H574" s="7"/>
      <c r="I574" s="7"/>
      <c r="J574" s="7"/>
      <c r="K574" s="7"/>
      <c r="L574" s="7" t="s">
        <v>663</v>
      </c>
      <c r="M574" s="8">
        <v>44197</v>
      </c>
      <c r="N574" s="8">
        <v>44197</v>
      </c>
      <c r="O574" s="13"/>
      <c r="P574" s="13">
        <v>33889.230000000003</v>
      </c>
      <c r="Q574" s="33"/>
      <c r="R574" s="22"/>
      <c r="S574" s="22"/>
      <c r="T574" s="22"/>
      <c r="U574" s="22"/>
      <c r="X574" s="15" t="str">
        <f>IF(B574="",VLOOKUP(A574,items_lookup!A:B,2,FALSE),B574)</f>
        <v>07. Item 07</v>
      </c>
      <c r="Y574" s="15">
        <f t="shared" si="57"/>
        <v>1</v>
      </c>
      <c r="Z574" s="15">
        <f t="shared" si="57"/>
        <v>1</v>
      </c>
      <c r="AA574" s="15">
        <f t="shared" si="54"/>
        <v>2021</v>
      </c>
      <c r="AB574" s="15">
        <f t="shared" si="55"/>
        <v>2021</v>
      </c>
      <c r="AC574" s="15">
        <f t="shared" si="56"/>
        <v>2021</v>
      </c>
      <c r="AD574" s="18" t="b">
        <f t="shared" si="52"/>
        <v>1</v>
      </c>
    </row>
    <row r="575" spans="1:30" ht="15" hidden="1" customHeight="1" x14ac:dyDescent="0.2">
      <c r="A575" s="7" t="s">
        <v>691</v>
      </c>
      <c r="B575" s="7"/>
      <c r="C575" s="2" t="s">
        <v>648</v>
      </c>
      <c r="D575" s="6" t="s">
        <v>649</v>
      </c>
      <c r="E575" s="32" t="s">
        <v>651</v>
      </c>
      <c r="F575" s="7"/>
      <c r="G575" s="7"/>
      <c r="H575" s="7"/>
      <c r="I575" s="7"/>
      <c r="J575" s="7"/>
      <c r="K575" s="7"/>
      <c r="L575" s="7" t="s">
        <v>663</v>
      </c>
      <c r="M575" s="8">
        <v>44197</v>
      </c>
      <c r="N575" s="8">
        <v>44197</v>
      </c>
      <c r="O575" s="13"/>
      <c r="P575" s="13">
        <v>133604.17000000001</v>
      </c>
      <c r="Q575" s="33"/>
      <c r="R575" s="22"/>
      <c r="S575" s="22"/>
      <c r="T575" s="22"/>
      <c r="U575" s="22"/>
      <c r="X575" s="15" t="str">
        <f>IF(B575="",VLOOKUP(A575,items_lookup!A:B,2,FALSE),B575)</f>
        <v>03. Item 03</v>
      </c>
      <c r="Y575" s="15">
        <f t="shared" si="57"/>
        <v>1</v>
      </c>
      <c r="Z575" s="15">
        <f t="shared" si="57"/>
        <v>1</v>
      </c>
      <c r="AA575" s="15">
        <f t="shared" si="54"/>
        <v>2021</v>
      </c>
      <c r="AB575" s="15">
        <f t="shared" si="55"/>
        <v>2021</v>
      </c>
      <c r="AC575" s="15">
        <f t="shared" si="56"/>
        <v>2021</v>
      </c>
      <c r="AD575" s="18" t="b">
        <f t="shared" si="52"/>
        <v>1</v>
      </c>
    </row>
    <row r="576" spans="1:30" ht="15" hidden="1" customHeight="1" x14ac:dyDescent="0.2">
      <c r="A576" s="7" t="s">
        <v>692</v>
      </c>
      <c r="B576" s="7"/>
      <c r="C576" s="2" t="s">
        <v>648</v>
      </c>
      <c r="D576" s="6" t="s">
        <v>649</v>
      </c>
      <c r="E576" s="32" t="s">
        <v>651</v>
      </c>
      <c r="F576" s="7"/>
      <c r="G576" s="7"/>
      <c r="H576" s="7"/>
      <c r="I576" s="7"/>
      <c r="J576" s="7"/>
      <c r="K576" s="7"/>
      <c r="L576" s="7" t="s">
        <v>663</v>
      </c>
      <c r="M576" s="8">
        <v>44197</v>
      </c>
      <c r="N576" s="8">
        <v>44197</v>
      </c>
      <c r="O576" s="13"/>
      <c r="P576" s="13">
        <v>1778529.94</v>
      </c>
      <c r="Q576" s="33"/>
      <c r="R576" s="22"/>
      <c r="S576" s="22"/>
      <c r="T576" s="22"/>
      <c r="U576" s="22"/>
      <c r="X576" s="15" t="str">
        <f>IF(B576="",VLOOKUP(A576,items_lookup!A:B,2,FALSE),B576)</f>
        <v>03. Item 03</v>
      </c>
      <c r="Y576" s="15">
        <f t="shared" si="57"/>
        <v>1</v>
      </c>
      <c r="Z576" s="15">
        <f t="shared" si="57"/>
        <v>1</v>
      </c>
      <c r="AA576" s="15">
        <f t="shared" si="54"/>
        <v>2021</v>
      </c>
      <c r="AB576" s="15">
        <f t="shared" si="55"/>
        <v>2021</v>
      </c>
      <c r="AC576" s="15">
        <f t="shared" si="56"/>
        <v>2021</v>
      </c>
      <c r="AD576" s="18" t="b">
        <f t="shared" si="52"/>
        <v>1</v>
      </c>
    </row>
    <row r="577" spans="1:30" ht="17.25" hidden="1" customHeight="1" x14ac:dyDescent="0.2">
      <c r="A577" s="7" t="s">
        <v>676</v>
      </c>
      <c r="B577" s="7"/>
      <c r="C577" s="2" t="s">
        <v>648</v>
      </c>
      <c r="D577" s="6" t="s">
        <v>649</v>
      </c>
      <c r="E577" s="32" t="s">
        <v>651</v>
      </c>
      <c r="F577" s="7"/>
      <c r="G577" s="7"/>
      <c r="H577" s="7"/>
      <c r="I577" s="7"/>
      <c r="J577" s="7"/>
      <c r="K577" s="7"/>
      <c r="L577" s="7" t="s">
        <v>663</v>
      </c>
      <c r="M577" s="8">
        <v>44197</v>
      </c>
      <c r="N577" s="8">
        <v>44197</v>
      </c>
      <c r="O577" s="13"/>
      <c r="P577" s="13">
        <v>441560.19</v>
      </c>
      <c r="Q577" s="33"/>
      <c r="R577" s="22"/>
      <c r="S577" s="22"/>
      <c r="T577" s="22"/>
      <c r="U577" s="22"/>
      <c r="X577" s="15" t="str">
        <f>IF(B577="",VLOOKUP(A577,items_lookup!A:B,2,FALSE),B577)</f>
        <v>09. Item 09</v>
      </c>
      <c r="Y577" s="15">
        <f t="shared" si="57"/>
        <v>1</v>
      </c>
      <c r="Z577" s="15">
        <f t="shared" si="57"/>
        <v>1</v>
      </c>
      <c r="AA577" s="15">
        <f t="shared" si="54"/>
        <v>2021</v>
      </c>
      <c r="AB577" s="15">
        <f t="shared" si="55"/>
        <v>2021</v>
      </c>
      <c r="AC577" s="15">
        <f t="shared" si="56"/>
        <v>2021</v>
      </c>
      <c r="AD577" s="18" t="b">
        <f t="shared" si="52"/>
        <v>1</v>
      </c>
    </row>
    <row r="578" spans="1:30" ht="15" hidden="1" customHeight="1" x14ac:dyDescent="0.2">
      <c r="A578" s="7" t="s">
        <v>676</v>
      </c>
      <c r="B578" s="7"/>
      <c r="C578" s="2" t="s">
        <v>648</v>
      </c>
      <c r="D578" s="6" t="s">
        <v>649</v>
      </c>
      <c r="E578" s="32" t="s">
        <v>651</v>
      </c>
      <c r="F578" s="7"/>
      <c r="G578" s="7"/>
      <c r="H578" s="7"/>
      <c r="I578" s="7"/>
      <c r="J578" s="7"/>
      <c r="K578" s="7"/>
      <c r="L578" s="7" t="s">
        <v>663</v>
      </c>
      <c r="M578" s="8">
        <v>44197</v>
      </c>
      <c r="N578" s="8">
        <v>44197</v>
      </c>
      <c r="O578" s="13"/>
      <c r="P578" s="13">
        <v>143.57</v>
      </c>
      <c r="Q578" s="33"/>
      <c r="R578" s="22"/>
      <c r="S578" s="22"/>
      <c r="T578" s="22"/>
      <c r="U578" s="22"/>
      <c r="X578" s="15" t="str">
        <f>IF(B578="",VLOOKUP(A578,items_lookup!A:B,2,FALSE),B578)</f>
        <v>09. Item 09</v>
      </c>
      <c r="Y578" s="15">
        <f t="shared" si="57"/>
        <v>1</v>
      </c>
      <c r="Z578" s="15">
        <f t="shared" si="57"/>
        <v>1</v>
      </c>
      <c r="AA578" s="15">
        <f t="shared" si="54"/>
        <v>2021</v>
      </c>
      <c r="AB578" s="15">
        <f t="shared" si="55"/>
        <v>2021</v>
      </c>
      <c r="AC578" s="15">
        <f t="shared" si="56"/>
        <v>2021</v>
      </c>
      <c r="AD578" s="18" t="b">
        <f t="shared" si="52"/>
        <v>1</v>
      </c>
    </row>
    <row r="579" spans="1:30" ht="15" hidden="1" customHeight="1" x14ac:dyDescent="0.2">
      <c r="A579" s="7" t="s">
        <v>684</v>
      </c>
      <c r="B579" s="7"/>
      <c r="C579" s="2" t="s">
        <v>648</v>
      </c>
      <c r="D579" s="6" t="s">
        <v>649</v>
      </c>
      <c r="E579" s="32" t="s">
        <v>651</v>
      </c>
      <c r="F579" s="7"/>
      <c r="G579" s="7"/>
      <c r="H579" s="7"/>
      <c r="I579" s="7"/>
      <c r="J579" s="7"/>
      <c r="K579" s="7"/>
      <c r="L579" s="7" t="s">
        <v>663</v>
      </c>
      <c r="M579" s="8">
        <v>44197</v>
      </c>
      <c r="N579" s="8">
        <v>44197</v>
      </c>
      <c r="O579" s="13"/>
      <c r="P579" s="13">
        <v>187442.86</v>
      </c>
      <c r="Q579" s="33"/>
      <c r="R579" s="22"/>
      <c r="S579" s="22"/>
      <c r="T579" s="22"/>
      <c r="U579" s="22"/>
      <c r="X579" s="15" t="str">
        <f>IF(B579="",VLOOKUP(A579,items_lookup!A:B,2,FALSE),B579)</f>
        <v>09. Item 09</v>
      </c>
      <c r="Y579" s="15">
        <f t="shared" si="57"/>
        <v>1</v>
      </c>
      <c r="Z579" s="15">
        <f t="shared" si="57"/>
        <v>1</v>
      </c>
      <c r="AA579" s="15">
        <f t="shared" si="54"/>
        <v>2021</v>
      </c>
      <c r="AB579" s="15">
        <f t="shared" si="55"/>
        <v>2021</v>
      </c>
      <c r="AC579" s="15">
        <f t="shared" si="56"/>
        <v>2021</v>
      </c>
      <c r="AD579" s="18" t="b">
        <f t="shared" ref="AD579:AD642" si="58">AND(ROUND(O579,2)=O579,ROUND(P579,2)=P579,OR(AND(O579&lt;&gt;0,L579="p"),AND(P579&lt;&gt;0,L579="f")),_xlfn.ISFORMULA(X579),_xlfn.ISFORMULA(Y579),_xlfn.ISFORMULA(Z579),_xlfn.ISFORMULA(AA579),_xlfn.ISFORMULA(AB579),_xlfn.ISFORMULA(AC579),NOT(_xlfn.ISFORMULA(O579)),NOT(_xlfn.ISFORMULA(P579)),M579&lt;&gt;0,N579&lt;&gt;0)</f>
        <v>1</v>
      </c>
    </row>
    <row r="580" spans="1:30" ht="25.5" hidden="1" customHeight="1" x14ac:dyDescent="0.2">
      <c r="A580" s="7" t="s">
        <v>693</v>
      </c>
      <c r="B580" s="7"/>
      <c r="C580" s="2" t="s">
        <v>648</v>
      </c>
      <c r="D580" s="6" t="s">
        <v>649</v>
      </c>
      <c r="E580" s="32" t="s">
        <v>651</v>
      </c>
      <c r="F580" s="7"/>
      <c r="G580" s="7"/>
      <c r="H580" s="7"/>
      <c r="I580" s="7"/>
      <c r="J580" s="7"/>
      <c r="K580" s="7"/>
      <c r="L580" s="7" t="s">
        <v>663</v>
      </c>
      <c r="M580" s="8">
        <v>44197</v>
      </c>
      <c r="N580" s="8">
        <v>44197</v>
      </c>
      <c r="O580" s="13"/>
      <c r="P580" s="13">
        <v>1165610.1200000001</v>
      </c>
      <c r="Q580" s="33"/>
      <c r="R580" s="22"/>
      <c r="S580" s="22"/>
      <c r="T580" s="22"/>
      <c r="U580" s="22"/>
      <c r="X580" s="15" t="str">
        <f>IF(B580="",VLOOKUP(A580,items_lookup!A:B,2,FALSE),B580)</f>
        <v>16. Item 16</v>
      </c>
      <c r="Y580" s="15">
        <f t="shared" si="57"/>
        <v>1</v>
      </c>
      <c r="Z580" s="15">
        <f t="shared" si="57"/>
        <v>1</v>
      </c>
      <c r="AA580" s="15">
        <f t="shared" si="54"/>
        <v>2021</v>
      </c>
      <c r="AB580" s="15">
        <f t="shared" si="55"/>
        <v>2021</v>
      </c>
      <c r="AC580" s="15">
        <f t="shared" si="56"/>
        <v>2021</v>
      </c>
      <c r="AD580" s="18" t="b">
        <f t="shared" si="58"/>
        <v>1</v>
      </c>
    </row>
    <row r="581" spans="1:30" ht="15" hidden="1" customHeight="1" x14ac:dyDescent="0.2">
      <c r="A581" s="7" t="s">
        <v>693</v>
      </c>
      <c r="B581" s="7"/>
      <c r="C581" s="2" t="s">
        <v>648</v>
      </c>
      <c r="D581" s="6" t="s">
        <v>649</v>
      </c>
      <c r="E581" s="32" t="s">
        <v>651</v>
      </c>
      <c r="F581" s="7"/>
      <c r="G581" s="7"/>
      <c r="H581" s="7"/>
      <c r="I581" s="7"/>
      <c r="J581" s="7"/>
      <c r="K581" s="7"/>
      <c r="L581" s="7" t="s">
        <v>663</v>
      </c>
      <c r="M581" s="8">
        <v>44197</v>
      </c>
      <c r="N581" s="8">
        <v>44197</v>
      </c>
      <c r="O581" s="13"/>
      <c r="P581" s="13">
        <v>2687085.43</v>
      </c>
      <c r="Q581" s="33"/>
      <c r="R581" s="22"/>
      <c r="S581" s="22"/>
      <c r="T581" s="22"/>
      <c r="U581" s="22"/>
      <c r="X581" s="15" t="str">
        <f>IF(B581="",VLOOKUP(A581,items_lookup!A:B,2,FALSE),B581)</f>
        <v>16. Item 16</v>
      </c>
      <c r="Y581" s="15">
        <f t="shared" si="57"/>
        <v>1</v>
      </c>
      <c r="Z581" s="15">
        <f t="shared" si="57"/>
        <v>1</v>
      </c>
      <c r="AA581" s="15">
        <f t="shared" si="54"/>
        <v>2021</v>
      </c>
      <c r="AB581" s="15">
        <f t="shared" si="55"/>
        <v>2021</v>
      </c>
      <c r="AC581" s="15">
        <f t="shared" si="56"/>
        <v>2021</v>
      </c>
      <c r="AD581" s="18" t="b">
        <f t="shared" si="58"/>
        <v>1</v>
      </c>
    </row>
    <row r="582" spans="1:30" ht="15" hidden="1" customHeight="1" x14ac:dyDescent="0.2">
      <c r="A582" s="7" t="s">
        <v>693</v>
      </c>
      <c r="B582" s="7"/>
      <c r="C582" s="2" t="s">
        <v>648</v>
      </c>
      <c r="D582" s="6" t="s">
        <v>649</v>
      </c>
      <c r="E582" s="32" t="s">
        <v>651</v>
      </c>
      <c r="F582" s="7"/>
      <c r="G582" s="7"/>
      <c r="H582" s="7"/>
      <c r="I582" s="7"/>
      <c r="J582" s="7"/>
      <c r="K582" s="7"/>
      <c r="L582" s="7" t="s">
        <v>663</v>
      </c>
      <c r="M582" s="8">
        <v>44197</v>
      </c>
      <c r="N582" s="8">
        <v>44197</v>
      </c>
      <c r="O582" s="13"/>
      <c r="P582" s="13">
        <v>3367728.23</v>
      </c>
      <c r="Q582" s="33"/>
      <c r="R582" s="22"/>
      <c r="S582" s="22"/>
      <c r="T582" s="22"/>
      <c r="U582" s="22"/>
      <c r="X582" s="15" t="str">
        <f>IF(B582="",VLOOKUP(A582,items_lookup!A:B,2,FALSE),B582)</f>
        <v>16. Item 16</v>
      </c>
      <c r="Y582" s="15">
        <f t="shared" si="57"/>
        <v>1</v>
      </c>
      <c r="Z582" s="15">
        <f t="shared" si="57"/>
        <v>1</v>
      </c>
      <c r="AA582" s="15">
        <f t="shared" si="54"/>
        <v>2021</v>
      </c>
      <c r="AB582" s="15">
        <f t="shared" si="55"/>
        <v>2021</v>
      </c>
      <c r="AC582" s="15">
        <f t="shared" si="56"/>
        <v>2021</v>
      </c>
      <c r="AD582" s="18" t="b">
        <f t="shared" si="58"/>
        <v>1</v>
      </c>
    </row>
    <row r="583" spans="1:30" ht="15" hidden="1" customHeight="1" x14ac:dyDescent="0.2">
      <c r="A583" s="7" t="s">
        <v>687</v>
      </c>
      <c r="B583" s="7"/>
      <c r="C583" s="2" t="s">
        <v>648</v>
      </c>
      <c r="D583" s="6" t="s">
        <v>649</v>
      </c>
      <c r="E583" s="32" t="s">
        <v>651</v>
      </c>
      <c r="F583" s="7"/>
      <c r="G583" s="7"/>
      <c r="H583" s="7"/>
      <c r="I583" s="7"/>
      <c r="J583" s="7"/>
      <c r="K583" s="7"/>
      <c r="L583" s="7" t="s">
        <v>663</v>
      </c>
      <c r="M583" s="8">
        <v>44197</v>
      </c>
      <c r="N583" s="8">
        <v>44197</v>
      </c>
      <c r="O583" s="13"/>
      <c r="P583" s="13">
        <v>98248.08</v>
      </c>
      <c r="Q583" s="33"/>
      <c r="R583" s="22"/>
      <c r="S583" s="22"/>
      <c r="T583" s="22"/>
      <c r="U583" s="22"/>
      <c r="X583" s="15" t="str">
        <f>IF(B583="",VLOOKUP(A583,items_lookup!A:B,2,FALSE),B583)</f>
        <v>14. Item 14</v>
      </c>
      <c r="Y583" s="15">
        <f t="shared" si="57"/>
        <v>1</v>
      </c>
      <c r="Z583" s="15">
        <f t="shared" si="57"/>
        <v>1</v>
      </c>
      <c r="AA583" s="15">
        <f t="shared" si="54"/>
        <v>2021</v>
      </c>
      <c r="AB583" s="15">
        <f t="shared" si="55"/>
        <v>2021</v>
      </c>
      <c r="AC583" s="15">
        <f t="shared" si="56"/>
        <v>2021</v>
      </c>
      <c r="AD583" s="18" t="b">
        <f t="shared" si="58"/>
        <v>1</v>
      </c>
    </row>
    <row r="584" spans="1:30" ht="15" hidden="1" customHeight="1" x14ac:dyDescent="0.2">
      <c r="A584" s="7" t="s">
        <v>678</v>
      </c>
      <c r="B584" s="7"/>
      <c r="C584" s="2" t="s">
        <v>648</v>
      </c>
      <c r="D584" s="6" t="s">
        <v>649</v>
      </c>
      <c r="E584" s="32" t="s">
        <v>651</v>
      </c>
      <c r="F584" s="7"/>
      <c r="G584" s="7"/>
      <c r="H584" s="7"/>
      <c r="I584" s="7"/>
      <c r="J584" s="7"/>
      <c r="K584" s="7"/>
      <c r="L584" s="7" t="s">
        <v>663</v>
      </c>
      <c r="M584" s="8">
        <v>44197</v>
      </c>
      <c r="N584" s="8">
        <v>44197</v>
      </c>
      <c r="O584" s="13"/>
      <c r="P584" s="13">
        <v>9060.7999999999993</v>
      </c>
      <c r="Q584" s="33"/>
      <c r="R584" s="22"/>
      <c r="S584" s="22"/>
      <c r="T584" s="22"/>
      <c r="U584" s="22"/>
      <c r="X584" s="15" t="str">
        <f>IF(B584="",VLOOKUP(A584,items_lookup!A:B,2,FALSE),B584)</f>
        <v>13. Item 13</v>
      </c>
      <c r="Y584" s="15">
        <f t="shared" si="57"/>
        <v>1</v>
      </c>
      <c r="Z584" s="15">
        <f t="shared" si="57"/>
        <v>1</v>
      </c>
      <c r="AA584" s="15">
        <f t="shared" si="54"/>
        <v>2021</v>
      </c>
      <c r="AB584" s="15">
        <f t="shared" si="55"/>
        <v>2021</v>
      </c>
      <c r="AC584" s="15">
        <f t="shared" si="56"/>
        <v>2021</v>
      </c>
      <c r="AD584" s="18" t="b">
        <f t="shared" si="58"/>
        <v>1</v>
      </c>
    </row>
    <row r="585" spans="1:30" ht="15" hidden="1" customHeight="1" x14ac:dyDescent="0.2">
      <c r="A585" s="7" t="s">
        <v>678</v>
      </c>
      <c r="B585" s="20"/>
      <c r="C585" s="2" t="s">
        <v>641</v>
      </c>
      <c r="D585" s="6" t="s">
        <v>649</v>
      </c>
      <c r="E585" s="32" t="s">
        <v>651</v>
      </c>
      <c r="F585" s="7"/>
      <c r="G585" s="7"/>
      <c r="H585" s="7"/>
      <c r="I585" s="7" t="s">
        <v>20</v>
      </c>
      <c r="J585" s="7">
        <v>1</v>
      </c>
      <c r="K585" s="7" t="s">
        <v>660</v>
      </c>
      <c r="L585" s="7" t="s">
        <v>663</v>
      </c>
      <c r="M585" s="8">
        <v>44211</v>
      </c>
      <c r="N585" s="8">
        <v>44222</v>
      </c>
      <c r="O585" s="13"/>
      <c r="P585" s="13">
        <v>3492857.14</v>
      </c>
      <c r="Q585" s="33"/>
      <c r="R585" s="22"/>
      <c r="S585" s="22"/>
      <c r="T585" s="22"/>
      <c r="U585" s="22"/>
      <c r="X585" s="15" t="str">
        <f>IF(B585="",VLOOKUP(A585,items_lookup!A:B,2,FALSE),B585)</f>
        <v>13. Item 13</v>
      </c>
      <c r="Y585" s="15">
        <f t="shared" si="57"/>
        <v>1</v>
      </c>
      <c r="Z585" s="15">
        <f t="shared" si="57"/>
        <v>1</v>
      </c>
      <c r="AA585" s="15">
        <f t="shared" si="54"/>
        <v>2021</v>
      </c>
      <c r="AB585" s="15">
        <f t="shared" si="55"/>
        <v>2021</v>
      </c>
      <c r="AC585" s="15">
        <f t="shared" si="56"/>
        <v>2021</v>
      </c>
      <c r="AD585" s="18" t="b">
        <f t="shared" si="58"/>
        <v>1</v>
      </c>
    </row>
    <row r="586" spans="1:30" ht="15" hidden="1" customHeight="1" x14ac:dyDescent="0.2">
      <c r="A586" s="7" t="s">
        <v>675</v>
      </c>
      <c r="B586" s="7"/>
      <c r="C586" s="2" t="s">
        <v>641</v>
      </c>
      <c r="D586" s="6" t="s">
        <v>649</v>
      </c>
      <c r="E586" s="32" t="s">
        <v>651</v>
      </c>
      <c r="F586" s="7"/>
      <c r="G586" s="7"/>
      <c r="H586" s="7"/>
      <c r="I586" s="7"/>
      <c r="J586" s="7">
        <v>1</v>
      </c>
      <c r="K586" s="7" t="s">
        <v>660</v>
      </c>
      <c r="L586" s="7" t="s">
        <v>663</v>
      </c>
      <c r="M586" s="8">
        <v>44211</v>
      </c>
      <c r="N586" s="8">
        <v>44222</v>
      </c>
      <c r="O586" s="13"/>
      <c r="P586" s="13">
        <v>4577.1400000000003</v>
      </c>
      <c r="Q586" s="33"/>
      <c r="R586" s="22"/>
      <c r="S586" s="22"/>
      <c r="T586" s="22"/>
      <c r="U586" s="22"/>
      <c r="X586" s="15" t="str">
        <f>IF(B586="",VLOOKUP(A586,items_lookup!A:B,2,FALSE),B586)</f>
        <v>09. Item 09</v>
      </c>
      <c r="Y586" s="15">
        <f t="shared" si="57"/>
        <v>1</v>
      </c>
      <c r="Z586" s="15">
        <f t="shared" si="57"/>
        <v>1</v>
      </c>
      <c r="AA586" s="15">
        <f t="shared" si="54"/>
        <v>2021</v>
      </c>
      <c r="AB586" s="15">
        <f t="shared" si="55"/>
        <v>2021</v>
      </c>
      <c r="AC586" s="15">
        <f t="shared" si="56"/>
        <v>2021</v>
      </c>
      <c r="AD586" s="18" t="b">
        <f t="shared" si="58"/>
        <v>1</v>
      </c>
    </row>
    <row r="587" spans="1:30" ht="15" hidden="1" customHeight="1" x14ac:dyDescent="0.2">
      <c r="A587" s="7" t="s">
        <v>688</v>
      </c>
      <c r="B587" s="7"/>
      <c r="C587" s="2" t="s">
        <v>641</v>
      </c>
      <c r="D587" s="6" t="s">
        <v>649</v>
      </c>
      <c r="E587" s="32" t="s">
        <v>651</v>
      </c>
      <c r="F587" s="7"/>
      <c r="G587" s="7"/>
      <c r="H587" s="7"/>
      <c r="I587" s="7" t="s">
        <v>20</v>
      </c>
      <c r="J587" s="7">
        <v>1</v>
      </c>
      <c r="K587" s="7" t="s">
        <v>660</v>
      </c>
      <c r="L587" s="7" t="s">
        <v>663</v>
      </c>
      <c r="M587" s="8">
        <v>44211</v>
      </c>
      <c r="N587" s="8">
        <v>44222</v>
      </c>
      <c r="O587" s="13"/>
      <c r="P587" s="13">
        <v>16677.400000000001</v>
      </c>
      <c r="Q587" s="33"/>
      <c r="R587" s="22"/>
      <c r="S587" s="22"/>
      <c r="T587" s="22"/>
      <c r="U587" s="22"/>
      <c r="X587" s="15" t="str">
        <f>IF(B587="",VLOOKUP(A587,items_lookup!A:B,2,FALSE),B587)</f>
        <v>09. Item 09</v>
      </c>
      <c r="Y587" s="15">
        <f t="shared" si="57"/>
        <v>1</v>
      </c>
      <c r="Z587" s="15">
        <f t="shared" si="57"/>
        <v>1</v>
      </c>
      <c r="AA587" s="15">
        <f t="shared" si="54"/>
        <v>2021</v>
      </c>
      <c r="AB587" s="15">
        <f t="shared" si="55"/>
        <v>2021</v>
      </c>
      <c r="AC587" s="15">
        <f t="shared" si="56"/>
        <v>2021</v>
      </c>
      <c r="AD587" s="18" t="b">
        <f t="shared" si="58"/>
        <v>1</v>
      </c>
    </row>
    <row r="588" spans="1:30" ht="15" hidden="1" customHeight="1" x14ac:dyDescent="0.2">
      <c r="A588" s="7" t="s">
        <v>688</v>
      </c>
      <c r="B588" s="7"/>
      <c r="C588" s="2" t="s">
        <v>641</v>
      </c>
      <c r="D588" s="6" t="s">
        <v>649</v>
      </c>
      <c r="E588" s="32" t="s">
        <v>651</v>
      </c>
      <c r="F588" s="7"/>
      <c r="G588" s="7"/>
      <c r="H588" s="7"/>
      <c r="I588" s="7"/>
      <c r="J588" s="7">
        <v>1</v>
      </c>
      <c r="K588" s="7" t="s">
        <v>660</v>
      </c>
      <c r="L588" s="7" t="s">
        <v>663</v>
      </c>
      <c r="M588" s="8">
        <v>44211</v>
      </c>
      <c r="N588" s="8">
        <v>44222</v>
      </c>
      <c r="O588" s="13"/>
      <c r="P588" s="13">
        <v>23560.16</v>
      </c>
      <c r="Q588" s="33"/>
      <c r="R588" s="22"/>
      <c r="S588" s="22"/>
      <c r="T588" s="22"/>
      <c r="U588" s="22"/>
      <c r="X588" s="15" t="str">
        <f>IF(B588="",VLOOKUP(A588,items_lookup!A:B,2,FALSE),B588)</f>
        <v>09. Item 09</v>
      </c>
      <c r="Y588" s="15">
        <f t="shared" si="57"/>
        <v>1</v>
      </c>
      <c r="Z588" s="15">
        <f t="shared" si="57"/>
        <v>1</v>
      </c>
      <c r="AA588" s="15">
        <f t="shared" si="54"/>
        <v>2021</v>
      </c>
      <c r="AB588" s="15">
        <f t="shared" si="55"/>
        <v>2021</v>
      </c>
      <c r="AC588" s="15">
        <f t="shared" si="56"/>
        <v>2021</v>
      </c>
      <c r="AD588" s="18" t="b">
        <f t="shared" si="58"/>
        <v>1</v>
      </c>
    </row>
    <row r="589" spans="1:30" ht="15" hidden="1" customHeight="1" x14ac:dyDescent="0.2">
      <c r="A589" s="7" t="s">
        <v>688</v>
      </c>
      <c r="B589" s="7"/>
      <c r="C589" s="2" t="s">
        <v>641</v>
      </c>
      <c r="D589" s="6" t="s">
        <v>649</v>
      </c>
      <c r="E589" s="32" t="s">
        <v>651</v>
      </c>
      <c r="F589" s="7"/>
      <c r="G589" s="7"/>
      <c r="H589" s="7"/>
      <c r="I589" s="7" t="s">
        <v>20</v>
      </c>
      <c r="J589" s="7">
        <v>1</v>
      </c>
      <c r="K589" s="7" t="s">
        <v>660</v>
      </c>
      <c r="L589" s="7" t="s">
        <v>663</v>
      </c>
      <c r="M589" s="8">
        <v>44211</v>
      </c>
      <c r="N589" s="8">
        <v>44222</v>
      </c>
      <c r="O589" s="13"/>
      <c r="P589" s="13">
        <v>75986.59</v>
      </c>
      <c r="Q589" s="33"/>
      <c r="R589" s="9"/>
      <c r="S589" s="9"/>
      <c r="T589" s="9"/>
      <c r="U589" s="9"/>
      <c r="X589" s="15" t="str">
        <f>IF(B589="",VLOOKUP(A589,items_lookup!A:B,2,FALSE),B589)</f>
        <v>09. Item 09</v>
      </c>
      <c r="Y589" s="15">
        <f t="shared" si="57"/>
        <v>1</v>
      </c>
      <c r="Z589" s="15">
        <f t="shared" si="57"/>
        <v>1</v>
      </c>
      <c r="AA589" s="15">
        <f t="shared" si="54"/>
        <v>2021</v>
      </c>
      <c r="AB589" s="15">
        <f t="shared" si="55"/>
        <v>2021</v>
      </c>
      <c r="AC589" s="15">
        <f t="shared" si="56"/>
        <v>2021</v>
      </c>
      <c r="AD589" s="18" t="b">
        <f t="shared" si="58"/>
        <v>1</v>
      </c>
    </row>
    <row r="590" spans="1:30" ht="15" hidden="1" customHeight="1" x14ac:dyDescent="0.2">
      <c r="A590" s="7" t="s">
        <v>688</v>
      </c>
      <c r="B590" s="7"/>
      <c r="C590" s="2" t="s">
        <v>641</v>
      </c>
      <c r="D590" s="6" t="s">
        <v>649</v>
      </c>
      <c r="E590" s="32" t="s">
        <v>651</v>
      </c>
      <c r="F590" s="7"/>
      <c r="G590" s="7"/>
      <c r="H590" s="7"/>
      <c r="I590" s="7" t="s">
        <v>20</v>
      </c>
      <c r="J590" s="7">
        <v>1</v>
      </c>
      <c r="K590" s="7" t="s">
        <v>660</v>
      </c>
      <c r="L590" s="7" t="s">
        <v>663</v>
      </c>
      <c r="M590" s="8">
        <v>44211</v>
      </c>
      <c r="N590" s="8">
        <v>44222</v>
      </c>
      <c r="O590" s="13"/>
      <c r="P590" s="13">
        <v>27486.63</v>
      </c>
      <c r="Q590" s="33"/>
      <c r="R590" s="22"/>
      <c r="S590" s="22"/>
      <c r="T590" s="22"/>
      <c r="U590" s="22"/>
      <c r="X590" s="15" t="str">
        <f>IF(B590="",VLOOKUP(A590,items_lookup!A:B,2,FALSE),B590)</f>
        <v>09. Item 09</v>
      </c>
      <c r="Y590" s="15">
        <f t="shared" si="57"/>
        <v>1</v>
      </c>
      <c r="Z590" s="15">
        <f t="shared" si="57"/>
        <v>1</v>
      </c>
      <c r="AA590" s="15">
        <f t="shared" si="54"/>
        <v>2021</v>
      </c>
      <c r="AB590" s="15">
        <f t="shared" si="55"/>
        <v>2021</v>
      </c>
      <c r="AC590" s="15">
        <f t="shared" si="56"/>
        <v>2021</v>
      </c>
      <c r="AD590" s="18" t="b">
        <f t="shared" si="58"/>
        <v>1</v>
      </c>
    </row>
    <row r="591" spans="1:30" ht="15" hidden="1" customHeight="1" x14ac:dyDescent="0.2">
      <c r="A591" s="7" t="s">
        <v>675</v>
      </c>
      <c r="B591" s="7"/>
      <c r="C591" s="2" t="s">
        <v>641</v>
      </c>
      <c r="D591" s="6" t="s">
        <v>649</v>
      </c>
      <c r="E591" s="32" t="s">
        <v>651</v>
      </c>
      <c r="F591" s="7"/>
      <c r="G591" s="7"/>
      <c r="H591" s="7"/>
      <c r="I591" s="7" t="s">
        <v>20</v>
      </c>
      <c r="J591" s="7">
        <v>1</v>
      </c>
      <c r="K591" s="7" t="s">
        <v>660</v>
      </c>
      <c r="L591" s="7" t="s">
        <v>663</v>
      </c>
      <c r="M591" s="8">
        <v>44211</v>
      </c>
      <c r="N591" s="8">
        <v>44222</v>
      </c>
      <c r="O591" s="13"/>
      <c r="P591" s="13">
        <v>37710.54</v>
      </c>
      <c r="Q591" s="33"/>
      <c r="R591" s="22"/>
      <c r="S591" s="22"/>
      <c r="T591" s="22"/>
      <c r="U591" s="22"/>
      <c r="X591" s="15" t="str">
        <f>IF(B591="",VLOOKUP(A591,items_lookup!A:B,2,FALSE),B591)</f>
        <v>09. Item 09</v>
      </c>
      <c r="Y591" s="15">
        <f t="shared" si="57"/>
        <v>1</v>
      </c>
      <c r="Z591" s="15">
        <f t="shared" si="57"/>
        <v>1</v>
      </c>
      <c r="AA591" s="15">
        <f t="shared" si="54"/>
        <v>2021</v>
      </c>
      <c r="AB591" s="15">
        <f t="shared" si="55"/>
        <v>2021</v>
      </c>
      <c r="AC591" s="15">
        <f t="shared" si="56"/>
        <v>2021</v>
      </c>
      <c r="AD591" s="18" t="b">
        <f t="shared" si="58"/>
        <v>1</v>
      </c>
    </row>
    <row r="592" spans="1:30" ht="15" hidden="1" customHeight="1" x14ac:dyDescent="0.2">
      <c r="A592" s="7" t="s">
        <v>683</v>
      </c>
      <c r="B592" s="7"/>
      <c r="C592" s="2" t="s">
        <v>641</v>
      </c>
      <c r="D592" s="6" t="s">
        <v>649</v>
      </c>
      <c r="E592" s="32" t="s">
        <v>651</v>
      </c>
      <c r="F592" s="7"/>
      <c r="G592" s="7"/>
      <c r="H592" s="7"/>
      <c r="I592" s="7"/>
      <c r="J592" s="7">
        <v>1</v>
      </c>
      <c r="K592" s="7" t="s">
        <v>660</v>
      </c>
      <c r="L592" s="7" t="s">
        <v>663</v>
      </c>
      <c r="M592" s="8">
        <v>44211</v>
      </c>
      <c r="N592" s="8">
        <v>44222</v>
      </c>
      <c r="O592" s="13"/>
      <c r="P592" s="13">
        <v>2571.4299999999998</v>
      </c>
      <c r="Q592" s="33"/>
      <c r="R592" s="22"/>
      <c r="S592" s="22"/>
      <c r="T592" s="22"/>
      <c r="U592" s="22"/>
      <c r="X592" s="15" t="str">
        <f>IF(B592="",VLOOKUP(A592,items_lookup!A:B,2,FALSE),B592)</f>
        <v>_1. Item _1</v>
      </c>
      <c r="Y592" s="15">
        <f t="shared" si="57"/>
        <v>1</v>
      </c>
      <c r="Z592" s="15">
        <f t="shared" si="57"/>
        <v>1</v>
      </c>
      <c r="AA592" s="15">
        <f t="shared" si="54"/>
        <v>2021</v>
      </c>
      <c r="AB592" s="15">
        <f t="shared" si="55"/>
        <v>2021</v>
      </c>
      <c r="AC592" s="15">
        <f t="shared" si="56"/>
        <v>2021</v>
      </c>
      <c r="AD592" s="18" t="b">
        <f t="shared" si="58"/>
        <v>1</v>
      </c>
    </row>
    <row r="593" spans="1:30" ht="15" hidden="1" customHeight="1" x14ac:dyDescent="0.2">
      <c r="A593" s="7" t="s">
        <v>675</v>
      </c>
      <c r="B593" s="7"/>
      <c r="C593" s="2" t="s">
        <v>641</v>
      </c>
      <c r="D593" s="6" t="s">
        <v>649</v>
      </c>
      <c r="E593" s="32" t="s">
        <v>651</v>
      </c>
      <c r="F593" s="7"/>
      <c r="G593" s="7"/>
      <c r="H593" s="7"/>
      <c r="I593" s="7"/>
      <c r="J593" s="7">
        <v>1</v>
      </c>
      <c r="K593" s="7" t="s">
        <v>660</v>
      </c>
      <c r="L593" s="7" t="s">
        <v>663</v>
      </c>
      <c r="M593" s="8">
        <v>44211</v>
      </c>
      <c r="N593" s="8">
        <v>44222</v>
      </c>
      <c r="O593" s="13"/>
      <c r="P593" s="13">
        <v>17365.52</v>
      </c>
      <c r="Q593" s="33"/>
      <c r="R593" s="22"/>
      <c r="S593" s="22"/>
      <c r="T593" s="22"/>
      <c r="U593" s="22"/>
      <c r="X593" s="15" t="str">
        <f>IF(B593="",VLOOKUP(A593,items_lookup!A:B,2,FALSE),B593)</f>
        <v>09. Item 09</v>
      </c>
      <c r="Y593" s="15">
        <f t="shared" si="57"/>
        <v>1</v>
      </c>
      <c r="Z593" s="15">
        <f t="shared" si="57"/>
        <v>1</v>
      </c>
      <c r="AA593" s="15">
        <f t="shared" si="54"/>
        <v>2021</v>
      </c>
      <c r="AB593" s="15">
        <f t="shared" si="55"/>
        <v>2021</v>
      </c>
      <c r="AC593" s="15">
        <f t="shared" si="56"/>
        <v>2021</v>
      </c>
      <c r="AD593" s="18" t="b">
        <f t="shared" si="58"/>
        <v>1</v>
      </c>
    </row>
    <row r="594" spans="1:30" ht="15" hidden="1" customHeight="1" x14ac:dyDescent="0.2">
      <c r="A594" s="7" t="s">
        <v>676</v>
      </c>
      <c r="B594" s="7"/>
      <c r="C594" s="2" t="s">
        <v>641</v>
      </c>
      <c r="D594" s="6" t="s">
        <v>649</v>
      </c>
      <c r="E594" s="32" t="s">
        <v>651</v>
      </c>
      <c r="F594" s="7"/>
      <c r="G594" s="7"/>
      <c r="H594" s="7"/>
      <c r="I594" s="7" t="s">
        <v>20</v>
      </c>
      <c r="J594" s="7">
        <v>1</v>
      </c>
      <c r="K594" s="7" t="s">
        <v>660</v>
      </c>
      <c r="L594" s="7" t="s">
        <v>663</v>
      </c>
      <c r="M594" s="8">
        <v>44211</v>
      </c>
      <c r="N594" s="8">
        <v>44222</v>
      </c>
      <c r="O594" s="13"/>
      <c r="P594" s="13">
        <v>115.48</v>
      </c>
      <c r="Q594" s="33"/>
      <c r="R594" s="22"/>
      <c r="S594" s="22"/>
      <c r="T594" s="22"/>
      <c r="U594" s="22"/>
      <c r="X594" s="15" t="str">
        <f>IF(B594="",VLOOKUP(A594,items_lookup!A:B,2,FALSE),B594)</f>
        <v>09. Item 09</v>
      </c>
      <c r="Y594" s="15">
        <f t="shared" si="57"/>
        <v>1</v>
      </c>
      <c r="Z594" s="15">
        <f t="shared" si="57"/>
        <v>1</v>
      </c>
      <c r="AA594" s="15">
        <f t="shared" si="54"/>
        <v>2021</v>
      </c>
      <c r="AB594" s="15">
        <f t="shared" si="55"/>
        <v>2021</v>
      </c>
      <c r="AC594" s="15">
        <f t="shared" si="56"/>
        <v>2021</v>
      </c>
      <c r="AD594" s="18" t="b">
        <f t="shared" si="58"/>
        <v>1</v>
      </c>
    </row>
    <row r="595" spans="1:30" ht="15" hidden="1" customHeight="1" x14ac:dyDescent="0.2">
      <c r="A595" s="7" t="s">
        <v>676</v>
      </c>
      <c r="B595" s="7"/>
      <c r="C595" s="2" t="s">
        <v>641</v>
      </c>
      <c r="D595" s="6" t="s">
        <v>649</v>
      </c>
      <c r="E595" s="32" t="s">
        <v>651</v>
      </c>
      <c r="F595" s="7"/>
      <c r="G595" s="7"/>
      <c r="H595" s="7"/>
      <c r="I595" s="7"/>
      <c r="J595" s="7">
        <v>1</v>
      </c>
      <c r="K595" s="7" t="s">
        <v>660</v>
      </c>
      <c r="L595" s="7" t="s">
        <v>663</v>
      </c>
      <c r="M595" s="8">
        <v>44211</v>
      </c>
      <c r="N595" s="8">
        <v>44222</v>
      </c>
      <c r="O595" s="13"/>
      <c r="P595" s="13">
        <v>23685.75</v>
      </c>
      <c r="Q595" s="33"/>
      <c r="R595" s="22"/>
      <c r="S595" s="22"/>
      <c r="T595" s="22"/>
      <c r="U595" s="22"/>
      <c r="X595" s="15" t="str">
        <f>IF(B595="",VLOOKUP(A595,items_lookup!A:B,2,FALSE),B595)</f>
        <v>09. Item 09</v>
      </c>
      <c r="Y595" s="15">
        <f t="shared" si="57"/>
        <v>1</v>
      </c>
      <c r="Z595" s="15">
        <f t="shared" si="57"/>
        <v>1</v>
      </c>
      <c r="AA595" s="15">
        <f t="shared" si="54"/>
        <v>2021</v>
      </c>
      <c r="AB595" s="15">
        <f t="shared" si="55"/>
        <v>2021</v>
      </c>
      <c r="AC595" s="15">
        <f t="shared" si="56"/>
        <v>2021</v>
      </c>
      <c r="AD595" s="18" t="b">
        <f t="shared" si="58"/>
        <v>1</v>
      </c>
    </row>
    <row r="596" spans="1:30" ht="15" hidden="1" customHeight="1" x14ac:dyDescent="0.2">
      <c r="A596" s="7" t="s">
        <v>688</v>
      </c>
      <c r="B596" s="7"/>
      <c r="C596" s="2" t="s">
        <v>641</v>
      </c>
      <c r="D596" s="6" t="s">
        <v>649</v>
      </c>
      <c r="E596" s="32" t="s">
        <v>651</v>
      </c>
      <c r="F596" s="7"/>
      <c r="G596" s="7"/>
      <c r="H596" s="7"/>
      <c r="I596" s="7" t="s">
        <v>20</v>
      </c>
      <c r="J596" s="7">
        <v>1</v>
      </c>
      <c r="K596" s="7" t="s">
        <v>660</v>
      </c>
      <c r="L596" s="7" t="s">
        <v>663</v>
      </c>
      <c r="M596" s="8">
        <v>44211</v>
      </c>
      <c r="N596" s="8">
        <v>44222</v>
      </c>
      <c r="O596" s="13"/>
      <c r="P596" s="13">
        <v>1728.6</v>
      </c>
      <c r="Q596" s="33"/>
      <c r="R596" s="22"/>
      <c r="S596" s="22"/>
      <c r="T596" s="22"/>
      <c r="U596" s="22"/>
      <c r="X596" s="15" t="str">
        <f>IF(B596="",VLOOKUP(A596,items_lookup!A:B,2,FALSE),B596)</f>
        <v>09. Item 09</v>
      </c>
      <c r="Y596" s="15">
        <f t="shared" si="57"/>
        <v>1</v>
      </c>
      <c r="Z596" s="15">
        <f t="shared" si="57"/>
        <v>1</v>
      </c>
      <c r="AA596" s="15">
        <f t="shared" si="54"/>
        <v>2021</v>
      </c>
      <c r="AB596" s="15">
        <f t="shared" si="55"/>
        <v>2021</v>
      </c>
      <c r="AC596" s="15">
        <f t="shared" si="56"/>
        <v>2021</v>
      </c>
      <c r="AD596" s="18" t="b">
        <f t="shared" si="58"/>
        <v>1</v>
      </c>
    </row>
    <row r="597" spans="1:30" ht="15" hidden="1" customHeight="1" x14ac:dyDescent="0.2">
      <c r="A597" s="7" t="s">
        <v>676</v>
      </c>
      <c r="B597" s="7"/>
      <c r="C597" s="2" t="s">
        <v>641</v>
      </c>
      <c r="D597" s="6" t="s">
        <v>649</v>
      </c>
      <c r="E597" s="32" t="s">
        <v>651</v>
      </c>
      <c r="F597" s="7"/>
      <c r="G597" s="7"/>
      <c r="H597" s="7"/>
      <c r="I597" s="7"/>
      <c r="J597" s="7">
        <v>1</v>
      </c>
      <c r="K597" s="7" t="s">
        <v>660</v>
      </c>
      <c r="L597" s="7" t="s">
        <v>663</v>
      </c>
      <c r="M597" s="8">
        <v>44211</v>
      </c>
      <c r="N597" s="8">
        <v>44223</v>
      </c>
      <c r="O597" s="13"/>
      <c r="P597" s="13">
        <v>28916.77</v>
      </c>
      <c r="Q597" s="33"/>
      <c r="R597" s="22"/>
      <c r="S597" s="22"/>
      <c r="T597" s="22"/>
      <c r="U597" s="22"/>
      <c r="X597" s="15" t="str">
        <f>IF(B597="",VLOOKUP(A597,items_lookup!A:B,2,FALSE),B597)</f>
        <v>09. Item 09</v>
      </c>
      <c r="Y597" s="15">
        <f t="shared" si="57"/>
        <v>1</v>
      </c>
      <c r="Z597" s="15">
        <f t="shared" si="57"/>
        <v>1</v>
      </c>
      <c r="AA597" s="15">
        <f t="shared" si="54"/>
        <v>2021</v>
      </c>
      <c r="AB597" s="15">
        <f t="shared" si="55"/>
        <v>2021</v>
      </c>
      <c r="AC597" s="15">
        <f t="shared" si="56"/>
        <v>2021</v>
      </c>
      <c r="AD597" s="18" t="b">
        <f t="shared" si="58"/>
        <v>1</v>
      </c>
    </row>
    <row r="598" spans="1:30" ht="15" hidden="1" customHeight="1" x14ac:dyDescent="0.2">
      <c r="A598" s="7" t="s">
        <v>681</v>
      </c>
      <c r="B598" s="7"/>
      <c r="C598" s="2" t="s">
        <v>641</v>
      </c>
      <c r="D598" s="6" t="s">
        <v>649</v>
      </c>
      <c r="E598" s="32" t="s">
        <v>651</v>
      </c>
      <c r="F598" s="7"/>
      <c r="G598" s="7"/>
      <c r="H598" s="7"/>
      <c r="I598" s="7"/>
      <c r="J598" s="7">
        <v>1</v>
      </c>
      <c r="K598" s="7" t="s">
        <v>660</v>
      </c>
      <c r="L598" s="7" t="s">
        <v>663</v>
      </c>
      <c r="M598" s="8">
        <v>44211</v>
      </c>
      <c r="N598" s="8">
        <v>44223</v>
      </c>
      <c r="O598" s="13"/>
      <c r="P598" s="13">
        <v>8898.2099999999991</v>
      </c>
      <c r="Q598" s="33"/>
      <c r="R598" s="22"/>
      <c r="S598" s="22"/>
      <c r="T598" s="22"/>
      <c r="U598" s="22"/>
      <c r="X598" s="15" t="str">
        <f>IF(B598="",VLOOKUP(A598,items_lookup!A:B,2,FALSE),B598)</f>
        <v>19. Item 19</v>
      </c>
      <c r="Y598" s="15">
        <f t="shared" si="57"/>
        <v>1</v>
      </c>
      <c r="Z598" s="15">
        <f t="shared" si="57"/>
        <v>1</v>
      </c>
      <c r="AA598" s="15">
        <f t="shared" si="54"/>
        <v>2021</v>
      </c>
      <c r="AB598" s="15">
        <f t="shared" si="55"/>
        <v>2021</v>
      </c>
      <c r="AC598" s="15">
        <f t="shared" si="56"/>
        <v>2021</v>
      </c>
      <c r="AD598" s="18" t="b">
        <f t="shared" si="58"/>
        <v>1</v>
      </c>
    </row>
    <row r="599" spans="1:30" ht="15" hidden="1" customHeight="1" x14ac:dyDescent="0.2">
      <c r="A599" s="7" t="s">
        <v>694</v>
      </c>
      <c r="B599" s="7"/>
      <c r="C599" s="2" t="s">
        <v>641</v>
      </c>
      <c r="D599" s="6" t="s">
        <v>649</v>
      </c>
      <c r="E599" s="32" t="s">
        <v>651</v>
      </c>
      <c r="F599" s="7"/>
      <c r="G599" s="7"/>
      <c r="H599" s="7"/>
      <c r="I599" s="7"/>
      <c r="J599" s="7">
        <v>1</v>
      </c>
      <c r="K599" s="7" t="s">
        <v>660</v>
      </c>
      <c r="L599" s="7" t="s">
        <v>663</v>
      </c>
      <c r="M599" s="8">
        <v>44211</v>
      </c>
      <c r="N599" s="8">
        <v>44223</v>
      </c>
      <c r="O599" s="13"/>
      <c r="P599" s="13">
        <v>36712.78</v>
      </c>
      <c r="Q599" s="33"/>
      <c r="R599" s="22"/>
      <c r="S599" s="22"/>
      <c r="T599" s="22"/>
      <c r="U599" s="22"/>
      <c r="X599" s="15" t="str">
        <f>IF(B599="",VLOOKUP(A599,items_lookup!A:B,2,FALSE),B599)</f>
        <v>03. Item 03</v>
      </c>
      <c r="Y599" s="15">
        <f t="shared" si="57"/>
        <v>1</v>
      </c>
      <c r="Z599" s="15">
        <f t="shared" si="57"/>
        <v>1</v>
      </c>
      <c r="AA599" s="15">
        <f t="shared" si="54"/>
        <v>2021</v>
      </c>
      <c r="AB599" s="15">
        <f t="shared" si="55"/>
        <v>2021</v>
      </c>
      <c r="AC599" s="15">
        <f t="shared" si="56"/>
        <v>2021</v>
      </c>
      <c r="AD599" s="18" t="b">
        <f t="shared" si="58"/>
        <v>1</v>
      </c>
    </row>
    <row r="600" spans="1:30" ht="15" hidden="1" customHeight="1" x14ac:dyDescent="0.2">
      <c r="A600" s="7" t="s">
        <v>695</v>
      </c>
      <c r="B600" s="7"/>
      <c r="C600" s="2" t="s">
        <v>641</v>
      </c>
      <c r="D600" s="6" t="s">
        <v>649</v>
      </c>
      <c r="E600" s="32" t="s">
        <v>651</v>
      </c>
      <c r="F600" s="7"/>
      <c r="G600" s="7"/>
      <c r="H600" s="7"/>
      <c r="I600" s="7"/>
      <c r="J600" s="7">
        <v>1</v>
      </c>
      <c r="K600" s="7" t="s">
        <v>660</v>
      </c>
      <c r="L600" s="7" t="s">
        <v>663</v>
      </c>
      <c r="M600" s="8">
        <v>44211</v>
      </c>
      <c r="N600" s="8">
        <v>44223</v>
      </c>
      <c r="O600" s="13"/>
      <c r="P600" s="13">
        <v>89847.62</v>
      </c>
      <c r="Q600" s="33"/>
      <c r="R600" s="22"/>
      <c r="S600" s="22"/>
      <c r="T600" s="22"/>
      <c r="U600" s="22"/>
      <c r="X600" s="15" t="str">
        <f>IF(B600="",VLOOKUP(A600,items_lookup!A:B,2,FALSE),B600)</f>
        <v>03. Item 03</v>
      </c>
      <c r="Y600" s="15">
        <f t="shared" si="57"/>
        <v>1</v>
      </c>
      <c r="Z600" s="15">
        <f t="shared" si="57"/>
        <v>1</v>
      </c>
      <c r="AA600" s="15">
        <f t="shared" si="54"/>
        <v>2021</v>
      </c>
      <c r="AB600" s="15">
        <f t="shared" si="55"/>
        <v>2021</v>
      </c>
      <c r="AC600" s="15">
        <f t="shared" si="56"/>
        <v>2021</v>
      </c>
      <c r="AD600" s="18" t="b">
        <f t="shared" si="58"/>
        <v>1</v>
      </c>
    </row>
    <row r="601" spans="1:30" ht="15" hidden="1" customHeight="1" x14ac:dyDescent="0.2">
      <c r="A601" s="7" t="s">
        <v>678</v>
      </c>
      <c r="B601" s="7"/>
      <c r="C601" s="2" t="s">
        <v>641</v>
      </c>
      <c r="D601" s="6" t="s">
        <v>649</v>
      </c>
      <c r="E601" s="32" t="s">
        <v>651</v>
      </c>
      <c r="F601" s="7"/>
      <c r="G601" s="7"/>
      <c r="H601" s="7"/>
      <c r="I601" s="7"/>
      <c r="J601" s="7">
        <v>1</v>
      </c>
      <c r="K601" s="7" t="s">
        <v>660</v>
      </c>
      <c r="L601" s="7" t="s">
        <v>663</v>
      </c>
      <c r="M601" s="8">
        <v>44211</v>
      </c>
      <c r="N601" s="8">
        <v>44223</v>
      </c>
      <c r="O601" s="13"/>
      <c r="P601" s="13">
        <v>25439.77</v>
      </c>
      <c r="Q601" s="33"/>
      <c r="R601" s="22"/>
      <c r="S601" s="22"/>
      <c r="T601" s="22"/>
      <c r="U601" s="22"/>
      <c r="X601" s="15" t="str">
        <f>IF(B601="",VLOOKUP(A601,items_lookup!A:B,2,FALSE),B601)</f>
        <v>13. Item 13</v>
      </c>
      <c r="Y601" s="15">
        <f t="shared" si="57"/>
        <v>1</v>
      </c>
      <c r="Z601" s="15">
        <f t="shared" si="57"/>
        <v>1</v>
      </c>
      <c r="AA601" s="15">
        <f t="shared" si="54"/>
        <v>2021</v>
      </c>
      <c r="AB601" s="15">
        <f t="shared" si="55"/>
        <v>2021</v>
      </c>
      <c r="AC601" s="15">
        <f t="shared" si="56"/>
        <v>2021</v>
      </c>
      <c r="AD601" s="18" t="b">
        <f t="shared" si="58"/>
        <v>1</v>
      </c>
    </row>
    <row r="602" spans="1:30" ht="15" hidden="1" customHeight="1" x14ac:dyDescent="0.2">
      <c r="A602" s="7" t="s">
        <v>696</v>
      </c>
      <c r="B602" s="7"/>
      <c r="C602" s="2" t="s">
        <v>641</v>
      </c>
      <c r="D602" s="6" t="s">
        <v>649</v>
      </c>
      <c r="E602" s="32" t="s">
        <v>651</v>
      </c>
      <c r="F602" s="7"/>
      <c r="G602" s="7"/>
      <c r="H602" s="7"/>
      <c r="I602" s="7"/>
      <c r="J602" s="7">
        <v>1</v>
      </c>
      <c r="K602" s="7" t="s">
        <v>660</v>
      </c>
      <c r="L602" s="7" t="s">
        <v>663</v>
      </c>
      <c r="M602" s="8">
        <v>44211</v>
      </c>
      <c r="N602" s="8">
        <v>44223</v>
      </c>
      <c r="O602" s="13"/>
      <c r="P602" s="13">
        <v>857.14</v>
      </c>
      <c r="Q602" s="33"/>
      <c r="R602" s="22"/>
      <c r="S602" s="22"/>
      <c r="T602" s="22"/>
      <c r="U602" s="22"/>
      <c r="X602" s="15" t="str">
        <f>IF(B602="",VLOOKUP(A602,items_lookup!A:B,2,FALSE),B602)</f>
        <v>13. Item 13</v>
      </c>
      <c r="Y602" s="15">
        <f t="shared" si="57"/>
        <v>1</v>
      </c>
      <c r="Z602" s="15">
        <f t="shared" si="57"/>
        <v>1</v>
      </c>
      <c r="AA602" s="15">
        <f t="shared" si="54"/>
        <v>2021</v>
      </c>
      <c r="AB602" s="15">
        <f t="shared" si="55"/>
        <v>2021</v>
      </c>
      <c r="AC602" s="15">
        <f t="shared" si="56"/>
        <v>2021</v>
      </c>
      <c r="AD602" s="18" t="b">
        <f t="shared" si="58"/>
        <v>1</v>
      </c>
    </row>
    <row r="603" spans="1:30" ht="15" hidden="1" customHeight="1" x14ac:dyDescent="0.2">
      <c r="A603" s="7" t="s">
        <v>689</v>
      </c>
      <c r="B603" s="7"/>
      <c r="C603" s="2" t="s">
        <v>641</v>
      </c>
      <c r="D603" s="6" t="s">
        <v>649</v>
      </c>
      <c r="E603" s="32" t="s">
        <v>651</v>
      </c>
      <c r="F603" s="7"/>
      <c r="G603" s="7"/>
      <c r="H603" s="7"/>
      <c r="I603" s="7"/>
      <c r="J603" s="7">
        <v>1</v>
      </c>
      <c r="K603" s="7" t="s">
        <v>660</v>
      </c>
      <c r="L603" s="7" t="s">
        <v>663</v>
      </c>
      <c r="M603" s="8">
        <v>44211</v>
      </c>
      <c r="N603" s="8">
        <v>44223</v>
      </c>
      <c r="O603" s="13"/>
      <c r="P603" s="13">
        <v>362284.51</v>
      </c>
      <c r="Q603" s="33"/>
      <c r="R603" s="22"/>
      <c r="S603" s="22"/>
      <c r="T603" s="22"/>
      <c r="U603" s="22"/>
      <c r="X603" s="15" t="str">
        <f>IF(B603="",VLOOKUP(A603,items_lookup!A:B,2,FALSE),B603)</f>
        <v>04. Item 04</v>
      </c>
      <c r="Y603" s="15">
        <f t="shared" si="57"/>
        <v>1</v>
      </c>
      <c r="Z603" s="15">
        <f t="shared" si="57"/>
        <v>1</v>
      </c>
      <c r="AA603" s="15">
        <f t="shared" si="54"/>
        <v>2021</v>
      </c>
      <c r="AB603" s="15">
        <f t="shared" si="55"/>
        <v>2021</v>
      </c>
      <c r="AC603" s="15">
        <f t="shared" si="56"/>
        <v>2021</v>
      </c>
      <c r="AD603" s="18" t="b">
        <f t="shared" si="58"/>
        <v>1</v>
      </c>
    </row>
    <row r="604" spans="1:30" ht="15" hidden="1" customHeight="1" x14ac:dyDescent="0.2">
      <c r="A604" s="7" t="s">
        <v>689</v>
      </c>
      <c r="B604" s="7"/>
      <c r="C604" s="2" t="s">
        <v>641</v>
      </c>
      <c r="D604" s="6" t="s">
        <v>649</v>
      </c>
      <c r="E604" s="32" t="s">
        <v>651</v>
      </c>
      <c r="F604" s="7"/>
      <c r="G604" s="7"/>
      <c r="H604" s="7"/>
      <c r="I604" s="7"/>
      <c r="J604" s="7">
        <v>1</v>
      </c>
      <c r="K604" s="7" t="s">
        <v>660</v>
      </c>
      <c r="L604" s="7" t="s">
        <v>663</v>
      </c>
      <c r="M604" s="8">
        <v>44211</v>
      </c>
      <c r="N604" s="8">
        <v>44223</v>
      </c>
      <c r="O604" s="13"/>
      <c r="P604" s="13">
        <v>19981.5</v>
      </c>
      <c r="Q604" s="33"/>
      <c r="R604" s="22"/>
      <c r="S604" s="22"/>
      <c r="T604" s="22"/>
      <c r="U604" s="22"/>
      <c r="X604" s="15" t="str">
        <f>IF(B604="",VLOOKUP(A604,items_lookup!A:B,2,FALSE),B604)</f>
        <v>04. Item 04</v>
      </c>
      <c r="Y604" s="15">
        <f t="shared" si="57"/>
        <v>1</v>
      </c>
      <c r="Z604" s="15">
        <f t="shared" si="57"/>
        <v>1</v>
      </c>
      <c r="AA604" s="15">
        <f t="shared" si="54"/>
        <v>2021</v>
      </c>
      <c r="AB604" s="15">
        <f t="shared" si="55"/>
        <v>2021</v>
      </c>
      <c r="AC604" s="15">
        <f t="shared" si="56"/>
        <v>2021</v>
      </c>
      <c r="AD604" s="18" t="b">
        <f t="shared" si="58"/>
        <v>1</v>
      </c>
    </row>
    <row r="605" spans="1:30" ht="15" hidden="1" customHeight="1" x14ac:dyDescent="0.2">
      <c r="A605" s="7" t="s">
        <v>689</v>
      </c>
      <c r="B605" s="7"/>
      <c r="C605" s="2" t="s">
        <v>641</v>
      </c>
      <c r="D605" s="6" t="s">
        <v>649</v>
      </c>
      <c r="E605" s="32" t="s">
        <v>651</v>
      </c>
      <c r="F605" s="7"/>
      <c r="G605" s="7"/>
      <c r="H605" s="7"/>
      <c r="I605" s="7"/>
      <c r="J605" s="7">
        <v>1</v>
      </c>
      <c r="K605" s="7" t="s">
        <v>660</v>
      </c>
      <c r="L605" s="7" t="s">
        <v>663</v>
      </c>
      <c r="M605" s="8">
        <v>44211</v>
      </c>
      <c r="N605" s="8">
        <v>44223</v>
      </c>
      <c r="O605" s="13"/>
      <c r="P605" s="13">
        <v>114859.46</v>
      </c>
      <c r="Q605" s="33"/>
      <c r="R605" s="22"/>
      <c r="S605" s="22"/>
      <c r="T605" s="22"/>
      <c r="U605" s="22"/>
      <c r="X605" s="15" t="str">
        <f>IF(B605="",VLOOKUP(A605,items_lookup!A:B,2,FALSE),B605)</f>
        <v>04. Item 04</v>
      </c>
      <c r="Y605" s="15">
        <f t="shared" si="57"/>
        <v>1</v>
      </c>
      <c r="Z605" s="15">
        <f t="shared" si="57"/>
        <v>1</v>
      </c>
      <c r="AA605" s="15">
        <f t="shared" si="54"/>
        <v>2021</v>
      </c>
      <c r="AB605" s="15">
        <f t="shared" si="55"/>
        <v>2021</v>
      </c>
      <c r="AC605" s="15">
        <f t="shared" si="56"/>
        <v>2021</v>
      </c>
      <c r="AD605" s="18" t="b">
        <f t="shared" si="58"/>
        <v>1</v>
      </c>
    </row>
    <row r="606" spans="1:30" ht="15" hidden="1" customHeight="1" x14ac:dyDescent="0.2">
      <c r="A606" s="7" t="s">
        <v>670</v>
      </c>
      <c r="B606" s="7"/>
      <c r="C606" s="2" t="s">
        <v>641</v>
      </c>
      <c r="D606" s="6" t="s">
        <v>649</v>
      </c>
      <c r="E606" s="32" t="s">
        <v>651</v>
      </c>
      <c r="F606" s="7"/>
      <c r="G606" s="7"/>
      <c r="H606" s="7"/>
      <c r="I606" s="7"/>
      <c r="J606" s="7">
        <v>1</v>
      </c>
      <c r="K606" s="7" t="s">
        <v>660</v>
      </c>
      <c r="L606" s="7" t="s">
        <v>663</v>
      </c>
      <c r="M606" s="8">
        <v>44211</v>
      </c>
      <c r="N606" s="8">
        <v>44223</v>
      </c>
      <c r="O606" s="13"/>
      <c r="P606" s="13">
        <v>73364.87</v>
      </c>
      <c r="Q606" s="33"/>
      <c r="R606" s="22"/>
      <c r="S606" s="22"/>
      <c r="T606" s="22"/>
      <c r="U606" s="22"/>
      <c r="X606" s="15" t="str">
        <f>IF(B606="",VLOOKUP(A606,items_lookup!A:B,2,FALSE),B606)</f>
        <v>04. Item 04</v>
      </c>
      <c r="Y606" s="15">
        <f t="shared" si="57"/>
        <v>1</v>
      </c>
      <c r="Z606" s="15">
        <f t="shared" si="57"/>
        <v>1</v>
      </c>
      <c r="AA606" s="15">
        <f t="shared" si="54"/>
        <v>2021</v>
      </c>
      <c r="AB606" s="15">
        <f t="shared" si="55"/>
        <v>2021</v>
      </c>
      <c r="AC606" s="15">
        <f t="shared" si="56"/>
        <v>2021</v>
      </c>
      <c r="AD606" s="18" t="b">
        <f t="shared" si="58"/>
        <v>1</v>
      </c>
    </row>
    <row r="607" spans="1:30" ht="15" hidden="1" customHeight="1" x14ac:dyDescent="0.2">
      <c r="A607" s="7" t="s">
        <v>689</v>
      </c>
      <c r="B607" s="7"/>
      <c r="C607" s="2" t="s">
        <v>641</v>
      </c>
      <c r="D607" s="6" t="s">
        <v>649</v>
      </c>
      <c r="E607" s="32" t="s">
        <v>651</v>
      </c>
      <c r="F607" s="7"/>
      <c r="G607" s="7"/>
      <c r="H607" s="7"/>
      <c r="I607" s="7"/>
      <c r="J607" s="7">
        <v>1</v>
      </c>
      <c r="K607" s="7" t="s">
        <v>660</v>
      </c>
      <c r="L607" s="7" t="s">
        <v>663</v>
      </c>
      <c r="M607" s="8">
        <v>44211</v>
      </c>
      <c r="N607" s="8">
        <v>44223</v>
      </c>
      <c r="O607" s="13"/>
      <c r="P607" s="13">
        <v>8681.16</v>
      </c>
      <c r="Q607" s="33"/>
      <c r="R607" s="22"/>
      <c r="S607" s="22"/>
      <c r="T607" s="22"/>
      <c r="U607" s="22"/>
      <c r="X607" s="15" t="str">
        <f>IF(B607="",VLOOKUP(A607,items_lookup!A:B,2,FALSE),B607)</f>
        <v>04. Item 04</v>
      </c>
      <c r="Y607" s="15">
        <f t="shared" si="57"/>
        <v>1</v>
      </c>
      <c r="Z607" s="15">
        <f t="shared" si="57"/>
        <v>1</v>
      </c>
      <c r="AA607" s="15">
        <f t="shared" si="54"/>
        <v>2021</v>
      </c>
      <c r="AB607" s="15">
        <f t="shared" si="55"/>
        <v>2021</v>
      </c>
      <c r="AC607" s="15">
        <f t="shared" si="56"/>
        <v>2021</v>
      </c>
      <c r="AD607" s="18" t="b">
        <f t="shared" si="58"/>
        <v>1</v>
      </c>
    </row>
    <row r="608" spans="1:30" ht="15" hidden="1" customHeight="1" x14ac:dyDescent="0.2">
      <c r="A608" s="7" t="s">
        <v>671</v>
      </c>
      <c r="B608" s="7"/>
      <c r="C608" s="2" t="s">
        <v>641</v>
      </c>
      <c r="D608" s="6" t="s">
        <v>649</v>
      </c>
      <c r="E608" s="32" t="s">
        <v>651</v>
      </c>
      <c r="F608" s="7"/>
      <c r="G608" s="7"/>
      <c r="H608" s="7"/>
      <c r="I608" s="7"/>
      <c r="J608" s="7">
        <v>1</v>
      </c>
      <c r="K608" s="7" t="s">
        <v>660</v>
      </c>
      <c r="L608" s="7" t="s">
        <v>663</v>
      </c>
      <c r="M608" s="8">
        <v>44211</v>
      </c>
      <c r="N608" s="8">
        <v>44223</v>
      </c>
      <c r="O608" s="13"/>
      <c r="P608" s="13">
        <v>2383.3200000000002</v>
      </c>
      <c r="Q608" s="33"/>
      <c r="R608" s="22"/>
      <c r="S608" s="22"/>
      <c r="T608" s="22"/>
      <c r="U608" s="22"/>
      <c r="X608" s="15" t="str">
        <f>IF(B608="",VLOOKUP(A608,items_lookup!A:B,2,FALSE),B608)</f>
        <v>05. Item 05</v>
      </c>
      <c r="Y608" s="15">
        <f t="shared" si="57"/>
        <v>1</v>
      </c>
      <c r="Z608" s="15">
        <f t="shared" si="57"/>
        <v>1</v>
      </c>
      <c r="AA608" s="15">
        <f t="shared" si="54"/>
        <v>2021</v>
      </c>
      <c r="AB608" s="15">
        <f t="shared" si="55"/>
        <v>2021</v>
      </c>
      <c r="AC608" s="15">
        <f t="shared" si="56"/>
        <v>2021</v>
      </c>
      <c r="AD608" s="18" t="b">
        <f t="shared" si="58"/>
        <v>1</v>
      </c>
    </row>
    <row r="609" spans="1:30" ht="15" hidden="1" customHeight="1" x14ac:dyDescent="0.2">
      <c r="A609" s="7" t="s">
        <v>672</v>
      </c>
      <c r="B609" s="20"/>
      <c r="C609" s="2" t="s">
        <v>641</v>
      </c>
      <c r="D609" s="6" t="s">
        <v>649</v>
      </c>
      <c r="E609" s="32" t="s">
        <v>651</v>
      </c>
      <c r="F609" s="7"/>
      <c r="G609" s="7"/>
      <c r="H609" s="7"/>
      <c r="I609" s="7"/>
      <c r="J609" s="7">
        <v>1</v>
      </c>
      <c r="K609" s="7" t="s">
        <v>660</v>
      </c>
      <c r="L609" s="7" t="s">
        <v>663</v>
      </c>
      <c r="M609" s="8">
        <v>44211</v>
      </c>
      <c r="N609" s="8">
        <v>44224</v>
      </c>
      <c r="O609" s="13"/>
      <c r="P609" s="13">
        <v>237185.84</v>
      </c>
      <c r="Q609" s="33"/>
      <c r="R609" s="9"/>
      <c r="S609" s="9"/>
      <c r="T609" s="9"/>
      <c r="U609" s="9"/>
      <c r="X609" s="15" t="str">
        <f>IF(B609="",VLOOKUP(A609,items_lookup!A:B,2,FALSE),B609)</f>
        <v>05. Item 05</v>
      </c>
      <c r="Y609" s="15">
        <f t="shared" si="57"/>
        <v>1</v>
      </c>
      <c r="Z609" s="15">
        <f t="shared" si="57"/>
        <v>1</v>
      </c>
      <c r="AA609" s="15">
        <f t="shared" si="54"/>
        <v>2021</v>
      </c>
      <c r="AB609" s="15">
        <f t="shared" si="55"/>
        <v>2021</v>
      </c>
      <c r="AC609" s="15">
        <f t="shared" si="56"/>
        <v>2021</v>
      </c>
      <c r="AD609" s="18" t="b">
        <f t="shared" si="58"/>
        <v>1</v>
      </c>
    </row>
    <row r="610" spans="1:30" ht="15" hidden="1" customHeight="1" x14ac:dyDescent="0.2">
      <c r="A610" s="7" t="s">
        <v>682</v>
      </c>
      <c r="B610" s="20"/>
      <c r="C610" s="2" t="s">
        <v>641</v>
      </c>
      <c r="D610" s="6" t="s">
        <v>649</v>
      </c>
      <c r="E610" s="32" t="s">
        <v>651</v>
      </c>
      <c r="F610" s="7"/>
      <c r="G610" s="7"/>
      <c r="H610" s="7"/>
      <c r="I610" s="7" t="s">
        <v>20</v>
      </c>
      <c r="J610" s="7">
        <v>1</v>
      </c>
      <c r="K610" s="7" t="s">
        <v>660</v>
      </c>
      <c r="L610" s="7" t="s">
        <v>663</v>
      </c>
      <c r="M610" s="8">
        <v>44211</v>
      </c>
      <c r="N610" s="8">
        <v>44224</v>
      </c>
      <c r="O610" s="13"/>
      <c r="P610" s="13">
        <v>15980.81</v>
      </c>
      <c r="Q610" s="33"/>
      <c r="R610" s="9"/>
      <c r="S610" s="9"/>
      <c r="T610" s="9"/>
      <c r="U610" s="9"/>
      <c r="X610" s="15" t="str">
        <f>IF(B610="",VLOOKUP(A610,items_lookup!A:B,2,FALSE),B610)</f>
        <v>06. Item 06</v>
      </c>
      <c r="Y610" s="15">
        <f t="shared" si="57"/>
        <v>1</v>
      </c>
      <c r="Z610" s="15">
        <f t="shared" si="57"/>
        <v>1</v>
      </c>
      <c r="AA610" s="15">
        <f t="shared" si="54"/>
        <v>2021</v>
      </c>
      <c r="AB610" s="15">
        <f t="shared" si="55"/>
        <v>2021</v>
      </c>
      <c r="AC610" s="15">
        <f t="shared" si="56"/>
        <v>2021</v>
      </c>
      <c r="AD610" s="18" t="b">
        <f t="shared" si="58"/>
        <v>1</v>
      </c>
    </row>
    <row r="611" spans="1:30" ht="15" hidden="1" customHeight="1" x14ac:dyDescent="0.2">
      <c r="A611" s="7" t="s">
        <v>673</v>
      </c>
      <c r="B611" s="20"/>
      <c r="C611" s="2" t="s">
        <v>641</v>
      </c>
      <c r="D611" s="6" t="s">
        <v>649</v>
      </c>
      <c r="E611" s="32" t="s">
        <v>651</v>
      </c>
      <c r="F611" s="7"/>
      <c r="G611" s="7"/>
      <c r="H611" s="7"/>
      <c r="I611" s="7"/>
      <c r="J611" s="7">
        <v>1</v>
      </c>
      <c r="K611" s="7" t="s">
        <v>660</v>
      </c>
      <c r="L611" s="7" t="s">
        <v>663</v>
      </c>
      <c r="M611" s="8">
        <v>44211</v>
      </c>
      <c r="N611" s="8">
        <v>44224</v>
      </c>
      <c r="O611" s="13"/>
      <c r="P611" s="13">
        <v>13049.7</v>
      </c>
      <c r="Q611" s="33"/>
      <c r="R611" s="9"/>
      <c r="S611" s="9"/>
      <c r="T611" s="9"/>
      <c r="U611" s="9"/>
      <c r="X611" s="15" t="str">
        <f>IF(B611="",VLOOKUP(A611,items_lookup!A:B,2,FALSE),B611)</f>
        <v>07. Item 07</v>
      </c>
      <c r="Y611" s="15">
        <f t="shared" si="57"/>
        <v>1</v>
      </c>
      <c r="Z611" s="15">
        <f t="shared" si="57"/>
        <v>1</v>
      </c>
      <c r="AA611" s="15">
        <f t="shared" si="54"/>
        <v>2021</v>
      </c>
      <c r="AB611" s="15">
        <f t="shared" si="55"/>
        <v>2021</v>
      </c>
      <c r="AC611" s="15">
        <f t="shared" si="56"/>
        <v>2021</v>
      </c>
      <c r="AD611" s="18" t="b">
        <f t="shared" si="58"/>
        <v>1</v>
      </c>
    </row>
    <row r="612" spans="1:30" ht="15" hidden="1" customHeight="1" x14ac:dyDescent="0.2">
      <c r="A612" s="7" t="s">
        <v>674</v>
      </c>
      <c r="B612" s="7"/>
      <c r="C612" s="2" t="s">
        <v>641</v>
      </c>
      <c r="D612" s="6" t="s">
        <v>649</v>
      </c>
      <c r="E612" s="32" t="s">
        <v>651</v>
      </c>
      <c r="F612" s="7" t="s">
        <v>20</v>
      </c>
      <c r="G612" s="7"/>
      <c r="H612" s="7"/>
      <c r="I612" s="7"/>
      <c r="J612" s="7">
        <v>1</v>
      </c>
      <c r="K612" s="7" t="s">
        <v>660</v>
      </c>
      <c r="L612" s="7" t="s">
        <v>663</v>
      </c>
      <c r="M612" s="8">
        <v>44211</v>
      </c>
      <c r="N612" s="8">
        <v>44224</v>
      </c>
      <c r="O612" s="13"/>
      <c r="P612" s="13">
        <v>97595.24</v>
      </c>
      <c r="Q612" s="33"/>
      <c r="R612" s="22"/>
      <c r="S612" s="22"/>
      <c r="T612" s="22"/>
      <c r="U612" s="22"/>
      <c r="X612" s="15" t="str">
        <f>IF(B612="",VLOOKUP(A612,items_lookup!A:B,2,FALSE),B612)</f>
        <v>08. Item 08</v>
      </c>
      <c r="Y612" s="15">
        <f t="shared" si="57"/>
        <v>1</v>
      </c>
      <c r="Z612" s="15">
        <f t="shared" si="57"/>
        <v>1</v>
      </c>
      <c r="AA612" s="15">
        <f t="shared" si="54"/>
        <v>2021</v>
      </c>
      <c r="AB612" s="15">
        <f t="shared" si="55"/>
        <v>2021</v>
      </c>
      <c r="AC612" s="15">
        <f t="shared" si="56"/>
        <v>2020</v>
      </c>
      <c r="AD612" s="18" t="b">
        <f t="shared" si="58"/>
        <v>1</v>
      </c>
    </row>
    <row r="613" spans="1:30" ht="15" hidden="1" customHeight="1" x14ac:dyDescent="0.2">
      <c r="A613" s="7" t="s">
        <v>688</v>
      </c>
      <c r="B613" s="7"/>
      <c r="C613" s="2" t="s">
        <v>641</v>
      </c>
      <c r="D613" s="6" t="s">
        <v>649</v>
      </c>
      <c r="E613" s="32" t="s">
        <v>651</v>
      </c>
      <c r="F613" s="7" t="s">
        <v>20</v>
      </c>
      <c r="G613" s="7"/>
      <c r="H613" s="7"/>
      <c r="I613" s="7"/>
      <c r="J613" s="7">
        <v>1</v>
      </c>
      <c r="K613" s="7" t="s">
        <v>660</v>
      </c>
      <c r="L613" s="7" t="s">
        <v>663</v>
      </c>
      <c r="M613" s="8">
        <v>44211</v>
      </c>
      <c r="N613" s="8">
        <v>44224</v>
      </c>
      <c r="O613" s="13"/>
      <c r="P613" s="13">
        <v>338053.39</v>
      </c>
      <c r="Q613" s="33"/>
      <c r="R613" s="22"/>
      <c r="S613" s="22"/>
      <c r="T613" s="22"/>
      <c r="U613" s="22"/>
      <c r="X613" s="15" t="str">
        <f>IF(B613="",VLOOKUP(A613,items_lookup!A:B,2,FALSE),B613)</f>
        <v>09. Item 09</v>
      </c>
      <c r="Y613" s="15">
        <f t="shared" si="57"/>
        <v>1</v>
      </c>
      <c r="Z613" s="15">
        <f t="shared" si="57"/>
        <v>1</v>
      </c>
      <c r="AA613" s="15">
        <f t="shared" si="54"/>
        <v>2021</v>
      </c>
      <c r="AB613" s="15">
        <f t="shared" si="55"/>
        <v>2021</v>
      </c>
      <c r="AC613" s="15">
        <f t="shared" si="56"/>
        <v>2020</v>
      </c>
      <c r="AD613" s="18" t="b">
        <f t="shared" si="58"/>
        <v>1</v>
      </c>
    </row>
    <row r="614" spans="1:30" ht="15" hidden="1" customHeight="1" x14ac:dyDescent="0.2">
      <c r="A614" s="7" t="s">
        <v>676</v>
      </c>
      <c r="B614" s="7"/>
      <c r="C614" s="2" t="s">
        <v>641</v>
      </c>
      <c r="D614" s="6" t="s">
        <v>649</v>
      </c>
      <c r="E614" s="32" t="s">
        <v>651</v>
      </c>
      <c r="F614" s="7" t="s">
        <v>20</v>
      </c>
      <c r="G614" s="7"/>
      <c r="H614" s="7"/>
      <c r="I614" s="7"/>
      <c r="J614" s="7">
        <v>1</v>
      </c>
      <c r="K614" s="7" t="s">
        <v>660</v>
      </c>
      <c r="L614" s="7" t="s">
        <v>663</v>
      </c>
      <c r="M614" s="8">
        <v>44211</v>
      </c>
      <c r="N614" s="8">
        <v>44224</v>
      </c>
      <c r="O614" s="13"/>
      <c r="P614" s="13">
        <v>131394.10999999999</v>
      </c>
      <c r="Q614" s="33"/>
      <c r="R614" s="22"/>
      <c r="S614" s="22"/>
      <c r="T614" s="22"/>
      <c r="U614" s="22"/>
      <c r="X614" s="15" t="str">
        <f>IF(B614="",VLOOKUP(A614,items_lookup!A:B,2,FALSE),B614)</f>
        <v>09. Item 09</v>
      </c>
      <c r="Y614" s="15">
        <f t="shared" si="57"/>
        <v>1</v>
      </c>
      <c r="Z614" s="15">
        <f t="shared" si="57"/>
        <v>1</v>
      </c>
      <c r="AA614" s="15">
        <f t="shared" ref="AA614:AA677" si="59">YEAR(N614)</f>
        <v>2021</v>
      </c>
      <c r="AB614" s="15">
        <f t="shared" ref="AB614:AB677" si="60">YEAR(M614)</f>
        <v>2021</v>
      </c>
      <c r="AC614" s="15">
        <f t="shared" ref="AC614:AC677" si="61">IF(F614="X",AA614-1,AA614)</f>
        <v>2020</v>
      </c>
      <c r="AD614" s="18" t="b">
        <f t="shared" si="58"/>
        <v>1</v>
      </c>
    </row>
    <row r="615" spans="1:30" ht="15" hidden="1" customHeight="1" x14ac:dyDescent="0.2">
      <c r="A615" s="7" t="s">
        <v>675</v>
      </c>
      <c r="B615" s="7"/>
      <c r="C615" s="2" t="s">
        <v>641</v>
      </c>
      <c r="D615" s="6" t="s">
        <v>649</v>
      </c>
      <c r="E615" s="32" t="s">
        <v>651</v>
      </c>
      <c r="F615" s="7"/>
      <c r="G615" s="7"/>
      <c r="H615" s="7"/>
      <c r="I615" s="7"/>
      <c r="J615" s="7">
        <v>1</v>
      </c>
      <c r="K615" s="7" t="s">
        <v>660</v>
      </c>
      <c r="L615" s="7" t="s">
        <v>663</v>
      </c>
      <c r="M615" s="8">
        <v>44211</v>
      </c>
      <c r="N615" s="8">
        <v>44229</v>
      </c>
      <c r="O615" s="13"/>
      <c r="P615" s="13">
        <v>31242.39</v>
      </c>
      <c r="Q615" s="33"/>
      <c r="R615" s="22"/>
      <c r="S615" s="22"/>
      <c r="T615" s="22"/>
      <c r="U615" s="22"/>
      <c r="X615" s="15" t="str">
        <f>IF(B615="",VLOOKUP(A615,items_lookup!A:B,2,FALSE),B615)</f>
        <v>09. Item 09</v>
      </c>
      <c r="Y615" s="15">
        <f t="shared" si="57"/>
        <v>1</v>
      </c>
      <c r="Z615" s="15">
        <f t="shared" si="57"/>
        <v>2</v>
      </c>
      <c r="AA615" s="15">
        <f t="shared" si="59"/>
        <v>2021</v>
      </c>
      <c r="AB615" s="15">
        <f t="shared" si="60"/>
        <v>2021</v>
      </c>
      <c r="AC615" s="15">
        <f t="shared" si="61"/>
        <v>2021</v>
      </c>
      <c r="AD615" s="18" t="b">
        <f t="shared" si="58"/>
        <v>1</v>
      </c>
    </row>
    <row r="616" spans="1:30" ht="15" hidden="1" customHeight="1" x14ac:dyDescent="0.2">
      <c r="A616" s="7" t="s">
        <v>697</v>
      </c>
      <c r="B616" s="7"/>
      <c r="C616" s="2" t="s">
        <v>641</v>
      </c>
      <c r="D616" s="6" t="s">
        <v>649</v>
      </c>
      <c r="E616" s="32" t="s">
        <v>651</v>
      </c>
      <c r="F616" s="7"/>
      <c r="G616" s="7"/>
      <c r="H616" s="7"/>
      <c r="I616" s="7"/>
      <c r="J616" s="7"/>
      <c r="K616" s="7" t="s">
        <v>660</v>
      </c>
      <c r="L616" s="7" t="s">
        <v>663</v>
      </c>
      <c r="M616" s="8">
        <v>44221</v>
      </c>
      <c r="N616" s="8">
        <v>44221</v>
      </c>
      <c r="O616" s="13"/>
      <c r="P616" s="13">
        <v>1380952.38</v>
      </c>
      <c r="Q616" s="33"/>
      <c r="R616" s="22"/>
      <c r="S616" s="22"/>
      <c r="T616" s="22"/>
      <c r="U616" s="22"/>
      <c r="X616" s="15" t="str">
        <f>IF(B616="",VLOOKUP(A616,items_lookup!A:B,2,FALSE),B616)</f>
        <v>10. Item 10</v>
      </c>
      <c r="Y616" s="15">
        <f t="shared" si="57"/>
        <v>1</v>
      </c>
      <c r="Z616" s="15">
        <f t="shared" si="57"/>
        <v>1</v>
      </c>
      <c r="AA616" s="15">
        <f t="shared" si="59"/>
        <v>2021</v>
      </c>
      <c r="AB616" s="15">
        <f t="shared" si="60"/>
        <v>2021</v>
      </c>
      <c r="AC616" s="15">
        <f t="shared" si="61"/>
        <v>2021</v>
      </c>
      <c r="AD616" s="18" t="b">
        <f t="shared" si="58"/>
        <v>1</v>
      </c>
    </row>
    <row r="617" spans="1:30" ht="15" hidden="1" customHeight="1" x14ac:dyDescent="0.2">
      <c r="A617" s="7" t="s">
        <v>698</v>
      </c>
      <c r="B617" s="7"/>
      <c r="C617" s="2" t="s">
        <v>641</v>
      </c>
      <c r="D617" s="6" t="s">
        <v>650</v>
      </c>
      <c r="E617" s="32" t="s">
        <v>651</v>
      </c>
      <c r="F617" s="7"/>
      <c r="G617" s="7"/>
      <c r="H617" s="7"/>
      <c r="I617" s="7"/>
      <c r="J617" s="7">
        <v>4</v>
      </c>
      <c r="K617" s="7" t="s">
        <v>660</v>
      </c>
      <c r="L617" s="7" t="s">
        <v>663</v>
      </c>
      <c r="M617" s="8">
        <v>44211</v>
      </c>
      <c r="N617" s="8">
        <v>44211</v>
      </c>
      <c r="O617" s="13"/>
      <c r="P617" s="13">
        <v>15205.06</v>
      </c>
      <c r="Q617" s="33"/>
      <c r="R617" s="22"/>
      <c r="S617" s="22"/>
      <c r="T617" s="22"/>
      <c r="U617" s="22"/>
      <c r="X617" s="15" t="str">
        <f>IF(B617="",VLOOKUP(A617,items_lookup!A:B,2,FALSE),B617)</f>
        <v>10. Item 10</v>
      </c>
      <c r="Y617" s="15">
        <f t="shared" si="57"/>
        <v>1</v>
      </c>
      <c r="Z617" s="15">
        <f t="shared" si="57"/>
        <v>1</v>
      </c>
      <c r="AA617" s="15">
        <f t="shared" si="59"/>
        <v>2021</v>
      </c>
      <c r="AB617" s="15">
        <f t="shared" si="60"/>
        <v>2021</v>
      </c>
      <c r="AC617" s="15">
        <f t="shared" si="61"/>
        <v>2021</v>
      </c>
      <c r="AD617" s="18" t="b">
        <f t="shared" si="58"/>
        <v>1</v>
      </c>
    </row>
    <row r="618" spans="1:30" ht="12.6" hidden="1" customHeight="1" x14ac:dyDescent="0.2">
      <c r="A618" s="7" t="s">
        <v>677</v>
      </c>
      <c r="B618" s="7"/>
      <c r="C618" s="2" t="s">
        <v>641</v>
      </c>
      <c r="D618" s="6" t="s">
        <v>649</v>
      </c>
      <c r="E618" s="32" t="s">
        <v>651</v>
      </c>
      <c r="F618" s="7"/>
      <c r="G618" s="7"/>
      <c r="H618" s="7"/>
      <c r="I618" s="7"/>
      <c r="J618" s="7"/>
      <c r="K618" s="7" t="s">
        <v>660</v>
      </c>
      <c r="L618" s="7" t="s">
        <v>663</v>
      </c>
      <c r="M618" s="8">
        <v>44211</v>
      </c>
      <c r="N618" s="8">
        <v>44211</v>
      </c>
      <c r="O618" s="13"/>
      <c r="P618" s="13">
        <v>15205.06</v>
      </c>
      <c r="Q618" s="33"/>
      <c r="R618" s="22"/>
      <c r="S618" s="22"/>
      <c r="T618" s="22"/>
      <c r="U618" s="22"/>
      <c r="X618" s="15" t="str">
        <f>IF(B618="",VLOOKUP(A618,items_lookup!A:B,2,FALSE),B618)</f>
        <v>11. Item 11</v>
      </c>
      <c r="Y618" s="15">
        <f t="shared" si="57"/>
        <v>1</v>
      </c>
      <c r="Z618" s="15">
        <f t="shared" si="57"/>
        <v>1</v>
      </c>
      <c r="AA618" s="15">
        <f t="shared" si="59"/>
        <v>2021</v>
      </c>
      <c r="AB618" s="15">
        <f t="shared" si="60"/>
        <v>2021</v>
      </c>
      <c r="AC618" s="15">
        <f t="shared" si="61"/>
        <v>2021</v>
      </c>
      <c r="AD618" s="18" t="b">
        <f t="shared" si="58"/>
        <v>1</v>
      </c>
    </row>
    <row r="619" spans="1:30" ht="15" hidden="1" customHeight="1" x14ac:dyDescent="0.2">
      <c r="A619" s="7" t="s">
        <v>699</v>
      </c>
      <c r="B619" s="7"/>
      <c r="C619" s="2" t="s">
        <v>641</v>
      </c>
      <c r="D619" s="6" t="s">
        <v>649</v>
      </c>
      <c r="E619" s="32" t="s">
        <v>651</v>
      </c>
      <c r="F619" s="7"/>
      <c r="G619" s="7"/>
      <c r="H619" s="7"/>
      <c r="I619" s="7"/>
      <c r="J619" s="7"/>
      <c r="K619" s="7" t="s">
        <v>660</v>
      </c>
      <c r="L619" s="7" t="s">
        <v>663</v>
      </c>
      <c r="M619" s="8">
        <v>44217</v>
      </c>
      <c r="N619" s="8">
        <v>44217</v>
      </c>
      <c r="O619" s="13"/>
      <c r="P619" s="13">
        <v>3090422.09</v>
      </c>
      <c r="Q619" s="33"/>
      <c r="R619" s="22"/>
      <c r="S619" s="22"/>
      <c r="T619" s="22"/>
      <c r="U619" s="22"/>
      <c r="X619" s="15" t="str">
        <f>IF(B619="",VLOOKUP(A619,items_lookup!A:B,2,FALSE),B619)</f>
        <v>12. Item 12</v>
      </c>
      <c r="Y619" s="15">
        <f t="shared" si="57"/>
        <v>1</v>
      </c>
      <c r="Z619" s="15">
        <f t="shared" si="57"/>
        <v>1</v>
      </c>
      <c r="AA619" s="15">
        <f t="shared" si="59"/>
        <v>2021</v>
      </c>
      <c r="AB619" s="15">
        <f t="shared" si="60"/>
        <v>2021</v>
      </c>
      <c r="AC619" s="15">
        <f t="shared" si="61"/>
        <v>2021</v>
      </c>
      <c r="AD619" s="18" t="b">
        <f t="shared" si="58"/>
        <v>1</v>
      </c>
    </row>
    <row r="620" spans="1:30" ht="15" hidden="1" customHeight="1" x14ac:dyDescent="0.2">
      <c r="A620" s="7" t="s">
        <v>696</v>
      </c>
      <c r="B620" s="7"/>
      <c r="C620" s="2" t="s">
        <v>641</v>
      </c>
      <c r="D620" s="6" t="s">
        <v>649</v>
      </c>
      <c r="E620" s="32" t="s">
        <v>651</v>
      </c>
      <c r="F620" s="7"/>
      <c r="G620" s="7"/>
      <c r="H620" s="7"/>
      <c r="I620" s="7"/>
      <c r="J620" s="7"/>
      <c r="K620" s="7" t="s">
        <v>660</v>
      </c>
      <c r="L620" s="7" t="s">
        <v>663</v>
      </c>
      <c r="M620" s="8">
        <v>44218</v>
      </c>
      <c r="N620" s="8">
        <v>44218</v>
      </c>
      <c r="O620" s="13"/>
      <c r="P620" s="13">
        <v>75517.59</v>
      </c>
      <c r="Q620" s="33"/>
      <c r="R620" s="22"/>
      <c r="S620" s="22"/>
      <c r="T620" s="22"/>
      <c r="U620" s="22"/>
      <c r="X620" s="15" t="str">
        <f>IF(B620="",VLOOKUP(A620,items_lookup!A:B,2,FALSE),B620)</f>
        <v>13. Item 13</v>
      </c>
      <c r="Y620" s="15">
        <f t="shared" si="57"/>
        <v>1</v>
      </c>
      <c r="Z620" s="15">
        <f t="shared" si="57"/>
        <v>1</v>
      </c>
      <c r="AA620" s="15">
        <f t="shared" si="59"/>
        <v>2021</v>
      </c>
      <c r="AB620" s="15">
        <f t="shared" si="60"/>
        <v>2021</v>
      </c>
      <c r="AC620" s="15">
        <f t="shared" si="61"/>
        <v>2021</v>
      </c>
      <c r="AD620" s="18" t="b">
        <f t="shared" si="58"/>
        <v>1</v>
      </c>
    </row>
    <row r="621" spans="1:30" ht="15" hidden="1" customHeight="1" x14ac:dyDescent="0.2">
      <c r="A621" s="7" t="s">
        <v>678</v>
      </c>
      <c r="B621" s="7"/>
      <c r="C621" s="2" t="s">
        <v>641</v>
      </c>
      <c r="D621" s="6" t="s">
        <v>649</v>
      </c>
      <c r="E621" s="32" t="s">
        <v>651</v>
      </c>
      <c r="F621" s="7"/>
      <c r="G621" s="7"/>
      <c r="H621" s="7"/>
      <c r="I621" s="7"/>
      <c r="J621" s="7"/>
      <c r="K621" s="7" t="s">
        <v>660</v>
      </c>
      <c r="L621" s="7" t="s">
        <v>663</v>
      </c>
      <c r="M621" s="8">
        <v>44222</v>
      </c>
      <c r="N621" s="8">
        <v>44222</v>
      </c>
      <c r="O621" s="13"/>
      <c r="P621" s="13">
        <v>4748552.6100000003</v>
      </c>
      <c r="Q621" s="33"/>
      <c r="R621" s="22"/>
      <c r="S621" s="22"/>
      <c r="T621" s="22"/>
      <c r="U621" s="22"/>
      <c r="X621" s="15" t="str">
        <f>IF(B621="",VLOOKUP(A621,items_lookup!A:B,2,FALSE),B621)</f>
        <v>13. Item 13</v>
      </c>
      <c r="Y621" s="15">
        <f t="shared" si="57"/>
        <v>1</v>
      </c>
      <c r="Z621" s="15">
        <f t="shared" si="57"/>
        <v>1</v>
      </c>
      <c r="AA621" s="15">
        <f t="shared" si="59"/>
        <v>2021</v>
      </c>
      <c r="AB621" s="15">
        <f t="shared" si="60"/>
        <v>2021</v>
      </c>
      <c r="AC621" s="15">
        <f t="shared" si="61"/>
        <v>2021</v>
      </c>
      <c r="AD621" s="18" t="b">
        <f t="shared" si="58"/>
        <v>1</v>
      </c>
    </row>
    <row r="622" spans="1:30" ht="15" hidden="1" customHeight="1" x14ac:dyDescent="0.2">
      <c r="A622" s="7" t="s">
        <v>700</v>
      </c>
      <c r="B622" s="7"/>
      <c r="C622" s="2" t="s">
        <v>641</v>
      </c>
      <c r="D622" s="6" t="s">
        <v>649</v>
      </c>
      <c r="E622" s="32" t="s">
        <v>651</v>
      </c>
      <c r="F622" s="7"/>
      <c r="G622" s="7"/>
      <c r="H622" s="7"/>
      <c r="I622" s="7"/>
      <c r="J622" s="7"/>
      <c r="K622" s="7" t="s">
        <v>660</v>
      </c>
      <c r="L622" s="7" t="s">
        <v>663</v>
      </c>
      <c r="M622" s="8">
        <v>44223</v>
      </c>
      <c r="N622" s="8">
        <v>44223</v>
      </c>
      <c r="O622" s="13"/>
      <c r="P622" s="13">
        <v>1766603.8</v>
      </c>
      <c r="Q622" s="33"/>
      <c r="R622" s="22"/>
      <c r="S622" s="22"/>
      <c r="T622" s="22"/>
      <c r="U622" s="22"/>
      <c r="X622" s="15" t="str">
        <f>IF(B622="",VLOOKUP(A622,items_lookup!A:B,2,FALSE),B622)</f>
        <v>13. Item 13</v>
      </c>
      <c r="Y622" s="15">
        <f t="shared" si="57"/>
        <v>1</v>
      </c>
      <c r="Z622" s="15">
        <f t="shared" si="57"/>
        <v>1</v>
      </c>
      <c r="AA622" s="15">
        <f t="shared" si="59"/>
        <v>2021</v>
      </c>
      <c r="AB622" s="15">
        <f t="shared" si="60"/>
        <v>2021</v>
      </c>
      <c r="AC622" s="15">
        <f t="shared" si="61"/>
        <v>2021</v>
      </c>
      <c r="AD622" s="18" t="b">
        <f t="shared" si="58"/>
        <v>1</v>
      </c>
    </row>
    <row r="623" spans="1:30" ht="15" hidden="1" customHeight="1" x14ac:dyDescent="0.2">
      <c r="A623" s="7" t="s">
        <v>701</v>
      </c>
      <c r="B623" s="7"/>
      <c r="C623" s="2" t="s">
        <v>641</v>
      </c>
      <c r="D623" s="6" t="s">
        <v>649</v>
      </c>
      <c r="E623" s="32" t="s">
        <v>651</v>
      </c>
      <c r="F623" s="7"/>
      <c r="G623" s="7"/>
      <c r="H623" s="7"/>
      <c r="I623" s="7"/>
      <c r="J623" s="7"/>
      <c r="K623" s="7" t="s">
        <v>660</v>
      </c>
      <c r="L623" s="7" t="s">
        <v>663</v>
      </c>
      <c r="M623" s="8">
        <v>44224</v>
      </c>
      <c r="N623" s="8">
        <v>44224</v>
      </c>
      <c r="O623" s="13"/>
      <c r="P623" s="13">
        <v>2119421.69</v>
      </c>
      <c r="Q623" s="33"/>
      <c r="R623" s="22"/>
      <c r="S623" s="22"/>
      <c r="T623" s="22"/>
      <c r="U623" s="22"/>
      <c r="X623" s="15" t="str">
        <f>IF(B623="",VLOOKUP(A623,items_lookup!A:B,2,FALSE),B623)</f>
        <v>13. Item 13</v>
      </c>
      <c r="Y623" s="15">
        <f t="shared" si="57"/>
        <v>1</v>
      </c>
      <c r="Z623" s="15">
        <f t="shared" si="57"/>
        <v>1</v>
      </c>
      <c r="AA623" s="15">
        <f t="shared" si="59"/>
        <v>2021</v>
      </c>
      <c r="AB623" s="15">
        <f t="shared" si="60"/>
        <v>2021</v>
      </c>
      <c r="AC623" s="15">
        <f t="shared" si="61"/>
        <v>2021</v>
      </c>
      <c r="AD623" s="18" t="b">
        <f t="shared" si="58"/>
        <v>1</v>
      </c>
    </row>
    <row r="624" spans="1:30" ht="15" hidden="1" customHeight="1" x14ac:dyDescent="0.2">
      <c r="A624" s="7" t="s">
        <v>680</v>
      </c>
      <c r="B624" s="7"/>
      <c r="C624" s="2" t="s">
        <v>641</v>
      </c>
      <c r="D624" s="6" t="s">
        <v>649</v>
      </c>
      <c r="E624" s="32" t="s">
        <v>651</v>
      </c>
      <c r="F624" s="7"/>
      <c r="G624" s="7"/>
      <c r="H624" s="7"/>
      <c r="I624" s="7"/>
      <c r="J624" s="7">
        <v>4</v>
      </c>
      <c r="K624" s="7" t="s">
        <v>660</v>
      </c>
      <c r="L624" s="7" t="s">
        <v>663</v>
      </c>
      <c r="M624" s="8">
        <v>44222</v>
      </c>
      <c r="N624" s="8">
        <v>44222</v>
      </c>
      <c r="O624" s="13"/>
      <c r="P624" s="13">
        <v>461964.4</v>
      </c>
      <c r="Q624" s="33"/>
      <c r="R624" s="22"/>
      <c r="S624" s="22"/>
      <c r="T624" s="22"/>
      <c r="U624" s="22"/>
      <c r="X624" s="15" t="str">
        <f>IF(B624="",VLOOKUP(A624,items_lookup!A:B,2,FALSE),B624)</f>
        <v>13. Item 13</v>
      </c>
      <c r="Y624" s="15">
        <f t="shared" si="57"/>
        <v>1</v>
      </c>
      <c r="Z624" s="15">
        <f t="shared" si="57"/>
        <v>1</v>
      </c>
      <c r="AA624" s="15">
        <f t="shared" si="59"/>
        <v>2021</v>
      </c>
      <c r="AB624" s="15">
        <f t="shared" si="60"/>
        <v>2021</v>
      </c>
      <c r="AC624" s="15">
        <f t="shared" si="61"/>
        <v>2021</v>
      </c>
      <c r="AD624" s="18" t="b">
        <f t="shared" si="58"/>
        <v>1</v>
      </c>
    </row>
    <row r="625" spans="1:30" ht="12.6" hidden="1" customHeight="1" x14ac:dyDescent="0.2">
      <c r="A625" s="7" t="s">
        <v>687</v>
      </c>
      <c r="B625" s="7"/>
      <c r="C625" s="2" t="s">
        <v>641</v>
      </c>
      <c r="D625" s="6" t="s">
        <v>649</v>
      </c>
      <c r="E625" s="32" t="s">
        <v>651</v>
      </c>
      <c r="F625" s="7" t="s">
        <v>20</v>
      </c>
      <c r="G625" s="7"/>
      <c r="H625" s="7"/>
      <c r="I625" s="7"/>
      <c r="J625" s="7">
        <v>4</v>
      </c>
      <c r="K625" s="7" t="s">
        <v>660</v>
      </c>
      <c r="L625" s="7" t="s">
        <v>663</v>
      </c>
      <c r="M625" s="8">
        <v>44216</v>
      </c>
      <c r="N625" s="8">
        <v>44257</v>
      </c>
      <c r="O625" s="13"/>
      <c r="P625" s="13">
        <v>161135.89000000001</v>
      </c>
      <c r="Q625" s="33"/>
      <c r="R625" s="22"/>
      <c r="S625" s="22"/>
      <c r="T625" s="22"/>
      <c r="U625" s="22"/>
      <c r="X625" s="15" t="str">
        <f>IF(B625="",VLOOKUP(A625,items_lookup!A:B,2,FALSE),B625)</f>
        <v>14. Item 14</v>
      </c>
      <c r="Y625" s="15">
        <f t="shared" si="57"/>
        <v>1</v>
      </c>
      <c r="Z625" s="15">
        <f t="shared" si="57"/>
        <v>3</v>
      </c>
      <c r="AA625" s="15">
        <f t="shared" si="59"/>
        <v>2021</v>
      </c>
      <c r="AB625" s="15">
        <f t="shared" si="60"/>
        <v>2021</v>
      </c>
      <c r="AC625" s="15">
        <f t="shared" si="61"/>
        <v>2020</v>
      </c>
      <c r="AD625" s="18" t="b">
        <f t="shared" si="58"/>
        <v>1</v>
      </c>
    </row>
    <row r="626" spans="1:30" ht="12.6" hidden="1" customHeight="1" x14ac:dyDescent="0.2">
      <c r="A626" s="7" t="s">
        <v>693</v>
      </c>
      <c r="B626" s="7"/>
      <c r="C626" s="2" t="s">
        <v>641</v>
      </c>
      <c r="D626" s="6" t="s">
        <v>649</v>
      </c>
      <c r="E626" s="32" t="s">
        <v>651</v>
      </c>
      <c r="F626" s="7"/>
      <c r="G626" s="7"/>
      <c r="H626" s="7"/>
      <c r="I626" s="7"/>
      <c r="J626" s="7">
        <v>4</v>
      </c>
      <c r="K626" s="7" t="s">
        <v>660</v>
      </c>
      <c r="L626" s="7" t="s">
        <v>663</v>
      </c>
      <c r="M626" s="8">
        <v>44216</v>
      </c>
      <c r="N626" s="8">
        <v>44256</v>
      </c>
      <c r="O626" s="13"/>
      <c r="P626" s="13">
        <v>1676190.48</v>
      </c>
      <c r="Q626" s="33"/>
      <c r="R626" s="22"/>
      <c r="S626" s="22"/>
      <c r="T626" s="22"/>
      <c r="U626" s="22"/>
      <c r="X626" s="15" t="str">
        <f>IF(B626="",VLOOKUP(A626,items_lookup!A:B,2,FALSE),B626)</f>
        <v>16. Item 16</v>
      </c>
      <c r="Y626" s="15">
        <f t="shared" si="57"/>
        <v>1</v>
      </c>
      <c r="Z626" s="15">
        <f t="shared" si="57"/>
        <v>3</v>
      </c>
      <c r="AA626" s="15">
        <f t="shared" si="59"/>
        <v>2021</v>
      </c>
      <c r="AB626" s="15">
        <f t="shared" si="60"/>
        <v>2021</v>
      </c>
      <c r="AC626" s="15">
        <f t="shared" si="61"/>
        <v>2021</v>
      </c>
      <c r="AD626" s="18" t="b">
        <f t="shared" si="58"/>
        <v>1</v>
      </c>
    </row>
    <row r="627" spans="1:30" ht="12.6" hidden="1" customHeight="1" x14ac:dyDescent="0.2">
      <c r="A627" s="7" t="s">
        <v>702</v>
      </c>
      <c r="B627" s="7"/>
      <c r="C627" s="2" t="s">
        <v>641</v>
      </c>
      <c r="D627" s="6" t="s">
        <v>649</v>
      </c>
      <c r="E627" s="32" t="s">
        <v>651</v>
      </c>
      <c r="F627" s="7"/>
      <c r="G627" s="7"/>
      <c r="H627" s="7"/>
      <c r="I627" s="7"/>
      <c r="J627" s="7">
        <v>3</v>
      </c>
      <c r="K627" s="7" t="s">
        <v>660</v>
      </c>
      <c r="L627" s="7" t="s">
        <v>663</v>
      </c>
      <c r="M627" s="8">
        <v>44211</v>
      </c>
      <c r="N627" s="8">
        <v>44225</v>
      </c>
      <c r="O627" s="13"/>
      <c r="P627" s="13">
        <v>280713.09999999998</v>
      </c>
      <c r="Q627" s="33"/>
      <c r="R627" s="22"/>
      <c r="S627" s="22"/>
      <c r="T627" s="22"/>
      <c r="U627" s="22"/>
      <c r="X627" s="15" t="str">
        <f>IF(B627="",VLOOKUP(A627,items_lookup!A:B,2,FALSE),B627)</f>
        <v>17. Item 17</v>
      </c>
      <c r="Y627" s="15">
        <f t="shared" si="57"/>
        <v>1</v>
      </c>
      <c r="Z627" s="15">
        <f t="shared" si="57"/>
        <v>1</v>
      </c>
      <c r="AA627" s="15">
        <f t="shared" si="59"/>
        <v>2021</v>
      </c>
      <c r="AB627" s="15">
        <f t="shared" si="60"/>
        <v>2021</v>
      </c>
      <c r="AC627" s="15">
        <f t="shared" si="61"/>
        <v>2021</v>
      </c>
      <c r="AD627" s="18" t="b">
        <f t="shared" si="58"/>
        <v>1</v>
      </c>
    </row>
    <row r="628" spans="1:30" ht="15" hidden="1" customHeight="1" x14ac:dyDescent="0.2">
      <c r="A628" s="7" t="s">
        <v>681</v>
      </c>
      <c r="B628" s="7"/>
      <c r="C628" s="2" t="s">
        <v>641</v>
      </c>
      <c r="D628" s="6" t="s">
        <v>650</v>
      </c>
      <c r="E628" s="32" t="s">
        <v>651</v>
      </c>
      <c r="F628" s="7"/>
      <c r="G628" s="7"/>
      <c r="H628" s="7"/>
      <c r="I628" s="7"/>
      <c r="J628" s="7">
        <v>4</v>
      </c>
      <c r="K628" s="7" t="s">
        <v>660</v>
      </c>
      <c r="L628" s="7" t="s">
        <v>663</v>
      </c>
      <c r="M628" s="8">
        <v>44211</v>
      </c>
      <c r="N628" s="8">
        <v>44225</v>
      </c>
      <c r="O628" s="13"/>
      <c r="P628" s="13">
        <v>31590.5</v>
      </c>
      <c r="Q628" s="33"/>
      <c r="R628" s="22"/>
      <c r="S628" s="22"/>
      <c r="T628" s="22"/>
      <c r="U628" s="22"/>
      <c r="X628" s="15" t="str">
        <f>IF(B628="",VLOOKUP(A628,items_lookup!A:B,2,FALSE),B628)</f>
        <v>19. Item 19</v>
      </c>
      <c r="Y628" s="15">
        <f t="shared" si="57"/>
        <v>1</v>
      </c>
      <c r="Z628" s="15">
        <f t="shared" si="57"/>
        <v>1</v>
      </c>
      <c r="AA628" s="15">
        <f t="shared" si="59"/>
        <v>2021</v>
      </c>
      <c r="AB628" s="15">
        <f t="shared" si="60"/>
        <v>2021</v>
      </c>
      <c r="AC628" s="15">
        <f t="shared" si="61"/>
        <v>2021</v>
      </c>
      <c r="AD628" s="18" t="b">
        <f t="shared" si="58"/>
        <v>1</v>
      </c>
    </row>
    <row r="629" spans="1:30" ht="12.6" hidden="1" customHeight="1" x14ac:dyDescent="0.2">
      <c r="A629" s="7" t="s">
        <v>682</v>
      </c>
      <c r="B629" s="20"/>
      <c r="C629" s="2" t="s">
        <v>641</v>
      </c>
      <c r="D629" s="6" t="s">
        <v>649</v>
      </c>
      <c r="E629" s="32" t="s">
        <v>651</v>
      </c>
      <c r="F629" s="7"/>
      <c r="G629" s="7"/>
      <c r="H629" s="7"/>
      <c r="I629" s="7"/>
      <c r="J629" s="7">
        <v>3</v>
      </c>
      <c r="K629" s="7" t="s">
        <v>660</v>
      </c>
      <c r="L629" s="7" t="s">
        <v>663</v>
      </c>
      <c r="M629" s="8">
        <v>44242</v>
      </c>
      <c r="N629" s="8">
        <v>44252</v>
      </c>
      <c r="O629" s="13"/>
      <c r="P629" s="13">
        <v>894.86</v>
      </c>
      <c r="Q629" s="33"/>
      <c r="R629" s="22"/>
      <c r="S629" s="22"/>
      <c r="T629" s="22"/>
      <c r="U629" s="22"/>
      <c r="X629" s="15" t="str">
        <f>IF(B629="",VLOOKUP(A629,items_lookup!A:B,2,FALSE),B629)</f>
        <v>06. Item 06</v>
      </c>
      <c r="Y629" s="15">
        <f t="shared" si="57"/>
        <v>2</v>
      </c>
      <c r="Z629" s="15">
        <f t="shared" si="57"/>
        <v>2</v>
      </c>
      <c r="AA629" s="15">
        <f t="shared" si="59"/>
        <v>2021</v>
      </c>
      <c r="AB629" s="15">
        <f t="shared" si="60"/>
        <v>2021</v>
      </c>
      <c r="AC629" s="15">
        <f t="shared" si="61"/>
        <v>2021</v>
      </c>
      <c r="AD629" s="18" t="b">
        <f t="shared" si="58"/>
        <v>1</v>
      </c>
    </row>
    <row r="630" spans="1:30" ht="15" hidden="1" customHeight="1" x14ac:dyDescent="0.2">
      <c r="A630" s="7" t="s">
        <v>697</v>
      </c>
      <c r="B630" s="7"/>
      <c r="C630" s="2" t="s">
        <v>641</v>
      </c>
      <c r="D630" s="6" t="s">
        <v>650</v>
      </c>
      <c r="E630" s="32" t="s">
        <v>651</v>
      </c>
      <c r="F630" s="7"/>
      <c r="G630" s="7"/>
      <c r="H630" s="7"/>
      <c r="I630" s="7"/>
      <c r="J630" s="7">
        <v>4</v>
      </c>
      <c r="K630" s="7" t="s">
        <v>660</v>
      </c>
      <c r="L630" s="7" t="s">
        <v>663</v>
      </c>
      <c r="M630" s="8">
        <v>44211</v>
      </c>
      <c r="N630" s="8">
        <v>44230</v>
      </c>
      <c r="O630" s="13"/>
      <c r="P630" s="13">
        <v>2475.56</v>
      </c>
      <c r="Q630" s="33"/>
      <c r="R630" s="22"/>
      <c r="S630" s="22"/>
      <c r="T630" s="22"/>
      <c r="U630" s="22"/>
      <c r="X630" s="15" t="str">
        <f>IF(B630="",VLOOKUP(A630,items_lookup!A:B,2,FALSE),B630)</f>
        <v>10. Item 10</v>
      </c>
      <c r="Y630" s="15">
        <f t="shared" ref="Y630:Z692" si="62">MONTH(M630)</f>
        <v>1</v>
      </c>
      <c r="Z630" s="15">
        <f t="shared" si="62"/>
        <v>2</v>
      </c>
      <c r="AA630" s="15">
        <f t="shared" si="59"/>
        <v>2021</v>
      </c>
      <c r="AB630" s="15">
        <f t="shared" si="60"/>
        <v>2021</v>
      </c>
      <c r="AC630" s="15">
        <f t="shared" si="61"/>
        <v>2021</v>
      </c>
      <c r="AD630" s="18" t="b">
        <f t="shared" si="58"/>
        <v>1</v>
      </c>
    </row>
    <row r="631" spans="1:30" ht="12.6" hidden="1" customHeight="1" x14ac:dyDescent="0.2">
      <c r="A631" s="7" t="s">
        <v>677</v>
      </c>
      <c r="B631" s="7"/>
      <c r="C631" s="2" t="s">
        <v>641</v>
      </c>
      <c r="D631" s="6" t="s">
        <v>649</v>
      </c>
      <c r="E631" s="32" t="s">
        <v>651</v>
      </c>
      <c r="F631" s="7" t="s">
        <v>20</v>
      </c>
      <c r="G631" s="7"/>
      <c r="H631" s="7"/>
      <c r="I631" s="7"/>
      <c r="J631" s="7">
        <v>3</v>
      </c>
      <c r="K631" s="7" t="s">
        <v>660</v>
      </c>
      <c r="L631" s="7" t="s">
        <v>663</v>
      </c>
      <c r="M631" s="8">
        <v>44211</v>
      </c>
      <c r="N631" s="8">
        <v>44231</v>
      </c>
      <c r="O631" s="13"/>
      <c r="P631" s="13">
        <v>1051249.52</v>
      </c>
      <c r="Q631" s="33"/>
      <c r="R631" s="22"/>
      <c r="S631" s="22"/>
      <c r="T631" s="22"/>
      <c r="U631" s="22"/>
      <c r="X631" s="15" t="str">
        <f>IF(B631="",VLOOKUP(A631,items_lookup!A:B,2,FALSE),B631)</f>
        <v>11. Item 11</v>
      </c>
      <c r="Y631" s="15">
        <f t="shared" si="62"/>
        <v>1</v>
      </c>
      <c r="Z631" s="15">
        <f t="shared" si="62"/>
        <v>2</v>
      </c>
      <c r="AA631" s="15">
        <f t="shared" si="59"/>
        <v>2021</v>
      </c>
      <c r="AB631" s="15">
        <f t="shared" si="60"/>
        <v>2021</v>
      </c>
      <c r="AC631" s="15">
        <f t="shared" si="61"/>
        <v>2020</v>
      </c>
      <c r="AD631" s="18" t="b">
        <f t="shared" si="58"/>
        <v>1</v>
      </c>
    </row>
    <row r="632" spans="1:30" ht="15" hidden="1" customHeight="1" x14ac:dyDescent="0.2">
      <c r="A632" s="7" t="s">
        <v>677</v>
      </c>
      <c r="B632" s="7"/>
      <c r="C632" s="2" t="s">
        <v>641</v>
      </c>
      <c r="D632" s="6" t="s">
        <v>649</v>
      </c>
      <c r="E632" s="32" t="s">
        <v>651</v>
      </c>
      <c r="F632" s="7"/>
      <c r="G632" s="7"/>
      <c r="H632" s="7"/>
      <c r="I632" s="7"/>
      <c r="J632" s="7">
        <v>3</v>
      </c>
      <c r="K632" s="7" t="s">
        <v>660</v>
      </c>
      <c r="L632" s="7" t="s">
        <v>663</v>
      </c>
      <c r="M632" s="8">
        <v>44211</v>
      </c>
      <c r="N632" s="8">
        <v>44235</v>
      </c>
      <c r="O632" s="13"/>
      <c r="P632" s="13">
        <v>35837.29</v>
      </c>
      <c r="Q632" s="33"/>
      <c r="R632" s="22"/>
      <c r="S632" s="22"/>
      <c r="T632" s="22"/>
      <c r="U632" s="22"/>
      <c r="X632" s="15" t="str">
        <f>IF(B632="",VLOOKUP(A632,items_lookup!A:B,2,FALSE),B632)</f>
        <v>11. Item 11</v>
      </c>
      <c r="Y632" s="15">
        <f t="shared" si="62"/>
        <v>1</v>
      </c>
      <c r="Z632" s="15">
        <f t="shared" si="62"/>
        <v>2</v>
      </c>
      <c r="AA632" s="15">
        <f t="shared" si="59"/>
        <v>2021</v>
      </c>
      <c r="AB632" s="15">
        <f t="shared" si="60"/>
        <v>2021</v>
      </c>
      <c r="AC632" s="15">
        <f t="shared" si="61"/>
        <v>2021</v>
      </c>
      <c r="AD632" s="18" t="b">
        <f t="shared" si="58"/>
        <v>1</v>
      </c>
    </row>
    <row r="633" spans="1:30" ht="15" hidden="1" customHeight="1" x14ac:dyDescent="0.2">
      <c r="A633" s="7" t="s">
        <v>690</v>
      </c>
      <c r="B633" s="7"/>
      <c r="C633" s="2" t="s">
        <v>641</v>
      </c>
      <c r="D633" s="6" t="s">
        <v>649</v>
      </c>
      <c r="E633" s="32" t="s">
        <v>651</v>
      </c>
      <c r="F633" s="7"/>
      <c r="G633" s="7"/>
      <c r="H633" s="7"/>
      <c r="I633" s="7"/>
      <c r="J633" s="7">
        <v>1</v>
      </c>
      <c r="K633" s="7" t="s">
        <v>660</v>
      </c>
      <c r="L633" s="7" t="s">
        <v>663</v>
      </c>
      <c r="M633" s="8">
        <v>44211</v>
      </c>
      <c r="N633" s="8">
        <v>44223</v>
      </c>
      <c r="O633" s="13"/>
      <c r="P633" s="13">
        <v>15446.74</v>
      </c>
      <c r="Q633" s="33"/>
      <c r="R633" s="22"/>
      <c r="S633" s="22"/>
      <c r="T633" s="22"/>
      <c r="U633" s="22"/>
      <c r="X633" s="15" t="str">
        <f>IF(B633="",VLOOKUP(A633,items_lookup!A:B,2,FALSE),B633)</f>
        <v>21. Item 21</v>
      </c>
      <c r="Y633" s="15">
        <f t="shared" si="62"/>
        <v>1</v>
      </c>
      <c r="Z633" s="15">
        <f t="shared" si="62"/>
        <v>1</v>
      </c>
      <c r="AA633" s="15">
        <f t="shared" si="59"/>
        <v>2021</v>
      </c>
      <c r="AB633" s="15">
        <f t="shared" si="60"/>
        <v>2021</v>
      </c>
      <c r="AC633" s="15">
        <f t="shared" si="61"/>
        <v>2021</v>
      </c>
      <c r="AD633" s="18" t="b">
        <f t="shared" si="58"/>
        <v>1</v>
      </c>
    </row>
    <row r="634" spans="1:30" ht="15" hidden="1" customHeight="1" x14ac:dyDescent="0.2">
      <c r="A634" s="7" t="s">
        <v>680</v>
      </c>
      <c r="B634" s="7"/>
      <c r="C634" s="2" t="s">
        <v>641</v>
      </c>
      <c r="D634" s="6" t="s">
        <v>649</v>
      </c>
      <c r="E634" s="32" t="s">
        <v>651</v>
      </c>
      <c r="F634" s="7"/>
      <c r="G634" s="7"/>
      <c r="H634" s="7"/>
      <c r="I634" s="7"/>
      <c r="J634" s="7">
        <v>1</v>
      </c>
      <c r="K634" s="7" t="s">
        <v>660</v>
      </c>
      <c r="L634" s="7" t="s">
        <v>663</v>
      </c>
      <c r="M634" s="8">
        <v>44211</v>
      </c>
      <c r="N634" s="8">
        <v>44223</v>
      </c>
      <c r="O634" s="13"/>
      <c r="P634" s="13">
        <v>714.29</v>
      </c>
      <c r="Q634" s="33"/>
      <c r="R634" s="22"/>
      <c r="S634" s="22"/>
      <c r="T634" s="22"/>
      <c r="U634" s="22"/>
      <c r="X634" s="15" t="str">
        <f>IF(B634="",VLOOKUP(A634,items_lookup!A:B,2,FALSE),B634)</f>
        <v>13. Item 13</v>
      </c>
      <c r="Y634" s="15">
        <f t="shared" si="62"/>
        <v>1</v>
      </c>
      <c r="Z634" s="15">
        <f t="shared" si="62"/>
        <v>1</v>
      </c>
      <c r="AA634" s="15">
        <f t="shared" si="59"/>
        <v>2021</v>
      </c>
      <c r="AB634" s="15">
        <f t="shared" si="60"/>
        <v>2021</v>
      </c>
      <c r="AC634" s="15">
        <f t="shared" si="61"/>
        <v>2021</v>
      </c>
      <c r="AD634" s="18" t="b">
        <f t="shared" si="58"/>
        <v>1</v>
      </c>
    </row>
    <row r="635" spans="1:30" ht="15" hidden="1" customHeight="1" x14ac:dyDescent="0.2">
      <c r="A635" s="7" t="s">
        <v>680</v>
      </c>
      <c r="B635" s="7"/>
      <c r="C635" s="2" t="s">
        <v>641</v>
      </c>
      <c r="D635" s="6" t="s">
        <v>649</v>
      </c>
      <c r="E635" s="32" t="s">
        <v>651</v>
      </c>
      <c r="F635" s="7"/>
      <c r="G635" s="7"/>
      <c r="H635" s="7"/>
      <c r="I635" s="7"/>
      <c r="J635" s="7"/>
      <c r="K635" s="7" t="s">
        <v>660</v>
      </c>
      <c r="L635" s="7" t="s">
        <v>663</v>
      </c>
      <c r="M635" s="8">
        <v>44225</v>
      </c>
      <c r="N635" s="8">
        <v>44225</v>
      </c>
      <c r="O635" s="13"/>
      <c r="P635" s="13">
        <v>246222.92</v>
      </c>
      <c r="Q635" s="33"/>
      <c r="R635" s="22"/>
      <c r="S635" s="22"/>
      <c r="T635" s="22"/>
      <c r="U635" s="22"/>
      <c r="X635" s="15" t="str">
        <f>IF(B635="",VLOOKUP(A635,items_lookup!A:B,2,FALSE),B635)</f>
        <v>13. Item 13</v>
      </c>
      <c r="Y635" s="15">
        <f t="shared" si="62"/>
        <v>1</v>
      </c>
      <c r="Z635" s="15">
        <f t="shared" si="62"/>
        <v>1</v>
      </c>
      <c r="AA635" s="15">
        <f t="shared" si="59"/>
        <v>2021</v>
      </c>
      <c r="AB635" s="15">
        <f t="shared" si="60"/>
        <v>2021</v>
      </c>
      <c r="AC635" s="15">
        <f t="shared" si="61"/>
        <v>2021</v>
      </c>
      <c r="AD635" s="18" t="b">
        <f t="shared" si="58"/>
        <v>1</v>
      </c>
    </row>
    <row r="636" spans="1:30" ht="15" hidden="1" customHeight="1" x14ac:dyDescent="0.2">
      <c r="A636" s="7" t="s">
        <v>680</v>
      </c>
      <c r="B636" s="7"/>
      <c r="C636" s="2" t="s">
        <v>641</v>
      </c>
      <c r="D636" s="6" t="s">
        <v>649</v>
      </c>
      <c r="E636" s="32" t="s">
        <v>651</v>
      </c>
      <c r="F636" s="7"/>
      <c r="G636" s="7"/>
      <c r="H636" s="7"/>
      <c r="I636" s="7"/>
      <c r="J636" s="7"/>
      <c r="K636" s="7" t="s">
        <v>660</v>
      </c>
      <c r="L636" s="7" t="s">
        <v>663</v>
      </c>
      <c r="M636" s="8">
        <v>44225</v>
      </c>
      <c r="N636" s="8">
        <v>44225</v>
      </c>
      <c r="O636" s="13"/>
      <c r="P636" s="13">
        <v>21771720.989999998</v>
      </c>
      <c r="Q636" s="33"/>
      <c r="R636" s="22"/>
      <c r="S636" s="22"/>
      <c r="T636" s="22"/>
      <c r="U636" s="22"/>
      <c r="X636" s="15" t="str">
        <f>IF(B636="",VLOOKUP(A636,items_lookup!A:B,2,FALSE),B636)</f>
        <v>13. Item 13</v>
      </c>
      <c r="Y636" s="15">
        <f t="shared" si="62"/>
        <v>1</v>
      </c>
      <c r="Z636" s="15">
        <f t="shared" si="62"/>
        <v>1</v>
      </c>
      <c r="AA636" s="15">
        <f t="shared" si="59"/>
        <v>2021</v>
      </c>
      <c r="AB636" s="15">
        <f t="shared" si="60"/>
        <v>2021</v>
      </c>
      <c r="AC636" s="15">
        <f t="shared" si="61"/>
        <v>2021</v>
      </c>
      <c r="AD636" s="18" t="b">
        <f t="shared" si="58"/>
        <v>1</v>
      </c>
    </row>
    <row r="637" spans="1:30" ht="15" hidden="1" customHeight="1" x14ac:dyDescent="0.2">
      <c r="A637" s="7" t="s">
        <v>699</v>
      </c>
      <c r="B637" s="7"/>
      <c r="C637" s="2" t="s">
        <v>641</v>
      </c>
      <c r="D637" s="6" t="s">
        <v>649</v>
      </c>
      <c r="E637" s="32" t="s">
        <v>651</v>
      </c>
      <c r="F637" s="7"/>
      <c r="G637" s="7"/>
      <c r="H637" s="7"/>
      <c r="I637" s="7"/>
      <c r="J637" s="7"/>
      <c r="K637" s="7" t="s">
        <v>660</v>
      </c>
      <c r="L637" s="7" t="s">
        <v>663</v>
      </c>
      <c r="M637" s="8">
        <v>44229</v>
      </c>
      <c r="N637" s="8">
        <v>44229</v>
      </c>
      <c r="O637" s="13"/>
      <c r="P637" s="13">
        <v>1094965.03</v>
      </c>
      <c r="Q637" s="33"/>
      <c r="R637" s="22"/>
      <c r="S637" s="22"/>
      <c r="T637" s="22"/>
      <c r="U637" s="22"/>
      <c r="X637" s="15" t="str">
        <f>IF(B637="",VLOOKUP(A637,items_lookup!A:B,2,FALSE),B637)</f>
        <v>12. Item 12</v>
      </c>
      <c r="Y637" s="15">
        <f t="shared" si="62"/>
        <v>2</v>
      </c>
      <c r="Z637" s="15">
        <f t="shared" si="62"/>
        <v>2</v>
      </c>
      <c r="AA637" s="15">
        <f t="shared" si="59"/>
        <v>2021</v>
      </c>
      <c r="AB637" s="15">
        <f t="shared" si="60"/>
        <v>2021</v>
      </c>
      <c r="AC637" s="15">
        <f t="shared" si="61"/>
        <v>2021</v>
      </c>
      <c r="AD637" s="18" t="b">
        <f t="shared" si="58"/>
        <v>1</v>
      </c>
    </row>
    <row r="638" spans="1:30" ht="15" hidden="1" customHeight="1" x14ac:dyDescent="0.2">
      <c r="A638" s="7" t="s">
        <v>680</v>
      </c>
      <c r="B638" s="7"/>
      <c r="C638" s="2" t="s">
        <v>641</v>
      </c>
      <c r="D638" s="6" t="s">
        <v>649</v>
      </c>
      <c r="E638" s="32" t="s">
        <v>651</v>
      </c>
      <c r="F638" s="7"/>
      <c r="G638" s="7"/>
      <c r="H638" s="7"/>
      <c r="I638" s="7"/>
      <c r="J638" s="7"/>
      <c r="K638" s="7" t="s">
        <v>660</v>
      </c>
      <c r="L638" s="7" t="s">
        <v>663</v>
      </c>
      <c r="M638" s="8">
        <v>44230</v>
      </c>
      <c r="N638" s="8">
        <v>44230</v>
      </c>
      <c r="O638" s="13"/>
      <c r="P638" s="13">
        <v>483.16</v>
      </c>
      <c r="Q638" s="33"/>
      <c r="R638" s="22"/>
      <c r="S638" s="22"/>
      <c r="T638" s="22"/>
      <c r="U638" s="22"/>
      <c r="X638" s="15" t="str">
        <f>IF(B638="",VLOOKUP(A638,items_lookup!A:B,2,FALSE),B638)</f>
        <v>13. Item 13</v>
      </c>
      <c r="Y638" s="15">
        <f t="shared" si="62"/>
        <v>2</v>
      </c>
      <c r="Z638" s="15">
        <f t="shared" si="62"/>
        <v>2</v>
      </c>
      <c r="AA638" s="15">
        <f t="shared" si="59"/>
        <v>2021</v>
      </c>
      <c r="AB638" s="15">
        <f t="shared" si="60"/>
        <v>2021</v>
      </c>
      <c r="AC638" s="15">
        <f t="shared" si="61"/>
        <v>2021</v>
      </c>
      <c r="AD638" s="18" t="b">
        <f t="shared" si="58"/>
        <v>1</v>
      </c>
    </row>
    <row r="639" spans="1:30" ht="15" hidden="1" customHeight="1" x14ac:dyDescent="0.2">
      <c r="A639" s="7" t="s">
        <v>680</v>
      </c>
      <c r="B639" s="7"/>
      <c r="C639" s="2" t="s">
        <v>641</v>
      </c>
      <c r="D639" s="6" t="s">
        <v>649</v>
      </c>
      <c r="E639" s="32" t="s">
        <v>651</v>
      </c>
      <c r="F639" s="7"/>
      <c r="G639" s="7"/>
      <c r="H639" s="7"/>
      <c r="I639" s="7"/>
      <c r="J639" s="7"/>
      <c r="K639" s="7" t="s">
        <v>660</v>
      </c>
      <c r="L639" s="7" t="s">
        <v>663</v>
      </c>
      <c r="M639" s="8">
        <v>44230</v>
      </c>
      <c r="N639" s="8">
        <v>44230</v>
      </c>
      <c r="O639" s="13"/>
      <c r="P639" s="13">
        <v>2475.56</v>
      </c>
      <c r="Q639" s="33"/>
      <c r="R639" s="22"/>
      <c r="S639" s="22"/>
      <c r="T639" s="22"/>
      <c r="U639" s="22"/>
      <c r="X639" s="15" t="str">
        <f>IF(B639="",VLOOKUP(A639,items_lookup!A:B,2,FALSE),B639)</f>
        <v>13. Item 13</v>
      </c>
      <c r="Y639" s="15">
        <f t="shared" si="62"/>
        <v>2</v>
      </c>
      <c r="Z639" s="15">
        <f t="shared" si="62"/>
        <v>2</v>
      </c>
      <c r="AA639" s="15">
        <f t="shared" si="59"/>
        <v>2021</v>
      </c>
      <c r="AB639" s="15">
        <f t="shared" si="60"/>
        <v>2021</v>
      </c>
      <c r="AC639" s="15">
        <f t="shared" si="61"/>
        <v>2021</v>
      </c>
      <c r="AD639" s="18" t="b">
        <f t="shared" si="58"/>
        <v>1</v>
      </c>
    </row>
    <row r="640" spans="1:30" ht="15" hidden="1" customHeight="1" x14ac:dyDescent="0.2">
      <c r="A640" s="7" t="s">
        <v>680</v>
      </c>
      <c r="B640" s="7"/>
      <c r="C640" s="2" t="s">
        <v>641</v>
      </c>
      <c r="D640" s="6" t="s">
        <v>649</v>
      </c>
      <c r="E640" s="32" t="s">
        <v>651</v>
      </c>
      <c r="F640" s="7"/>
      <c r="G640" s="7"/>
      <c r="H640" s="7"/>
      <c r="I640" s="7"/>
      <c r="J640" s="7"/>
      <c r="K640" s="7"/>
      <c r="L640" s="7" t="s">
        <v>662</v>
      </c>
      <c r="M640" s="8">
        <v>44228</v>
      </c>
      <c r="N640" s="8">
        <v>44228</v>
      </c>
      <c r="O640" s="13">
        <v>7904761.9000000004</v>
      </c>
      <c r="P640" s="13"/>
      <c r="Q640" s="33"/>
      <c r="R640" s="9"/>
      <c r="S640" s="9"/>
      <c r="T640" s="9"/>
      <c r="U640" s="9"/>
      <c r="X640" s="15" t="str">
        <f>IF(B640="",VLOOKUP(A640,items_lookup!A:B,2,FALSE),B640)</f>
        <v>13. Item 13</v>
      </c>
      <c r="Y640" s="15">
        <f t="shared" si="62"/>
        <v>2</v>
      </c>
      <c r="Z640" s="15">
        <f t="shared" si="62"/>
        <v>2</v>
      </c>
      <c r="AA640" s="15">
        <f t="shared" si="59"/>
        <v>2021</v>
      </c>
      <c r="AB640" s="15">
        <f t="shared" si="60"/>
        <v>2021</v>
      </c>
      <c r="AC640" s="15">
        <f t="shared" si="61"/>
        <v>2021</v>
      </c>
      <c r="AD640" s="18" t="b">
        <f t="shared" si="58"/>
        <v>1</v>
      </c>
    </row>
    <row r="641" spans="1:30" ht="15" hidden="1" customHeight="1" x14ac:dyDescent="0.2">
      <c r="A641" s="7" t="s">
        <v>698</v>
      </c>
      <c r="B641" s="7"/>
      <c r="C641" s="2" t="s">
        <v>641</v>
      </c>
      <c r="D641" s="6" t="s">
        <v>649</v>
      </c>
      <c r="E641" s="32" t="s">
        <v>651</v>
      </c>
      <c r="F641" s="7"/>
      <c r="G641" s="7"/>
      <c r="H641" s="7"/>
      <c r="I641" s="7"/>
      <c r="J641" s="7"/>
      <c r="K641" s="7"/>
      <c r="L641" s="7" t="s">
        <v>662</v>
      </c>
      <c r="M641" s="8">
        <v>44228</v>
      </c>
      <c r="N641" s="8">
        <v>44228</v>
      </c>
      <c r="O641" s="13">
        <v>1833333.33</v>
      </c>
      <c r="P641" s="13"/>
      <c r="Q641" s="33"/>
      <c r="R641" s="9"/>
      <c r="S641" s="9"/>
      <c r="T641" s="9"/>
      <c r="U641" s="9"/>
      <c r="X641" s="15" t="str">
        <f>IF(B641="",VLOOKUP(A641,items_lookup!A:B,2,FALSE),B641)</f>
        <v>10. Item 10</v>
      </c>
      <c r="Y641" s="15">
        <f t="shared" si="62"/>
        <v>2</v>
      </c>
      <c r="Z641" s="15">
        <f t="shared" si="62"/>
        <v>2</v>
      </c>
      <c r="AA641" s="15">
        <f t="shared" si="59"/>
        <v>2021</v>
      </c>
      <c r="AB641" s="15">
        <f t="shared" si="60"/>
        <v>2021</v>
      </c>
      <c r="AC641" s="15">
        <f t="shared" si="61"/>
        <v>2021</v>
      </c>
      <c r="AD641" s="18" t="b">
        <f t="shared" si="58"/>
        <v>1</v>
      </c>
    </row>
    <row r="642" spans="1:30" ht="15" hidden="1" customHeight="1" x14ac:dyDescent="0.2">
      <c r="A642" s="7" t="s">
        <v>697</v>
      </c>
      <c r="B642" s="7" t="s">
        <v>708</v>
      </c>
      <c r="C642" s="2" t="s">
        <v>641</v>
      </c>
      <c r="D642" s="6" t="s">
        <v>649</v>
      </c>
      <c r="E642" s="32" t="s">
        <v>651</v>
      </c>
      <c r="F642" s="7"/>
      <c r="G642" s="7"/>
      <c r="H642" s="7"/>
      <c r="I642" s="7"/>
      <c r="J642" s="7"/>
      <c r="K642" s="7"/>
      <c r="L642" s="7" t="s">
        <v>662</v>
      </c>
      <c r="M642" s="8">
        <v>44228</v>
      </c>
      <c r="N642" s="8">
        <v>44228</v>
      </c>
      <c r="O642" s="13">
        <v>1306302.31</v>
      </c>
      <c r="P642" s="13"/>
      <c r="Q642" s="33"/>
      <c r="R642" s="9"/>
      <c r="S642" s="9"/>
      <c r="T642" s="9"/>
      <c r="U642" s="9"/>
      <c r="X642" s="15" t="str">
        <f>IF(B642="",VLOOKUP(A642,items_lookup!A:B,2,FALSE),B642)</f>
        <v>03. Item 03</v>
      </c>
      <c r="Y642" s="15">
        <f t="shared" si="62"/>
        <v>2</v>
      </c>
      <c r="Z642" s="15">
        <f t="shared" si="62"/>
        <v>2</v>
      </c>
      <c r="AA642" s="15">
        <f t="shared" si="59"/>
        <v>2021</v>
      </c>
      <c r="AB642" s="15">
        <f t="shared" si="60"/>
        <v>2021</v>
      </c>
      <c r="AC642" s="15">
        <f t="shared" si="61"/>
        <v>2021</v>
      </c>
      <c r="AD642" s="18" t="b">
        <f t="shared" si="58"/>
        <v>1</v>
      </c>
    </row>
    <row r="643" spans="1:30" ht="15" hidden="1" customHeight="1" x14ac:dyDescent="0.2">
      <c r="A643" s="7" t="s">
        <v>680</v>
      </c>
      <c r="B643" s="7"/>
      <c r="C643" s="2" t="s">
        <v>641</v>
      </c>
      <c r="D643" s="6" t="s">
        <v>649</v>
      </c>
      <c r="E643" s="32" t="s">
        <v>651</v>
      </c>
      <c r="F643" s="7"/>
      <c r="G643" s="7"/>
      <c r="H643" s="7"/>
      <c r="I643" s="7"/>
      <c r="J643" s="7"/>
      <c r="K643" s="7"/>
      <c r="L643" s="7" t="s">
        <v>662</v>
      </c>
      <c r="M643" s="8">
        <v>44228</v>
      </c>
      <c r="N643" s="8">
        <v>44228</v>
      </c>
      <c r="O643" s="13">
        <v>3647315.57</v>
      </c>
      <c r="P643" s="13"/>
      <c r="Q643" s="33"/>
      <c r="R643" s="22"/>
      <c r="S643" s="22"/>
      <c r="T643" s="22"/>
      <c r="U643" s="22"/>
      <c r="X643" s="15" t="str">
        <f>IF(B643="",VLOOKUP(A643,items_lookup!A:B,2,FALSE),B643)</f>
        <v>13. Item 13</v>
      </c>
      <c r="Y643" s="15">
        <f t="shared" si="62"/>
        <v>2</v>
      </c>
      <c r="Z643" s="15">
        <f t="shared" si="62"/>
        <v>2</v>
      </c>
      <c r="AA643" s="15">
        <f t="shared" si="59"/>
        <v>2021</v>
      </c>
      <c r="AB643" s="15">
        <f t="shared" si="60"/>
        <v>2021</v>
      </c>
      <c r="AC643" s="15">
        <f t="shared" si="61"/>
        <v>2021</v>
      </c>
      <c r="AD643" s="18" t="b">
        <f t="shared" ref="AD643:AD706" si="63">AND(ROUND(O643,2)=O643,ROUND(P643,2)=P643,OR(AND(O643&lt;&gt;0,L643="p"),AND(P643&lt;&gt;0,L643="f")),_xlfn.ISFORMULA(X643),_xlfn.ISFORMULA(Y643),_xlfn.ISFORMULA(Z643),_xlfn.ISFORMULA(AA643),_xlfn.ISFORMULA(AB643),_xlfn.ISFORMULA(AC643),NOT(_xlfn.ISFORMULA(O643)),NOT(_xlfn.ISFORMULA(P643)),M643&lt;&gt;0,N643&lt;&gt;0)</f>
        <v>1</v>
      </c>
    </row>
    <row r="644" spans="1:30" ht="15" hidden="1" customHeight="1" x14ac:dyDescent="0.2">
      <c r="A644" s="7" t="s">
        <v>680</v>
      </c>
      <c r="B644" s="7"/>
      <c r="C644" s="2" t="s">
        <v>641</v>
      </c>
      <c r="D644" s="6" t="s">
        <v>649</v>
      </c>
      <c r="E644" s="32" t="s">
        <v>651</v>
      </c>
      <c r="F644" s="7"/>
      <c r="G644" s="7"/>
      <c r="H644" s="7"/>
      <c r="I644" s="7"/>
      <c r="J644" s="7"/>
      <c r="K644" s="7"/>
      <c r="L644" s="7" t="s">
        <v>662</v>
      </c>
      <c r="M644" s="8">
        <v>44228</v>
      </c>
      <c r="N644" s="8">
        <v>44228</v>
      </c>
      <c r="O644" s="13">
        <v>5297718.76</v>
      </c>
      <c r="P644" s="13"/>
      <c r="Q644" s="33"/>
      <c r="R644" s="9"/>
      <c r="S644" s="9"/>
      <c r="T644" s="9"/>
      <c r="U644" s="9"/>
      <c r="X644" s="15" t="str">
        <f>IF(B644="",VLOOKUP(A644,items_lookup!A:B,2,FALSE),B644)</f>
        <v>13. Item 13</v>
      </c>
      <c r="Y644" s="15">
        <f t="shared" si="62"/>
        <v>2</v>
      </c>
      <c r="Z644" s="15">
        <f t="shared" si="62"/>
        <v>2</v>
      </c>
      <c r="AA644" s="15">
        <f t="shared" si="59"/>
        <v>2021</v>
      </c>
      <c r="AB644" s="15">
        <f t="shared" si="60"/>
        <v>2021</v>
      </c>
      <c r="AC644" s="15">
        <f t="shared" si="61"/>
        <v>2021</v>
      </c>
      <c r="AD644" s="18" t="b">
        <f t="shared" si="63"/>
        <v>1</v>
      </c>
    </row>
    <row r="645" spans="1:30" ht="15" hidden="1" customHeight="1" x14ac:dyDescent="0.2">
      <c r="A645" s="7" t="s">
        <v>680</v>
      </c>
      <c r="B645" s="7"/>
      <c r="C645" s="2" t="s">
        <v>641</v>
      </c>
      <c r="D645" s="6" t="s">
        <v>649</v>
      </c>
      <c r="E645" s="32" t="s">
        <v>651</v>
      </c>
      <c r="F645" s="7"/>
      <c r="G645" s="7"/>
      <c r="H645" s="7"/>
      <c r="I645" s="7"/>
      <c r="J645" s="7"/>
      <c r="K645" s="7"/>
      <c r="L645" s="7" t="s">
        <v>662</v>
      </c>
      <c r="M645" s="8">
        <v>44228</v>
      </c>
      <c r="N645" s="8">
        <v>44228</v>
      </c>
      <c r="O645" s="13">
        <v>47619.05</v>
      </c>
      <c r="P645" s="13"/>
      <c r="Q645" s="33"/>
      <c r="R645" s="9"/>
      <c r="S645" s="9"/>
      <c r="T645" s="9"/>
      <c r="U645" s="9"/>
      <c r="X645" s="15" t="str">
        <f>IF(B645="",VLOOKUP(A645,items_lookup!A:B,2,FALSE),B645)</f>
        <v>13. Item 13</v>
      </c>
      <c r="Y645" s="15">
        <f t="shared" si="62"/>
        <v>2</v>
      </c>
      <c r="Z645" s="15">
        <f t="shared" si="62"/>
        <v>2</v>
      </c>
      <c r="AA645" s="15">
        <f t="shared" si="59"/>
        <v>2021</v>
      </c>
      <c r="AB645" s="15">
        <f t="shared" si="60"/>
        <v>2021</v>
      </c>
      <c r="AC645" s="15">
        <f t="shared" si="61"/>
        <v>2021</v>
      </c>
      <c r="AD645" s="18" t="b">
        <f t="shared" si="63"/>
        <v>1</v>
      </c>
    </row>
    <row r="646" spans="1:30" ht="15" hidden="1" customHeight="1" x14ac:dyDescent="0.2">
      <c r="A646" s="7" t="s">
        <v>680</v>
      </c>
      <c r="B646" s="7"/>
      <c r="C646" s="2" t="s">
        <v>641</v>
      </c>
      <c r="D646" s="6" t="s">
        <v>649</v>
      </c>
      <c r="E646" s="32" t="s">
        <v>651</v>
      </c>
      <c r="F646" s="7"/>
      <c r="G646" s="7"/>
      <c r="H646" s="7"/>
      <c r="I646" s="7"/>
      <c r="J646" s="7"/>
      <c r="K646" s="7"/>
      <c r="L646" s="7" t="s">
        <v>662</v>
      </c>
      <c r="M646" s="8">
        <v>44228</v>
      </c>
      <c r="N646" s="8">
        <v>44228</v>
      </c>
      <c r="O646" s="13">
        <v>2857142.86</v>
      </c>
      <c r="P646" s="13"/>
      <c r="Q646" s="33"/>
      <c r="R646" s="9"/>
      <c r="S646" s="9"/>
      <c r="T646" s="9"/>
      <c r="U646" s="9"/>
      <c r="X646" s="15" t="str">
        <f>IF(B646="",VLOOKUP(A646,items_lookup!A:B,2,FALSE),B646)</f>
        <v>13. Item 13</v>
      </c>
      <c r="Y646" s="15">
        <f t="shared" si="62"/>
        <v>2</v>
      </c>
      <c r="Z646" s="15">
        <f t="shared" si="62"/>
        <v>2</v>
      </c>
      <c r="AA646" s="15">
        <f t="shared" si="59"/>
        <v>2021</v>
      </c>
      <c r="AB646" s="15">
        <f t="shared" si="60"/>
        <v>2021</v>
      </c>
      <c r="AC646" s="15">
        <f t="shared" si="61"/>
        <v>2021</v>
      </c>
      <c r="AD646" s="18" t="b">
        <f t="shared" si="63"/>
        <v>1</v>
      </c>
    </row>
    <row r="647" spans="1:30" ht="14.25" hidden="1" customHeight="1" x14ac:dyDescent="0.2">
      <c r="A647" s="7" t="s">
        <v>680</v>
      </c>
      <c r="B647" s="7"/>
      <c r="C647" s="2" t="s">
        <v>641</v>
      </c>
      <c r="D647" s="6" t="s">
        <v>649</v>
      </c>
      <c r="E647" s="32" t="s">
        <v>651</v>
      </c>
      <c r="F647" s="7"/>
      <c r="G647" s="7"/>
      <c r="H647" s="7"/>
      <c r="I647" s="7"/>
      <c r="J647" s="7"/>
      <c r="K647" s="7"/>
      <c r="L647" s="7" t="s">
        <v>662</v>
      </c>
      <c r="M647" s="8">
        <v>44228</v>
      </c>
      <c r="N647" s="8">
        <v>44228</v>
      </c>
      <c r="O647" s="13">
        <v>8235714.29</v>
      </c>
      <c r="P647" s="13"/>
      <c r="Q647" s="33"/>
      <c r="R647" s="9"/>
      <c r="S647" s="9"/>
      <c r="T647" s="9"/>
      <c r="U647" s="9"/>
      <c r="X647" s="15" t="str">
        <f>IF(B647="",VLOOKUP(A647,items_lookup!A:B,2,FALSE),B647)</f>
        <v>13. Item 13</v>
      </c>
      <c r="Y647" s="15">
        <f t="shared" si="62"/>
        <v>2</v>
      </c>
      <c r="Z647" s="15">
        <f t="shared" si="62"/>
        <v>2</v>
      </c>
      <c r="AA647" s="15">
        <f t="shared" si="59"/>
        <v>2021</v>
      </c>
      <c r="AB647" s="15">
        <f t="shared" si="60"/>
        <v>2021</v>
      </c>
      <c r="AC647" s="15">
        <f t="shared" si="61"/>
        <v>2021</v>
      </c>
      <c r="AD647" s="18" t="b">
        <f t="shared" si="63"/>
        <v>1</v>
      </c>
    </row>
    <row r="648" spans="1:30" ht="15" hidden="1" customHeight="1" x14ac:dyDescent="0.2">
      <c r="A648" s="7" t="s">
        <v>680</v>
      </c>
      <c r="B648" s="20"/>
      <c r="C648" s="2" t="s">
        <v>641</v>
      </c>
      <c r="D648" s="6" t="s">
        <v>649</v>
      </c>
      <c r="E648" s="32" t="s">
        <v>651</v>
      </c>
      <c r="F648" s="7"/>
      <c r="G648" s="7"/>
      <c r="H648" s="7"/>
      <c r="I648" s="7"/>
      <c r="J648" s="7"/>
      <c r="K648" s="7"/>
      <c r="L648" s="7" t="s">
        <v>662</v>
      </c>
      <c r="M648" s="8">
        <v>44228</v>
      </c>
      <c r="N648" s="8">
        <v>44228</v>
      </c>
      <c r="O648" s="13">
        <v>1059032.1399999999</v>
      </c>
      <c r="P648" s="13"/>
      <c r="Q648" s="33"/>
      <c r="R648" s="9"/>
      <c r="S648" s="9"/>
      <c r="T648" s="9"/>
      <c r="U648" s="9"/>
      <c r="X648" s="15" t="str">
        <f>IF(B648="",VLOOKUP(A648,items_lookup!A:B,2,FALSE),B648)</f>
        <v>13. Item 13</v>
      </c>
      <c r="Y648" s="15">
        <f t="shared" si="62"/>
        <v>2</v>
      </c>
      <c r="Z648" s="15">
        <f t="shared" si="62"/>
        <v>2</v>
      </c>
      <c r="AA648" s="15">
        <f t="shared" si="59"/>
        <v>2021</v>
      </c>
      <c r="AB648" s="15">
        <f t="shared" si="60"/>
        <v>2021</v>
      </c>
      <c r="AC648" s="15">
        <f t="shared" si="61"/>
        <v>2021</v>
      </c>
      <c r="AD648" s="18" t="b">
        <f t="shared" si="63"/>
        <v>1</v>
      </c>
    </row>
    <row r="649" spans="1:30" ht="15" hidden="1" customHeight="1" x14ac:dyDescent="0.2">
      <c r="A649" s="7" t="s">
        <v>680</v>
      </c>
      <c r="B649" s="7"/>
      <c r="C649" s="2" t="s">
        <v>641</v>
      </c>
      <c r="D649" s="6" t="s">
        <v>649</v>
      </c>
      <c r="E649" s="32" t="s">
        <v>651</v>
      </c>
      <c r="F649" s="7"/>
      <c r="G649" s="7"/>
      <c r="H649" s="7"/>
      <c r="I649" s="7"/>
      <c r="J649" s="7"/>
      <c r="K649" s="7"/>
      <c r="L649" s="7" t="s">
        <v>662</v>
      </c>
      <c r="M649" s="8">
        <v>44228</v>
      </c>
      <c r="N649" s="8">
        <v>44228</v>
      </c>
      <c r="O649" s="13">
        <v>184459.43</v>
      </c>
      <c r="P649" s="13"/>
      <c r="Q649" s="33"/>
      <c r="R649" s="9"/>
      <c r="S649" s="9"/>
      <c r="T649" s="9"/>
      <c r="U649" s="9"/>
      <c r="X649" s="15" t="str">
        <f>IF(B649="",VLOOKUP(A649,items_lookup!A:B,2,FALSE),B649)</f>
        <v>13. Item 13</v>
      </c>
      <c r="Y649" s="15">
        <f t="shared" si="62"/>
        <v>2</v>
      </c>
      <c r="Z649" s="15">
        <f t="shared" si="62"/>
        <v>2</v>
      </c>
      <c r="AA649" s="15">
        <f t="shared" si="59"/>
        <v>2021</v>
      </c>
      <c r="AB649" s="15">
        <f t="shared" si="60"/>
        <v>2021</v>
      </c>
      <c r="AC649" s="15">
        <f t="shared" si="61"/>
        <v>2021</v>
      </c>
      <c r="AD649" s="18" t="b">
        <f t="shared" si="63"/>
        <v>1</v>
      </c>
    </row>
    <row r="650" spans="1:30" ht="15" hidden="1" customHeight="1" x14ac:dyDescent="0.2">
      <c r="A650" s="7" t="s">
        <v>680</v>
      </c>
      <c r="B650" s="7"/>
      <c r="C650" s="2" t="s">
        <v>641</v>
      </c>
      <c r="D650" s="6" t="s">
        <v>649</v>
      </c>
      <c r="E650" s="32" t="s">
        <v>651</v>
      </c>
      <c r="F650" s="7"/>
      <c r="G650" s="7"/>
      <c r="H650" s="7"/>
      <c r="I650" s="7"/>
      <c r="J650" s="7"/>
      <c r="K650" s="7"/>
      <c r="L650" s="7" t="s">
        <v>662</v>
      </c>
      <c r="M650" s="8">
        <v>44228</v>
      </c>
      <c r="N650" s="8">
        <v>44228</v>
      </c>
      <c r="O650" s="13">
        <v>245238.1</v>
      </c>
      <c r="P650" s="13"/>
      <c r="Q650" s="33"/>
      <c r="R650" s="9"/>
      <c r="S650" s="9"/>
      <c r="T650" s="9"/>
      <c r="U650" s="9"/>
      <c r="X650" s="15" t="str">
        <f>IF(B650="",VLOOKUP(A650,items_lookup!A:B,2,FALSE),B650)</f>
        <v>13. Item 13</v>
      </c>
      <c r="Y650" s="15">
        <f t="shared" si="62"/>
        <v>2</v>
      </c>
      <c r="Z650" s="15">
        <f t="shared" si="62"/>
        <v>2</v>
      </c>
      <c r="AA650" s="15">
        <f t="shared" si="59"/>
        <v>2021</v>
      </c>
      <c r="AB650" s="15">
        <f t="shared" si="60"/>
        <v>2021</v>
      </c>
      <c r="AC650" s="15">
        <f t="shared" si="61"/>
        <v>2021</v>
      </c>
      <c r="AD650" s="18" t="b">
        <f t="shared" si="63"/>
        <v>1</v>
      </c>
    </row>
    <row r="651" spans="1:30" ht="15" hidden="1" customHeight="1" x14ac:dyDescent="0.2">
      <c r="A651" s="7" t="s">
        <v>680</v>
      </c>
      <c r="B651" s="7" t="s">
        <v>712</v>
      </c>
      <c r="C651" s="2" t="s">
        <v>641</v>
      </c>
      <c r="D651" s="6" t="s">
        <v>649</v>
      </c>
      <c r="E651" s="32" t="s">
        <v>651</v>
      </c>
      <c r="F651" s="7"/>
      <c r="G651" s="7"/>
      <c r="H651" s="7"/>
      <c r="I651" s="7"/>
      <c r="J651" s="7"/>
      <c r="K651" s="7"/>
      <c r="L651" s="7" t="s">
        <v>662</v>
      </c>
      <c r="M651" s="8">
        <v>44228</v>
      </c>
      <c r="N651" s="8">
        <v>44228</v>
      </c>
      <c r="O651" s="13">
        <v>2380.9499999999998</v>
      </c>
      <c r="P651" s="13"/>
      <c r="Q651" s="33"/>
      <c r="R651" s="22"/>
      <c r="S651" s="22"/>
      <c r="T651" s="22"/>
      <c r="U651" s="22"/>
      <c r="X651" s="15" t="str">
        <f>IF(B651="",VLOOKUP(A651,items_lookup!A:B,2,FALSE),B651)</f>
        <v>10. Item 10</v>
      </c>
      <c r="Y651" s="15">
        <f t="shared" si="62"/>
        <v>2</v>
      </c>
      <c r="Z651" s="15">
        <f t="shared" si="62"/>
        <v>2</v>
      </c>
      <c r="AA651" s="15">
        <f t="shared" si="59"/>
        <v>2021</v>
      </c>
      <c r="AB651" s="15">
        <f t="shared" si="60"/>
        <v>2021</v>
      </c>
      <c r="AC651" s="15">
        <f t="shared" si="61"/>
        <v>2021</v>
      </c>
      <c r="AD651" s="18" t="b">
        <f t="shared" si="63"/>
        <v>1</v>
      </c>
    </row>
    <row r="652" spans="1:30" ht="15" hidden="1" customHeight="1" x14ac:dyDescent="0.2">
      <c r="A652" s="7" t="s">
        <v>680</v>
      </c>
      <c r="B652" s="7"/>
      <c r="C652" s="2" t="s">
        <v>641</v>
      </c>
      <c r="D652" s="6" t="s">
        <v>649</v>
      </c>
      <c r="E652" s="32" t="s">
        <v>651</v>
      </c>
      <c r="F652" s="7"/>
      <c r="G652" s="7"/>
      <c r="H652" s="7"/>
      <c r="I652" s="7"/>
      <c r="J652" s="7"/>
      <c r="K652" s="7"/>
      <c r="L652" s="7" t="s">
        <v>662</v>
      </c>
      <c r="M652" s="8">
        <v>44228</v>
      </c>
      <c r="N652" s="8">
        <v>44228</v>
      </c>
      <c r="O652" s="13">
        <v>44047.62</v>
      </c>
      <c r="P652" s="13"/>
      <c r="Q652" s="33"/>
      <c r="R652" s="22"/>
      <c r="S652" s="22"/>
      <c r="T652" s="22"/>
      <c r="U652" s="22"/>
      <c r="X652" s="15" t="str">
        <f>IF(B652="",VLOOKUP(A652,items_lookup!A:B,2,FALSE),B652)</f>
        <v>13. Item 13</v>
      </c>
      <c r="Y652" s="15">
        <f t="shared" si="62"/>
        <v>2</v>
      </c>
      <c r="Z652" s="15">
        <f t="shared" si="62"/>
        <v>2</v>
      </c>
      <c r="AA652" s="15">
        <f t="shared" si="59"/>
        <v>2021</v>
      </c>
      <c r="AB652" s="15">
        <f t="shared" si="60"/>
        <v>2021</v>
      </c>
      <c r="AC652" s="15">
        <f t="shared" si="61"/>
        <v>2021</v>
      </c>
      <c r="AD652" s="18" t="b">
        <f t="shared" si="63"/>
        <v>1</v>
      </c>
    </row>
    <row r="653" spans="1:30" ht="15" hidden="1" customHeight="1" x14ac:dyDescent="0.2">
      <c r="A653" s="7" t="s">
        <v>670</v>
      </c>
      <c r="B653" s="20"/>
      <c r="C653" s="2" t="s">
        <v>641</v>
      </c>
      <c r="D653" s="6" t="s">
        <v>649</v>
      </c>
      <c r="E653" s="32" t="s">
        <v>651</v>
      </c>
      <c r="F653" s="7"/>
      <c r="G653" s="7"/>
      <c r="H653" s="7"/>
      <c r="I653" s="7"/>
      <c r="J653" s="7"/>
      <c r="K653" s="7"/>
      <c r="L653" s="7" t="s">
        <v>662</v>
      </c>
      <c r="M653" s="8">
        <v>44228</v>
      </c>
      <c r="N653" s="8">
        <v>44228</v>
      </c>
      <c r="O653" s="13">
        <v>63095.24</v>
      </c>
      <c r="P653" s="13"/>
      <c r="Q653" s="33"/>
      <c r="R653" s="22"/>
      <c r="S653" s="22"/>
      <c r="T653" s="22"/>
      <c r="U653" s="22"/>
      <c r="X653" s="15" t="str">
        <f>IF(B653="",VLOOKUP(A653,items_lookup!A:B,2,FALSE),B653)</f>
        <v>04. Item 04</v>
      </c>
      <c r="Y653" s="15">
        <f t="shared" si="62"/>
        <v>2</v>
      </c>
      <c r="Z653" s="15">
        <f t="shared" si="62"/>
        <v>2</v>
      </c>
      <c r="AA653" s="15">
        <f t="shared" si="59"/>
        <v>2021</v>
      </c>
      <c r="AB653" s="15">
        <f t="shared" si="60"/>
        <v>2021</v>
      </c>
      <c r="AC653" s="15">
        <f t="shared" si="61"/>
        <v>2021</v>
      </c>
      <c r="AD653" s="18" t="b">
        <f t="shared" si="63"/>
        <v>1</v>
      </c>
    </row>
    <row r="654" spans="1:30" ht="13.5" hidden="1" customHeight="1" x14ac:dyDescent="0.2">
      <c r="A654" s="7" t="s">
        <v>672</v>
      </c>
      <c r="B654" s="7" t="s">
        <v>711</v>
      </c>
      <c r="C654" s="2" t="s">
        <v>641</v>
      </c>
      <c r="D654" s="6" t="s">
        <v>649</v>
      </c>
      <c r="E654" s="32" t="s">
        <v>651</v>
      </c>
      <c r="F654" s="7"/>
      <c r="G654" s="7"/>
      <c r="H654" s="7"/>
      <c r="I654" s="7"/>
      <c r="J654" s="7"/>
      <c r="K654" s="7"/>
      <c r="L654" s="7" t="s">
        <v>662</v>
      </c>
      <c r="M654" s="8">
        <v>44228</v>
      </c>
      <c r="N654" s="8">
        <v>44228</v>
      </c>
      <c r="O654" s="13">
        <v>871428.57</v>
      </c>
      <c r="P654" s="13"/>
      <c r="Q654" s="33"/>
      <c r="R654" s="22"/>
      <c r="S654" s="22"/>
      <c r="T654" s="22"/>
      <c r="U654" s="22"/>
      <c r="X654" s="15" t="str">
        <f>IF(B654="",VLOOKUP(A654,items_lookup!A:B,2,FALSE),B654)</f>
        <v>12. Item 12</v>
      </c>
      <c r="Y654" s="15">
        <f t="shared" si="62"/>
        <v>2</v>
      </c>
      <c r="Z654" s="15">
        <f t="shared" si="62"/>
        <v>2</v>
      </c>
      <c r="AA654" s="15">
        <f t="shared" si="59"/>
        <v>2021</v>
      </c>
      <c r="AB654" s="15">
        <f t="shared" si="60"/>
        <v>2021</v>
      </c>
      <c r="AC654" s="15">
        <f t="shared" si="61"/>
        <v>2021</v>
      </c>
      <c r="AD654" s="18" t="b">
        <f t="shared" si="63"/>
        <v>1</v>
      </c>
    </row>
    <row r="655" spans="1:30" ht="15" hidden="1" customHeight="1" x14ac:dyDescent="0.2">
      <c r="A655" s="7" t="s">
        <v>672</v>
      </c>
      <c r="B655" s="7" t="s">
        <v>710</v>
      </c>
      <c r="C655" s="2" t="s">
        <v>641</v>
      </c>
      <c r="D655" s="6" t="s">
        <v>649</v>
      </c>
      <c r="E655" s="32" t="s">
        <v>651</v>
      </c>
      <c r="F655" s="7"/>
      <c r="G655" s="7"/>
      <c r="H655" s="7"/>
      <c r="I655" s="7"/>
      <c r="J655" s="7"/>
      <c r="K655" s="7"/>
      <c r="L655" s="7" t="s">
        <v>662</v>
      </c>
      <c r="M655" s="8">
        <v>44228</v>
      </c>
      <c r="N655" s="8">
        <v>44228</v>
      </c>
      <c r="O655" s="13">
        <v>1119047.6200000001</v>
      </c>
      <c r="P655" s="13"/>
      <c r="Q655" s="33"/>
      <c r="R655" s="9"/>
      <c r="S655" s="9"/>
      <c r="T655" s="9"/>
      <c r="U655" s="9"/>
      <c r="X655" s="15" t="str">
        <f>IF(B655="",VLOOKUP(A655,items_lookup!A:B,2,FALSE),B655)</f>
        <v>13. Item 13</v>
      </c>
      <c r="Y655" s="15">
        <f t="shared" si="62"/>
        <v>2</v>
      </c>
      <c r="Z655" s="15">
        <f t="shared" si="62"/>
        <v>2</v>
      </c>
      <c r="AA655" s="15">
        <f t="shared" si="59"/>
        <v>2021</v>
      </c>
      <c r="AB655" s="15">
        <f t="shared" si="60"/>
        <v>2021</v>
      </c>
      <c r="AC655" s="15">
        <f t="shared" si="61"/>
        <v>2021</v>
      </c>
      <c r="AD655" s="18" t="b">
        <f t="shared" si="63"/>
        <v>1</v>
      </c>
    </row>
    <row r="656" spans="1:30" ht="15" hidden="1" customHeight="1" x14ac:dyDescent="0.2">
      <c r="A656" s="7" t="s">
        <v>680</v>
      </c>
      <c r="B656" s="7"/>
      <c r="C656" s="2" t="s">
        <v>641</v>
      </c>
      <c r="D656" s="6" t="s">
        <v>649</v>
      </c>
      <c r="E656" s="32" t="s">
        <v>651</v>
      </c>
      <c r="F656" s="7" t="s">
        <v>20</v>
      </c>
      <c r="G656" s="7"/>
      <c r="H656" s="7"/>
      <c r="I656" s="7"/>
      <c r="J656" s="7"/>
      <c r="K656" s="7"/>
      <c r="L656" s="7" t="s">
        <v>662</v>
      </c>
      <c r="M656" s="8">
        <v>44228</v>
      </c>
      <c r="N656" s="8">
        <v>44228</v>
      </c>
      <c r="O656" s="13">
        <v>218571.43</v>
      </c>
      <c r="P656" s="13"/>
      <c r="Q656" s="33"/>
      <c r="R656" s="22"/>
      <c r="S656" s="22"/>
      <c r="T656" s="22"/>
      <c r="U656" s="22"/>
      <c r="X656" s="15" t="str">
        <f>IF(B656="",VLOOKUP(A656,items_lookup!A:B,2,FALSE),B656)</f>
        <v>13. Item 13</v>
      </c>
      <c r="Y656" s="15">
        <f t="shared" si="62"/>
        <v>2</v>
      </c>
      <c r="Z656" s="15">
        <f t="shared" si="62"/>
        <v>2</v>
      </c>
      <c r="AA656" s="15">
        <f t="shared" si="59"/>
        <v>2021</v>
      </c>
      <c r="AB656" s="15">
        <f t="shared" si="60"/>
        <v>2021</v>
      </c>
      <c r="AC656" s="15">
        <f t="shared" si="61"/>
        <v>2020</v>
      </c>
      <c r="AD656" s="18" t="b">
        <f t="shared" si="63"/>
        <v>1</v>
      </c>
    </row>
    <row r="657" spans="1:30" ht="25.5" hidden="1" customHeight="1" x14ac:dyDescent="0.2">
      <c r="A657" s="7" t="s">
        <v>680</v>
      </c>
      <c r="B657" s="7"/>
      <c r="C657" s="2" t="s">
        <v>641</v>
      </c>
      <c r="D657" s="6" t="s">
        <v>649</v>
      </c>
      <c r="E657" s="32" t="s">
        <v>651</v>
      </c>
      <c r="F657" s="7"/>
      <c r="G657" s="7"/>
      <c r="H657" s="7"/>
      <c r="I657" s="7"/>
      <c r="J657" s="7"/>
      <c r="K657" s="7"/>
      <c r="L657" s="7" t="s">
        <v>662</v>
      </c>
      <c r="M657" s="8">
        <v>44228</v>
      </c>
      <c r="N657" s="8">
        <v>44228</v>
      </c>
      <c r="O657" s="13">
        <v>1287.83</v>
      </c>
      <c r="P657" s="13"/>
      <c r="Q657" s="33"/>
      <c r="R657" s="22"/>
      <c r="S657" s="22"/>
      <c r="T657" s="22"/>
      <c r="U657" s="22"/>
      <c r="X657" s="15" t="str">
        <f>IF(B657="",VLOOKUP(A657,items_lookup!A:B,2,FALSE),B657)</f>
        <v>13. Item 13</v>
      </c>
      <c r="Y657" s="15">
        <f t="shared" si="62"/>
        <v>2</v>
      </c>
      <c r="Z657" s="15">
        <f t="shared" si="62"/>
        <v>2</v>
      </c>
      <c r="AA657" s="15">
        <f t="shared" si="59"/>
        <v>2021</v>
      </c>
      <c r="AB657" s="15">
        <f t="shared" si="60"/>
        <v>2021</v>
      </c>
      <c r="AC657" s="15">
        <f t="shared" si="61"/>
        <v>2021</v>
      </c>
      <c r="AD657" s="18" t="b">
        <f t="shared" si="63"/>
        <v>1</v>
      </c>
    </row>
    <row r="658" spans="1:30" ht="15" hidden="1" customHeight="1" x14ac:dyDescent="0.2">
      <c r="A658" s="7" t="s">
        <v>680</v>
      </c>
      <c r="B658" s="7"/>
      <c r="C658" s="2" t="s">
        <v>641</v>
      </c>
      <c r="D658" s="6" t="s">
        <v>649</v>
      </c>
      <c r="E658" s="32" t="s">
        <v>651</v>
      </c>
      <c r="F658" s="7"/>
      <c r="G658" s="7"/>
      <c r="H658" s="7"/>
      <c r="I658" s="7"/>
      <c r="J658" s="7"/>
      <c r="K658" s="7" t="s">
        <v>660</v>
      </c>
      <c r="L658" s="7" t="s">
        <v>663</v>
      </c>
      <c r="M658" s="8">
        <v>44231</v>
      </c>
      <c r="N658" s="8">
        <v>44231</v>
      </c>
      <c r="O658" s="13"/>
      <c r="P658" s="13">
        <v>1157248.32</v>
      </c>
      <c r="Q658" s="33"/>
      <c r="R658" s="22"/>
      <c r="S658" s="22"/>
      <c r="T658" s="22"/>
      <c r="U658" s="22"/>
      <c r="X658" s="15" t="str">
        <f>IF(B658="",VLOOKUP(A658,items_lookup!A:B,2,FALSE),B658)</f>
        <v>13. Item 13</v>
      </c>
      <c r="Y658" s="15">
        <f t="shared" si="62"/>
        <v>2</v>
      </c>
      <c r="Z658" s="15">
        <f t="shared" si="62"/>
        <v>2</v>
      </c>
      <c r="AA658" s="15">
        <f t="shared" si="59"/>
        <v>2021</v>
      </c>
      <c r="AB658" s="15">
        <f t="shared" si="60"/>
        <v>2021</v>
      </c>
      <c r="AC658" s="15">
        <f t="shared" si="61"/>
        <v>2021</v>
      </c>
      <c r="AD658" s="18" t="b">
        <f t="shared" si="63"/>
        <v>1</v>
      </c>
    </row>
    <row r="659" spans="1:30" ht="15" hidden="1" customHeight="1" x14ac:dyDescent="0.2">
      <c r="A659" s="7" t="s">
        <v>698</v>
      </c>
      <c r="B659" s="7"/>
      <c r="C659" s="2" t="s">
        <v>641</v>
      </c>
      <c r="D659" s="6" t="s">
        <v>649</v>
      </c>
      <c r="E659" s="32" t="s">
        <v>651</v>
      </c>
      <c r="F659" s="7"/>
      <c r="G659" s="7"/>
      <c r="H659" s="7"/>
      <c r="I659" s="7"/>
      <c r="J659" s="7"/>
      <c r="K659" s="7" t="s">
        <v>660</v>
      </c>
      <c r="L659" s="7" t="s">
        <v>663</v>
      </c>
      <c r="M659" s="8">
        <v>44235</v>
      </c>
      <c r="N659" s="8">
        <v>44235</v>
      </c>
      <c r="O659" s="13"/>
      <c r="P659" s="13">
        <v>35837.29</v>
      </c>
      <c r="Q659" s="33"/>
      <c r="R659" s="22"/>
      <c r="S659" s="22"/>
      <c r="T659" s="22"/>
      <c r="U659" s="22"/>
      <c r="X659" s="15" t="str">
        <f>IF(B659="",VLOOKUP(A659,items_lookup!A:B,2,FALSE),B659)</f>
        <v>10. Item 10</v>
      </c>
      <c r="Y659" s="15">
        <f t="shared" si="62"/>
        <v>2</v>
      </c>
      <c r="Z659" s="15">
        <f t="shared" si="62"/>
        <v>2</v>
      </c>
      <c r="AA659" s="15">
        <f t="shared" si="59"/>
        <v>2021</v>
      </c>
      <c r="AB659" s="15">
        <f t="shared" si="60"/>
        <v>2021</v>
      </c>
      <c r="AC659" s="15">
        <f t="shared" si="61"/>
        <v>2021</v>
      </c>
      <c r="AD659" s="18" t="b">
        <f t="shared" si="63"/>
        <v>1</v>
      </c>
    </row>
    <row r="660" spans="1:30" ht="15" hidden="1" customHeight="1" x14ac:dyDescent="0.2">
      <c r="A660" s="7" t="s">
        <v>683</v>
      </c>
      <c r="B660" s="7"/>
      <c r="C660" s="2" t="s">
        <v>641</v>
      </c>
      <c r="D660" s="6" t="s">
        <v>649</v>
      </c>
      <c r="E660" s="32" t="s">
        <v>651</v>
      </c>
      <c r="F660" s="7"/>
      <c r="G660" s="7"/>
      <c r="H660" s="7"/>
      <c r="I660" s="7"/>
      <c r="J660" s="7">
        <v>3</v>
      </c>
      <c r="K660" s="7" t="s">
        <v>660</v>
      </c>
      <c r="L660" s="7" t="s">
        <v>663</v>
      </c>
      <c r="M660" s="8">
        <v>44231</v>
      </c>
      <c r="N660" s="8">
        <v>44239</v>
      </c>
      <c r="O660" s="13"/>
      <c r="P660" s="13">
        <v>22894.33</v>
      </c>
      <c r="Q660" s="33"/>
      <c r="R660" s="22"/>
      <c r="S660" s="22"/>
      <c r="T660" s="22"/>
      <c r="U660" s="22"/>
      <c r="X660" s="15" t="str">
        <f>IF(B660="",VLOOKUP(A660,items_lookup!A:B,2,FALSE),B660)</f>
        <v>_1. Item _1</v>
      </c>
      <c r="Y660" s="15">
        <f t="shared" si="62"/>
        <v>2</v>
      </c>
      <c r="Z660" s="15">
        <f t="shared" si="62"/>
        <v>2</v>
      </c>
      <c r="AA660" s="15">
        <f t="shared" si="59"/>
        <v>2021</v>
      </c>
      <c r="AB660" s="15">
        <f t="shared" si="60"/>
        <v>2021</v>
      </c>
      <c r="AC660" s="15">
        <f t="shared" si="61"/>
        <v>2021</v>
      </c>
      <c r="AD660" s="18" t="b">
        <f t="shared" si="63"/>
        <v>1</v>
      </c>
    </row>
    <row r="661" spans="1:30" ht="15" hidden="1" customHeight="1" x14ac:dyDescent="0.2">
      <c r="A661" s="7" t="s">
        <v>702</v>
      </c>
      <c r="B661" s="7"/>
      <c r="C661" s="2" t="s">
        <v>641</v>
      </c>
      <c r="D661" s="6" t="s">
        <v>649</v>
      </c>
      <c r="E661" s="32" t="s">
        <v>651</v>
      </c>
      <c r="F661" s="7"/>
      <c r="G661" s="7"/>
      <c r="H661" s="7"/>
      <c r="I661" s="7"/>
      <c r="J661" s="7">
        <v>3</v>
      </c>
      <c r="K661" s="7" t="s">
        <v>660</v>
      </c>
      <c r="L661" s="7" t="s">
        <v>663</v>
      </c>
      <c r="M661" s="8">
        <v>44231</v>
      </c>
      <c r="N661" s="8">
        <v>44243</v>
      </c>
      <c r="O661" s="13"/>
      <c r="P661" s="13">
        <v>1869.51</v>
      </c>
      <c r="Q661" s="33"/>
      <c r="R661" s="22"/>
      <c r="S661" s="22"/>
      <c r="T661" s="22"/>
      <c r="U661" s="22"/>
      <c r="X661" s="15" t="str">
        <f>IF(B661="",VLOOKUP(A661,items_lookup!A:B,2,FALSE),B661)</f>
        <v>17. Item 17</v>
      </c>
      <c r="Y661" s="15">
        <f t="shared" si="62"/>
        <v>2</v>
      </c>
      <c r="Z661" s="15">
        <f t="shared" si="62"/>
        <v>2</v>
      </c>
      <c r="AA661" s="15">
        <f t="shared" si="59"/>
        <v>2021</v>
      </c>
      <c r="AB661" s="15">
        <f t="shared" si="60"/>
        <v>2021</v>
      </c>
      <c r="AC661" s="15">
        <f t="shared" si="61"/>
        <v>2021</v>
      </c>
      <c r="AD661" s="18" t="b">
        <f t="shared" si="63"/>
        <v>1</v>
      </c>
    </row>
    <row r="662" spans="1:30" ht="15" hidden="1" customHeight="1" x14ac:dyDescent="0.2">
      <c r="A662" s="7" t="s">
        <v>703</v>
      </c>
      <c r="B662" s="20"/>
      <c r="C662" s="2" t="s">
        <v>641</v>
      </c>
      <c r="D662" s="6" t="s">
        <v>649</v>
      </c>
      <c r="E662" s="32" t="s">
        <v>651</v>
      </c>
      <c r="F662" s="7"/>
      <c r="G662" s="7"/>
      <c r="H662" s="7"/>
      <c r="I662" s="7"/>
      <c r="J662" s="7">
        <v>3</v>
      </c>
      <c r="K662" s="7" t="s">
        <v>660</v>
      </c>
      <c r="L662" s="7" t="s">
        <v>663</v>
      </c>
      <c r="M662" s="8">
        <v>44231</v>
      </c>
      <c r="N662" s="8">
        <v>44242</v>
      </c>
      <c r="O662" s="13"/>
      <c r="P662" s="13">
        <v>77656.95</v>
      </c>
      <c r="Q662" s="33"/>
      <c r="R662" s="22"/>
      <c r="S662" s="22"/>
      <c r="T662" s="22"/>
      <c r="U662" s="22"/>
      <c r="X662" s="15" t="str">
        <f>IF(B662="",VLOOKUP(A662,items_lookup!A:B,2,FALSE),B662)</f>
        <v>_3. Item _3</v>
      </c>
      <c r="Y662" s="15">
        <f t="shared" si="62"/>
        <v>2</v>
      </c>
      <c r="Z662" s="15">
        <f t="shared" si="62"/>
        <v>2</v>
      </c>
      <c r="AA662" s="15">
        <f t="shared" si="59"/>
        <v>2021</v>
      </c>
      <c r="AB662" s="15">
        <f t="shared" si="60"/>
        <v>2021</v>
      </c>
      <c r="AC662" s="15">
        <f t="shared" si="61"/>
        <v>2021</v>
      </c>
      <c r="AD662" s="18" t="b">
        <f t="shared" si="63"/>
        <v>1</v>
      </c>
    </row>
    <row r="663" spans="1:30" ht="15.75" hidden="1" customHeight="1" x14ac:dyDescent="0.2">
      <c r="A663" s="7" t="s">
        <v>704</v>
      </c>
      <c r="B663" s="7"/>
      <c r="C663" s="2" t="s">
        <v>641</v>
      </c>
      <c r="D663" s="6" t="s">
        <v>649</v>
      </c>
      <c r="E663" s="32" t="s">
        <v>651</v>
      </c>
      <c r="F663" s="7"/>
      <c r="G663" s="7"/>
      <c r="H663" s="7"/>
      <c r="I663" s="7"/>
      <c r="J663" s="7"/>
      <c r="K663" s="7" t="s">
        <v>660</v>
      </c>
      <c r="L663" s="7" t="s">
        <v>663</v>
      </c>
      <c r="M663" s="8">
        <v>44239</v>
      </c>
      <c r="N663" s="8">
        <v>44239</v>
      </c>
      <c r="O663" s="13"/>
      <c r="P663" s="13">
        <v>1523151.18</v>
      </c>
      <c r="Q663" s="33"/>
      <c r="R663" s="22"/>
      <c r="S663" s="22"/>
      <c r="T663" s="22"/>
      <c r="U663" s="22"/>
      <c r="X663" s="15" t="str">
        <f>IF(B663="",VLOOKUP(A663,items_lookup!A:B,2,FALSE),B663)</f>
        <v>_4. Item _4</v>
      </c>
      <c r="Y663" s="15">
        <f t="shared" si="62"/>
        <v>2</v>
      </c>
      <c r="Z663" s="15">
        <f t="shared" si="62"/>
        <v>2</v>
      </c>
      <c r="AA663" s="15">
        <f t="shared" si="59"/>
        <v>2021</v>
      </c>
      <c r="AB663" s="15">
        <f t="shared" si="60"/>
        <v>2021</v>
      </c>
      <c r="AC663" s="15">
        <f t="shared" si="61"/>
        <v>2021</v>
      </c>
      <c r="AD663" s="18" t="b">
        <f t="shared" si="63"/>
        <v>1</v>
      </c>
    </row>
    <row r="664" spans="1:30" ht="15" hidden="1" customHeight="1" x14ac:dyDescent="0.2">
      <c r="A664" s="7" t="s">
        <v>704</v>
      </c>
      <c r="B664" s="7"/>
      <c r="C664" s="2" t="s">
        <v>641</v>
      </c>
      <c r="D664" s="6" t="s">
        <v>649</v>
      </c>
      <c r="E664" s="32" t="s">
        <v>651</v>
      </c>
      <c r="F664" s="7"/>
      <c r="G664" s="7"/>
      <c r="H664" s="7"/>
      <c r="I664" s="7"/>
      <c r="J664" s="7"/>
      <c r="K664" s="7" t="s">
        <v>660</v>
      </c>
      <c r="L664" s="7" t="s">
        <v>663</v>
      </c>
      <c r="M664" s="8">
        <v>44239</v>
      </c>
      <c r="N664" s="8">
        <v>44239</v>
      </c>
      <c r="O664" s="13"/>
      <c r="P664" s="13">
        <v>1514.39</v>
      </c>
      <c r="Q664" s="33"/>
      <c r="R664" s="22"/>
      <c r="S664" s="22"/>
      <c r="T664" s="22"/>
      <c r="U664" s="22"/>
      <c r="X664" s="15" t="str">
        <f>IF(B664="",VLOOKUP(A664,items_lookup!A:B,2,FALSE),B664)</f>
        <v>_4. Item _4</v>
      </c>
      <c r="Y664" s="15">
        <f t="shared" si="62"/>
        <v>2</v>
      </c>
      <c r="Z664" s="15">
        <f t="shared" si="62"/>
        <v>2</v>
      </c>
      <c r="AA664" s="15">
        <f t="shared" si="59"/>
        <v>2021</v>
      </c>
      <c r="AB664" s="15">
        <f t="shared" si="60"/>
        <v>2021</v>
      </c>
      <c r="AC664" s="15">
        <f t="shared" si="61"/>
        <v>2021</v>
      </c>
      <c r="AD664" s="18" t="b">
        <f t="shared" si="63"/>
        <v>1</v>
      </c>
    </row>
    <row r="665" spans="1:30" ht="15" hidden="1" customHeight="1" x14ac:dyDescent="0.2">
      <c r="A665" s="7" t="s">
        <v>683</v>
      </c>
      <c r="B665" s="7"/>
      <c r="C665" s="2" t="s">
        <v>641</v>
      </c>
      <c r="D665" s="6" t="s">
        <v>650</v>
      </c>
      <c r="E665" s="32" t="s">
        <v>651</v>
      </c>
      <c r="F665" s="7"/>
      <c r="G665" s="7"/>
      <c r="H665" s="7"/>
      <c r="I665" s="7"/>
      <c r="J665" s="7">
        <v>4</v>
      </c>
      <c r="K665" s="7" t="s">
        <v>660</v>
      </c>
      <c r="L665" s="7" t="s">
        <v>663</v>
      </c>
      <c r="M665" s="8">
        <v>44239</v>
      </c>
      <c r="N665" s="8">
        <v>44239</v>
      </c>
      <c r="O665" s="13"/>
      <c r="P665" s="13">
        <v>1514.39</v>
      </c>
      <c r="Q665" s="33"/>
      <c r="R665" s="22"/>
      <c r="S665" s="22"/>
      <c r="T665" s="22"/>
      <c r="U665" s="22"/>
      <c r="X665" s="15" t="str">
        <f>IF(B665="",VLOOKUP(A665,items_lookup!A:B,2,FALSE),B665)</f>
        <v>_1. Item _1</v>
      </c>
      <c r="Y665" s="15">
        <f t="shared" si="62"/>
        <v>2</v>
      </c>
      <c r="Z665" s="15">
        <f t="shared" si="62"/>
        <v>2</v>
      </c>
      <c r="AA665" s="15">
        <f t="shared" si="59"/>
        <v>2021</v>
      </c>
      <c r="AB665" s="15">
        <f t="shared" si="60"/>
        <v>2021</v>
      </c>
      <c r="AC665" s="15">
        <f t="shared" si="61"/>
        <v>2021</v>
      </c>
      <c r="AD665" s="18" t="b">
        <f t="shared" si="63"/>
        <v>1</v>
      </c>
    </row>
    <row r="666" spans="1:30" ht="12.6" hidden="1" customHeight="1" x14ac:dyDescent="0.2">
      <c r="A666" s="7" t="s">
        <v>683</v>
      </c>
      <c r="B666" s="20"/>
      <c r="C666" s="2" t="s">
        <v>641</v>
      </c>
      <c r="D666" s="6" t="s">
        <v>649</v>
      </c>
      <c r="E666" s="32" t="s">
        <v>651</v>
      </c>
      <c r="F666" s="7"/>
      <c r="G666" s="7"/>
      <c r="H666" s="7"/>
      <c r="I666" s="7" t="s">
        <v>20</v>
      </c>
      <c r="J666" s="7">
        <v>1</v>
      </c>
      <c r="K666" s="7" t="s">
        <v>660</v>
      </c>
      <c r="L666" s="7" t="s">
        <v>663</v>
      </c>
      <c r="M666" s="8">
        <v>44231</v>
      </c>
      <c r="N666" s="8">
        <v>44244</v>
      </c>
      <c r="O666" s="13"/>
      <c r="P666" s="13">
        <v>13374.26</v>
      </c>
      <c r="Q666" s="33"/>
      <c r="R666" s="9"/>
      <c r="S666" s="9"/>
      <c r="T666" s="9"/>
      <c r="U666" s="9"/>
      <c r="X666" s="15" t="str">
        <f>IF(B666="",VLOOKUP(A666,items_lookup!A:B,2,FALSE),B666)</f>
        <v>_1. Item _1</v>
      </c>
      <c r="Y666" s="15">
        <f t="shared" si="62"/>
        <v>2</v>
      </c>
      <c r="Z666" s="15">
        <f t="shared" si="62"/>
        <v>2</v>
      </c>
      <c r="AA666" s="15">
        <f t="shared" si="59"/>
        <v>2021</v>
      </c>
      <c r="AB666" s="15">
        <f t="shared" si="60"/>
        <v>2021</v>
      </c>
      <c r="AC666" s="15">
        <f t="shared" si="61"/>
        <v>2021</v>
      </c>
      <c r="AD666" s="18" t="b">
        <f t="shared" si="63"/>
        <v>1</v>
      </c>
    </row>
    <row r="667" spans="1:30" ht="15" hidden="1" customHeight="1" x14ac:dyDescent="0.2">
      <c r="A667" s="7" t="s">
        <v>683</v>
      </c>
      <c r="B667" s="7"/>
      <c r="C667" s="2" t="s">
        <v>641</v>
      </c>
      <c r="D667" s="6" t="s">
        <v>649</v>
      </c>
      <c r="E667" s="32" t="s">
        <v>651</v>
      </c>
      <c r="F667" s="7"/>
      <c r="G667" s="7"/>
      <c r="H667" s="7"/>
      <c r="I667" s="7" t="s">
        <v>20</v>
      </c>
      <c r="J667" s="7">
        <v>1</v>
      </c>
      <c r="K667" s="7" t="s">
        <v>660</v>
      </c>
      <c r="L667" s="7" t="s">
        <v>663</v>
      </c>
      <c r="M667" s="8">
        <v>44231</v>
      </c>
      <c r="N667" s="8">
        <v>44243</v>
      </c>
      <c r="O667" s="13"/>
      <c r="P667" s="13">
        <v>8582.16</v>
      </c>
      <c r="Q667" s="33"/>
      <c r="R667" s="22"/>
      <c r="S667" s="22"/>
      <c r="T667" s="22"/>
      <c r="U667" s="22"/>
      <c r="X667" s="15" t="str">
        <f>IF(B667="",VLOOKUP(A667,items_lookup!A:B,2,FALSE),B667)</f>
        <v>_1. Item _1</v>
      </c>
      <c r="Y667" s="15">
        <f t="shared" si="62"/>
        <v>2</v>
      </c>
      <c r="Z667" s="15">
        <f t="shared" si="62"/>
        <v>2</v>
      </c>
      <c r="AA667" s="15">
        <f t="shared" si="59"/>
        <v>2021</v>
      </c>
      <c r="AB667" s="15">
        <f t="shared" si="60"/>
        <v>2021</v>
      </c>
      <c r="AC667" s="15">
        <f t="shared" si="61"/>
        <v>2021</v>
      </c>
      <c r="AD667" s="18" t="b">
        <f t="shared" si="63"/>
        <v>1</v>
      </c>
    </row>
    <row r="668" spans="1:30" ht="15" hidden="1" customHeight="1" x14ac:dyDescent="0.2">
      <c r="A668" s="7" t="s">
        <v>687</v>
      </c>
      <c r="B668" s="7"/>
      <c r="C668" s="2" t="s">
        <v>641</v>
      </c>
      <c r="D668" s="6" t="s">
        <v>649</v>
      </c>
      <c r="E668" s="32" t="s">
        <v>651</v>
      </c>
      <c r="F668" s="7"/>
      <c r="G668" s="7"/>
      <c r="H668" s="7"/>
      <c r="I668" s="7" t="s">
        <v>20</v>
      </c>
      <c r="J668" s="7">
        <v>1</v>
      </c>
      <c r="K668" s="7" t="s">
        <v>660</v>
      </c>
      <c r="L668" s="7" t="s">
        <v>663</v>
      </c>
      <c r="M668" s="8">
        <v>44231</v>
      </c>
      <c r="N668" s="8">
        <v>44239</v>
      </c>
      <c r="O668" s="13"/>
      <c r="P668" s="13">
        <v>98919.13</v>
      </c>
      <c r="Q668" s="33"/>
      <c r="R668" s="22"/>
      <c r="S668" s="22"/>
      <c r="T668" s="22"/>
      <c r="U668" s="22"/>
      <c r="X668" s="15" t="str">
        <f>IF(B668="",VLOOKUP(A668,items_lookup!A:B,2,FALSE),B668)</f>
        <v>14. Item 14</v>
      </c>
      <c r="Y668" s="15">
        <f t="shared" si="62"/>
        <v>2</v>
      </c>
      <c r="Z668" s="15">
        <f t="shared" si="62"/>
        <v>2</v>
      </c>
      <c r="AA668" s="15">
        <f t="shared" si="59"/>
        <v>2021</v>
      </c>
      <c r="AB668" s="15">
        <f t="shared" si="60"/>
        <v>2021</v>
      </c>
      <c r="AC668" s="15">
        <f t="shared" si="61"/>
        <v>2021</v>
      </c>
      <c r="AD668" s="18" t="b">
        <f t="shared" si="63"/>
        <v>1</v>
      </c>
    </row>
    <row r="669" spans="1:30" ht="15" hidden="1" customHeight="1" x14ac:dyDescent="0.2">
      <c r="A669" s="7" t="s">
        <v>687</v>
      </c>
      <c r="B669" s="7"/>
      <c r="C669" s="2" t="s">
        <v>641</v>
      </c>
      <c r="D669" s="6" t="s">
        <v>649</v>
      </c>
      <c r="E669" s="32" t="s">
        <v>651</v>
      </c>
      <c r="F669" s="7"/>
      <c r="G669" s="7"/>
      <c r="H669" s="7"/>
      <c r="I669" s="7"/>
      <c r="J669" s="7">
        <v>1</v>
      </c>
      <c r="K669" s="7" t="s">
        <v>660</v>
      </c>
      <c r="L669" s="7" t="s">
        <v>663</v>
      </c>
      <c r="M669" s="8">
        <v>44231</v>
      </c>
      <c r="N669" s="8">
        <v>44239</v>
      </c>
      <c r="O669" s="13"/>
      <c r="P669" s="13">
        <v>20385.349999999999</v>
      </c>
      <c r="Q669" s="33"/>
      <c r="R669" s="22"/>
      <c r="S669" s="22"/>
      <c r="T669" s="22"/>
      <c r="U669" s="22"/>
      <c r="X669" s="15" t="str">
        <f>IF(B669="",VLOOKUP(A669,items_lookup!A:B,2,FALSE),B669)</f>
        <v>14. Item 14</v>
      </c>
      <c r="Y669" s="15">
        <f t="shared" si="62"/>
        <v>2</v>
      </c>
      <c r="Z669" s="15">
        <f t="shared" si="62"/>
        <v>2</v>
      </c>
      <c r="AA669" s="15">
        <f t="shared" si="59"/>
        <v>2021</v>
      </c>
      <c r="AB669" s="15">
        <f t="shared" si="60"/>
        <v>2021</v>
      </c>
      <c r="AC669" s="15">
        <f t="shared" si="61"/>
        <v>2021</v>
      </c>
      <c r="AD669" s="18" t="b">
        <f t="shared" si="63"/>
        <v>1</v>
      </c>
    </row>
    <row r="670" spans="1:30" ht="15" hidden="1" customHeight="1" x14ac:dyDescent="0.2">
      <c r="A670" s="7" t="s">
        <v>687</v>
      </c>
      <c r="B670" s="7"/>
      <c r="C670" s="2" t="s">
        <v>641</v>
      </c>
      <c r="D670" s="6" t="s">
        <v>649</v>
      </c>
      <c r="E670" s="32" t="s">
        <v>651</v>
      </c>
      <c r="F670" s="7"/>
      <c r="G670" s="7"/>
      <c r="H670" s="7"/>
      <c r="I670" s="7" t="s">
        <v>20</v>
      </c>
      <c r="J670" s="7">
        <v>1</v>
      </c>
      <c r="K670" s="7" t="s">
        <v>660</v>
      </c>
      <c r="L670" s="7" t="s">
        <v>663</v>
      </c>
      <c r="M670" s="8">
        <v>44231</v>
      </c>
      <c r="N670" s="8">
        <v>44239</v>
      </c>
      <c r="O670" s="13"/>
      <c r="P670" s="13">
        <v>1380952.38</v>
      </c>
      <c r="Q670" s="33"/>
      <c r="R670" s="22"/>
      <c r="S670" s="22"/>
      <c r="T670" s="22"/>
      <c r="U670" s="22"/>
      <c r="X670" s="15" t="str">
        <f>IF(B670="",VLOOKUP(A670,items_lookup!A:B,2,FALSE),B670)</f>
        <v>14. Item 14</v>
      </c>
      <c r="Y670" s="15">
        <f t="shared" si="62"/>
        <v>2</v>
      </c>
      <c r="Z670" s="15">
        <f t="shared" si="62"/>
        <v>2</v>
      </c>
      <c r="AA670" s="15">
        <f t="shared" si="59"/>
        <v>2021</v>
      </c>
      <c r="AB670" s="15">
        <f t="shared" si="60"/>
        <v>2021</v>
      </c>
      <c r="AC670" s="15">
        <f t="shared" si="61"/>
        <v>2021</v>
      </c>
      <c r="AD670" s="18" t="b">
        <f t="shared" si="63"/>
        <v>1</v>
      </c>
    </row>
    <row r="671" spans="1:30" ht="15" hidden="1" customHeight="1" x14ac:dyDescent="0.2">
      <c r="A671" s="7" t="s">
        <v>674</v>
      </c>
      <c r="B671" s="7"/>
      <c r="C671" s="2" t="s">
        <v>641</v>
      </c>
      <c r="D671" s="6" t="s">
        <v>649</v>
      </c>
      <c r="E671" s="32" t="s">
        <v>651</v>
      </c>
      <c r="F671" s="7"/>
      <c r="G671" s="7"/>
      <c r="H671" s="7"/>
      <c r="I671" s="7"/>
      <c r="J671" s="7"/>
      <c r="K671" s="7" t="s">
        <v>660</v>
      </c>
      <c r="L671" s="7" t="s">
        <v>663</v>
      </c>
      <c r="M671" s="8">
        <v>44242</v>
      </c>
      <c r="N671" s="8">
        <v>44242</v>
      </c>
      <c r="O671" s="13"/>
      <c r="P671" s="13">
        <v>77656.95</v>
      </c>
      <c r="Q671" s="33"/>
      <c r="R671" s="22"/>
      <c r="S671" s="22"/>
      <c r="T671" s="22"/>
      <c r="U671" s="22"/>
      <c r="X671" s="15" t="str">
        <f>IF(B671="",VLOOKUP(A671,items_lookup!A:B,2,FALSE),B671)</f>
        <v>08. Item 08</v>
      </c>
      <c r="Y671" s="15">
        <f t="shared" si="62"/>
        <v>2</v>
      </c>
      <c r="Z671" s="15">
        <f t="shared" si="62"/>
        <v>2</v>
      </c>
      <c r="AA671" s="15">
        <f t="shared" si="59"/>
        <v>2021</v>
      </c>
      <c r="AB671" s="15">
        <f t="shared" si="60"/>
        <v>2021</v>
      </c>
      <c r="AC671" s="15">
        <f t="shared" si="61"/>
        <v>2021</v>
      </c>
      <c r="AD671" s="18" t="b">
        <f t="shared" si="63"/>
        <v>1</v>
      </c>
    </row>
    <row r="672" spans="1:30" ht="15" hidden="1" customHeight="1" x14ac:dyDescent="0.2">
      <c r="A672" s="7" t="s">
        <v>702</v>
      </c>
      <c r="B672" s="7"/>
      <c r="C672" s="2" t="s">
        <v>641</v>
      </c>
      <c r="D672" s="6" t="s">
        <v>649</v>
      </c>
      <c r="E672" s="32" t="s">
        <v>651</v>
      </c>
      <c r="F672" s="7"/>
      <c r="G672" s="7"/>
      <c r="H672" s="7"/>
      <c r="I672" s="7"/>
      <c r="J672" s="7">
        <v>2</v>
      </c>
      <c r="K672" s="7" t="s">
        <v>660</v>
      </c>
      <c r="L672" s="7" t="s">
        <v>663</v>
      </c>
      <c r="M672" s="8">
        <v>44239</v>
      </c>
      <c r="N672" s="8">
        <v>44251</v>
      </c>
      <c r="O672" s="13"/>
      <c r="P672" s="13">
        <v>849256.57</v>
      </c>
      <c r="Q672" s="33"/>
      <c r="R672" s="22"/>
      <c r="S672" s="22"/>
      <c r="T672" s="22"/>
      <c r="U672" s="22"/>
      <c r="X672" s="15" t="str">
        <f>IF(B672="",VLOOKUP(A672,items_lookup!A:B,2,FALSE),B672)</f>
        <v>17. Item 17</v>
      </c>
      <c r="Y672" s="15">
        <f t="shared" si="62"/>
        <v>2</v>
      </c>
      <c r="Z672" s="15">
        <f t="shared" si="62"/>
        <v>2</v>
      </c>
      <c r="AA672" s="15">
        <f t="shared" si="59"/>
        <v>2021</v>
      </c>
      <c r="AB672" s="15">
        <f t="shared" si="60"/>
        <v>2021</v>
      </c>
      <c r="AC672" s="15">
        <f t="shared" si="61"/>
        <v>2021</v>
      </c>
      <c r="AD672" s="18" t="b">
        <f t="shared" si="63"/>
        <v>1</v>
      </c>
    </row>
    <row r="673" spans="1:30" ht="15" hidden="1" customHeight="1" x14ac:dyDescent="0.2">
      <c r="A673" s="7" t="s">
        <v>688</v>
      </c>
      <c r="B673" s="7"/>
      <c r="C673" s="2" t="s">
        <v>641</v>
      </c>
      <c r="D673" s="6" t="s">
        <v>649</v>
      </c>
      <c r="E673" s="32" t="s">
        <v>651</v>
      </c>
      <c r="F673" s="7"/>
      <c r="G673" s="7"/>
      <c r="H673" s="7"/>
      <c r="I673" s="7" t="s">
        <v>20</v>
      </c>
      <c r="J673" s="7">
        <v>2</v>
      </c>
      <c r="K673" s="7" t="s">
        <v>660</v>
      </c>
      <c r="L673" s="7" t="s">
        <v>663</v>
      </c>
      <c r="M673" s="8">
        <v>44239</v>
      </c>
      <c r="N673" s="8">
        <v>44251</v>
      </c>
      <c r="O673" s="13"/>
      <c r="P673" s="13">
        <v>63040.37</v>
      </c>
      <c r="Q673" s="33"/>
      <c r="R673" s="9"/>
      <c r="S673" s="9"/>
      <c r="T673" s="9"/>
      <c r="U673" s="9"/>
      <c r="X673" s="15" t="str">
        <f>IF(B673="",VLOOKUP(A673,items_lookup!A:B,2,FALSE),B673)</f>
        <v>09. Item 09</v>
      </c>
      <c r="Y673" s="15">
        <f t="shared" si="62"/>
        <v>2</v>
      </c>
      <c r="Z673" s="15">
        <f t="shared" si="62"/>
        <v>2</v>
      </c>
      <c r="AA673" s="15">
        <f t="shared" si="59"/>
        <v>2021</v>
      </c>
      <c r="AB673" s="15">
        <f t="shared" si="60"/>
        <v>2021</v>
      </c>
      <c r="AC673" s="15">
        <f t="shared" si="61"/>
        <v>2021</v>
      </c>
      <c r="AD673" s="18" t="b">
        <f t="shared" si="63"/>
        <v>1</v>
      </c>
    </row>
    <row r="674" spans="1:30" ht="15" hidden="1" customHeight="1" x14ac:dyDescent="0.2">
      <c r="A674" s="7" t="s">
        <v>702</v>
      </c>
      <c r="B674" s="7"/>
      <c r="C674" s="2" t="s">
        <v>641</v>
      </c>
      <c r="D674" s="6" t="s">
        <v>650</v>
      </c>
      <c r="E674" s="32" t="s">
        <v>651</v>
      </c>
      <c r="F674" s="7"/>
      <c r="G674" s="7"/>
      <c r="H674" s="7"/>
      <c r="I674" s="7"/>
      <c r="J674" s="7"/>
      <c r="K674" s="7"/>
      <c r="L674" s="7" t="s">
        <v>662</v>
      </c>
      <c r="M674" s="8">
        <v>44228</v>
      </c>
      <c r="N674" s="8">
        <v>44228</v>
      </c>
      <c r="O674" s="13">
        <v>692757.43</v>
      </c>
      <c r="P674" s="13"/>
      <c r="Q674" s="33"/>
      <c r="R674" s="9"/>
      <c r="S674" s="9"/>
      <c r="T674" s="9"/>
      <c r="U674" s="9"/>
      <c r="X674" s="15" t="str">
        <f>IF(B674="",VLOOKUP(A674,items_lookup!A:B,2,FALSE),B674)</f>
        <v>17. Item 17</v>
      </c>
      <c r="Y674" s="15">
        <f t="shared" si="62"/>
        <v>2</v>
      </c>
      <c r="Z674" s="15">
        <f t="shared" si="62"/>
        <v>2</v>
      </c>
      <c r="AA674" s="15">
        <f t="shared" si="59"/>
        <v>2021</v>
      </c>
      <c r="AB674" s="15">
        <f t="shared" si="60"/>
        <v>2021</v>
      </c>
      <c r="AC674" s="15">
        <f t="shared" si="61"/>
        <v>2021</v>
      </c>
      <c r="AD674" s="18" t="b">
        <f t="shared" si="63"/>
        <v>1</v>
      </c>
    </row>
    <row r="675" spans="1:30" ht="15" hidden="1" customHeight="1" x14ac:dyDescent="0.2">
      <c r="A675" s="7" t="s">
        <v>689</v>
      </c>
      <c r="B675" s="7"/>
      <c r="C675" s="2" t="s">
        <v>641</v>
      </c>
      <c r="D675" s="6" t="s">
        <v>649</v>
      </c>
      <c r="E675" s="32" t="s">
        <v>651</v>
      </c>
      <c r="F675" s="7" t="s">
        <v>20</v>
      </c>
      <c r="G675" s="7"/>
      <c r="H675" s="7"/>
      <c r="I675" s="7"/>
      <c r="J675" s="7"/>
      <c r="K675" s="7"/>
      <c r="L675" s="7" t="s">
        <v>662</v>
      </c>
      <c r="M675" s="8">
        <v>44228</v>
      </c>
      <c r="N675" s="8">
        <v>44228</v>
      </c>
      <c r="O675" s="13">
        <v>1051249.52</v>
      </c>
      <c r="P675" s="13"/>
      <c r="Q675" s="33"/>
      <c r="R675" s="22"/>
      <c r="S675" s="22"/>
      <c r="T675" s="22"/>
      <c r="U675" s="22"/>
      <c r="X675" s="15" t="str">
        <f>IF(B675="",VLOOKUP(A675,items_lookup!A:B,2,FALSE),B675)</f>
        <v>04. Item 04</v>
      </c>
      <c r="Y675" s="15">
        <f t="shared" si="62"/>
        <v>2</v>
      </c>
      <c r="Z675" s="15">
        <f t="shared" si="62"/>
        <v>2</v>
      </c>
      <c r="AA675" s="15">
        <f t="shared" si="59"/>
        <v>2021</v>
      </c>
      <c r="AB675" s="15">
        <f t="shared" si="60"/>
        <v>2021</v>
      </c>
      <c r="AC675" s="15">
        <f t="shared" si="61"/>
        <v>2020</v>
      </c>
      <c r="AD675" s="18" t="b">
        <f t="shared" si="63"/>
        <v>1</v>
      </c>
    </row>
    <row r="676" spans="1:30" ht="15" hidden="1" customHeight="1" x14ac:dyDescent="0.2">
      <c r="A676" s="7" t="s">
        <v>689</v>
      </c>
      <c r="B676" s="7"/>
      <c r="C676" s="2" t="s">
        <v>641</v>
      </c>
      <c r="D676" s="6" t="s">
        <v>650</v>
      </c>
      <c r="E676" s="32" t="s">
        <v>651</v>
      </c>
      <c r="F676" s="7"/>
      <c r="G676" s="7"/>
      <c r="H676" s="7"/>
      <c r="I676" s="7"/>
      <c r="J676" s="7"/>
      <c r="K676" s="7"/>
      <c r="L676" s="7" t="s">
        <v>662</v>
      </c>
      <c r="M676" s="8">
        <v>44197</v>
      </c>
      <c r="N676" s="8">
        <v>44197</v>
      </c>
      <c r="O676" s="13">
        <v>11904.76</v>
      </c>
      <c r="P676" s="13"/>
      <c r="Q676" s="33"/>
      <c r="R676" s="22"/>
      <c r="S676" s="22"/>
      <c r="T676" s="22"/>
      <c r="U676" s="22"/>
      <c r="X676" s="15" t="str">
        <f>IF(B676="",VLOOKUP(A676,items_lookup!A:B,2,FALSE),B676)</f>
        <v>04. Item 04</v>
      </c>
      <c r="Y676" s="15">
        <f t="shared" si="62"/>
        <v>1</v>
      </c>
      <c r="Z676" s="15">
        <f t="shared" si="62"/>
        <v>1</v>
      </c>
      <c r="AA676" s="15">
        <f t="shared" si="59"/>
        <v>2021</v>
      </c>
      <c r="AB676" s="15">
        <f t="shared" si="60"/>
        <v>2021</v>
      </c>
      <c r="AC676" s="15">
        <f t="shared" si="61"/>
        <v>2021</v>
      </c>
      <c r="AD676" s="18" t="b">
        <f t="shared" si="63"/>
        <v>1</v>
      </c>
    </row>
    <row r="677" spans="1:30" ht="12.6" hidden="1" customHeight="1" x14ac:dyDescent="0.2">
      <c r="A677" s="7" t="s">
        <v>680</v>
      </c>
      <c r="B677" s="7"/>
      <c r="C677" s="2" t="s">
        <v>641</v>
      </c>
      <c r="D677" s="6" t="s">
        <v>649</v>
      </c>
      <c r="E677" s="32" t="s">
        <v>651</v>
      </c>
      <c r="F677" s="7"/>
      <c r="G677" s="7"/>
      <c r="H677" s="7"/>
      <c r="I677" s="7"/>
      <c r="J677" s="7">
        <v>3</v>
      </c>
      <c r="K677" s="7" t="s">
        <v>660</v>
      </c>
      <c r="L677" s="7" t="s">
        <v>663</v>
      </c>
      <c r="M677" s="8">
        <v>44242</v>
      </c>
      <c r="N677" s="8">
        <v>44253</v>
      </c>
      <c r="O677" s="13"/>
      <c r="P677" s="13">
        <v>5297406.1100000003</v>
      </c>
      <c r="Q677" s="33"/>
      <c r="R677" s="22"/>
      <c r="S677" s="22"/>
      <c r="T677" s="22"/>
      <c r="U677" s="22"/>
      <c r="X677" s="15" t="str">
        <f>IF(B677="",VLOOKUP(A677,items_lookup!A:B,2,FALSE),B677)</f>
        <v>13. Item 13</v>
      </c>
      <c r="Y677" s="15">
        <f t="shared" si="62"/>
        <v>2</v>
      </c>
      <c r="Z677" s="15">
        <f t="shared" si="62"/>
        <v>2</v>
      </c>
      <c r="AA677" s="15">
        <f t="shared" si="59"/>
        <v>2021</v>
      </c>
      <c r="AB677" s="15">
        <f t="shared" si="60"/>
        <v>2021</v>
      </c>
      <c r="AC677" s="15">
        <f t="shared" si="61"/>
        <v>2021</v>
      </c>
      <c r="AD677" s="18" t="b">
        <f t="shared" si="63"/>
        <v>1</v>
      </c>
    </row>
    <row r="678" spans="1:30" ht="15" hidden="1" customHeight="1" x14ac:dyDescent="0.2">
      <c r="A678" s="7" t="s">
        <v>680</v>
      </c>
      <c r="B678" s="7"/>
      <c r="C678" s="2" t="s">
        <v>641</v>
      </c>
      <c r="D678" s="6" t="s">
        <v>649</v>
      </c>
      <c r="E678" s="32" t="s">
        <v>651</v>
      </c>
      <c r="F678" s="7"/>
      <c r="G678" s="7"/>
      <c r="H678" s="7"/>
      <c r="I678" s="7"/>
      <c r="J678" s="7">
        <v>3</v>
      </c>
      <c r="K678" s="7" t="s">
        <v>660</v>
      </c>
      <c r="L678" s="7" t="s">
        <v>663</v>
      </c>
      <c r="M678" s="8">
        <v>44242</v>
      </c>
      <c r="N678" s="8">
        <v>44253</v>
      </c>
      <c r="O678" s="13"/>
      <c r="P678" s="13">
        <v>8218840.9900000002</v>
      </c>
      <c r="Q678" s="33"/>
      <c r="R678" s="22"/>
      <c r="S678" s="22"/>
      <c r="T678" s="22"/>
      <c r="U678" s="22"/>
      <c r="X678" s="15" t="str">
        <f>IF(B678="",VLOOKUP(A678,items_lookup!A:B,2,FALSE),B678)</f>
        <v>13. Item 13</v>
      </c>
      <c r="Y678" s="15">
        <f t="shared" si="62"/>
        <v>2</v>
      </c>
      <c r="Z678" s="15">
        <f t="shared" si="62"/>
        <v>2</v>
      </c>
      <c r="AA678" s="15">
        <f t="shared" ref="AA678:AA737" si="64">YEAR(N678)</f>
        <v>2021</v>
      </c>
      <c r="AB678" s="15">
        <f t="shared" ref="AB678:AB737" si="65">YEAR(M678)</f>
        <v>2021</v>
      </c>
      <c r="AC678" s="15">
        <f t="shared" ref="AC678:AC737" si="66">IF(F678="X",AA678-1,AA678)</f>
        <v>2021</v>
      </c>
      <c r="AD678" s="18" t="b">
        <f t="shared" si="63"/>
        <v>1</v>
      </c>
    </row>
    <row r="679" spans="1:30" ht="15" hidden="1" customHeight="1" x14ac:dyDescent="0.2">
      <c r="A679" s="7" t="s">
        <v>703</v>
      </c>
      <c r="B679" s="20"/>
      <c r="C679" s="2" t="s">
        <v>641</v>
      </c>
      <c r="D679" s="6" t="s">
        <v>649</v>
      </c>
      <c r="E679" s="32" t="s">
        <v>651</v>
      </c>
      <c r="F679" s="7"/>
      <c r="G679" s="7"/>
      <c r="H679" s="7"/>
      <c r="I679" s="7"/>
      <c r="J679" s="7">
        <v>3</v>
      </c>
      <c r="K679" s="7" t="s">
        <v>660</v>
      </c>
      <c r="L679" s="7" t="s">
        <v>663</v>
      </c>
      <c r="M679" s="8">
        <v>44242</v>
      </c>
      <c r="N679" s="8">
        <v>44259</v>
      </c>
      <c r="O679" s="13"/>
      <c r="P679" s="13">
        <v>3636.81</v>
      </c>
      <c r="Q679" s="33"/>
      <c r="R679" s="9"/>
      <c r="S679" s="9"/>
      <c r="T679" s="9"/>
      <c r="U679" s="9"/>
      <c r="X679" s="15" t="str">
        <f>IF(B679="",VLOOKUP(A679,items_lookup!A:B,2,FALSE),B679)</f>
        <v>_3. Item _3</v>
      </c>
      <c r="Y679" s="15">
        <f t="shared" si="62"/>
        <v>2</v>
      </c>
      <c r="Z679" s="15">
        <f t="shared" si="62"/>
        <v>3</v>
      </c>
      <c r="AA679" s="15">
        <f t="shared" si="64"/>
        <v>2021</v>
      </c>
      <c r="AB679" s="15">
        <f t="shared" si="65"/>
        <v>2021</v>
      </c>
      <c r="AC679" s="15">
        <f t="shared" si="66"/>
        <v>2021</v>
      </c>
      <c r="AD679" s="18" t="b">
        <f t="shared" si="63"/>
        <v>1</v>
      </c>
    </row>
    <row r="680" spans="1:30" ht="15" hidden="1" customHeight="1" x14ac:dyDescent="0.2">
      <c r="A680" s="7" t="s">
        <v>683</v>
      </c>
      <c r="B680" s="7"/>
      <c r="C680" s="2" t="s">
        <v>641</v>
      </c>
      <c r="D680" s="6" t="s">
        <v>649</v>
      </c>
      <c r="E680" s="32" t="s">
        <v>651</v>
      </c>
      <c r="F680" s="7"/>
      <c r="G680" s="7"/>
      <c r="H680" s="7"/>
      <c r="I680" s="7" t="s">
        <v>20</v>
      </c>
      <c r="J680" s="7">
        <v>3</v>
      </c>
      <c r="K680" s="7" t="s">
        <v>660</v>
      </c>
      <c r="L680" s="7" t="s">
        <v>663</v>
      </c>
      <c r="M680" s="8">
        <v>44256</v>
      </c>
      <c r="N680" s="8">
        <v>44272</v>
      </c>
      <c r="O680" s="13"/>
      <c r="P680" s="13">
        <v>873526.39</v>
      </c>
      <c r="Q680" s="33"/>
      <c r="R680" s="22"/>
      <c r="S680" s="22"/>
      <c r="T680" s="22"/>
      <c r="U680" s="22"/>
      <c r="X680" s="15" t="str">
        <f>IF(B680="",VLOOKUP(A680,items_lookup!A:B,2,FALSE),B680)</f>
        <v>_1. Item _1</v>
      </c>
      <c r="Y680" s="15">
        <f t="shared" si="62"/>
        <v>3</v>
      </c>
      <c r="Z680" s="15">
        <f t="shared" si="62"/>
        <v>3</v>
      </c>
      <c r="AA680" s="15">
        <f t="shared" si="64"/>
        <v>2021</v>
      </c>
      <c r="AB680" s="15">
        <f t="shared" si="65"/>
        <v>2021</v>
      </c>
      <c r="AC680" s="15">
        <f t="shared" si="66"/>
        <v>2021</v>
      </c>
      <c r="AD680" s="18" t="b">
        <f t="shared" si="63"/>
        <v>1</v>
      </c>
    </row>
    <row r="681" spans="1:30" ht="15" hidden="1" customHeight="1" x14ac:dyDescent="0.2">
      <c r="A681" s="7" t="s">
        <v>683</v>
      </c>
      <c r="B681" s="7"/>
      <c r="C681" s="2" t="s">
        <v>641</v>
      </c>
      <c r="D681" s="6" t="s">
        <v>649</v>
      </c>
      <c r="E681" s="32" t="s">
        <v>651</v>
      </c>
      <c r="F681" s="7"/>
      <c r="G681" s="7"/>
      <c r="H681" s="7"/>
      <c r="I681" s="7"/>
      <c r="J681" s="7">
        <v>3</v>
      </c>
      <c r="K681" s="7" t="s">
        <v>660</v>
      </c>
      <c r="L681" s="7" t="s">
        <v>663</v>
      </c>
      <c r="M681" s="8">
        <v>44242</v>
      </c>
      <c r="N681" s="8">
        <v>44253</v>
      </c>
      <c r="O681" s="13"/>
      <c r="P681" s="13">
        <v>1141.6500000000001</v>
      </c>
      <c r="Q681" s="33"/>
      <c r="R681" s="22"/>
      <c r="S681" s="22"/>
      <c r="T681" s="22"/>
      <c r="U681" s="22"/>
      <c r="X681" s="15" t="str">
        <f>IF(B681="",VLOOKUP(A681,items_lookup!A:B,2,FALSE),B681)</f>
        <v>_1. Item _1</v>
      </c>
      <c r="Y681" s="15">
        <f t="shared" si="62"/>
        <v>2</v>
      </c>
      <c r="Z681" s="15">
        <f t="shared" si="62"/>
        <v>2</v>
      </c>
      <c r="AA681" s="15">
        <f t="shared" si="64"/>
        <v>2021</v>
      </c>
      <c r="AB681" s="15">
        <f t="shared" si="65"/>
        <v>2021</v>
      </c>
      <c r="AC681" s="15">
        <f t="shared" si="66"/>
        <v>2021</v>
      </c>
      <c r="AD681" s="18" t="b">
        <f t="shared" si="63"/>
        <v>1</v>
      </c>
    </row>
    <row r="682" spans="1:30" ht="15" hidden="1" customHeight="1" x14ac:dyDescent="0.2">
      <c r="A682" s="7" t="s">
        <v>683</v>
      </c>
      <c r="B682" s="7"/>
      <c r="C682" s="2" t="s">
        <v>641</v>
      </c>
      <c r="D682" s="6" t="s">
        <v>649</v>
      </c>
      <c r="E682" s="32" t="s">
        <v>651</v>
      </c>
      <c r="F682" s="7"/>
      <c r="G682" s="7"/>
      <c r="H682" s="7"/>
      <c r="I682" s="7" t="s">
        <v>20</v>
      </c>
      <c r="J682" s="7">
        <v>1</v>
      </c>
      <c r="K682" s="7" t="s">
        <v>660</v>
      </c>
      <c r="L682" s="7" t="s">
        <v>663</v>
      </c>
      <c r="M682" s="8">
        <v>44256</v>
      </c>
      <c r="N682" s="8">
        <v>44277</v>
      </c>
      <c r="O682" s="13"/>
      <c r="P682" s="13">
        <v>499354.13</v>
      </c>
      <c r="Q682" s="33"/>
      <c r="R682" s="22"/>
      <c r="S682" s="22"/>
      <c r="T682" s="22"/>
      <c r="U682" s="22"/>
      <c r="X682" s="15" t="str">
        <f>IF(B682="",VLOOKUP(A682,items_lookup!A:B,2,FALSE),B682)</f>
        <v>_1. Item _1</v>
      </c>
      <c r="Y682" s="15">
        <f t="shared" si="62"/>
        <v>3</v>
      </c>
      <c r="Z682" s="15">
        <f t="shared" si="62"/>
        <v>3</v>
      </c>
      <c r="AA682" s="15">
        <f t="shared" si="64"/>
        <v>2021</v>
      </c>
      <c r="AB682" s="15">
        <f t="shared" si="65"/>
        <v>2021</v>
      </c>
      <c r="AC682" s="15">
        <f t="shared" si="66"/>
        <v>2021</v>
      </c>
      <c r="AD682" s="18" t="b">
        <f t="shared" si="63"/>
        <v>1</v>
      </c>
    </row>
    <row r="683" spans="1:30" ht="15" hidden="1" customHeight="1" x14ac:dyDescent="0.2">
      <c r="A683" s="7" t="s">
        <v>703</v>
      </c>
      <c r="B683" s="7"/>
      <c r="C683" s="2" t="s">
        <v>641</v>
      </c>
      <c r="D683" s="6" t="s">
        <v>649</v>
      </c>
      <c r="E683" s="32" t="s">
        <v>651</v>
      </c>
      <c r="F683" s="7"/>
      <c r="G683" s="7"/>
      <c r="H683" s="7"/>
      <c r="I683" s="7"/>
      <c r="J683" s="7">
        <v>1</v>
      </c>
      <c r="K683" s="7" t="s">
        <v>660</v>
      </c>
      <c r="L683" s="7" t="s">
        <v>663</v>
      </c>
      <c r="M683" s="8">
        <v>44232</v>
      </c>
      <c r="N683" s="8">
        <v>44253</v>
      </c>
      <c r="O683" s="13"/>
      <c r="P683" s="13">
        <v>11424.71</v>
      </c>
      <c r="Q683" s="33"/>
      <c r="R683" s="22"/>
      <c r="S683" s="22"/>
      <c r="T683" s="22"/>
      <c r="U683" s="22"/>
      <c r="X683" s="15" t="str">
        <f>IF(B683="",VLOOKUP(A683,items_lookup!A:B,2,FALSE),B683)</f>
        <v>_3. Item _3</v>
      </c>
      <c r="Y683" s="15">
        <f t="shared" si="62"/>
        <v>2</v>
      </c>
      <c r="Z683" s="15">
        <f t="shared" si="62"/>
        <v>2</v>
      </c>
      <c r="AA683" s="15">
        <f t="shared" si="64"/>
        <v>2021</v>
      </c>
      <c r="AB683" s="15">
        <f t="shared" si="65"/>
        <v>2021</v>
      </c>
      <c r="AC683" s="15">
        <f t="shared" si="66"/>
        <v>2021</v>
      </c>
      <c r="AD683" s="18" t="b">
        <f t="shared" si="63"/>
        <v>1</v>
      </c>
    </row>
    <row r="684" spans="1:30" ht="15" hidden="1" customHeight="1" x14ac:dyDescent="0.2">
      <c r="A684" s="7" t="s">
        <v>668</v>
      </c>
      <c r="B684" s="7"/>
      <c r="C684" s="2" t="s">
        <v>641</v>
      </c>
      <c r="D684" s="6" t="s">
        <v>649</v>
      </c>
      <c r="E684" s="32" t="s">
        <v>651</v>
      </c>
      <c r="F684" s="7"/>
      <c r="G684" s="7"/>
      <c r="H684" s="7"/>
      <c r="I684" s="7"/>
      <c r="J684" s="7">
        <v>3</v>
      </c>
      <c r="K684" s="7" t="s">
        <v>660</v>
      </c>
      <c r="L684" s="7" t="s">
        <v>663</v>
      </c>
      <c r="M684" s="8">
        <v>44242</v>
      </c>
      <c r="N684" s="8">
        <v>44253</v>
      </c>
      <c r="O684" s="13"/>
      <c r="P684" s="13">
        <v>241420.32</v>
      </c>
      <c r="Q684" s="33"/>
      <c r="R684" s="22"/>
      <c r="S684" s="22"/>
      <c r="T684" s="22"/>
      <c r="U684" s="22"/>
      <c r="X684" s="15" t="str">
        <f>IF(B684="",VLOOKUP(A684,items_lookup!A:B,2,FALSE),B684)</f>
        <v>01. Item 01</v>
      </c>
      <c r="Y684" s="15">
        <f t="shared" si="62"/>
        <v>2</v>
      </c>
      <c r="Z684" s="15">
        <f t="shared" si="62"/>
        <v>2</v>
      </c>
      <c r="AA684" s="15">
        <f t="shared" si="64"/>
        <v>2021</v>
      </c>
      <c r="AB684" s="15">
        <f t="shared" si="65"/>
        <v>2021</v>
      </c>
      <c r="AC684" s="15">
        <f t="shared" si="66"/>
        <v>2021</v>
      </c>
      <c r="AD684" s="18" t="b">
        <f t="shared" si="63"/>
        <v>1</v>
      </c>
    </row>
    <row r="685" spans="1:30" ht="15" hidden="1" customHeight="1" x14ac:dyDescent="0.2">
      <c r="A685" s="7" t="s">
        <v>669</v>
      </c>
      <c r="B685" s="20"/>
      <c r="C685" s="2" t="s">
        <v>641</v>
      </c>
      <c r="D685" s="6" t="s">
        <v>649</v>
      </c>
      <c r="E685" s="32" t="s">
        <v>651</v>
      </c>
      <c r="F685" s="7"/>
      <c r="G685" s="7"/>
      <c r="H685" s="7"/>
      <c r="I685" s="7"/>
      <c r="J685" s="7">
        <v>3</v>
      </c>
      <c r="K685" s="7" t="s">
        <v>660</v>
      </c>
      <c r="L685" s="7" t="s">
        <v>663</v>
      </c>
      <c r="M685" s="8">
        <v>44242</v>
      </c>
      <c r="N685" s="8">
        <v>44258</v>
      </c>
      <c r="O685" s="13"/>
      <c r="P685" s="13">
        <v>41014.29</v>
      </c>
      <c r="Q685" s="33"/>
      <c r="R685" s="22"/>
      <c r="S685" s="22"/>
      <c r="T685" s="22"/>
      <c r="U685" s="22"/>
      <c r="X685" s="15" t="str">
        <f>IF(B685="",VLOOKUP(A685,items_lookup!A:B,2,FALSE),B685)</f>
        <v>02. Item 02</v>
      </c>
      <c r="Y685" s="15">
        <f t="shared" si="62"/>
        <v>2</v>
      </c>
      <c r="Z685" s="15">
        <f t="shared" si="62"/>
        <v>3</v>
      </c>
      <c r="AA685" s="15">
        <f t="shared" si="64"/>
        <v>2021</v>
      </c>
      <c r="AB685" s="15">
        <f t="shared" si="65"/>
        <v>2021</v>
      </c>
      <c r="AC685" s="15">
        <f t="shared" si="66"/>
        <v>2021</v>
      </c>
      <c r="AD685" s="18" t="b">
        <f t="shared" si="63"/>
        <v>1</v>
      </c>
    </row>
    <row r="686" spans="1:30" ht="15" hidden="1" customHeight="1" x14ac:dyDescent="0.2">
      <c r="A686" s="7" t="s">
        <v>689</v>
      </c>
      <c r="B686" s="20"/>
      <c r="C686" s="2" t="s">
        <v>641</v>
      </c>
      <c r="D686" s="6" t="s">
        <v>649</v>
      </c>
      <c r="E686" s="32" t="s">
        <v>651</v>
      </c>
      <c r="F686" s="7"/>
      <c r="G686" s="7"/>
      <c r="H686" s="7"/>
      <c r="I686" s="7"/>
      <c r="J686" s="7">
        <v>3</v>
      </c>
      <c r="K686" s="7" t="s">
        <v>660</v>
      </c>
      <c r="L686" s="7" t="s">
        <v>663</v>
      </c>
      <c r="M686" s="8">
        <v>44242</v>
      </c>
      <c r="N686" s="8">
        <v>44252</v>
      </c>
      <c r="O686" s="13"/>
      <c r="P686" s="13">
        <v>106802.48</v>
      </c>
      <c r="Q686" s="33"/>
      <c r="R686" s="22"/>
      <c r="S686" s="22"/>
      <c r="T686" s="22"/>
      <c r="U686" s="22"/>
      <c r="X686" s="15" t="str">
        <f>IF(B686="",VLOOKUP(A686,items_lookup!A:B,2,FALSE),B686)</f>
        <v>04. Item 04</v>
      </c>
      <c r="Y686" s="15">
        <f t="shared" si="62"/>
        <v>2</v>
      </c>
      <c r="Z686" s="15">
        <f t="shared" si="62"/>
        <v>2</v>
      </c>
      <c r="AA686" s="15">
        <f t="shared" si="64"/>
        <v>2021</v>
      </c>
      <c r="AB686" s="15">
        <f t="shared" si="65"/>
        <v>2021</v>
      </c>
      <c r="AC686" s="15">
        <f t="shared" si="66"/>
        <v>2021</v>
      </c>
      <c r="AD686" s="18" t="b">
        <f t="shared" si="63"/>
        <v>1</v>
      </c>
    </row>
    <row r="687" spans="1:30" ht="15.75" hidden="1" customHeight="1" x14ac:dyDescent="0.2">
      <c r="A687" s="7" t="s">
        <v>671</v>
      </c>
      <c r="B687" s="7"/>
      <c r="C687" s="2" t="s">
        <v>641</v>
      </c>
      <c r="D687" s="6" t="s">
        <v>649</v>
      </c>
      <c r="E687" s="32" t="s">
        <v>651</v>
      </c>
      <c r="F687" s="7"/>
      <c r="G687" s="7"/>
      <c r="H687" s="7"/>
      <c r="I687" s="7"/>
      <c r="J687" s="7">
        <v>4</v>
      </c>
      <c r="K687" s="7" t="s">
        <v>660</v>
      </c>
      <c r="L687" s="7" t="s">
        <v>663</v>
      </c>
      <c r="M687" s="8">
        <v>44242</v>
      </c>
      <c r="N687" s="8">
        <v>44253</v>
      </c>
      <c r="O687" s="13"/>
      <c r="P687" s="13">
        <v>1287.83</v>
      </c>
      <c r="Q687" s="33"/>
      <c r="R687" s="22"/>
      <c r="S687" s="22"/>
      <c r="T687" s="22"/>
      <c r="U687" s="22"/>
      <c r="X687" s="15" t="str">
        <f>IF(B687="",VLOOKUP(A687,items_lookup!A:B,2,FALSE),B687)</f>
        <v>05. Item 05</v>
      </c>
      <c r="Y687" s="15">
        <f t="shared" si="62"/>
        <v>2</v>
      </c>
      <c r="Z687" s="15">
        <f t="shared" si="62"/>
        <v>2</v>
      </c>
      <c r="AA687" s="15">
        <f t="shared" si="64"/>
        <v>2021</v>
      </c>
      <c r="AB687" s="15">
        <f t="shared" si="65"/>
        <v>2021</v>
      </c>
      <c r="AC687" s="15">
        <f t="shared" si="66"/>
        <v>2021</v>
      </c>
      <c r="AD687" s="18" t="b">
        <f t="shared" si="63"/>
        <v>1</v>
      </c>
    </row>
    <row r="688" spans="1:30" ht="13.5" hidden="1" customHeight="1" x14ac:dyDescent="0.2">
      <c r="A688" s="7" t="s">
        <v>672</v>
      </c>
      <c r="B688" s="7"/>
      <c r="C688" s="2" t="s">
        <v>641</v>
      </c>
      <c r="D688" s="6" t="s">
        <v>649</v>
      </c>
      <c r="E688" s="32" t="s">
        <v>651</v>
      </c>
      <c r="F688" s="7"/>
      <c r="G688" s="7"/>
      <c r="H688" s="7"/>
      <c r="I688" s="7"/>
      <c r="J688" s="7">
        <v>3</v>
      </c>
      <c r="K688" s="7" t="s">
        <v>660</v>
      </c>
      <c r="L688" s="7" t="s">
        <v>663</v>
      </c>
      <c r="M688" s="8">
        <v>44242</v>
      </c>
      <c r="N688" s="8">
        <v>44253</v>
      </c>
      <c r="O688" s="13"/>
      <c r="P688" s="13">
        <v>20588.02</v>
      </c>
      <c r="Q688" s="33"/>
      <c r="R688" s="22"/>
      <c r="S688" s="22"/>
      <c r="T688" s="22"/>
      <c r="U688" s="22"/>
      <c r="X688" s="15" t="str">
        <f>IF(B688="",VLOOKUP(A688,items_lookup!A:B,2,FALSE),B688)</f>
        <v>05. Item 05</v>
      </c>
      <c r="Y688" s="15">
        <f t="shared" si="62"/>
        <v>2</v>
      </c>
      <c r="Z688" s="15">
        <f t="shared" si="62"/>
        <v>2</v>
      </c>
      <c r="AA688" s="15">
        <f t="shared" si="64"/>
        <v>2021</v>
      </c>
      <c r="AB688" s="15">
        <f t="shared" si="65"/>
        <v>2021</v>
      </c>
      <c r="AC688" s="15">
        <f t="shared" si="66"/>
        <v>2021</v>
      </c>
      <c r="AD688" s="18" t="b">
        <f t="shared" si="63"/>
        <v>1</v>
      </c>
    </row>
    <row r="689" spans="1:30" ht="15" hidden="1" customHeight="1" x14ac:dyDescent="0.2">
      <c r="A689" s="7" t="s">
        <v>682</v>
      </c>
      <c r="B689" s="7"/>
      <c r="C689" s="2" t="s">
        <v>641</v>
      </c>
      <c r="D689" s="6" t="s">
        <v>649</v>
      </c>
      <c r="E689" s="32" t="s">
        <v>651</v>
      </c>
      <c r="F689" s="7"/>
      <c r="G689" s="7"/>
      <c r="H689" s="7" t="s">
        <v>653</v>
      </c>
      <c r="I689" s="7"/>
      <c r="J689" s="7"/>
      <c r="K689" s="7"/>
      <c r="L689" s="7" t="s">
        <v>662</v>
      </c>
      <c r="M689" s="8">
        <v>44166</v>
      </c>
      <c r="N689" s="8">
        <v>44166</v>
      </c>
      <c r="O689" s="13">
        <v>-330552.99</v>
      </c>
      <c r="P689" s="13"/>
      <c r="Q689" s="33"/>
      <c r="R689" s="22"/>
      <c r="S689" s="22"/>
      <c r="T689" s="22"/>
      <c r="U689" s="22"/>
      <c r="X689" s="15" t="str">
        <f>IF(B689="",VLOOKUP(A689,items_lookup!A:B,2,FALSE),B689)</f>
        <v>06. Item 06</v>
      </c>
      <c r="Y689" s="15">
        <f t="shared" si="62"/>
        <v>12</v>
      </c>
      <c r="Z689" s="15">
        <f t="shared" si="62"/>
        <v>12</v>
      </c>
      <c r="AA689" s="15">
        <f t="shared" si="64"/>
        <v>2020</v>
      </c>
      <c r="AB689" s="15">
        <f t="shared" si="65"/>
        <v>2020</v>
      </c>
      <c r="AC689" s="15">
        <f t="shared" si="66"/>
        <v>2020</v>
      </c>
      <c r="AD689" s="18" t="b">
        <f t="shared" si="63"/>
        <v>1</v>
      </c>
    </row>
    <row r="690" spans="1:30" ht="15" hidden="1" customHeight="1" x14ac:dyDescent="0.2">
      <c r="A690" s="7" t="s">
        <v>673</v>
      </c>
      <c r="B690" s="7"/>
      <c r="C690" s="2" t="s">
        <v>641</v>
      </c>
      <c r="D690" s="6" t="s">
        <v>649</v>
      </c>
      <c r="E690" s="32" t="s">
        <v>651</v>
      </c>
      <c r="F690" s="7"/>
      <c r="G690" s="7"/>
      <c r="H690" s="7" t="s">
        <v>653</v>
      </c>
      <c r="I690" s="7"/>
      <c r="J690" s="7"/>
      <c r="K690" s="7"/>
      <c r="L690" s="7" t="s">
        <v>662</v>
      </c>
      <c r="M690" s="8">
        <v>44166</v>
      </c>
      <c r="N690" s="8">
        <v>44166</v>
      </c>
      <c r="O690" s="13">
        <v>-1159801.75</v>
      </c>
      <c r="P690" s="13"/>
      <c r="Q690" s="33"/>
      <c r="R690" s="9"/>
      <c r="S690" s="9"/>
      <c r="T690" s="9"/>
      <c r="U690" s="9"/>
      <c r="X690" s="15" t="str">
        <f>IF(B690="",VLOOKUP(A690,items_lookup!A:B,2,FALSE),B690)</f>
        <v>07. Item 07</v>
      </c>
      <c r="Y690" s="15">
        <f t="shared" si="62"/>
        <v>12</v>
      </c>
      <c r="Z690" s="15">
        <f t="shared" si="62"/>
        <v>12</v>
      </c>
      <c r="AA690" s="15">
        <f t="shared" si="64"/>
        <v>2020</v>
      </c>
      <c r="AB690" s="15">
        <f t="shared" si="65"/>
        <v>2020</v>
      </c>
      <c r="AC690" s="15">
        <f t="shared" si="66"/>
        <v>2020</v>
      </c>
      <c r="AD690" s="18" t="b">
        <f t="shared" si="63"/>
        <v>1</v>
      </c>
    </row>
    <row r="691" spans="1:30" ht="15" hidden="1" customHeight="1" x14ac:dyDescent="0.2">
      <c r="A691" s="7" t="s">
        <v>688</v>
      </c>
      <c r="B691" s="7"/>
      <c r="C691" s="2" t="s">
        <v>641</v>
      </c>
      <c r="D691" s="6" t="s">
        <v>649</v>
      </c>
      <c r="E691" s="32" t="s">
        <v>651</v>
      </c>
      <c r="F691" s="7"/>
      <c r="G691" s="7"/>
      <c r="H691" s="7"/>
      <c r="I691" s="7"/>
      <c r="J691" s="7"/>
      <c r="K691" s="7" t="s">
        <v>660</v>
      </c>
      <c r="L691" s="7" t="s">
        <v>663</v>
      </c>
      <c r="M691" s="8">
        <v>44243</v>
      </c>
      <c r="N691" s="8">
        <v>44243</v>
      </c>
      <c r="O691" s="13"/>
      <c r="P691" s="13">
        <v>10451.67</v>
      </c>
      <c r="Q691" s="33"/>
      <c r="R691" s="22"/>
      <c r="S691" s="22"/>
      <c r="T691" s="22"/>
      <c r="U691" s="22"/>
      <c r="X691" s="15" t="str">
        <f>IF(B691="",VLOOKUP(A691,items_lookup!A:B,2,FALSE),B691)</f>
        <v>09. Item 09</v>
      </c>
      <c r="Y691" s="15">
        <f t="shared" si="62"/>
        <v>2</v>
      </c>
      <c r="Z691" s="15">
        <f t="shared" si="62"/>
        <v>2</v>
      </c>
      <c r="AA691" s="15">
        <f t="shared" si="64"/>
        <v>2021</v>
      </c>
      <c r="AB691" s="15">
        <f t="shared" si="65"/>
        <v>2021</v>
      </c>
      <c r="AC691" s="15">
        <f t="shared" si="66"/>
        <v>2021</v>
      </c>
      <c r="AD691" s="18" t="b">
        <f t="shared" si="63"/>
        <v>1</v>
      </c>
    </row>
    <row r="692" spans="1:30" ht="15" hidden="1" customHeight="1" x14ac:dyDescent="0.2">
      <c r="A692" s="7" t="s">
        <v>675</v>
      </c>
      <c r="B692" s="7"/>
      <c r="C692" s="2" t="s">
        <v>648</v>
      </c>
      <c r="D692" s="6" t="s">
        <v>649</v>
      </c>
      <c r="E692" s="32" t="s">
        <v>651</v>
      </c>
      <c r="F692" s="7"/>
      <c r="G692" s="7"/>
      <c r="H692" s="7"/>
      <c r="I692" s="7"/>
      <c r="J692" s="7"/>
      <c r="K692" s="7"/>
      <c r="L692" s="7" t="s">
        <v>663</v>
      </c>
      <c r="M692" s="8">
        <v>44228</v>
      </c>
      <c r="N692" s="8">
        <v>44228</v>
      </c>
      <c r="O692" s="13"/>
      <c r="P692" s="13">
        <v>3636.81</v>
      </c>
      <c r="Q692" s="33"/>
      <c r="R692" s="22"/>
      <c r="S692" s="22"/>
      <c r="T692" s="22"/>
      <c r="U692" s="22"/>
      <c r="X692" s="15" t="str">
        <f>IF(B692="",VLOOKUP(A692,items_lookup!A:B,2,FALSE),B692)</f>
        <v>09. Item 09</v>
      </c>
      <c r="Y692" s="15">
        <f t="shared" si="62"/>
        <v>2</v>
      </c>
      <c r="Z692" s="15">
        <f t="shared" si="62"/>
        <v>2</v>
      </c>
      <c r="AA692" s="15">
        <f t="shared" si="64"/>
        <v>2021</v>
      </c>
      <c r="AB692" s="15">
        <f t="shared" si="65"/>
        <v>2021</v>
      </c>
      <c r="AC692" s="15">
        <f t="shared" si="66"/>
        <v>2021</v>
      </c>
      <c r="AD692" s="18" t="b">
        <f t="shared" si="63"/>
        <v>1</v>
      </c>
    </row>
    <row r="693" spans="1:30" ht="15" hidden="1" customHeight="1" x14ac:dyDescent="0.2">
      <c r="A693" s="7" t="s">
        <v>676</v>
      </c>
      <c r="B693" s="7"/>
      <c r="C693" s="2" t="s">
        <v>648</v>
      </c>
      <c r="D693" s="6" t="s">
        <v>649</v>
      </c>
      <c r="E693" s="32" t="s">
        <v>651</v>
      </c>
      <c r="F693" s="7"/>
      <c r="G693" s="7"/>
      <c r="H693" s="7"/>
      <c r="I693" s="7"/>
      <c r="J693" s="7"/>
      <c r="K693" s="7"/>
      <c r="L693" s="7" t="s">
        <v>663</v>
      </c>
      <c r="M693" s="8">
        <v>44228</v>
      </c>
      <c r="N693" s="8">
        <v>44228</v>
      </c>
      <c r="O693" s="13"/>
      <c r="P693" s="13">
        <v>1877810.77</v>
      </c>
      <c r="Q693" s="33"/>
      <c r="R693" s="22"/>
      <c r="S693" s="22"/>
      <c r="T693" s="22"/>
      <c r="U693" s="22"/>
      <c r="X693" s="15" t="str">
        <f>IF(B693="",VLOOKUP(A693,items_lookup!A:B,2,FALSE),B693)</f>
        <v>09. Item 09</v>
      </c>
      <c r="Y693" s="15">
        <f t="shared" ref="Y693:Z753" si="67">MONTH(M693)</f>
        <v>2</v>
      </c>
      <c r="Z693" s="15">
        <f t="shared" si="67"/>
        <v>2</v>
      </c>
      <c r="AA693" s="15">
        <f t="shared" si="64"/>
        <v>2021</v>
      </c>
      <c r="AB693" s="15">
        <f t="shared" si="65"/>
        <v>2021</v>
      </c>
      <c r="AC693" s="15">
        <f t="shared" si="66"/>
        <v>2021</v>
      </c>
      <c r="AD693" s="18" t="b">
        <f t="shared" si="63"/>
        <v>1</v>
      </c>
    </row>
    <row r="694" spans="1:30" ht="15" hidden="1" customHeight="1" x14ac:dyDescent="0.2">
      <c r="A694" s="7" t="s">
        <v>677</v>
      </c>
      <c r="B694" s="7"/>
      <c r="C694" s="2" t="s">
        <v>648</v>
      </c>
      <c r="D694" s="6" t="s">
        <v>649</v>
      </c>
      <c r="E694" s="32" t="s">
        <v>651</v>
      </c>
      <c r="F694" s="7"/>
      <c r="G694" s="7"/>
      <c r="H694" s="7"/>
      <c r="I694" s="7"/>
      <c r="J694" s="7"/>
      <c r="K694" s="7"/>
      <c r="L694" s="7" t="s">
        <v>663</v>
      </c>
      <c r="M694" s="8">
        <v>44228</v>
      </c>
      <c r="N694" s="8">
        <v>44228</v>
      </c>
      <c r="O694" s="13"/>
      <c r="P694" s="13">
        <v>33471.75</v>
      </c>
      <c r="Q694" s="33"/>
      <c r="R694" s="22"/>
      <c r="S694" s="22"/>
      <c r="T694" s="22"/>
      <c r="U694" s="22"/>
      <c r="X694" s="15" t="str">
        <f>IF(B694="",VLOOKUP(A694,items_lookup!A:B,2,FALSE),B694)</f>
        <v>11. Item 11</v>
      </c>
      <c r="Y694" s="15">
        <f t="shared" si="67"/>
        <v>2</v>
      </c>
      <c r="Z694" s="15">
        <f t="shared" si="67"/>
        <v>2</v>
      </c>
      <c r="AA694" s="15">
        <f t="shared" si="64"/>
        <v>2021</v>
      </c>
      <c r="AB694" s="15">
        <f t="shared" si="65"/>
        <v>2021</v>
      </c>
      <c r="AC694" s="15">
        <f t="shared" si="66"/>
        <v>2021</v>
      </c>
      <c r="AD694" s="18" t="b">
        <f t="shared" si="63"/>
        <v>1</v>
      </c>
    </row>
    <row r="695" spans="1:30" ht="15" hidden="1" customHeight="1" x14ac:dyDescent="0.2">
      <c r="A695" s="7" t="s">
        <v>690</v>
      </c>
      <c r="B695" s="7"/>
      <c r="C695" s="2" t="s">
        <v>648</v>
      </c>
      <c r="D695" s="6" t="s">
        <v>649</v>
      </c>
      <c r="E695" s="32" t="s">
        <v>651</v>
      </c>
      <c r="F695" s="7"/>
      <c r="G695" s="7"/>
      <c r="H695" s="7"/>
      <c r="I695" s="7"/>
      <c r="J695" s="7"/>
      <c r="K695" s="7"/>
      <c r="L695" s="7" t="s">
        <v>663</v>
      </c>
      <c r="M695" s="8">
        <v>44228</v>
      </c>
      <c r="N695" s="8">
        <v>44228</v>
      </c>
      <c r="O695" s="13"/>
      <c r="P695" s="13">
        <v>21221.72</v>
      </c>
      <c r="Q695" s="33"/>
      <c r="R695" s="22"/>
      <c r="S695" s="22"/>
      <c r="T695" s="22"/>
      <c r="U695" s="22"/>
      <c r="X695" s="15" t="str">
        <f>IF(B695="",VLOOKUP(A695,items_lookup!A:B,2,FALSE),B695)</f>
        <v>21. Item 21</v>
      </c>
      <c r="Y695" s="15">
        <f t="shared" si="67"/>
        <v>2</v>
      </c>
      <c r="Z695" s="15">
        <f t="shared" si="67"/>
        <v>2</v>
      </c>
      <c r="AA695" s="15">
        <f t="shared" si="64"/>
        <v>2021</v>
      </c>
      <c r="AB695" s="15">
        <f t="shared" si="65"/>
        <v>2021</v>
      </c>
      <c r="AC695" s="15">
        <f t="shared" si="66"/>
        <v>2021</v>
      </c>
      <c r="AD695" s="18" t="b">
        <f t="shared" si="63"/>
        <v>1</v>
      </c>
    </row>
    <row r="696" spans="1:30" ht="15" hidden="1" customHeight="1" x14ac:dyDescent="0.2">
      <c r="A696" s="7" t="s">
        <v>687</v>
      </c>
      <c r="B696" s="7"/>
      <c r="C696" s="2" t="s">
        <v>648</v>
      </c>
      <c r="D696" s="6" t="s">
        <v>649</v>
      </c>
      <c r="E696" s="32" t="s">
        <v>651</v>
      </c>
      <c r="F696" s="7"/>
      <c r="G696" s="7"/>
      <c r="H696" s="7"/>
      <c r="I696" s="7"/>
      <c r="J696" s="7"/>
      <c r="K696" s="7"/>
      <c r="L696" s="7" t="s">
        <v>663</v>
      </c>
      <c r="M696" s="8">
        <v>44228</v>
      </c>
      <c r="N696" s="8">
        <v>44228</v>
      </c>
      <c r="O696" s="13"/>
      <c r="P696" s="13">
        <v>1050730.51</v>
      </c>
      <c r="Q696" s="33"/>
      <c r="X696" s="15" t="str">
        <f>IF(B696="",VLOOKUP(A696,items_lookup!A:B,2,FALSE),B696)</f>
        <v>14. Item 14</v>
      </c>
      <c r="Y696" s="15">
        <f t="shared" si="67"/>
        <v>2</v>
      </c>
      <c r="Z696" s="15">
        <f t="shared" si="67"/>
        <v>2</v>
      </c>
      <c r="AA696" s="15">
        <f t="shared" si="64"/>
        <v>2021</v>
      </c>
      <c r="AB696" s="15">
        <f t="shared" si="65"/>
        <v>2021</v>
      </c>
      <c r="AC696" s="15">
        <f t="shared" si="66"/>
        <v>2021</v>
      </c>
      <c r="AD696" s="18" t="b">
        <f t="shared" si="63"/>
        <v>1</v>
      </c>
    </row>
    <row r="697" spans="1:30" ht="15" hidden="1" customHeight="1" x14ac:dyDescent="0.2">
      <c r="A697" s="7" t="s">
        <v>681</v>
      </c>
      <c r="B697" s="7"/>
      <c r="C697" s="2" t="s">
        <v>648</v>
      </c>
      <c r="D697" s="6" t="s">
        <v>649</v>
      </c>
      <c r="E697" s="32" t="s">
        <v>651</v>
      </c>
      <c r="F697" s="7"/>
      <c r="G697" s="7"/>
      <c r="H697" s="7"/>
      <c r="I697" s="7"/>
      <c r="J697" s="7"/>
      <c r="K697" s="7"/>
      <c r="L697" s="7" t="s">
        <v>663</v>
      </c>
      <c r="M697" s="8">
        <v>44228</v>
      </c>
      <c r="N697" s="8">
        <v>44228</v>
      </c>
      <c r="O697" s="13"/>
      <c r="P697" s="13">
        <v>248662.59</v>
      </c>
      <c r="Q697" s="33"/>
      <c r="X697" s="15" t="str">
        <f>IF(B697="",VLOOKUP(A697,items_lookup!A:B,2,FALSE),B697)</f>
        <v>19. Item 19</v>
      </c>
      <c r="Y697" s="15">
        <f t="shared" si="67"/>
        <v>2</v>
      </c>
      <c r="Z697" s="15">
        <f t="shared" si="67"/>
        <v>2</v>
      </c>
      <c r="AA697" s="15">
        <f t="shared" si="64"/>
        <v>2021</v>
      </c>
      <c r="AB697" s="15">
        <f t="shared" si="65"/>
        <v>2021</v>
      </c>
      <c r="AC697" s="15">
        <f t="shared" si="66"/>
        <v>2021</v>
      </c>
      <c r="AD697" s="18" t="b">
        <f t="shared" si="63"/>
        <v>1</v>
      </c>
    </row>
    <row r="698" spans="1:30" ht="15" hidden="1" customHeight="1" x14ac:dyDescent="0.2">
      <c r="A698" s="7" t="s">
        <v>683</v>
      </c>
      <c r="B698" s="7"/>
      <c r="C698" s="2" t="s">
        <v>648</v>
      </c>
      <c r="D698" s="6" t="s">
        <v>649</v>
      </c>
      <c r="E698" s="32" t="s">
        <v>651</v>
      </c>
      <c r="F698" s="7"/>
      <c r="G698" s="7"/>
      <c r="H698" s="7"/>
      <c r="I698" s="7"/>
      <c r="J698" s="7"/>
      <c r="K698" s="7"/>
      <c r="L698" s="7" t="s">
        <v>663</v>
      </c>
      <c r="M698" s="8">
        <v>44228</v>
      </c>
      <c r="N698" s="8">
        <v>44228</v>
      </c>
      <c r="O698" s="13"/>
      <c r="P698" s="13">
        <v>468217.28</v>
      </c>
      <c r="Q698" s="33"/>
      <c r="X698" s="15" t="str">
        <f>IF(B698="",VLOOKUP(A698,items_lookup!A:B,2,FALSE),B698)</f>
        <v>_1. Item _1</v>
      </c>
      <c r="Y698" s="15">
        <f t="shared" si="67"/>
        <v>2</v>
      </c>
      <c r="Z698" s="15">
        <f t="shared" si="67"/>
        <v>2</v>
      </c>
      <c r="AA698" s="15">
        <f t="shared" si="64"/>
        <v>2021</v>
      </c>
      <c r="AB698" s="15">
        <f t="shared" si="65"/>
        <v>2021</v>
      </c>
      <c r="AC698" s="15">
        <f t="shared" si="66"/>
        <v>2021</v>
      </c>
      <c r="AD698" s="18" t="b">
        <f t="shared" si="63"/>
        <v>1</v>
      </c>
    </row>
    <row r="699" spans="1:30" ht="12.75" hidden="1" customHeight="1" x14ac:dyDescent="0.2">
      <c r="A699" s="7" t="s">
        <v>683</v>
      </c>
      <c r="B699" s="7"/>
      <c r="C699" s="2" t="s">
        <v>648</v>
      </c>
      <c r="D699" s="6" t="s">
        <v>649</v>
      </c>
      <c r="E699" s="32" t="s">
        <v>651</v>
      </c>
      <c r="F699" s="7"/>
      <c r="G699" s="7"/>
      <c r="H699" s="7"/>
      <c r="I699" s="7"/>
      <c r="J699" s="7"/>
      <c r="K699" s="7"/>
      <c r="L699" s="7" t="s">
        <v>663</v>
      </c>
      <c r="M699" s="8">
        <v>44228</v>
      </c>
      <c r="N699" s="8">
        <v>44228</v>
      </c>
      <c r="O699" s="13"/>
      <c r="P699" s="13">
        <v>1767.86</v>
      </c>
      <c r="Q699" s="33"/>
      <c r="R699" s="22"/>
      <c r="S699" s="22"/>
      <c r="T699" s="22"/>
      <c r="U699" s="22"/>
      <c r="X699" s="15" t="str">
        <f>IF(B699="",VLOOKUP(A699,items_lookup!A:B,2,FALSE),B699)</f>
        <v>_1. Item _1</v>
      </c>
      <c r="Y699" s="15">
        <f t="shared" si="67"/>
        <v>2</v>
      </c>
      <c r="Z699" s="15">
        <f t="shared" si="67"/>
        <v>2</v>
      </c>
      <c r="AA699" s="15">
        <f t="shared" si="64"/>
        <v>2021</v>
      </c>
      <c r="AB699" s="15">
        <f t="shared" si="65"/>
        <v>2021</v>
      </c>
      <c r="AC699" s="15">
        <f t="shared" si="66"/>
        <v>2021</v>
      </c>
      <c r="AD699" s="18" t="b">
        <f t="shared" si="63"/>
        <v>1</v>
      </c>
    </row>
    <row r="700" spans="1:30" ht="15.75" hidden="1" customHeight="1" x14ac:dyDescent="0.2">
      <c r="A700" s="7" t="s">
        <v>678</v>
      </c>
      <c r="B700" s="7"/>
      <c r="C700" s="2" t="s">
        <v>648</v>
      </c>
      <c r="D700" s="6" t="s">
        <v>649</v>
      </c>
      <c r="E700" s="32" t="s">
        <v>651</v>
      </c>
      <c r="F700" s="7"/>
      <c r="G700" s="7"/>
      <c r="H700" s="7"/>
      <c r="I700" s="7"/>
      <c r="J700" s="7"/>
      <c r="K700" s="7"/>
      <c r="L700" s="7" t="s">
        <v>663</v>
      </c>
      <c r="M700" s="8">
        <v>44228</v>
      </c>
      <c r="N700" s="8">
        <v>44228</v>
      </c>
      <c r="O700" s="13"/>
      <c r="P700" s="13">
        <v>31242.39</v>
      </c>
      <c r="Q700" s="33"/>
      <c r="R700" s="22"/>
      <c r="S700" s="22"/>
      <c r="T700" s="22"/>
      <c r="U700" s="22"/>
      <c r="X700" s="15" t="str">
        <f>IF(B700="",VLOOKUP(A700,items_lookup!A:B,2,FALSE),B700)</f>
        <v>13. Item 13</v>
      </c>
      <c r="Y700" s="15">
        <f t="shared" si="67"/>
        <v>2</v>
      </c>
      <c r="Z700" s="15">
        <f t="shared" si="67"/>
        <v>2</v>
      </c>
      <c r="AA700" s="15">
        <f t="shared" si="64"/>
        <v>2021</v>
      </c>
      <c r="AB700" s="15">
        <f t="shared" si="65"/>
        <v>2021</v>
      </c>
      <c r="AC700" s="15">
        <f t="shared" si="66"/>
        <v>2021</v>
      </c>
      <c r="AD700" s="18" t="b">
        <f t="shared" si="63"/>
        <v>1</v>
      </c>
    </row>
    <row r="701" spans="1:30" ht="15" hidden="1" customHeight="1" x14ac:dyDescent="0.2">
      <c r="A701" s="7" t="s">
        <v>678</v>
      </c>
      <c r="B701" s="7"/>
      <c r="C701" s="2" t="s">
        <v>648</v>
      </c>
      <c r="D701" s="6" t="s">
        <v>649</v>
      </c>
      <c r="E701" s="32" t="s">
        <v>651</v>
      </c>
      <c r="F701" s="7"/>
      <c r="G701" s="7"/>
      <c r="H701" s="7"/>
      <c r="I701" s="7"/>
      <c r="J701" s="7"/>
      <c r="K701" s="7"/>
      <c r="L701" s="7" t="s">
        <v>663</v>
      </c>
      <c r="M701" s="8">
        <v>44228</v>
      </c>
      <c r="N701" s="8">
        <v>44228</v>
      </c>
      <c r="O701" s="13"/>
      <c r="P701" s="13">
        <v>32290.09</v>
      </c>
      <c r="Q701" s="33"/>
      <c r="R701" s="22"/>
      <c r="S701" s="22"/>
      <c r="T701" s="22"/>
      <c r="U701" s="22"/>
      <c r="X701" s="15" t="str">
        <f>IF(B701="",VLOOKUP(A701,items_lookup!A:B,2,FALSE),B701)</f>
        <v>13. Item 13</v>
      </c>
      <c r="Y701" s="15">
        <f t="shared" si="67"/>
        <v>2</v>
      </c>
      <c r="Z701" s="15">
        <f t="shared" si="67"/>
        <v>2</v>
      </c>
      <c r="AA701" s="15">
        <f t="shared" si="64"/>
        <v>2021</v>
      </c>
      <c r="AB701" s="15">
        <f t="shared" si="65"/>
        <v>2021</v>
      </c>
      <c r="AC701" s="15">
        <f t="shared" si="66"/>
        <v>2021</v>
      </c>
      <c r="AD701" s="18" t="b">
        <f t="shared" si="63"/>
        <v>1</v>
      </c>
    </row>
    <row r="702" spans="1:30" ht="15" hidden="1" customHeight="1" x14ac:dyDescent="0.2">
      <c r="A702" s="7" t="s">
        <v>675</v>
      </c>
      <c r="B702" s="7"/>
      <c r="C702" s="2" t="s">
        <v>648</v>
      </c>
      <c r="D702" s="6" t="s">
        <v>649</v>
      </c>
      <c r="E702" s="32" t="s">
        <v>651</v>
      </c>
      <c r="F702" s="7"/>
      <c r="G702" s="7"/>
      <c r="H702" s="7"/>
      <c r="I702" s="7"/>
      <c r="J702" s="7"/>
      <c r="K702" s="7"/>
      <c r="L702" s="7" t="s">
        <v>663</v>
      </c>
      <c r="M702" s="8">
        <v>44228</v>
      </c>
      <c r="N702" s="8">
        <v>44228</v>
      </c>
      <c r="O702" s="13"/>
      <c r="P702" s="13">
        <v>3257012.61</v>
      </c>
      <c r="Q702" s="33"/>
      <c r="R702" s="22"/>
      <c r="S702" s="22"/>
      <c r="T702" s="22"/>
      <c r="U702" s="22"/>
      <c r="X702" s="15" t="str">
        <f>IF(B702="",VLOOKUP(A702,items_lookup!A:B,2,FALSE),B702)</f>
        <v>09. Item 09</v>
      </c>
      <c r="Y702" s="15">
        <f t="shared" si="67"/>
        <v>2</v>
      </c>
      <c r="Z702" s="15">
        <f t="shared" si="67"/>
        <v>2</v>
      </c>
      <c r="AA702" s="15">
        <f t="shared" si="64"/>
        <v>2021</v>
      </c>
      <c r="AB702" s="15">
        <f t="shared" si="65"/>
        <v>2021</v>
      </c>
      <c r="AC702" s="15">
        <f t="shared" si="66"/>
        <v>2021</v>
      </c>
      <c r="AD702" s="18" t="b">
        <f t="shared" si="63"/>
        <v>1</v>
      </c>
    </row>
    <row r="703" spans="1:30" ht="15" hidden="1" customHeight="1" x14ac:dyDescent="0.2">
      <c r="A703" s="7" t="s">
        <v>683</v>
      </c>
      <c r="B703" s="7"/>
      <c r="C703" s="2" t="s">
        <v>648</v>
      </c>
      <c r="D703" s="6" t="s">
        <v>649</v>
      </c>
      <c r="E703" s="32" t="s">
        <v>651</v>
      </c>
      <c r="F703" s="7"/>
      <c r="G703" s="7"/>
      <c r="H703" s="7"/>
      <c r="I703" s="7"/>
      <c r="J703" s="7"/>
      <c r="K703" s="7"/>
      <c r="L703" s="7" t="s">
        <v>663</v>
      </c>
      <c r="M703" s="8">
        <v>44228</v>
      </c>
      <c r="N703" s="8">
        <v>44228</v>
      </c>
      <c r="O703" s="13"/>
      <c r="P703" s="13">
        <v>656404.68999999994</v>
      </c>
      <c r="Q703" s="33"/>
      <c r="R703" s="22"/>
      <c r="S703" s="22"/>
      <c r="T703" s="22"/>
      <c r="U703" s="22"/>
      <c r="X703" s="15" t="str">
        <f>IF(B703="",VLOOKUP(A703,items_lookup!A:B,2,FALSE),B703)</f>
        <v>_1. Item _1</v>
      </c>
      <c r="Y703" s="15">
        <f t="shared" si="67"/>
        <v>2</v>
      </c>
      <c r="Z703" s="15">
        <f t="shared" si="67"/>
        <v>2</v>
      </c>
      <c r="AA703" s="15">
        <f t="shared" si="64"/>
        <v>2021</v>
      </c>
      <c r="AB703" s="15">
        <f t="shared" si="65"/>
        <v>2021</v>
      </c>
      <c r="AC703" s="15">
        <f t="shared" si="66"/>
        <v>2021</v>
      </c>
      <c r="AD703" s="18" t="b">
        <f t="shared" si="63"/>
        <v>1</v>
      </c>
    </row>
    <row r="704" spans="1:30" ht="17.25" hidden="1" customHeight="1" x14ac:dyDescent="0.2">
      <c r="A704" s="7" t="s">
        <v>703</v>
      </c>
      <c r="B704" s="7"/>
      <c r="C704" s="2" t="s">
        <v>648</v>
      </c>
      <c r="D704" s="6" t="s">
        <v>649</v>
      </c>
      <c r="E704" s="32" t="s">
        <v>651</v>
      </c>
      <c r="F704" s="7"/>
      <c r="G704" s="7"/>
      <c r="H704" s="7"/>
      <c r="I704" s="7"/>
      <c r="J704" s="7"/>
      <c r="K704" s="7"/>
      <c r="L704" s="7" t="s">
        <v>663</v>
      </c>
      <c r="M704" s="8">
        <v>44228</v>
      </c>
      <c r="N704" s="8">
        <v>44228</v>
      </c>
      <c r="O704" s="13"/>
      <c r="P704" s="13">
        <v>25905.5</v>
      </c>
      <c r="Q704" s="33"/>
      <c r="R704" s="22"/>
      <c r="S704" s="22"/>
      <c r="T704" s="22"/>
      <c r="U704" s="22"/>
      <c r="X704" s="15" t="str">
        <f>IF(B704="",VLOOKUP(A704,items_lookup!A:B,2,FALSE),B704)</f>
        <v>_3. Item _3</v>
      </c>
      <c r="Y704" s="15">
        <f t="shared" si="67"/>
        <v>2</v>
      </c>
      <c r="Z704" s="15">
        <f t="shared" si="67"/>
        <v>2</v>
      </c>
      <c r="AA704" s="15">
        <f t="shared" si="64"/>
        <v>2021</v>
      </c>
      <c r="AB704" s="15">
        <f t="shared" si="65"/>
        <v>2021</v>
      </c>
      <c r="AC704" s="15">
        <f t="shared" si="66"/>
        <v>2021</v>
      </c>
      <c r="AD704" s="18" t="b">
        <f t="shared" si="63"/>
        <v>1</v>
      </c>
    </row>
    <row r="705" spans="1:30" ht="15" hidden="1" customHeight="1" x14ac:dyDescent="0.2">
      <c r="A705" s="7" t="s">
        <v>702</v>
      </c>
      <c r="B705" s="7"/>
      <c r="C705" s="2" t="s">
        <v>648</v>
      </c>
      <c r="D705" s="6" t="s">
        <v>649</v>
      </c>
      <c r="E705" s="32" t="s">
        <v>651</v>
      </c>
      <c r="F705" s="7"/>
      <c r="G705" s="7"/>
      <c r="H705" s="7"/>
      <c r="I705" s="7"/>
      <c r="J705" s="7"/>
      <c r="K705" s="7"/>
      <c r="L705" s="7" t="s">
        <v>663</v>
      </c>
      <c r="M705" s="8">
        <v>44228</v>
      </c>
      <c r="N705" s="8">
        <v>44228</v>
      </c>
      <c r="O705" s="13"/>
      <c r="P705" s="13">
        <v>129.29</v>
      </c>
      <c r="Q705" s="33"/>
      <c r="R705" s="22"/>
      <c r="S705" s="22"/>
      <c r="T705" s="22"/>
      <c r="U705" s="22"/>
      <c r="X705" s="15" t="str">
        <f>IF(B705="",VLOOKUP(A705,items_lookup!A:B,2,FALSE),B705)</f>
        <v>17. Item 17</v>
      </c>
      <c r="Y705" s="15">
        <f t="shared" si="67"/>
        <v>2</v>
      </c>
      <c r="Z705" s="15">
        <f t="shared" si="67"/>
        <v>2</v>
      </c>
      <c r="AA705" s="15">
        <f t="shared" si="64"/>
        <v>2021</v>
      </c>
      <c r="AB705" s="15">
        <f t="shared" si="65"/>
        <v>2021</v>
      </c>
      <c r="AC705" s="15">
        <f t="shared" si="66"/>
        <v>2021</v>
      </c>
      <c r="AD705" s="18" t="b">
        <f t="shared" si="63"/>
        <v>1</v>
      </c>
    </row>
    <row r="706" spans="1:30" ht="15" hidden="1" customHeight="1" x14ac:dyDescent="0.2">
      <c r="A706" s="7" t="s">
        <v>672</v>
      </c>
      <c r="B706" s="7"/>
      <c r="C706" s="2" t="s">
        <v>648</v>
      </c>
      <c r="D706" s="6" t="s">
        <v>649</v>
      </c>
      <c r="E706" s="32" t="s">
        <v>651</v>
      </c>
      <c r="F706" s="7"/>
      <c r="G706" s="7"/>
      <c r="H706" s="7"/>
      <c r="I706" s="7"/>
      <c r="J706" s="7"/>
      <c r="K706" s="7"/>
      <c r="L706" s="7" t="s">
        <v>663</v>
      </c>
      <c r="M706" s="8">
        <v>44228</v>
      </c>
      <c r="N706" s="8">
        <v>44228</v>
      </c>
      <c r="O706" s="13"/>
      <c r="P706" s="13">
        <v>904.76</v>
      </c>
      <c r="Q706" s="33"/>
      <c r="R706" s="22"/>
      <c r="S706" s="22"/>
      <c r="T706" s="22"/>
      <c r="U706" s="22"/>
      <c r="X706" s="15" t="str">
        <f>IF(B706="",VLOOKUP(A706,items_lookup!A:B,2,FALSE),B706)</f>
        <v>05. Item 05</v>
      </c>
      <c r="Y706" s="15">
        <f t="shared" si="67"/>
        <v>2</v>
      </c>
      <c r="Z706" s="15">
        <f t="shared" si="67"/>
        <v>2</v>
      </c>
      <c r="AA706" s="15">
        <f t="shared" si="64"/>
        <v>2021</v>
      </c>
      <c r="AB706" s="15">
        <f t="shared" si="65"/>
        <v>2021</v>
      </c>
      <c r="AC706" s="15">
        <f t="shared" si="66"/>
        <v>2021</v>
      </c>
      <c r="AD706" s="18" t="b">
        <f t="shared" si="63"/>
        <v>1</v>
      </c>
    </row>
    <row r="707" spans="1:30" ht="25.5" hidden="1" customHeight="1" x14ac:dyDescent="0.2">
      <c r="A707" s="7" t="s">
        <v>677</v>
      </c>
      <c r="B707" s="7"/>
      <c r="C707" s="2" t="s">
        <v>648</v>
      </c>
      <c r="D707" s="6" t="s">
        <v>649</v>
      </c>
      <c r="E707" s="32" t="s">
        <v>651</v>
      </c>
      <c r="F707" s="7"/>
      <c r="G707" s="7"/>
      <c r="H707" s="7"/>
      <c r="I707" s="7"/>
      <c r="J707" s="7"/>
      <c r="K707" s="7"/>
      <c r="L707" s="7" t="s">
        <v>663</v>
      </c>
      <c r="M707" s="8">
        <v>44228</v>
      </c>
      <c r="N707" s="8">
        <v>44228</v>
      </c>
      <c r="O707" s="13"/>
      <c r="P707" s="13">
        <v>260947.67</v>
      </c>
      <c r="Q707" s="33"/>
      <c r="R707" s="22"/>
      <c r="S707" s="22"/>
      <c r="T707" s="22"/>
      <c r="U707" s="22"/>
      <c r="X707" s="15" t="str">
        <f>IF(B707="",VLOOKUP(A707,items_lookup!A:B,2,FALSE),B707)</f>
        <v>11. Item 11</v>
      </c>
      <c r="Y707" s="15">
        <f t="shared" si="67"/>
        <v>2</v>
      </c>
      <c r="Z707" s="15">
        <f t="shared" si="67"/>
        <v>2</v>
      </c>
      <c r="AA707" s="15">
        <f t="shared" si="64"/>
        <v>2021</v>
      </c>
      <c r="AB707" s="15">
        <f t="shared" si="65"/>
        <v>2021</v>
      </c>
      <c r="AC707" s="15">
        <f t="shared" si="66"/>
        <v>2021</v>
      </c>
      <c r="AD707" s="18" t="b">
        <f t="shared" ref="AD707:AD770" si="68">AND(ROUND(O707,2)=O707,ROUND(P707,2)=P707,OR(AND(O707&lt;&gt;0,L707="p"),AND(P707&lt;&gt;0,L707="f")),_xlfn.ISFORMULA(X707),_xlfn.ISFORMULA(Y707),_xlfn.ISFORMULA(Z707),_xlfn.ISFORMULA(AA707),_xlfn.ISFORMULA(AB707),_xlfn.ISFORMULA(AC707),NOT(_xlfn.ISFORMULA(O707)),NOT(_xlfn.ISFORMULA(P707)),M707&lt;&gt;0,N707&lt;&gt;0)</f>
        <v>1</v>
      </c>
    </row>
    <row r="708" spans="1:30" ht="15" hidden="1" customHeight="1" x14ac:dyDescent="0.2">
      <c r="A708" s="7" t="s">
        <v>680</v>
      </c>
      <c r="B708" s="7"/>
      <c r="C708" s="2" t="s">
        <v>648</v>
      </c>
      <c r="D708" s="6" t="s">
        <v>649</v>
      </c>
      <c r="E708" s="32" t="s">
        <v>651</v>
      </c>
      <c r="F708" s="7"/>
      <c r="G708" s="7"/>
      <c r="H708" s="7"/>
      <c r="I708" s="7"/>
      <c r="J708" s="7"/>
      <c r="K708" s="7"/>
      <c r="L708" s="7" t="s">
        <v>663</v>
      </c>
      <c r="M708" s="8">
        <v>44228</v>
      </c>
      <c r="N708" s="8">
        <v>44228</v>
      </c>
      <c r="O708" s="13"/>
      <c r="P708" s="13">
        <v>1890983.19</v>
      </c>
      <c r="Q708" s="33"/>
      <c r="R708" s="22"/>
      <c r="S708" s="22"/>
      <c r="T708" s="22"/>
      <c r="U708" s="22"/>
      <c r="X708" s="15" t="str">
        <f>IF(B708="",VLOOKUP(A708,items_lookup!A:B,2,FALSE),B708)</f>
        <v>13. Item 13</v>
      </c>
      <c r="Y708" s="15">
        <f t="shared" si="67"/>
        <v>2</v>
      </c>
      <c r="Z708" s="15">
        <f t="shared" si="67"/>
        <v>2</v>
      </c>
      <c r="AA708" s="15">
        <f t="shared" si="64"/>
        <v>2021</v>
      </c>
      <c r="AB708" s="15">
        <f t="shared" si="65"/>
        <v>2021</v>
      </c>
      <c r="AC708" s="15">
        <f t="shared" si="66"/>
        <v>2021</v>
      </c>
      <c r="AD708" s="18" t="b">
        <f t="shared" si="68"/>
        <v>1</v>
      </c>
    </row>
    <row r="709" spans="1:30" ht="15" hidden="1" customHeight="1" x14ac:dyDescent="0.2">
      <c r="A709" s="7" t="s">
        <v>680</v>
      </c>
      <c r="B709" s="7"/>
      <c r="C709" s="2" t="s">
        <v>648</v>
      </c>
      <c r="D709" s="6" t="s">
        <v>649</v>
      </c>
      <c r="E709" s="32" t="s">
        <v>651</v>
      </c>
      <c r="F709" s="7"/>
      <c r="G709" s="7"/>
      <c r="H709" s="7"/>
      <c r="I709" s="7"/>
      <c r="J709" s="7"/>
      <c r="K709" s="7"/>
      <c r="L709" s="7" t="s">
        <v>663</v>
      </c>
      <c r="M709" s="8">
        <v>44228</v>
      </c>
      <c r="N709" s="8">
        <v>44228</v>
      </c>
      <c r="O709" s="13"/>
      <c r="P709" s="13">
        <v>1722606.52</v>
      </c>
      <c r="Q709" s="33"/>
      <c r="R709" s="22"/>
      <c r="S709" s="22"/>
      <c r="T709" s="22"/>
      <c r="U709" s="22"/>
      <c r="X709" s="15" t="str">
        <f>IF(B709="",VLOOKUP(A709,items_lookup!A:B,2,FALSE),B709)</f>
        <v>13. Item 13</v>
      </c>
      <c r="Y709" s="15">
        <f t="shared" si="67"/>
        <v>2</v>
      </c>
      <c r="Z709" s="15">
        <f t="shared" si="67"/>
        <v>2</v>
      </c>
      <c r="AA709" s="15">
        <f t="shared" si="64"/>
        <v>2021</v>
      </c>
      <c r="AB709" s="15">
        <f t="shared" si="65"/>
        <v>2021</v>
      </c>
      <c r="AC709" s="15">
        <f t="shared" si="66"/>
        <v>2021</v>
      </c>
      <c r="AD709" s="18" t="b">
        <f t="shared" si="68"/>
        <v>1</v>
      </c>
    </row>
    <row r="710" spans="1:30" ht="15" hidden="1" customHeight="1" x14ac:dyDescent="0.2">
      <c r="A710" s="7" t="s">
        <v>682</v>
      </c>
      <c r="B710" s="7"/>
      <c r="C710" s="2" t="s">
        <v>648</v>
      </c>
      <c r="D710" s="6" t="s">
        <v>649</v>
      </c>
      <c r="E710" s="32" t="s">
        <v>651</v>
      </c>
      <c r="F710" s="7"/>
      <c r="G710" s="7"/>
      <c r="H710" s="7"/>
      <c r="I710" s="7"/>
      <c r="J710" s="7"/>
      <c r="K710" s="7"/>
      <c r="L710" s="7" t="s">
        <v>663</v>
      </c>
      <c r="M710" s="8">
        <v>44228</v>
      </c>
      <c r="N710" s="8">
        <v>44228</v>
      </c>
      <c r="O710" s="13"/>
      <c r="P710" s="13">
        <v>66657.58</v>
      </c>
      <c r="Q710" s="33"/>
      <c r="R710" s="22"/>
      <c r="S710" s="22"/>
      <c r="T710" s="22"/>
      <c r="U710" s="22"/>
      <c r="X710" s="15" t="str">
        <f>IF(B710="",VLOOKUP(A710,items_lookup!A:B,2,FALSE),B710)</f>
        <v>06. Item 06</v>
      </c>
      <c r="Y710" s="15">
        <f t="shared" si="67"/>
        <v>2</v>
      </c>
      <c r="Z710" s="15">
        <f t="shared" si="67"/>
        <v>2</v>
      </c>
      <c r="AA710" s="15">
        <f t="shared" si="64"/>
        <v>2021</v>
      </c>
      <c r="AB710" s="15">
        <f t="shared" si="65"/>
        <v>2021</v>
      </c>
      <c r="AC710" s="15">
        <f t="shared" si="66"/>
        <v>2021</v>
      </c>
      <c r="AD710" s="18" t="b">
        <f t="shared" si="68"/>
        <v>1</v>
      </c>
    </row>
    <row r="711" spans="1:30" ht="15" hidden="1" customHeight="1" x14ac:dyDescent="0.2">
      <c r="A711" s="7" t="s">
        <v>683</v>
      </c>
      <c r="B711" s="7"/>
      <c r="C711" s="2" t="s">
        <v>641</v>
      </c>
      <c r="D711" s="6" t="s">
        <v>649</v>
      </c>
      <c r="E711" s="32" t="s">
        <v>651</v>
      </c>
      <c r="F711" s="7"/>
      <c r="G711" s="7"/>
      <c r="H711" s="7" t="s">
        <v>653</v>
      </c>
      <c r="I711" s="7"/>
      <c r="J711" s="7"/>
      <c r="K711" s="7"/>
      <c r="L711" s="7" t="s">
        <v>662</v>
      </c>
      <c r="M711" s="8">
        <v>44166</v>
      </c>
      <c r="N711" s="8">
        <v>44166</v>
      </c>
      <c r="O711" s="13">
        <v>-552256.52</v>
      </c>
      <c r="P711" s="13"/>
      <c r="Q711" s="33"/>
      <c r="R711" s="9"/>
      <c r="S711" s="9"/>
      <c r="T711" s="9"/>
      <c r="U711" s="9"/>
      <c r="X711" s="15" t="str">
        <f>IF(B711="",VLOOKUP(A711,items_lookup!A:B,2,FALSE),B711)</f>
        <v>_1. Item _1</v>
      </c>
      <c r="Y711" s="15">
        <f t="shared" si="67"/>
        <v>12</v>
      </c>
      <c r="Z711" s="15">
        <f t="shared" si="67"/>
        <v>12</v>
      </c>
      <c r="AA711" s="15">
        <f t="shared" si="64"/>
        <v>2020</v>
      </c>
      <c r="AB711" s="15">
        <f t="shared" si="65"/>
        <v>2020</v>
      </c>
      <c r="AC711" s="15">
        <f t="shared" si="66"/>
        <v>2020</v>
      </c>
      <c r="AD711" s="18" t="b">
        <f t="shared" si="68"/>
        <v>1</v>
      </c>
    </row>
    <row r="712" spans="1:30" ht="33" hidden="1" customHeight="1" x14ac:dyDescent="0.2">
      <c r="A712" s="7" t="s">
        <v>699</v>
      </c>
      <c r="B712" s="7"/>
      <c r="C712" s="2" t="s">
        <v>648</v>
      </c>
      <c r="D712" s="6" t="s">
        <v>649</v>
      </c>
      <c r="E712" s="32" t="s">
        <v>651</v>
      </c>
      <c r="F712" s="7"/>
      <c r="G712" s="7"/>
      <c r="H712" s="7"/>
      <c r="I712" s="7"/>
      <c r="J712" s="7"/>
      <c r="K712" s="7"/>
      <c r="L712" s="7" t="s">
        <v>663</v>
      </c>
      <c r="M712" s="8">
        <v>44227</v>
      </c>
      <c r="N712" s="8">
        <v>44227</v>
      </c>
      <c r="O712" s="13"/>
      <c r="P712" s="13">
        <v>38341085.350000001</v>
      </c>
      <c r="Q712" s="33"/>
      <c r="R712" s="22"/>
      <c r="S712" s="22"/>
      <c r="T712" s="22"/>
      <c r="U712" s="22"/>
      <c r="X712" s="15" t="str">
        <f>IF(B712="",VLOOKUP(A712,items_lookup!A:B,2,FALSE),B712)</f>
        <v>12. Item 12</v>
      </c>
      <c r="Y712" s="15">
        <f t="shared" si="67"/>
        <v>1</v>
      </c>
      <c r="Z712" s="15">
        <f t="shared" si="67"/>
        <v>1</v>
      </c>
      <c r="AA712" s="15">
        <f t="shared" si="64"/>
        <v>2021</v>
      </c>
      <c r="AB712" s="15">
        <f t="shared" si="65"/>
        <v>2021</v>
      </c>
      <c r="AC712" s="15">
        <f t="shared" si="66"/>
        <v>2021</v>
      </c>
      <c r="AD712" s="18" t="b">
        <f t="shared" si="68"/>
        <v>1</v>
      </c>
    </row>
    <row r="713" spans="1:30" ht="15" hidden="1" customHeight="1" x14ac:dyDescent="0.2">
      <c r="A713" s="7" t="s">
        <v>690</v>
      </c>
      <c r="B713" s="7"/>
      <c r="C713" s="2" t="s">
        <v>641</v>
      </c>
      <c r="D713" s="6" t="s">
        <v>649</v>
      </c>
      <c r="E713" s="32" t="s">
        <v>651</v>
      </c>
      <c r="F713" s="7"/>
      <c r="G713" s="7"/>
      <c r="H713" s="7"/>
      <c r="I713" s="7"/>
      <c r="J713" s="7"/>
      <c r="K713" s="7" t="s">
        <v>660</v>
      </c>
      <c r="L713" s="7" t="s">
        <v>663</v>
      </c>
      <c r="M713" s="8">
        <v>44244</v>
      </c>
      <c r="N713" s="8">
        <v>44244</v>
      </c>
      <c r="O713" s="13"/>
      <c r="P713" s="13">
        <v>13374.26</v>
      </c>
      <c r="Q713" s="33"/>
      <c r="R713" s="22"/>
      <c r="S713" s="22"/>
      <c r="T713" s="22"/>
      <c r="U713" s="22"/>
      <c r="X713" s="15" t="str">
        <f>IF(B713="",VLOOKUP(A713,items_lookup!A:B,2,FALSE),B713)</f>
        <v>21. Item 21</v>
      </c>
      <c r="Y713" s="15">
        <f t="shared" si="67"/>
        <v>2</v>
      </c>
      <c r="Z713" s="15">
        <f t="shared" si="67"/>
        <v>2</v>
      </c>
      <c r="AA713" s="15">
        <f t="shared" si="64"/>
        <v>2021</v>
      </c>
      <c r="AB713" s="15">
        <f t="shared" si="65"/>
        <v>2021</v>
      </c>
      <c r="AC713" s="15">
        <f t="shared" si="66"/>
        <v>2021</v>
      </c>
      <c r="AD713" s="18" t="b">
        <f t="shared" si="68"/>
        <v>1</v>
      </c>
    </row>
    <row r="714" spans="1:30" ht="15" hidden="1" customHeight="1" x14ac:dyDescent="0.2">
      <c r="A714" s="7" t="s">
        <v>671</v>
      </c>
      <c r="B714" s="7"/>
      <c r="C714" s="2" t="s">
        <v>641</v>
      </c>
      <c r="D714" s="6" t="s">
        <v>650</v>
      </c>
      <c r="E714" s="32" t="s">
        <v>651</v>
      </c>
      <c r="F714" s="7"/>
      <c r="G714" s="7"/>
      <c r="H714" s="7"/>
      <c r="I714" s="7"/>
      <c r="J714" s="7"/>
      <c r="K714" s="7"/>
      <c r="L714" s="7" t="s">
        <v>662</v>
      </c>
      <c r="M714" s="8">
        <v>44166</v>
      </c>
      <c r="N714" s="8">
        <v>44166</v>
      </c>
      <c r="O714" s="13">
        <v>71904.759999999995</v>
      </c>
      <c r="P714" s="13"/>
      <c r="Q714" s="33"/>
      <c r="R714" s="22"/>
      <c r="S714" s="22"/>
      <c r="T714" s="22"/>
      <c r="U714" s="22"/>
      <c r="X714" s="15" t="str">
        <f>IF(B714="",VLOOKUP(A714,items_lookup!A:B,2,FALSE),B714)</f>
        <v>05. Item 05</v>
      </c>
      <c r="Y714" s="15">
        <f t="shared" si="67"/>
        <v>12</v>
      </c>
      <c r="Z714" s="15">
        <f t="shared" si="67"/>
        <v>12</v>
      </c>
      <c r="AA714" s="15">
        <f t="shared" si="64"/>
        <v>2020</v>
      </c>
      <c r="AB714" s="15">
        <f t="shared" si="65"/>
        <v>2020</v>
      </c>
      <c r="AC714" s="15">
        <f t="shared" si="66"/>
        <v>2020</v>
      </c>
      <c r="AD714" s="18" t="b">
        <f t="shared" si="68"/>
        <v>1</v>
      </c>
    </row>
    <row r="715" spans="1:30" ht="15" hidden="1" customHeight="1" x14ac:dyDescent="0.2">
      <c r="A715" s="7" t="s">
        <v>689</v>
      </c>
      <c r="B715" s="7"/>
      <c r="C715" s="2" t="s">
        <v>641</v>
      </c>
      <c r="D715" s="6" t="s">
        <v>650</v>
      </c>
      <c r="E715" s="32" t="s">
        <v>651</v>
      </c>
      <c r="F715" s="7"/>
      <c r="G715" s="7"/>
      <c r="H715" s="7"/>
      <c r="I715" s="7"/>
      <c r="J715" s="7"/>
      <c r="K715" s="7"/>
      <c r="L715" s="7" t="s">
        <v>662</v>
      </c>
      <c r="M715" s="8">
        <v>44166</v>
      </c>
      <c r="N715" s="8">
        <v>44166</v>
      </c>
      <c r="O715" s="13">
        <v>71904.759999999995</v>
      </c>
      <c r="P715" s="13"/>
      <c r="Q715" s="33"/>
      <c r="R715" s="22"/>
      <c r="S715" s="22"/>
      <c r="T715" s="22"/>
      <c r="U715" s="22"/>
      <c r="X715" s="15" t="str">
        <f>IF(B715="",VLOOKUP(A715,items_lookup!A:B,2,FALSE),B715)</f>
        <v>04. Item 04</v>
      </c>
      <c r="Y715" s="15">
        <f t="shared" si="67"/>
        <v>12</v>
      </c>
      <c r="Z715" s="15">
        <f t="shared" si="67"/>
        <v>12</v>
      </c>
      <c r="AA715" s="15">
        <f t="shared" si="64"/>
        <v>2020</v>
      </c>
      <c r="AB715" s="15">
        <f t="shared" si="65"/>
        <v>2020</v>
      </c>
      <c r="AC715" s="15">
        <f t="shared" si="66"/>
        <v>2020</v>
      </c>
      <c r="AD715" s="18" t="b">
        <f t="shared" si="68"/>
        <v>1</v>
      </c>
    </row>
    <row r="716" spans="1:30" ht="12.6" hidden="1" customHeight="1" x14ac:dyDescent="0.2">
      <c r="A716" s="7" t="s">
        <v>702</v>
      </c>
      <c r="B716" s="20"/>
      <c r="C716" s="2" t="s">
        <v>641</v>
      </c>
      <c r="D716" s="6" t="s">
        <v>649</v>
      </c>
      <c r="E716" s="32" t="s">
        <v>651</v>
      </c>
      <c r="F716" s="7"/>
      <c r="G716" s="7"/>
      <c r="H716" s="7"/>
      <c r="I716" s="7"/>
      <c r="J716" s="7"/>
      <c r="K716" s="7"/>
      <c r="L716" s="7" t="s">
        <v>662</v>
      </c>
      <c r="M716" s="8">
        <v>43891</v>
      </c>
      <c r="N716" s="8">
        <v>43891</v>
      </c>
      <c r="O716" s="13">
        <v>5220.9799999999996</v>
      </c>
      <c r="P716" s="13"/>
      <c r="Q716" s="33"/>
      <c r="R716" s="9"/>
      <c r="S716" s="9"/>
      <c r="T716" s="9"/>
      <c r="U716" s="9"/>
      <c r="X716" s="15" t="str">
        <f>IF(B716="",VLOOKUP(A716,items_lookup!A:B,2,FALSE),B716)</f>
        <v>17. Item 17</v>
      </c>
      <c r="Y716" s="15">
        <f t="shared" si="67"/>
        <v>3</v>
      </c>
      <c r="Z716" s="15">
        <f t="shared" si="67"/>
        <v>3</v>
      </c>
      <c r="AA716" s="15">
        <f t="shared" si="64"/>
        <v>2020</v>
      </c>
      <c r="AB716" s="15">
        <f t="shared" si="65"/>
        <v>2020</v>
      </c>
      <c r="AC716" s="15">
        <f t="shared" si="66"/>
        <v>2020</v>
      </c>
      <c r="AD716" s="18" t="b">
        <f t="shared" si="68"/>
        <v>1</v>
      </c>
    </row>
    <row r="717" spans="1:30" ht="15" hidden="1" customHeight="1" x14ac:dyDescent="0.2">
      <c r="A717" s="7" t="s">
        <v>671</v>
      </c>
      <c r="B717" s="7"/>
      <c r="C717" s="2" t="s">
        <v>641</v>
      </c>
      <c r="D717" s="6" t="s">
        <v>649</v>
      </c>
      <c r="E717" s="32" t="s">
        <v>651</v>
      </c>
      <c r="F717" s="7"/>
      <c r="G717" s="7"/>
      <c r="H717" s="7"/>
      <c r="I717" s="7"/>
      <c r="J717" s="7"/>
      <c r="K717" s="7"/>
      <c r="L717" s="7" t="s">
        <v>662</v>
      </c>
      <c r="M717" s="8">
        <v>43862</v>
      </c>
      <c r="N717" s="8">
        <v>43862</v>
      </c>
      <c r="O717" s="13">
        <v>360834.73</v>
      </c>
      <c r="P717" s="13"/>
      <c r="Q717" s="33"/>
      <c r="R717" s="9"/>
      <c r="S717" s="9"/>
      <c r="T717" s="9"/>
      <c r="U717" s="9"/>
      <c r="X717" s="15" t="str">
        <f>IF(B717="",VLOOKUP(A717,items_lookup!A:B,2,FALSE),B717)</f>
        <v>05. Item 05</v>
      </c>
      <c r="Y717" s="15">
        <f t="shared" si="67"/>
        <v>2</v>
      </c>
      <c r="Z717" s="15">
        <f t="shared" si="67"/>
        <v>2</v>
      </c>
      <c r="AA717" s="15">
        <f t="shared" si="64"/>
        <v>2020</v>
      </c>
      <c r="AB717" s="15">
        <f t="shared" si="65"/>
        <v>2020</v>
      </c>
      <c r="AC717" s="15">
        <f t="shared" si="66"/>
        <v>2020</v>
      </c>
      <c r="AD717" s="18" t="b">
        <f t="shared" si="68"/>
        <v>1</v>
      </c>
    </row>
    <row r="718" spans="1:30" ht="15" hidden="1" customHeight="1" x14ac:dyDescent="0.2">
      <c r="A718" s="7" t="s">
        <v>673</v>
      </c>
      <c r="B718" s="7" t="s">
        <v>708</v>
      </c>
      <c r="C718" s="2" t="s">
        <v>641</v>
      </c>
      <c r="D718" s="6" t="s">
        <v>649</v>
      </c>
      <c r="E718" s="32" t="s">
        <v>651</v>
      </c>
      <c r="F718" s="7"/>
      <c r="G718" s="7"/>
      <c r="H718" s="7" t="s">
        <v>653</v>
      </c>
      <c r="I718" s="7"/>
      <c r="J718" s="7"/>
      <c r="K718" s="7"/>
      <c r="L718" s="7" t="s">
        <v>662</v>
      </c>
      <c r="M718" s="8">
        <v>44196</v>
      </c>
      <c r="N718" s="8">
        <v>44196</v>
      </c>
      <c r="O718" s="13">
        <v>-738804.47</v>
      </c>
      <c r="P718" s="13"/>
      <c r="Q718" s="33"/>
      <c r="R718" s="9"/>
      <c r="S718" s="9"/>
      <c r="T718" s="9"/>
      <c r="U718" s="9"/>
      <c r="X718" s="15" t="str">
        <f>IF(B718="",VLOOKUP(A718,items_lookup!A:B,2,FALSE),B718)</f>
        <v>03. Item 03</v>
      </c>
      <c r="Y718" s="15">
        <f t="shared" si="67"/>
        <v>12</v>
      </c>
      <c r="Z718" s="15">
        <f t="shared" si="67"/>
        <v>12</v>
      </c>
      <c r="AA718" s="15">
        <f t="shared" si="64"/>
        <v>2020</v>
      </c>
      <c r="AB718" s="15">
        <f t="shared" si="65"/>
        <v>2020</v>
      </c>
      <c r="AC718" s="15">
        <f t="shared" si="66"/>
        <v>2020</v>
      </c>
      <c r="AD718" s="18" t="b">
        <f t="shared" si="68"/>
        <v>1</v>
      </c>
    </row>
    <row r="719" spans="1:30" ht="12.6" hidden="1" customHeight="1" x14ac:dyDescent="0.2">
      <c r="A719" s="7" t="s">
        <v>670</v>
      </c>
      <c r="B719" s="7" t="s">
        <v>709</v>
      </c>
      <c r="C719" s="2" t="s">
        <v>641</v>
      </c>
      <c r="D719" s="6" t="s">
        <v>649</v>
      </c>
      <c r="E719" s="32" t="s">
        <v>651</v>
      </c>
      <c r="F719" s="7"/>
      <c r="G719" s="7"/>
      <c r="H719" s="7"/>
      <c r="I719" s="7"/>
      <c r="J719" s="7"/>
      <c r="K719" s="7"/>
      <c r="L719" s="7" t="s">
        <v>662</v>
      </c>
      <c r="M719" s="8">
        <v>44166</v>
      </c>
      <c r="N719" s="8">
        <v>44166</v>
      </c>
      <c r="O719" s="13">
        <v>-7327283.2300000004</v>
      </c>
      <c r="P719" s="13"/>
      <c r="Q719" s="33"/>
      <c r="R719" s="9"/>
      <c r="S719" s="9"/>
      <c r="T719" s="9"/>
      <c r="U719" s="9"/>
      <c r="X719" s="15" t="str">
        <f>IF(B719="",VLOOKUP(A719,items_lookup!A:B,2,FALSE),B719)</f>
        <v>04. Item 04</v>
      </c>
      <c r="Y719" s="15">
        <f t="shared" si="67"/>
        <v>12</v>
      </c>
      <c r="Z719" s="15">
        <f t="shared" si="67"/>
        <v>12</v>
      </c>
      <c r="AA719" s="15">
        <f t="shared" si="64"/>
        <v>2020</v>
      </c>
      <c r="AB719" s="15">
        <f t="shared" si="65"/>
        <v>2020</v>
      </c>
      <c r="AC719" s="15">
        <f t="shared" si="66"/>
        <v>2020</v>
      </c>
      <c r="AD719" s="18" t="b">
        <f t="shared" si="68"/>
        <v>1</v>
      </c>
    </row>
    <row r="720" spans="1:30" ht="15" hidden="1" customHeight="1" x14ac:dyDescent="0.2">
      <c r="A720" s="7" t="s">
        <v>689</v>
      </c>
      <c r="B720" s="7" t="s">
        <v>712</v>
      </c>
      <c r="C720" s="2" t="s">
        <v>641</v>
      </c>
      <c r="D720" s="6" t="s">
        <v>649</v>
      </c>
      <c r="E720" s="32" t="s">
        <v>651</v>
      </c>
      <c r="F720" s="7"/>
      <c r="G720" s="7"/>
      <c r="H720" s="7"/>
      <c r="I720" s="7"/>
      <c r="J720" s="7"/>
      <c r="K720" s="7"/>
      <c r="L720" s="7" t="s">
        <v>662</v>
      </c>
      <c r="M720" s="8">
        <v>44166</v>
      </c>
      <c r="N720" s="8">
        <v>44166</v>
      </c>
      <c r="O720" s="13">
        <v>-1839.99</v>
      </c>
      <c r="P720" s="13"/>
      <c r="Q720" s="33"/>
      <c r="R720" s="22"/>
      <c r="S720" s="22"/>
      <c r="T720" s="22"/>
      <c r="U720" s="22"/>
      <c r="X720" s="15" t="str">
        <f>IF(B720="",VLOOKUP(A720,items_lookup!A:B,2,FALSE),B720)</f>
        <v>10. Item 10</v>
      </c>
      <c r="Y720" s="15">
        <f t="shared" si="67"/>
        <v>12</v>
      </c>
      <c r="Z720" s="15">
        <f t="shared" si="67"/>
        <v>12</v>
      </c>
      <c r="AA720" s="15">
        <f t="shared" si="64"/>
        <v>2020</v>
      </c>
      <c r="AB720" s="15">
        <f t="shared" si="65"/>
        <v>2020</v>
      </c>
      <c r="AC720" s="15">
        <f t="shared" si="66"/>
        <v>2020</v>
      </c>
      <c r="AD720" s="18" t="b">
        <f t="shared" si="68"/>
        <v>1</v>
      </c>
    </row>
    <row r="721" spans="1:30" ht="15" hidden="1" customHeight="1" x14ac:dyDescent="0.2">
      <c r="A721" s="7" t="s">
        <v>678</v>
      </c>
      <c r="B721" s="20"/>
      <c r="C721" s="2" t="s">
        <v>641</v>
      </c>
      <c r="D721" s="6" t="s">
        <v>649</v>
      </c>
      <c r="E721" s="32" t="s">
        <v>651</v>
      </c>
      <c r="F721" s="7"/>
      <c r="G721" s="7"/>
      <c r="H721" s="7"/>
      <c r="I721" s="7"/>
      <c r="J721" s="7"/>
      <c r="K721" s="7"/>
      <c r="L721" s="7" t="s">
        <v>662</v>
      </c>
      <c r="M721" s="8">
        <v>44166</v>
      </c>
      <c r="N721" s="8">
        <v>44166</v>
      </c>
      <c r="O721" s="13">
        <v>-32106.45</v>
      </c>
      <c r="P721" s="13"/>
      <c r="Q721" s="33"/>
      <c r="R721" s="22"/>
      <c r="S721" s="22"/>
      <c r="T721" s="22"/>
      <c r="U721" s="22"/>
      <c r="X721" s="15" t="str">
        <f>IF(B721="",VLOOKUP(A721,items_lookup!A:B,2,FALSE),B721)</f>
        <v>13. Item 13</v>
      </c>
      <c r="Y721" s="15">
        <f t="shared" si="67"/>
        <v>12</v>
      </c>
      <c r="Z721" s="15">
        <f t="shared" si="67"/>
        <v>12</v>
      </c>
      <c r="AA721" s="15">
        <f t="shared" si="64"/>
        <v>2020</v>
      </c>
      <c r="AB721" s="15">
        <f t="shared" si="65"/>
        <v>2020</v>
      </c>
      <c r="AC721" s="15">
        <f t="shared" si="66"/>
        <v>2020</v>
      </c>
      <c r="AD721" s="18" t="b">
        <f t="shared" si="68"/>
        <v>1</v>
      </c>
    </row>
    <row r="722" spans="1:30" ht="15.75" hidden="1" customHeight="1" x14ac:dyDescent="0.2">
      <c r="A722" s="7" t="s">
        <v>696</v>
      </c>
      <c r="B722" s="7" t="s">
        <v>711</v>
      </c>
      <c r="C722" s="2" t="s">
        <v>641</v>
      </c>
      <c r="D722" s="6" t="s">
        <v>649</v>
      </c>
      <c r="E722" s="32" t="s">
        <v>651</v>
      </c>
      <c r="F722" s="7"/>
      <c r="G722" s="7"/>
      <c r="H722" s="7"/>
      <c r="I722" s="7"/>
      <c r="J722" s="7"/>
      <c r="K722" s="7"/>
      <c r="L722" s="7" t="s">
        <v>662</v>
      </c>
      <c r="M722" s="8">
        <v>44166</v>
      </c>
      <c r="N722" s="8">
        <v>44166</v>
      </c>
      <c r="O722" s="13">
        <v>-5086.5200000000004</v>
      </c>
      <c r="P722" s="13"/>
      <c r="Q722" s="33"/>
      <c r="R722" s="22"/>
      <c r="S722" s="22"/>
      <c r="T722" s="22"/>
      <c r="U722" s="22"/>
      <c r="X722" s="15" t="str">
        <f>IF(B722="",VLOOKUP(A722,items_lookup!A:B,2,FALSE),B722)</f>
        <v>12. Item 12</v>
      </c>
      <c r="Y722" s="15">
        <f t="shared" si="67"/>
        <v>12</v>
      </c>
      <c r="Z722" s="15">
        <f t="shared" si="67"/>
        <v>12</v>
      </c>
      <c r="AA722" s="15">
        <f t="shared" si="64"/>
        <v>2020</v>
      </c>
      <c r="AB722" s="15">
        <f t="shared" si="65"/>
        <v>2020</v>
      </c>
      <c r="AC722" s="15">
        <f t="shared" si="66"/>
        <v>2020</v>
      </c>
      <c r="AD722" s="18" t="b">
        <f t="shared" si="68"/>
        <v>1</v>
      </c>
    </row>
    <row r="723" spans="1:30" ht="15" hidden="1" customHeight="1" x14ac:dyDescent="0.2">
      <c r="A723" s="7" t="s">
        <v>696</v>
      </c>
      <c r="B723" s="7" t="s">
        <v>710</v>
      </c>
      <c r="C723" s="2" t="s">
        <v>641</v>
      </c>
      <c r="D723" s="6" t="s">
        <v>649</v>
      </c>
      <c r="E723" s="32" t="s">
        <v>651</v>
      </c>
      <c r="F723" s="7"/>
      <c r="G723" s="7"/>
      <c r="H723" s="7"/>
      <c r="I723" s="7"/>
      <c r="J723" s="7"/>
      <c r="K723" s="7"/>
      <c r="L723" s="7" t="s">
        <v>662</v>
      </c>
      <c r="M723" s="8">
        <v>44166</v>
      </c>
      <c r="N723" s="8">
        <v>44166</v>
      </c>
      <c r="O723" s="13">
        <v>-1334903.44</v>
      </c>
      <c r="P723" s="13"/>
      <c r="Q723" s="33"/>
      <c r="R723" s="22"/>
      <c r="S723" s="22"/>
      <c r="T723" s="22"/>
      <c r="U723" s="22"/>
      <c r="X723" s="15" t="str">
        <f>IF(B723="",VLOOKUP(A723,items_lookup!A:B,2,FALSE),B723)</f>
        <v>13. Item 13</v>
      </c>
      <c r="Y723" s="15">
        <f t="shared" si="67"/>
        <v>12</v>
      </c>
      <c r="Z723" s="15">
        <f t="shared" si="67"/>
        <v>12</v>
      </c>
      <c r="AA723" s="15">
        <f t="shared" si="64"/>
        <v>2020</v>
      </c>
      <c r="AB723" s="15">
        <f t="shared" si="65"/>
        <v>2020</v>
      </c>
      <c r="AC723" s="15">
        <f t="shared" si="66"/>
        <v>2020</v>
      </c>
      <c r="AD723" s="18" t="b">
        <f t="shared" si="68"/>
        <v>1</v>
      </c>
    </row>
    <row r="724" spans="1:30" ht="15" hidden="1" customHeight="1" x14ac:dyDescent="0.2">
      <c r="A724" s="7" t="s">
        <v>676</v>
      </c>
      <c r="B724" s="7"/>
      <c r="C724" s="2" t="s">
        <v>641</v>
      </c>
      <c r="D724" s="6" t="s">
        <v>649</v>
      </c>
      <c r="E724" s="32" t="s">
        <v>651</v>
      </c>
      <c r="F724" s="7"/>
      <c r="G724" s="7"/>
      <c r="H724" s="7"/>
      <c r="I724" s="7"/>
      <c r="J724" s="7"/>
      <c r="K724" s="7"/>
      <c r="L724" s="7" t="s">
        <v>662</v>
      </c>
      <c r="M724" s="8">
        <v>44166</v>
      </c>
      <c r="N724" s="8">
        <v>44166</v>
      </c>
      <c r="O724" s="13">
        <v>-26732.74</v>
      </c>
      <c r="P724" s="13"/>
      <c r="Q724" s="33"/>
      <c r="R724" s="22"/>
      <c r="S724" s="22"/>
      <c r="T724" s="22"/>
      <c r="U724" s="22"/>
      <c r="X724" s="15" t="str">
        <f>IF(B724="",VLOOKUP(A724,items_lookup!A:B,2,FALSE),B724)</f>
        <v>09. Item 09</v>
      </c>
      <c r="Y724" s="15">
        <f t="shared" si="67"/>
        <v>12</v>
      </c>
      <c r="Z724" s="15">
        <f t="shared" si="67"/>
        <v>12</v>
      </c>
      <c r="AA724" s="15">
        <f t="shared" si="64"/>
        <v>2020</v>
      </c>
      <c r="AB724" s="15">
        <f t="shared" si="65"/>
        <v>2020</v>
      </c>
      <c r="AC724" s="15">
        <f t="shared" si="66"/>
        <v>2020</v>
      </c>
      <c r="AD724" s="18" t="b">
        <f t="shared" si="68"/>
        <v>1</v>
      </c>
    </row>
    <row r="725" spans="1:30" ht="15" hidden="1" customHeight="1" x14ac:dyDescent="0.2">
      <c r="A725" s="7" t="s">
        <v>688</v>
      </c>
      <c r="B725" s="7"/>
      <c r="C725" s="2" t="s">
        <v>641</v>
      </c>
      <c r="D725" s="6" t="s">
        <v>649</v>
      </c>
      <c r="E725" s="32" t="s">
        <v>651</v>
      </c>
      <c r="F725" s="7"/>
      <c r="G725" s="7"/>
      <c r="H725" s="7" t="s">
        <v>653</v>
      </c>
      <c r="I725" s="7"/>
      <c r="J725" s="7"/>
      <c r="K725" s="7"/>
      <c r="L725" s="7" t="s">
        <v>662</v>
      </c>
      <c r="M725" s="8">
        <v>44196</v>
      </c>
      <c r="N725" s="8">
        <v>44196</v>
      </c>
      <c r="O725" s="13">
        <v>-14885.73</v>
      </c>
      <c r="P725" s="13"/>
      <c r="Q725" s="33"/>
      <c r="R725" s="9"/>
      <c r="S725" s="9"/>
      <c r="T725" s="9"/>
      <c r="U725" s="9"/>
      <c r="X725" s="15" t="str">
        <f>IF(B725="",VLOOKUP(A725,items_lookup!A:B,2,FALSE),B725)</f>
        <v>09. Item 09</v>
      </c>
      <c r="Y725" s="15">
        <f t="shared" si="67"/>
        <v>12</v>
      </c>
      <c r="Z725" s="15">
        <f t="shared" si="67"/>
        <v>12</v>
      </c>
      <c r="AA725" s="15">
        <f t="shared" si="64"/>
        <v>2020</v>
      </c>
      <c r="AB725" s="15">
        <f t="shared" si="65"/>
        <v>2020</v>
      </c>
      <c r="AC725" s="15">
        <f t="shared" si="66"/>
        <v>2020</v>
      </c>
      <c r="AD725" s="18" t="b">
        <f t="shared" si="68"/>
        <v>1</v>
      </c>
    </row>
    <row r="726" spans="1:30" ht="15" hidden="1" customHeight="1" x14ac:dyDescent="0.2">
      <c r="A726" s="7" t="s">
        <v>688</v>
      </c>
      <c r="B726" s="7"/>
      <c r="C726" s="2" t="s">
        <v>641</v>
      </c>
      <c r="D726" s="6" t="s">
        <v>649</v>
      </c>
      <c r="E726" s="32" t="s">
        <v>651</v>
      </c>
      <c r="F726" s="7"/>
      <c r="G726" s="7"/>
      <c r="H726" s="7" t="s">
        <v>653</v>
      </c>
      <c r="I726" s="7"/>
      <c r="J726" s="7"/>
      <c r="K726" s="7"/>
      <c r="L726" s="7" t="s">
        <v>662</v>
      </c>
      <c r="M726" s="8">
        <v>44196</v>
      </c>
      <c r="N726" s="8">
        <v>44196</v>
      </c>
      <c r="O726" s="13">
        <v>-9161.3700000000008</v>
      </c>
      <c r="P726" s="13"/>
      <c r="Q726" s="33"/>
      <c r="R726" s="9"/>
      <c r="S726" s="9"/>
      <c r="T726" s="9"/>
      <c r="U726" s="9"/>
      <c r="X726" s="15" t="str">
        <f>IF(B726="",VLOOKUP(A726,items_lookup!A:B,2,FALSE),B726)</f>
        <v>09. Item 09</v>
      </c>
      <c r="Y726" s="15">
        <f t="shared" si="67"/>
        <v>12</v>
      </c>
      <c r="Z726" s="15">
        <f t="shared" si="67"/>
        <v>12</v>
      </c>
      <c r="AA726" s="15">
        <f t="shared" si="64"/>
        <v>2020</v>
      </c>
      <c r="AB726" s="15">
        <f t="shared" si="65"/>
        <v>2020</v>
      </c>
      <c r="AC726" s="15">
        <f t="shared" si="66"/>
        <v>2020</v>
      </c>
      <c r="AD726" s="18" t="b">
        <f t="shared" si="68"/>
        <v>1</v>
      </c>
    </row>
    <row r="727" spans="1:30" ht="15" hidden="1" customHeight="1" x14ac:dyDescent="0.2">
      <c r="A727" s="7" t="s">
        <v>675</v>
      </c>
      <c r="B727" s="7"/>
      <c r="C727" s="2" t="s">
        <v>641</v>
      </c>
      <c r="D727" s="6" t="s">
        <v>649</v>
      </c>
      <c r="E727" s="32" t="s">
        <v>651</v>
      </c>
      <c r="F727" s="7"/>
      <c r="G727" s="7"/>
      <c r="H727" s="7" t="s">
        <v>653</v>
      </c>
      <c r="I727" s="7"/>
      <c r="J727" s="7"/>
      <c r="K727" s="7"/>
      <c r="L727" s="7" t="s">
        <v>662</v>
      </c>
      <c r="M727" s="8">
        <v>44196</v>
      </c>
      <c r="N727" s="8">
        <v>44196</v>
      </c>
      <c r="O727" s="13">
        <v>-17481.77</v>
      </c>
      <c r="P727" s="13"/>
      <c r="Q727" s="33"/>
      <c r="R727" s="9"/>
      <c r="S727" s="9"/>
      <c r="T727" s="9"/>
      <c r="U727" s="9"/>
      <c r="X727" s="15" t="str">
        <f>IF(B727="",VLOOKUP(A727,items_lookup!A:B,2,FALSE),B727)</f>
        <v>09. Item 09</v>
      </c>
      <c r="Y727" s="15">
        <f t="shared" si="67"/>
        <v>12</v>
      </c>
      <c r="Z727" s="15">
        <f t="shared" si="67"/>
        <v>12</v>
      </c>
      <c r="AA727" s="15">
        <f t="shared" si="64"/>
        <v>2020</v>
      </c>
      <c r="AB727" s="15">
        <f t="shared" si="65"/>
        <v>2020</v>
      </c>
      <c r="AC727" s="15">
        <f t="shared" si="66"/>
        <v>2020</v>
      </c>
      <c r="AD727" s="18" t="b">
        <f t="shared" si="68"/>
        <v>1</v>
      </c>
    </row>
    <row r="728" spans="1:30" ht="12.6" hidden="1" customHeight="1" x14ac:dyDescent="0.2">
      <c r="A728" s="7" t="s">
        <v>681</v>
      </c>
      <c r="B728" s="7"/>
      <c r="C728" s="2" t="s">
        <v>641</v>
      </c>
      <c r="D728" s="6" t="s">
        <v>649</v>
      </c>
      <c r="E728" s="32" t="s">
        <v>651</v>
      </c>
      <c r="F728" s="7"/>
      <c r="G728" s="7"/>
      <c r="H728" s="7" t="s">
        <v>653</v>
      </c>
      <c r="I728" s="7"/>
      <c r="J728" s="7"/>
      <c r="K728" s="7"/>
      <c r="L728" s="7" t="s">
        <v>662</v>
      </c>
      <c r="M728" s="8">
        <v>44196</v>
      </c>
      <c r="N728" s="8">
        <v>44196</v>
      </c>
      <c r="O728" s="13">
        <v>-2638.59</v>
      </c>
      <c r="P728" s="13"/>
      <c r="Q728" s="33"/>
      <c r="R728" s="9"/>
      <c r="S728" s="9"/>
      <c r="T728" s="9"/>
      <c r="U728" s="9"/>
      <c r="X728" s="15" t="str">
        <f>IF(B728="",VLOOKUP(A728,items_lookup!A:B,2,FALSE),B728)</f>
        <v>19. Item 19</v>
      </c>
      <c r="Y728" s="15">
        <f t="shared" si="67"/>
        <v>12</v>
      </c>
      <c r="Z728" s="15">
        <f t="shared" si="67"/>
        <v>12</v>
      </c>
      <c r="AA728" s="15">
        <f t="shared" si="64"/>
        <v>2020</v>
      </c>
      <c r="AB728" s="15">
        <f t="shared" si="65"/>
        <v>2020</v>
      </c>
      <c r="AC728" s="15">
        <f t="shared" si="66"/>
        <v>2020</v>
      </c>
      <c r="AD728" s="18" t="b">
        <f t="shared" si="68"/>
        <v>1</v>
      </c>
    </row>
    <row r="729" spans="1:30" ht="12.6" hidden="1" customHeight="1" x14ac:dyDescent="0.2">
      <c r="A729" s="7" t="s">
        <v>705</v>
      </c>
      <c r="B729" s="20"/>
      <c r="C729" s="2" t="s">
        <v>641</v>
      </c>
      <c r="D729" s="6" t="s">
        <v>649</v>
      </c>
      <c r="E729" s="32" t="s">
        <v>651</v>
      </c>
      <c r="F729" s="7"/>
      <c r="G729" s="7"/>
      <c r="H729" s="7" t="s">
        <v>653</v>
      </c>
      <c r="I729" s="7"/>
      <c r="J729" s="7"/>
      <c r="K729" s="7"/>
      <c r="L729" s="7" t="s">
        <v>662</v>
      </c>
      <c r="M729" s="8">
        <v>44166</v>
      </c>
      <c r="N729" s="8">
        <v>44166</v>
      </c>
      <c r="O729" s="13">
        <v>-1318.37</v>
      </c>
      <c r="P729" s="13"/>
      <c r="Q729" s="33"/>
      <c r="R729" s="22"/>
      <c r="S729" s="22"/>
      <c r="T729" s="22"/>
      <c r="U729" s="22"/>
      <c r="X729" s="15" t="str">
        <f>IF(B729="",VLOOKUP(A729,items_lookup!A:B,2,FALSE),B729)</f>
        <v>03. Item 03</v>
      </c>
      <c r="Y729" s="15">
        <f t="shared" si="67"/>
        <v>12</v>
      </c>
      <c r="Z729" s="15">
        <f t="shared" si="67"/>
        <v>12</v>
      </c>
      <c r="AA729" s="15">
        <f t="shared" si="64"/>
        <v>2020</v>
      </c>
      <c r="AB729" s="15">
        <f t="shared" si="65"/>
        <v>2020</v>
      </c>
      <c r="AC729" s="15">
        <f t="shared" si="66"/>
        <v>2020</v>
      </c>
      <c r="AD729" s="18" t="b">
        <f t="shared" si="68"/>
        <v>1</v>
      </c>
    </row>
    <row r="730" spans="1:30" ht="15" hidden="1" customHeight="1" x14ac:dyDescent="0.2">
      <c r="A730" s="7" t="s">
        <v>687</v>
      </c>
      <c r="B730" s="20"/>
      <c r="C730" s="2" t="s">
        <v>641</v>
      </c>
      <c r="D730" s="6" t="s">
        <v>649</v>
      </c>
      <c r="E730" s="32" t="s">
        <v>651</v>
      </c>
      <c r="F730" s="7"/>
      <c r="G730" s="7"/>
      <c r="H730" s="7" t="s">
        <v>653</v>
      </c>
      <c r="I730" s="7"/>
      <c r="J730" s="7"/>
      <c r="K730" s="7"/>
      <c r="L730" s="7" t="s">
        <v>662</v>
      </c>
      <c r="M730" s="8">
        <v>44166</v>
      </c>
      <c r="N730" s="8">
        <v>44166</v>
      </c>
      <c r="O730" s="13">
        <v>-289.52999999999997</v>
      </c>
      <c r="P730" s="13"/>
      <c r="Q730" s="33"/>
      <c r="R730" s="9"/>
      <c r="S730" s="9"/>
      <c r="T730" s="9"/>
      <c r="U730" s="9"/>
      <c r="X730" s="15" t="str">
        <f>IF(B730="",VLOOKUP(A730,items_lookup!A:B,2,FALSE),B730)</f>
        <v>14. Item 14</v>
      </c>
      <c r="Y730" s="15">
        <f t="shared" si="67"/>
        <v>12</v>
      </c>
      <c r="Z730" s="15">
        <f t="shared" si="67"/>
        <v>12</v>
      </c>
      <c r="AA730" s="15">
        <f t="shared" si="64"/>
        <v>2020</v>
      </c>
      <c r="AB730" s="15">
        <f t="shared" si="65"/>
        <v>2020</v>
      </c>
      <c r="AC730" s="15">
        <f t="shared" si="66"/>
        <v>2020</v>
      </c>
      <c r="AD730" s="18" t="b">
        <f t="shared" si="68"/>
        <v>1</v>
      </c>
    </row>
    <row r="731" spans="1:30" ht="15" hidden="1" customHeight="1" x14ac:dyDescent="0.2">
      <c r="A731" s="7" t="s">
        <v>674</v>
      </c>
      <c r="B731" s="7"/>
      <c r="C731" s="2" t="s">
        <v>641</v>
      </c>
      <c r="D731" s="6" t="s">
        <v>649</v>
      </c>
      <c r="E731" s="32" t="s">
        <v>651</v>
      </c>
      <c r="F731" s="7" t="s">
        <v>20</v>
      </c>
      <c r="G731" s="7"/>
      <c r="H731" s="7"/>
      <c r="I731" s="7"/>
      <c r="J731" s="7">
        <v>4</v>
      </c>
      <c r="K731" s="7" t="s">
        <v>660</v>
      </c>
      <c r="L731" s="7" t="s">
        <v>663</v>
      </c>
      <c r="M731" s="8">
        <v>44216</v>
      </c>
      <c r="N731" s="8">
        <v>44256</v>
      </c>
      <c r="O731" s="13"/>
      <c r="P731" s="13">
        <v>53656.83</v>
      </c>
      <c r="Q731" s="33"/>
      <c r="R731" s="22"/>
      <c r="S731" s="22"/>
      <c r="T731" s="22"/>
      <c r="U731" s="22"/>
      <c r="X731" s="15" t="str">
        <f>IF(B731="",VLOOKUP(A731,items_lookup!A:B,2,FALSE),B731)</f>
        <v>08. Item 08</v>
      </c>
      <c r="Y731" s="15">
        <f t="shared" si="67"/>
        <v>1</v>
      </c>
      <c r="Z731" s="15">
        <f t="shared" si="67"/>
        <v>3</v>
      </c>
      <c r="AA731" s="15">
        <f t="shared" si="64"/>
        <v>2021</v>
      </c>
      <c r="AB731" s="15">
        <f t="shared" si="65"/>
        <v>2021</v>
      </c>
      <c r="AC731" s="15">
        <f t="shared" si="66"/>
        <v>2020</v>
      </c>
      <c r="AD731" s="18" t="b">
        <f t="shared" si="68"/>
        <v>1</v>
      </c>
    </row>
    <row r="732" spans="1:30" ht="12.6" hidden="1" customHeight="1" x14ac:dyDescent="0.2">
      <c r="A732" s="7" t="s">
        <v>683</v>
      </c>
      <c r="B732" s="7"/>
      <c r="C732" s="2" t="s">
        <v>641</v>
      </c>
      <c r="D732" s="6" t="s">
        <v>649</v>
      </c>
      <c r="E732" s="32" t="s">
        <v>651</v>
      </c>
      <c r="F732" s="7"/>
      <c r="G732" s="7"/>
      <c r="H732" s="7"/>
      <c r="I732" s="7"/>
      <c r="J732" s="7">
        <v>1</v>
      </c>
      <c r="K732" s="7" t="s">
        <v>660</v>
      </c>
      <c r="L732" s="7" t="s">
        <v>663</v>
      </c>
      <c r="M732" s="8">
        <v>44232</v>
      </c>
      <c r="N732" s="8">
        <v>44258</v>
      </c>
      <c r="O732" s="13"/>
      <c r="P732" s="13">
        <v>58016.31</v>
      </c>
      <c r="Q732" s="33"/>
      <c r="R732" s="22"/>
      <c r="S732" s="22"/>
      <c r="T732" s="22"/>
      <c r="U732" s="22"/>
      <c r="X732" s="15" t="str">
        <f>IF(B732="",VLOOKUP(A732,items_lookup!A:B,2,FALSE),B732)</f>
        <v>_1. Item _1</v>
      </c>
      <c r="Y732" s="15">
        <f t="shared" si="67"/>
        <v>2</v>
      </c>
      <c r="Z732" s="15">
        <f t="shared" si="67"/>
        <v>3</v>
      </c>
      <c r="AA732" s="15">
        <f t="shared" si="64"/>
        <v>2021</v>
      </c>
      <c r="AB732" s="15">
        <f t="shared" si="65"/>
        <v>2021</v>
      </c>
      <c r="AC732" s="15">
        <f t="shared" si="66"/>
        <v>2021</v>
      </c>
      <c r="AD732" s="18" t="b">
        <f t="shared" si="68"/>
        <v>1</v>
      </c>
    </row>
    <row r="733" spans="1:30" ht="15" hidden="1" customHeight="1" x14ac:dyDescent="0.2">
      <c r="A733" s="7" t="s">
        <v>670</v>
      </c>
      <c r="B733" s="20"/>
      <c r="C733" s="2" t="s">
        <v>641</v>
      </c>
      <c r="D733" s="6" t="s">
        <v>649</v>
      </c>
      <c r="E733" s="32" t="s">
        <v>651</v>
      </c>
      <c r="F733" s="7"/>
      <c r="G733" s="7"/>
      <c r="H733" s="7"/>
      <c r="I733" s="7" t="s">
        <v>20</v>
      </c>
      <c r="J733" s="7">
        <v>3</v>
      </c>
      <c r="K733" s="7" t="s">
        <v>660</v>
      </c>
      <c r="L733" s="7" t="s">
        <v>663</v>
      </c>
      <c r="M733" s="8">
        <v>44256</v>
      </c>
      <c r="N733" s="8">
        <v>44271</v>
      </c>
      <c r="O733" s="13"/>
      <c r="P733" s="13">
        <v>357600</v>
      </c>
      <c r="Q733" s="33"/>
      <c r="R733" s="22"/>
      <c r="S733" s="22"/>
      <c r="T733" s="22"/>
      <c r="U733" s="22"/>
      <c r="X733" s="15" t="str">
        <f>IF(B733="",VLOOKUP(A733,items_lookup!A:B,2,FALSE),B733)</f>
        <v>04. Item 04</v>
      </c>
      <c r="Y733" s="15">
        <f t="shared" si="67"/>
        <v>3</v>
      </c>
      <c r="Z733" s="15">
        <f t="shared" si="67"/>
        <v>3</v>
      </c>
      <c r="AA733" s="15">
        <f t="shared" si="64"/>
        <v>2021</v>
      </c>
      <c r="AB733" s="15">
        <f t="shared" si="65"/>
        <v>2021</v>
      </c>
      <c r="AC733" s="15">
        <f t="shared" si="66"/>
        <v>2021</v>
      </c>
      <c r="AD733" s="18" t="b">
        <f t="shared" si="68"/>
        <v>1</v>
      </c>
    </row>
    <row r="734" spans="1:30" ht="15" hidden="1" customHeight="1" x14ac:dyDescent="0.2">
      <c r="A734" s="7" t="s">
        <v>689</v>
      </c>
      <c r="B734" s="20"/>
      <c r="C734" s="2" t="s">
        <v>641</v>
      </c>
      <c r="D734" s="6" t="s">
        <v>649</v>
      </c>
      <c r="E734" s="32" t="s">
        <v>651</v>
      </c>
      <c r="F734" s="7"/>
      <c r="G734" s="7"/>
      <c r="H734" s="7"/>
      <c r="I734" s="7"/>
      <c r="J734" s="7">
        <v>3</v>
      </c>
      <c r="K734" s="7" t="s">
        <v>660</v>
      </c>
      <c r="L734" s="7" t="s">
        <v>663</v>
      </c>
      <c r="M734" s="8">
        <v>44242</v>
      </c>
      <c r="N734" s="8">
        <v>44252</v>
      </c>
      <c r="O734" s="13"/>
      <c r="P734" s="13">
        <v>32748.45</v>
      </c>
      <c r="Q734" s="33"/>
      <c r="R734" s="9"/>
      <c r="S734" s="9"/>
      <c r="T734" s="9"/>
      <c r="U734" s="9"/>
      <c r="X734" s="15" t="str">
        <f>IF(B734="",VLOOKUP(A734,items_lookup!A:B,2,FALSE),B734)</f>
        <v>04. Item 04</v>
      </c>
      <c r="Y734" s="15">
        <f t="shared" si="67"/>
        <v>2</v>
      </c>
      <c r="Z734" s="15">
        <f t="shared" si="67"/>
        <v>2</v>
      </c>
      <c r="AA734" s="15">
        <f t="shared" si="64"/>
        <v>2021</v>
      </c>
      <c r="AB734" s="15">
        <f t="shared" si="65"/>
        <v>2021</v>
      </c>
      <c r="AC734" s="15">
        <f t="shared" si="66"/>
        <v>2021</v>
      </c>
      <c r="AD734" s="18" t="b">
        <f t="shared" si="68"/>
        <v>1</v>
      </c>
    </row>
    <row r="735" spans="1:30" ht="15" hidden="1" customHeight="1" x14ac:dyDescent="0.2">
      <c r="A735" s="7" t="s">
        <v>671</v>
      </c>
      <c r="B735" s="7"/>
      <c r="C735" s="2" t="s">
        <v>641</v>
      </c>
      <c r="D735" s="6" t="s">
        <v>649</v>
      </c>
      <c r="E735" s="32" t="s">
        <v>651</v>
      </c>
      <c r="F735" s="7"/>
      <c r="G735" s="7"/>
      <c r="H735" s="7"/>
      <c r="I735" s="7"/>
      <c r="J735" s="7">
        <v>3</v>
      </c>
      <c r="K735" s="7" t="s">
        <v>660</v>
      </c>
      <c r="L735" s="7" t="s">
        <v>663</v>
      </c>
      <c r="M735" s="8">
        <v>44242</v>
      </c>
      <c r="N735" s="8">
        <v>44252</v>
      </c>
      <c r="O735" s="13"/>
      <c r="P735" s="13">
        <v>32290.09</v>
      </c>
      <c r="Q735" s="33"/>
      <c r="R735" s="22"/>
      <c r="S735" s="22"/>
      <c r="T735" s="22"/>
      <c r="U735" s="22"/>
      <c r="X735" s="15" t="str">
        <f>IF(B735="",VLOOKUP(A735,items_lookup!A:B,2,FALSE),B735)</f>
        <v>05. Item 05</v>
      </c>
      <c r="Y735" s="15">
        <f t="shared" si="67"/>
        <v>2</v>
      </c>
      <c r="Z735" s="15">
        <f t="shared" si="67"/>
        <v>2</v>
      </c>
      <c r="AA735" s="15">
        <f t="shared" si="64"/>
        <v>2021</v>
      </c>
      <c r="AB735" s="15">
        <f t="shared" si="65"/>
        <v>2021</v>
      </c>
      <c r="AC735" s="15">
        <f t="shared" si="66"/>
        <v>2021</v>
      </c>
      <c r="AD735" s="18" t="b">
        <f t="shared" si="68"/>
        <v>1</v>
      </c>
    </row>
    <row r="736" spans="1:30" ht="15" hidden="1" customHeight="1" x14ac:dyDescent="0.2">
      <c r="A736" s="7" t="s">
        <v>672</v>
      </c>
      <c r="B736" s="7"/>
      <c r="C736" s="2" t="s">
        <v>641</v>
      </c>
      <c r="D736" s="6" t="s">
        <v>649</v>
      </c>
      <c r="E736" s="32" t="s">
        <v>651</v>
      </c>
      <c r="F736" s="7"/>
      <c r="G736" s="7"/>
      <c r="H736" s="7"/>
      <c r="I736" s="7"/>
      <c r="J736" s="7">
        <v>3</v>
      </c>
      <c r="K736" s="7" t="s">
        <v>660</v>
      </c>
      <c r="L736" s="7" t="s">
        <v>663</v>
      </c>
      <c r="M736" s="8">
        <v>44242</v>
      </c>
      <c r="N736" s="8">
        <v>44253</v>
      </c>
      <c r="O736" s="13"/>
      <c r="P736" s="13">
        <v>904.76</v>
      </c>
      <c r="Q736" s="33"/>
      <c r="R736" s="22"/>
      <c r="S736" s="22"/>
      <c r="T736" s="22"/>
      <c r="U736" s="22"/>
      <c r="X736" s="15" t="str">
        <f>IF(B736="",VLOOKUP(A736,items_lookup!A:B,2,FALSE),B736)</f>
        <v>05. Item 05</v>
      </c>
      <c r="Y736" s="15">
        <f t="shared" si="67"/>
        <v>2</v>
      </c>
      <c r="Z736" s="15">
        <f t="shared" si="67"/>
        <v>2</v>
      </c>
      <c r="AA736" s="15">
        <f t="shared" si="64"/>
        <v>2021</v>
      </c>
      <c r="AB736" s="15">
        <f t="shared" si="65"/>
        <v>2021</v>
      </c>
      <c r="AC736" s="15">
        <f t="shared" si="66"/>
        <v>2021</v>
      </c>
      <c r="AD736" s="18" t="b">
        <f t="shared" si="68"/>
        <v>1</v>
      </c>
    </row>
    <row r="737" spans="1:30" ht="12.6" hidden="1" customHeight="1" x14ac:dyDescent="0.2">
      <c r="A737" s="7" t="s">
        <v>682</v>
      </c>
      <c r="B737" s="7"/>
      <c r="C737" s="2" t="s">
        <v>641</v>
      </c>
      <c r="D737" s="6" t="s">
        <v>649</v>
      </c>
      <c r="E737" s="32" t="s">
        <v>651</v>
      </c>
      <c r="F737" s="7"/>
      <c r="G737" s="7"/>
      <c r="H737" s="7"/>
      <c r="I737" s="7"/>
      <c r="J737" s="7">
        <v>3</v>
      </c>
      <c r="K737" s="7" t="s">
        <v>660</v>
      </c>
      <c r="L737" s="7" t="s">
        <v>663</v>
      </c>
      <c r="M737" s="8">
        <v>44242</v>
      </c>
      <c r="N737" s="8">
        <v>44253</v>
      </c>
      <c r="O737" s="13"/>
      <c r="P737" s="13">
        <v>101723.23</v>
      </c>
      <c r="Q737" s="33"/>
      <c r="R737" s="22"/>
      <c r="S737" s="22"/>
      <c r="T737" s="22"/>
      <c r="U737" s="22"/>
      <c r="X737" s="15" t="str">
        <f>IF(B737="",VLOOKUP(A737,items_lookup!A:B,2,FALSE),B737)</f>
        <v>06. Item 06</v>
      </c>
      <c r="Y737" s="15">
        <f t="shared" si="67"/>
        <v>2</v>
      </c>
      <c r="Z737" s="15">
        <f t="shared" si="67"/>
        <v>2</v>
      </c>
      <c r="AA737" s="15">
        <f t="shared" si="64"/>
        <v>2021</v>
      </c>
      <c r="AB737" s="15">
        <f t="shared" si="65"/>
        <v>2021</v>
      </c>
      <c r="AC737" s="15">
        <f t="shared" si="66"/>
        <v>2021</v>
      </c>
      <c r="AD737" s="18" t="b">
        <f t="shared" si="68"/>
        <v>1</v>
      </c>
    </row>
    <row r="738" spans="1:30" ht="15" hidden="1" customHeight="1" x14ac:dyDescent="0.2">
      <c r="A738" s="7" t="s">
        <v>673</v>
      </c>
      <c r="B738" s="7"/>
      <c r="C738" s="2" t="s">
        <v>641</v>
      </c>
      <c r="D738" s="6" t="s">
        <v>649</v>
      </c>
      <c r="E738" s="32" t="s">
        <v>651</v>
      </c>
      <c r="F738" s="7"/>
      <c r="G738" s="7"/>
      <c r="H738" s="7"/>
      <c r="I738" s="7" t="s">
        <v>20</v>
      </c>
      <c r="J738" s="7">
        <v>3</v>
      </c>
      <c r="K738" s="7" t="s">
        <v>660</v>
      </c>
      <c r="L738" s="7" t="s">
        <v>663</v>
      </c>
      <c r="M738" s="8">
        <v>44242</v>
      </c>
      <c r="N738" s="8">
        <v>44253</v>
      </c>
      <c r="O738" s="13"/>
      <c r="P738" s="13">
        <v>1385.71</v>
      </c>
      <c r="Q738" s="33"/>
      <c r="R738" s="22"/>
      <c r="S738" s="22"/>
      <c r="T738" s="22"/>
      <c r="U738" s="22"/>
      <c r="X738" s="15" t="str">
        <f>IF(B738="",VLOOKUP(A738,items_lookup!A:B,2,FALSE),B738)</f>
        <v>07. Item 07</v>
      </c>
      <c r="Y738" s="15">
        <f t="shared" si="67"/>
        <v>2</v>
      </c>
      <c r="Z738" s="15">
        <f t="shared" si="67"/>
        <v>2</v>
      </c>
      <c r="AA738" s="15">
        <f t="shared" ref="AA738:AA796" si="69">YEAR(N738)</f>
        <v>2021</v>
      </c>
      <c r="AB738" s="15">
        <f t="shared" ref="AB738:AB796" si="70">YEAR(M738)</f>
        <v>2021</v>
      </c>
      <c r="AC738" s="15">
        <f t="shared" ref="AC738:AC796" si="71">IF(F738="X",AA738-1,AA738)</f>
        <v>2021</v>
      </c>
      <c r="AD738" s="18" t="b">
        <f t="shared" si="68"/>
        <v>1</v>
      </c>
    </row>
    <row r="739" spans="1:30" ht="15" hidden="1" customHeight="1" x14ac:dyDescent="0.2">
      <c r="A739" s="7" t="s">
        <v>674</v>
      </c>
      <c r="B739" s="7"/>
      <c r="C739" s="2" t="s">
        <v>641</v>
      </c>
      <c r="D739" s="6" t="s">
        <v>649</v>
      </c>
      <c r="E739" s="32" t="s">
        <v>651</v>
      </c>
      <c r="F739" s="7"/>
      <c r="G739" s="7"/>
      <c r="H739" s="7"/>
      <c r="I739" s="7"/>
      <c r="J739" s="7"/>
      <c r="K739" s="7" t="s">
        <v>660</v>
      </c>
      <c r="L739" s="7" t="s">
        <v>663</v>
      </c>
      <c r="M739" s="8">
        <v>44251</v>
      </c>
      <c r="N739" s="8">
        <v>44251</v>
      </c>
      <c r="O739" s="13"/>
      <c r="P739" s="13">
        <v>1026749.32</v>
      </c>
      <c r="Q739" s="33"/>
      <c r="R739" s="22"/>
      <c r="S739" s="22"/>
      <c r="T739" s="22"/>
      <c r="U739" s="22"/>
      <c r="X739" s="15" t="str">
        <f>IF(B739="",VLOOKUP(A739,items_lookup!A:B,2,FALSE),B739)</f>
        <v>08. Item 08</v>
      </c>
      <c r="Y739" s="15">
        <f t="shared" si="67"/>
        <v>2</v>
      </c>
      <c r="Z739" s="15">
        <f t="shared" si="67"/>
        <v>2</v>
      </c>
      <c r="AA739" s="15">
        <f t="shared" si="69"/>
        <v>2021</v>
      </c>
      <c r="AB739" s="15">
        <f t="shared" si="70"/>
        <v>2021</v>
      </c>
      <c r="AC739" s="15">
        <f t="shared" si="71"/>
        <v>2021</v>
      </c>
      <c r="AD739" s="18" t="b">
        <f t="shared" si="68"/>
        <v>1</v>
      </c>
    </row>
    <row r="740" spans="1:30" ht="15" hidden="1" customHeight="1" x14ac:dyDescent="0.2">
      <c r="A740" s="7" t="s">
        <v>688</v>
      </c>
      <c r="B740" s="7"/>
      <c r="C740" s="2" t="s">
        <v>641</v>
      </c>
      <c r="D740" s="6" t="s">
        <v>649</v>
      </c>
      <c r="E740" s="32" t="s">
        <v>651</v>
      </c>
      <c r="F740" s="7"/>
      <c r="G740" s="7"/>
      <c r="H740" s="7"/>
      <c r="I740" s="7"/>
      <c r="J740" s="7"/>
      <c r="K740" s="7" t="s">
        <v>660</v>
      </c>
      <c r="L740" s="7" t="s">
        <v>663</v>
      </c>
      <c r="M740" s="8">
        <v>44252</v>
      </c>
      <c r="N740" s="8">
        <v>44252</v>
      </c>
      <c r="O740" s="13"/>
      <c r="P740" s="13">
        <v>1458450.16</v>
      </c>
      <c r="Q740" s="33"/>
      <c r="R740" s="22"/>
      <c r="S740" s="22"/>
      <c r="T740" s="22"/>
      <c r="U740" s="22"/>
      <c r="X740" s="15" t="str">
        <f>IF(B740="",VLOOKUP(A740,items_lookup!A:B,2,FALSE),B740)</f>
        <v>09. Item 09</v>
      </c>
      <c r="Y740" s="15">
        <f t="shared" si="67"/>
        <v>2</v>
      </c>
      <c r="Z740" s="15">
        <f t="shared" si="67"/>
        <v>2</v>
      </c>
      <c r="AA740" s="15">
        <f t="shared" si="69"/>
        <v>2021</v>
      </c>
      <c r="AB740" s="15">
        <f t="shared" si="70"/>
        <v>2021</v>
      </c>
      <c r="AC740" s="15">
        <f t="shared" si="71"/>
        <v>2021</v>
      </c>
      <c r="AD740" s="18" t="b">
        <f t="shared" si="68"/>
        <v>1</v>
      </c>
    </row>
    <row r="741" spans="1:30" ht="15" hidden="1" customHeight="1" x14ac:dyDescent="0.2">
      <c r="A741" s="7" t="s">
        <v>676</v>
      </c>
      <c r="B741" s="7"/>
      <c r="C741" s="2" t="s">
        <v>641</v>
      </c>
      <c r="D741" s="6" t="s">
        <v>649</v>
      </c>
      <c r="E741" s="32" t="s">
        <v>651</v>
      </c>
      <c r="F741" s="7"/>
      <c r="G741" s="7"/>
      <c r="H741" s="7"/>
      <c r="I741" s="7"/>
      <c r="J741" s="7"/>
      <c r="K741" s="7" t="s">
        <v>660</v>
      </c>
      <c r="L741" s="7" t="s">
        <v>663</v>
      </c>
      <c r="M741" s="8">
        <v>44253</v>
      </c>
      <c r="N741" s="8">
        <v>44253</v>
      </c>
      <c r="O741" s="13"/>
      <c r="P741" s="13">
        <v>15286599.539999999</v>
      </c>
      <c r="Q741" s="33"/>
      <c r="R741" s="22"/>
      <c r="S741" s="22"/>
      <c r="T741" s="22"/>
      <c r="U741" s="22"/>
      <c r="X741" s="15" t="str">
        <f>IF(B741="",VLOOKUP(A741,items_lookup!A:B,2,FALSE),B741)</f>
        <v>09. Item 09</v>
      </c>
      <c r="Y741" s="15">
        <f t="shared" si="67"/>
        <v>2</v>
      </c>
      <c r="Z741" s="15">
        <f t="shared" si="67"/>
        <v>2</v>
      </c>
      <c r="AA741" s="15">
        <f t="shared" si="69"/>
        <v>2021</v>
      </c>
      <c r="AB741" s="15">
        <f t="shared" si="70"/>
        <v>2021</v>
      </c>
      <c r="AC741" s="15">
        <f t="shared" si="71"/>
        <v>2021</v>
      </c>
      <c r="AD741" s="18" t="b">
        <f t="shared" si="68"/>
        <v>1</v>
      </c>
    </row>
    <row r="742" spans="1:30" ht="15" hidden="1" customHeight="1" x14ac:dyDescent="0.2">
      <c r="A742" s="7" t="s">
        <v>675</v>
      </c>
      <c r="B742" s="7"/>
      <c r="C742" s="2" t="s">
        <v>641</v>
      </c>
      <c r="D742" s="6" t="s">
        <v>649</v>
      </c>
      <c r="E742" s="32" t="s">
        <v>651</v>
      </c>
      <c r="F742" s="7"/>
      <c r="G742" s="7"/>
      <c r="H742" s="7"/>
      <c r="I742" s="7"/>
      <c r="J742" s="7">
        <v>3</v>
      </c>
      <c r="K742" s="7" t="s">
        <v>660</v>
      </c>
      <c r="L742" s="7" t="s">
        <v>663</v>
      </c>
      <c r="M742" s="8">
        <v>44242</v>
      </c>
      <c r="N742" s="8">
        <v>44252</v>
      </c>
      <c r="O742" s="13"/>
      <c r="P742" s="13">
        <v>1285714.29</v>
      </c>
      <c r="Q742" s="33"/>
      <c r="R742" s="22"/>
      <c r="S742" s="22"/>
      <c r="T742" s="22"/>
      <c r="U742" s="22"/>
      <c r="X742" s="15" t="str">
        <f>IF(B742="",VLOOKUP(A742,items_lookup!A:B,2,FALSE),B742)</f>
        <v>09. Item 09</v>
      </c>
      <c r="Y742" s="15">
        <f t="shared" si="67"/>
        <v>2</v>
      </c>
      <c r="Z742" s="15">
        <f t="shared" si="67"/>
        <v>2</v>
      </c>
      <c r="AA742" s="15">
        <f t="shared" si="69"/>
        <v>2021</v>
      </c>
      <c r="AB742" s="15">
        <f t="shared" si="70"/>
        <v>2021</v>
      </c>
      <c r="AC742" s="15">
        <f t="shared" si="71"/>
        <v>2021</v>
      </c>
      <c r="AD742" s="18" t="b">
        <f t="shared" si="68"/>
        <v>1</v>
      </c>
    </row>
    <row r="743" spans="1:30" ht="15" hidden="1" customHeight="1" x14ac:dyDescent="0.2">
      <c r="A743" s="7" t="s">
        <v>697</v>
      </c>
      <c r="B743" s="7"/>
      <c r="C743" s="2" t="s">
        <v>641</v>
      </c>
      <c r="D743" s="6" t="s">
        <v>649</v>
      </c>
      <c r="E743" s="32" t="s">
        <v>651</v>
      </c>
      <c r="F743" s="7"/>
      <c r="G743" s="7"/>
      <c r="H743" s="7"/>
      <c r="I743" s="7"/>
      <c r="J743" s="7">
        <v>3</v>
      </c>
      <c r="K743" s="7" t="s">
        <v>660</v>
      </c>
      <c r="L743" s="7" t="s">
        <v>663</v>
      </c>
      <c r="M743" s="8">
        <v>44242</v>
      </c>
      <c r="N743" s="8">
        <v>44251</v>
      </c>
      <c r="O743" s="13"/>
      <c r="P743" s="13">
        <v>114452.38</v>
      </c>
      <c r="Q743" s="33"/>
      <c r="R743" s="22"/>
      <c r="S743" s="22"/>
      <c r="T743" s="22"/>
      <c r="U743" s="22"/>
      <c r="X743" s="15" t="str">
        <f>IF(B743="",VLOOKUP(A743,items_lookup!A:B,2,FALSE),B743)</f>
        <v>10. Item 10</v>
      </c>
      <c r="Y743" s="15">
        <f t="shared" si="67"/>
        <v>2</v>
      </c>
      <c r="Z743" s="15">
        <f t="shared" si="67"/>
        <v>2</v>
      </c>
      <c r="AA743" s="15">
        <f t="shared" si="69"/>
        <v>2021</v>
      </c>
      <c r="AB743" s="15">
        <f t="shared" si="70"/>
        <v>2021</v>
      </c>
      <c r="AC743" s="15">
        <f t="shared" si="71"/>
        <v>2021</v>
      </c>
      <c r="AD743" s="18" t="b">
        <f t="shared" si="68"/>
        <v>1</v>
      </c>
    </row>
    <row r="744" spans="1:30" ht="15" hidden="1" customHeight="1" x14ac:dyDescent="0.2">
      <c r="A744" s="7" t="s">
        <v>698</v>
      </c>
      <c r="B744" s="7"/>
      <c r="C744" s="2" t="s">
        <v>641</v>
      </c>
      <c r="D744" s="6" t="s">
        <v>649</v>
      </c>
      <c r="E744" s="32" t="s">
        <v>651</v>
      </c>
      <c r="F744" s="7"/>
      <c r="G744" s="7"/>
      <c r="H744" s="7"/>
      <c r="I744" s="7" t="s">
        <v>20</v>
      </c>
      <c r="J744" s="7">
        <v>3</v>
      </c>
      <c r="K744" s="7" t="s">
        <v>660</v>
      </c>
      <c r="L744" s="7" t="s">
        <v>663</v>
      </c>
      <c r="M744" s="8">
        <v>44245</v>
      </c>
      <c r="N744" s="8">
        <v>44253</v>
      </c>
      <c r="O744" s="13"/>
      <c r="P744" s="13">
        <v>1390476.19</v>
      </c>
      <c r="Q744" s="33"/>
      <c r="R744" s="22"/>
      <c r="S744" s="22"/>
      <c r="T744" s="22"/>
      <c r="U744" s="22"/>
      <c r="X744" s="15" t="str">
        <f>IF(B744="",VLOOKUP(A744,items_lookup!A:B,2,FALSE),B744)</f>
        <v>10. Item 10</v>
      </c>
      <c r="Y744" s="15">
        <f t="shared" si="67"/>
        <v>2</v>
      </c>
      <c r="Z744" s="15">
        <f t="shared" si="67"/>
        <v>2</v>
      </c>
      <c r="AA744" s="15">
        <f t="shared" si="69"/>
        <v>2021</v>
      </c>
      <c r="AB744" s="15">
        <f t="shared" si="70"/>
        <v>2021</v>
      </c>
      <c r="AC744" s="15">
        <f t="shared" si="71"/>
        <v>2021</v>
      </c>
      <c r="AD744" s="18" t="b">
        <f t="shared" si="68"/>
        <v>1</v>
      </c>
    </row>
    <row r="745" spans="1:30" ht="15" hidden="1" customHeight="1" x14ac:dyDescent="0.2">
      <c r="A745" s="7" t="s">
        <v>677</v>
      </c>
      <c r="B745" s="7"/>
      <c r="C745" s="2" t="s">
        <v>641</v>
      </c>
      <c r="D745" s="6" t="s">
        <v>649</v>
      </c>
      <c r="E745" s="32" t="s">
        <v>651</v>
      </c>
      <c r="F745" s="7"/>
      <c r="G745" s="7"/>
      <c r="H745" s="7"/>
      <c r="I745" s="7"/>
      <c r="J745" s="7">
        <v>4</v>
      </c>
      <c r="K745" s="7" t="s">
        <v>660</v>
      </c>
      <c r="L745" s="7" t="s">
        <v>663</v>
      </c>
      <c r="M745" s="8">
        <v>44211</v>
      </c>
      <c r="N745" s="8">
        <v>44230</v>
      </c>
      <c r="O745" s="13"/>
      <c r="P745" s="13">
        <v>483.16</v>
      </c>
      <c r="Q745" s="33"/>
      <c r="R745" s="22"/>
      <c r="S745" s="22"/>
      <c r="T745" s="22"/>
      <c r="U745" s="22"/>
      <c r="X745" s="15" t="str">
        <f>IF(B745="",VLOOKUP(A745,items_lookup!A:B,2,FALSE),B745)</f>
        <v>11. Item 11</v>
      </c>
      <c r="Y745" s="15">
        <f t="shared" si="67"/>
        <v>1</v>
      </c>
      <c r="Z745" s="15">
        <f t="shared" si="67"/>
        <v>2</v>
      </c>
      <c r="AA745" s="15">
        <f t="shared" si="69"/>
        <v>2021</v>
      </c>
      <c r="AB745" s="15">
        <f t="shared" si="70"/>
        <v>2021</v>
      </c>
      <c r="AC745" s="15">
        <f t="shared" si="71"/>
        <v>2021</v>
      </c>
      <c r="AD745" s="18" t="b">
        <f t="shared" si="68"/>
        <v>1</v>
      </c>
    </row>
    <row r="746" spans="1:30" ht="12.6" hidden="1" customHeight="1" x14ac:dyDescent="0.2">
      <c r="A746" s="7" t="s">
        <v>683</v>
      </c>
      <c r="B746" s="7"/>
      <c r="C746" s="2" t="s">
        <v>643</v>
      </c>
      <c r="D746" s="6" t="s">
        <v>649</v>
      </c>
      <c r="E746" s="32" t="s">
        <v>651</v>
      </c>
      <c r="F746" s="7"/>
      <c r="G746" s="7"/>
      <c r="H746" s="7"/>
      <c r="I746" s="7"/>
      <c r="J746" s="7"/>
      <c r="K746" s="7"/>
      <c r="L746" s="7" t="s">
        <v>663</v>
      </c>
      <c r="M746" s="8">
        <v>44135</v>
      </c>
      <c r="N746" s="8">
        <v>44135</v>
      </c>
      <c r="O746" s="13"/>
      <c r="P746" s="13">
        <v>7249315.71</v>
      </c>
      <c r="Q746" s="33"/>
      <c r="R746" s="22"/>
      <c r="S746" s="22"/>
      <c r="T746" s="22"/>
      <c r="U746" s="22"/>
      <c r="X746" s="15" t="str">
        <f>IF(B746="",VLOOKUP(A746,items_lookup!A:B,2,FALSE),B746)</f>
        <v>_1. Item _1</v>
      </c>
      <c r="Y746" s="15">
        <f t="shared" si="67"/>
        <v>10</v>
      </c>
      <c r="Z746" s="15">
        <f t="shared" si="67"/>
        <v>10</v>
      </c>
      <c r="AA746" s="15">
        <f t="shared" si="69"/>
        <v>2020</v>
      </c>
      <c r="AB746" s="15">
        <f t="shared" si="70"/>
        <v>2020</v>
      </c>
      <c r="AC746" s="15">
        <f t="shared" si="71"/>
        <v>2020</v>
      </c>
      <c r="AD746" s="18" t="b">
        <f t="shared" si="68"/>
        <v>1</v>
      </c>
    </row>
    <row r="747" spans="1:30" ht="12.6" hidden="1" customHeight="1" x14ac:dyDescent="0.2">
      <c r="A747" s="7" t="s">
        <v>683</v>
      </c>
      <c r="B747" s="7"/>
      <c r="C747" s="2" t="s">
        <v>643</v>
      </c>
      <c r="D747" s="6" t="s">
        <v>649</v>
      </c>
      <c r="E747" s="32" t="s">
        <v>651</v>
      </c>
      <c r="F747" s="7"/>
      <c r="G747" s="7"/>
      <c r="H747" s="7"/>
      <c r="I747" s="7"/>
      <c r="J747" s="7"/>
      <c r="K747" s="7"/>
      <c r="L747" s="7" t="s">
        <v>663</v>
      </c>
      <c r="M747" s="8">
        <v>44165</v>
      </c>
      <c r="N747" s="8">
        <v>44165</v>
      </c>
      <c r="O747" s="13"/>
      <c r="P747" s="13">
        <v>34960355.75</v>
      </c>
      <c r="Q747" s="33"/>
      <c r="R747" s="22"/>
      <c r="S747" s="22"/>
      <c r="T747" s="22"/>
      <c r="U747" s="22"/>
      <c r="X747" s="15" t="str">
        <f>IF(B747="",VLOOKUP(A747,items_lookup!A:B,2,FALSE),B747)</f>
        <v>_1. Item _1</v>
      </c>
      <c r="Y747" s="15">
        <f t="shared" si="67"/>
        <v>11</v>
      </c>
      <c r="Z747" s="15">
        <f t="shared" si="67"/>
        <v>11</v>
      </c>
      <c r="AA747" s="15">
        <f t="shared" si="69"/>
        <v>2020</v>
      </c>
      <c r="AB747" s="15">
        <f t="shared" si="70"/>
        <v>2020</v>
      </c>
      <c r="AC747" s="15">
        <f t="shared" si="71"/>
        <v>2020</v>
      </c>
      <c r="AD747" s="18" t="b">
        <f t="shared" si="68"/>
        <v>1</v>
      </c>
    </row>
    <row r="748" spans="1:30" ht="12.6" hidden="1" customHeight="1" x14ac:dyDescent="0.2">
      <c r="A748" s="7" t="s">
        <v>683</v>
      </c>
      <c r="B748" s="7"/>
      <c r="C748" s="2" t="s">
        <v>643</v>
      </c>
      <c r="D748" s="6" t="s">
        <v>649</v>
      </c>
      <c r="E748" s="32" t="s">
        <v>651</v>
      </c>
      <c r="F748" s="7"/>
      <c r="G748" s="7"/>
      <c r="H748" s="7"/>
      <c r="I748" s="7"/>
      <c r="J748" s="7"/>
      <c r="K748" s="7"/>
      <c r="L748" s="7" t="s">
        <v>663</v>
      </c>
      <c r="M748" s="8">
        <v>44196</v>
      </c>
      <c r="N748" s="8">
        <v>44196</v>
      </c>
      <c r="O748" s="13"/>
      <c r="P748" s="13">
        <v>41088752.299999997</v>
      </c>
      <c r="Q748" s="33"/>
      <c r="R748" s="22"/>
      <c r="S748" s="22"/>
      <c r="T748" s="22"/>
      <c r="U748" s="22"/>
      <c r="X748" s="15" t="str">
        <f>IF(B748="",VLOOKUP(A748,items_lookup!A:B,2,FALSE),B748)</f>
        <v>_1. Item _1</v>
      </c>
      <c r="Y748" s="15">
        <f t="shared" si="67"/>
        <v>12</v>
      </c>
      <c r="Z748" s="15">
        <f t="shared" si="67"/>
        <v>12</v>
      </c>
      <c r="AA748" s="15">
        <f t="shared" si="69"/>
        <v>2020</v>
      </c>
      <c r="AB748" s="15">
        <f t="shared" si="70"/>
        <v>2020</v>
      </c>
      <c r="AC748" s="15">
        <f t="shared" si="71"/>
        <v>2020</v>
      </c>
      <c r="AD748" s="18" t="b">
        <f t="shared" si="68"/>
        <v>1</v>
      </c>
    </row>
    <row r="749" spans="1:30" ht="12.6" hidden="1" customHeight="1" x14ac:dyDescent="0.2">
      <c r="A749" s="7" t="s">
        <v>700</v>
      </c>
      <c r="B749" s="7"/>
      <c r="C749" s="2" t="s">
        <v>641</v>
      </c>
      <c r="D749" s="6" t="s">
        <v>649</v>
      </c>
      <c r="E749" s="32" t="s">
        <v>651</v>
      </c>
      <c r="F749" s="7"/>
      <c r="G749" s="7"/>
      <c r="H749" s="7"/>
      <c r="I749" s="7"/>
      <c r="J749" s="7"/>
      <c r="K749" s="7" t="s">
        <v>660</v>
      </c>
      <c r="L749" s="7" t="s">
        <v>663</v>
      </c>
      <c r="M749" s="8">
        <v>44256</v>
      </c>
      <c r="N749" s="8">
        <v>44256</v>
      </c>
      <c r="O749" s="13"/>
      <c r="P749" s="13">
        <v>1729847.31</v>
      </c>
      <c r="Q749" s="33"/>
      <c r="R749" s="22"/>
      <c r="S749" s="22"/>
      <c r="T749" s="22"/>
      <c r="U749" s="22"/>
      <c r="X749" s="15" t="str">
        <f>IF(B749="",VLOOKUP(A749,items_lookup!A:B,2,FALSE),B749)</f>
        <v>13. Item 13</v>
      </c>
      <c r="Y749" s="15">
        <f t="shared" si="67"/>
        <v>3</v>
      </c>
      <c r="Z749" s="15">
        <f t="shared" si="67"/>
        <v>3</v>
      </c>
      <c r="AA749" s="15">
        <f t="shared" si="69"/>
        <v>2021</v>
      </c>
      <c r="AB749" s="15">
        <f t="shared" si="70"/>
        <v>2021</v>
      </c>
      <c r="AC749" s="15">
        <f t="shared" si="71"/>
        <v>2021</v>
      </c>
      <c r="AD749" s="18" t="b">
        <f t="shared" si="68"/>
        <v>1</v>
      </c>
    </row>
    <row r="750" spans="1:30" ht="15" hidden="1" customHeight="1" x14ac:dyDescent="0.2">
      <c r="A750" s="7" t="s">
        <v>701</v>
      </c>
      <c r="B750" s="7"/>
      <c r="C750" s="2" t="s">
        <v>641</v>
      </c>
      <c r="D750" s="6" t="s">
        <v>649</v>
      </c>
      <c r="E750" s="32" t="s">
        <v>651</v>
      </c>
      <c r="F750" s="7"/>
      <c r="G750" s="7"/>
      <c r="H750" s="7"/>
      <c r="I750" s="7"/>
      <c r="J750" s="7"/>
      <c r="K750" s="7" t="s">
        <v>660</v>
      </c>
      <c r="L750" s="7" t="s">
        <v>663</v>
      </c>
      <c r="M750" s="8">
        <v>44257</v>
      </c>
      <c r="N750" s="8">
        <v>44257</v>
      </c>
      <c r="O750" s="13"/>
      <c r="P750" s="13">
        <v>161135.89000000001</v>
      </c>
      <c r="Q750" s="33"/>
      <c r="R750" s="22"/>
      <c r="S750" s="22"/>
      <c r="T750" s="22"/>
      <c r="U750" s="22"/>
      <c r="X750" s="15" t="str">
        <f>IF(B750="",VLOOKUP(A750,items_lookup!A:B,2,FALSE),B750)</f>
        <v>13. Item 13</v>
      </c>
      <c r="Y750" s="15">
        <f t="shared" si="67"/>
        <v>3</v>
      </c>
      <c r="Z750" s="15">
        <f t="shared" si="67"/>
        <v>3</v>
      </c>
      <c r="AA750" s="15">
        <f t="shared" si="69"/>
        <v>2021</v>
      </c>
      <c r="AB750" s="15">
        <f t="shared" si="70"/>
        <v>2021</v>
      </c>
      <c r="AC750" s="15">
        <f t="shared" si="71"/>
        <v>2021</v>
      </c>
      <c r="AD750" s="18" t="b">
        <f t="shared" si="68"/>
        <v>1</v>
      </c>
    </row>
    <row r="751" spans="1:30" ht="15" hidden="1" customHeight="1" x14ac:dyDescent="0.2">
      <c r="A751" s="7" t="s">
        <v>680</v>
      </c>
      <c r="B751" s="7"/>
      <c r="C751" s="2" t="s">
        <v>641</v>
      </c>
      <c r="D751" s="6" t="s">
        <v>649</v>
      </c>
      <c r="E751" s="32" t="s">
        <v>651</v>
      </c>
      <c r="F751" s="7"/>
      <c r="G751" s="7"/>
      <c r="H751" s="7"/>
      <c r="I751" s="7"/>
      <c r="J751" s="7"/>
      <c r="K751" s="7" t="s">
        <v>660</v>
      </c>
      <c r="L751" s="7" t="s">
        <v>663</v>
      </c>
      <c r="M751" s="8">
        <v>44258</v>
      </c>
      <c r="N751" s="8">
        <v>44258</v>
      </c>
      <c r="O751" s="13"/>
      <c r="P751" s="13">
        <v>99030.6</v>
      </c>
      <c r="Q751" s="33"/>
      <c r="R751" s="22"/>
      <c r="S751" s="22"/>
      <c r="T751" s="22"/>
      <c r="U751" s="22"/>
      <c r="X751" s="15" t="str">
        <f>IF(B751="",VLOOKUP(A751,items_lookup!A:B,2,FALSE),B751)</f>
        <v>13. Item 13</v>
      </c>
      <c r="Y751" s="15">
        <f t="shared" si="67"/>
        <v>3</v>
      </c>
      <c r="Z751" s="15">
        <f t="shared" si="67"/>
        <v>3</v>
      </c>
      <c r="AA751" s="15">
        <f t="shared" si="69"/>
        <v>2021</v>
      </c>
      <c r="AB751" s="15">
        <f t="shared" si="70"/>
        <v>2021</v>
      </c>
      <c r="AC751" s="15">
        <f t="shared" si="71"/>
        <v>2021</v>
      </c>
      <c r="AD751" s="18" t="b">
        <f t="shared" si="68"/>
        <v>1</v>
      </c>
    </row>
    <row r="752" spans="1:30" ht="15" hidden="1" customHeight="1" x14ac:dyDescent="0.2">
      <c r="A752" s="7" t="s">
        <v>687</v>
      </c>
      <c r="B752" s="7"/>
      <c r="C752" s="2" t="s">
        <v>641</v>
      </c>
      <c r="D752" s="6" t="s">
        <v>649</v>
      </c>
      <c r="E752" s="32" t="s">
        <v>651</v>
      </c>
      <c r="F752" s="7"/>
      <c r="G752" s="7"/>
      <c r="H752" s="7"/>
      <c r="I752" s="7"/>
      <c r="J752" s="7">
        <v>1</v>
      </c>
      <c r="K752" s="7" t="s">
        <v>660</v>
      </c>
      <c r="L752" s="7" t="s">
        <v>663</v>
      </c>
      <c r="M752" s="8">
        <v>44259</v>
      </c>
      <c r="N752" s="8">
        <v>44272</v>
      </c>
      <c r="O752" s="13"/>
      <c r="P752" s="13">
        <v>3075.8</v>
      </c>
      <c r="Q752" s="33"/>
      <c r="R752" s="22"/>
      <c r="S752" s="22"/>
      <c r="T752" s="22"/>
      <c r="U752" s="22"/>
      <c r="X752" s="15" t="str">
        <f>IF(B752="",VLOOKUP(A752,items_lookup!A:B,2,FALSE),B752)</f>
        <v>14. Item 14</v>
      </c>
      <c r="Y752" s="15">
        <f t="shared" si="67"/>
        <v>3</v>
      </c>
      <c r="Z752" s="15">
        <f t="shared" si="67"/>
        <v>3</v>
      </c>
      <c r="AA752" s="15">
        <f t="shared" si="69"/>
        <v>2021</v>
      </c>
      <c r="AB752" s="15">
        <f t="shared" si="70"/>
        <v>2021</v>
      </c>
      <c r="AC752" s="15">
        <f t="shared" si="71"/>
        <v>2021</v>
      </c>
      <c r="AD752" s="18" t="b">
        <f t="shared" si="68"/>
        <v>1</v>
      </c>
    </row>
    <row r="753" spans="1:30" ht="15" hidden="1" customHeight="1" x14ac:dyDescent="0.2">
      <c r="A753" s="7" t="s">
        <v>693</v>
      </c>
      <c r="B753" s="7"/>
      <c r="C753" s="2" t="s">
        <v>641</v>
      </c>
      <c r="D753" s="6" t="s">
        <v>649</v>
      </c>
      <c r="E753" s="32" t="s">
        <v>651</v>
      </c>
      <c r="F753" s="7"/>
      <c r="G753" s="7"/>
      <c r="H753" s="7"/>
      <c r="I753" s="7" t="s">
        <v>20</v>
      </c>
      <c r="J753" s="7">
        <v>1</v>
      </c>
      <c r="K753" s="7" t="s">
        <v>660</v>
      </c>
      <c r="L753" s="7" t="s">
        <v>663</v>
      </c>
      <c r="M753" s="8">
        <v>44259</v>
      </c>
      <c r="N753" s="8">
        <v>44270</v>
      </c>
      <c r="O753" s="13"/>
      <c r="P753" s="13">
        <v>2523809.52</v>
      </c>
      <c r="Q753" s="33"/>
      <c r="R753" s="22"/>
      <c r="S753" s="22"/>
      <c r="T753" s="22"/>
      <c r="U753" s="22"/>
      <c r="X753" s="15" t="str">
        <f>IF(B753="",VLOOKUP(A753,items_lookup!A:B,2,FALSE),B753)</f>
        <v>16. Item 16</v>
      </c>
      <c r="Y753" s="15">
        <f t="shared" si="67"/>
        <v>3</v>
      </c>
      <c r="Z753" s="15">
        <f t="shared" si="67"/>
        <v>3</v>
      </c>
      <c r="AA753" s="15">
        <f t="shared" si="69"/>
        <v>2021</v>
      </c>
      <c r="AB753" s="15">
        <f t="shared" si="70"/>
        <v>2021</v>
      </c>
      <c r="AC753" s="15">
        <f t="shared" si="71"/>
        <v>2021</v>
      </c>
      <c r="AD753" s="18" t="b">
        <f t="shared" si="68"/>
        <v>1</v>
      </c>
    </row>
    <row r="754" spans="1:30" ht="15" hidden="1" customHeight="1" x14ac:dyDescent="0.2">
      <c r="A754" s="7" t="s">
        <v>702</v>
      </c>
      <c r="B754" s="7"/>
      <c r="C754" s="2" t="s">
        <v>641</v>
      </c>
      <c r="D754" s="6" t="s">
        <v>649</v>
      </c>
      <c r="E754" s="32" t="s">
        <v>651</v>
      </c>
      <c r="F754" s="7"/>
      <c r="G754" s="7"/>
      <c r="H754" s="7"/>
      <c r="I754" s="7"/>
      <c r="J754" s="7"/>
      <c r="K754" s="7"/>
      <c r="L754" s="7" t="s">
        <v>662</v>
      </c>
      <c r="M754" s="8">
        <v>44256</v>
      </c>
      <c r="N754" s="8">
        <v>44256</v>
      </c>
      <c r="O754" s="13">
        <v>7522619.0499999998</v>
      </c>
      <c r="P754" s="13"/>
      <c r="Q754" s="33"/>
      <c r="R754" s="9"/>
      <c r="S754" s="9"/>
      <c r="T754" s="9"/>
      <c r="U754" s="9"/>
      <c r="X754" s="15" t="str">
        <f>IF(B754="",VLOOKUP(A754,items_lookup!A:B,2,FALSE),B754)</f>
        <v>17. Item 17</v>
      </c>
      <c r="Y754" s="15">
        <f t="shared" ref="Y754:Z808" si="72">MONTH(M754)</f>
        <v>3</v>
      </c>
      <c r="Z754" s="15">
        <f t="shared" si="72"/>
        <v>3</v>
      </c>
      <c r="AA754" s="15">
        <f t="shared" si="69"/>
        <v>2021</v>
      </c>
      <c r="AB754" s="15">
        <f t="shared" si="70"/>
        <v>2021</v>
      </c>
      <c r="AC754" s="15">
        <f t="shared" si="71"/>
        <v>2021</v>
      </c>
      <c r="AD754" s="18" t="b">
        <f t="shared" si="68"/>
        <v>1</v>
      </c>
    </row>
    <row r="755" spans="1:30" ht="15" hidden="1" customHeight="1" x14ac:dyDescent="0.2">
      <c r="A755" s="7" t="s">
        <v>673</v>
      </c>
      <c r="B755" s="7"/>
      <c r="C755" s="2" t="s">
        <v>641</v>
      </c>
      <c r="D755" s="6" t="s">
        <v>649</v>
      </c>
      <c r="E755" s="32" t="s">
        <v>651</v>
      </c>
      <c r="F755" s="7"/>
      <c r="G755" s="7"/>
      <c r="H755" s="7"/>
      <c r="I755" s="7"/>
      <c r="J755" s="7"/>
      <c r="K755" s="7"/>
      <c r="L755" s="7" t="s">
        <v>662</v>
      </c>
      <c r="M755" s="8">
        <v>44256</v>
      </c>
      <c r="N755" s="8">
        <v>44256</v>
      </c>
      <c r="O755" s="13">
        <v>2261904.7599999998</v>
      </c>
      <c r="P755" s="13"/>
      <c r="Q755" s="33"/>
      <c r="R755" s="9"/>
      <c r="S755" s="9"/>
      <c r="T755" s="9"/>
      <c r="U755" s="9"/>
      <c r="X755" s="15" t="str">
        <f>IF(B755="",VLOOKUP(A755,items_lookup!A:B,2,FALSE),B755)</f>
        <v>07. Item 07</v>
      </c>
      <c r="Y755" s="15">
        <f t="shared" si="72"/>
        <v>3</v>
      </c>
      <c r="Z755" s="15">
        <f t="shared" si="72"/>
        <v>3</v>
      </c>
      <c r="AA755" s="15">
        <f t="shared" si="69"/>
        <v>2021</v>
      </c>
      <c r="AB755" s="15">
        <f t="shared" si="70"/>
        <v>2021</v>
      </c>
      <c r="AC755" s="15">
        <f t="shared" si="71"/>
        <v>2021</v>
      </c>
      <c r="AD755" s="18" t="b">
        <f t="shared" si="68"/>
        <v>1</v>
      </c>
    </row>
    <row r="756" spans="1:30" ht="15" hidden="1" customHeight="1" x14ac:dyDescent="0.2">
      <c r="A756" s="7" t="s">
        <v>683</v>
      </c>
      <c r="B756" s="7" t="s">
        <v>708</v>
      </c>
      <c r="C756" s="2" t="s">
        <v>641</v>
      </c>
      <c r="D756" s="6" t="s">
        <v>649</v>
      </c>
      <c r="E756" s="32" t="s">
        <v>651</v>
      </c>
      <c r="F756" s="7"/>
      <c r="G756" s="7"/>
      <c r="H756" s="7"/>
      <c r="I756" s="7"/>
      <c r="J756" s="7"/>
      <c r="K756" s="7"/>
      <c r="L756" s="7" t="s">
        <v>662</v>
      </c>
      <c r="M756" s="8">
        <v>44256</v>
      </c>
      <c r="N756" s="8">
        <v>44256</v>
      </c>
      <c r="O756" s="13">
        <v>1753469.98</v>
      </c>
      <c r="P756" s="13"/>
      <c r="Q756" s="33"/>
      <c r="R756" s="9"/>
      <c r="S756" s="9"/>
      <c r="T756" s="9"/>
      <c r="U756" s="9"/>
      <c r="X756" s="15" t="str">
        <f>IF(B756="",VLOOKUP(A756,items_lookup!A:B,2,FALSE),B756)</f>
        <v>03. Item 03</v>
      </c>
      <c r="Y756" s="15">
        <f t="shared" si="72"/>
        <v>3</v>
      </c>
      <c r="Z756" s="15">
        <f t="shared" si="72"/>
        <v>3</v>
      </c>
      <c r="AA756" s="15">
        <f t="shared" si="69"/>
        <v>2021</v>
      </c>
      <c r="AB756" s="15">
        <f t="shared" si="70"/>
        <v>2021</v>
      </c>
      <c r="AC756" s="15">
        <f t="shared" si="71"/>
        <v>2021</v>
      </c>
      <c r="AD756" s="18" t="b">
        <f t="shared" si="68"/>
        <v>1</v>
      </c>
    </row>
    <row r="757" spans="1:30" ht="15" hidden="1" customHeight="1" x14ac:dyDescent="0.2">
      <c r="A757" s="7" t="s">
        <v>683</v>
      </c>
      <c r="B757" s="7"/>
      <c r="C757" s="2" t="s">
        <v>641</v>
      </c>
      <c r="D757" s="6" t="s">
        <v>649</v>
      </c>
      <c r="E757" s="32" t="s">
        <v>651</v>
      </c>
      <c r="F757" s="7"/>
      <c r="G757" s="7"/>
      <c r="H757" s="7"/>
      <c r="I757" s="7"/>
      <c r="J757" s="7"/>
      <c r="K757" s="7"/>
      <c r="L757" s="7" t="s">
        <v>662</v>
      </c>
      <c r="M757" s="8">
        <v>44256</v>
      </c>
      <c r="N757" s="8">
        <v>44256</v>
      </c>
      <c r="O757" s="13">
        <v>3553455</v>
      </c>
      <c r="P757" s="13"/>
      <c r="Q757" s="33"/>
      <c r="R757" s="22"/>
      <c r="S757" s="22"/>
      <c r="T757" s="22"/>
      <c r="U757" s="22"/>
      <c r="X757" s="15" t="str">
        <f>IF(B757="",VLOOKUP(A757,items_lookup!A:B,2,FALSE),B757)</f>
        <v>_1. Item _1</v>
      </c>
      <c r="Y757" s="15">
        <f t="shared" si="72"/>
        <v>3</v>
      </c>
      <c r="Z757" s="15">
        <f t="shared" si="72"/>
        <v>3</v>
      </c>
      <c r="AA757" s="15">
        <f t="shared" si="69"/>
        <v>2021</v>
      </c>
      <c r="AB757" s="15">
        <f t="shared" si="70"/>
        <v>2021</v>
      </c>
      <c r="AC757" s="15">
        <f t="shared" si="71"/>
        <v>2021</v>
      </c>
      <c r="AD757" s="18" t="b">
        <f t="shared" si="68"/>
        <v>1</v>
      </c>
    </row>
    <row r="758" spans="1:30" ht="15" hidden="1" customHeight="1" x14ac:dyDescent="0.2">
      <c r="A758" s="7" t="s">
        <v>703</v>
      </c>
      <c r="B758" s="7"/>
      <c r="C758" s="2" t="s">
        <v>641</v>
      </c>
      <c r="D758" s="6" t="s">
        <v>649</v>
      </c>
      <c r="E758" s="32" t="s">
        <v>651</v>
      </c>
      <c r="F758" s="7"/>
      <c r="G758" s="7"/>
      <c r="H758" s="7"/>
      <c r="I758" s="7"/>
      <c r="J758" s="7"/>
      <c r="K758" s="7"/>
      <c r="L758" s="7" t="s">
        <v>662</v>
      </c>
      <c r="M758" s="8">
        <v>44256</v>
      </c>
      <c r="N758" s="8">
        <v>44256</v>
      </c>
      <c r="O758" s="13">
        <v>5699714.2800000003</v>
      </c>
      <c r="P758" s="13"/>
      <c r="Q758" s="33"/>
      <c r="R758" s="9"/>
      <c r="S758" s="9"/>
      <c r="T758" s="9"/>
      <c r="U758" s="9"/>
      <c r="X758" s="15" t="str">
        <f>IF(B758="",VLOOKUP(A758,items_lookup!A:B,2,FALSE),B758)</f>
        <v>_3. Item _3</v>
      </c>
      <c r="Y758" s="15">
        <f t="shared" si="72"/>
        <v>3</v>
      </c>
      <c r="Z758" s="15">
        <f t="shared" si="72"/>
        <v>3</v>
      </c>
      <c r="AA758" s="15">
        <f t="shared" si="69"/>
        <v>2021</v>
      </c>
      <c r="AB758" s="15">
        <f t="shared" si="70"/>
        <v>2021</v>
      </c>
      <c r="AC758" s="15">
        <f t="shared" si="71"/>
        <v>2021</v>
      </c>
      <c r="AD758" s="18" t="b">
        <f t="shared" si="68"/>
        <v>1</v>
      </c>
    </row>
    <row r="759" spans="1:30" ht="15" hidden="1" customHeight="1" x14ac:dyDescent="0.2">
      <c r="A759" s="7" t="s">
        <v>702</v>
      </c>
      <c r="B759" s="7"/>
      <c r="C759" s="2" t="s">
        <v>641</v>
      </c>
      <c r="D759" s="6" t="s">
        <v>650</v>
      </c>
      <c r="E759" s="32" t="s">
        <v>651</v>
      </c>
      <c r="F759" s="7"/>
      <c r="G759" s="7"/>
      <c r="H759" s="7"/>
      <c r="I759" s="7"/>
      <c r="J759" s="7"/>
      <c r="K759" s="7"/>
      <c r="L759" s="7" t="s">
        <v>662</v>
      </c>
      <c r="M759" s="8">
        <v>44256</v>
      </c>
      <c r="N759" s="8">
        <v>44256</v>
      </c>
      <c r="O759" s="13">
        <v>559571.43000000005</v>
      </c>
      <c r="P759" s="13"/>
      <c r="Q759" s="33"/>
      <c r="R759" s="9"/>
      <c r="S759" s="9"/>
      <c r="T759" s="9"/>
      <c r="U759" s="9"/>
      <c r="X759" s="15" t="str">
        <f>IF(B759="",VLOOKUP(A759,items_lookup!A:B,2,FALSE),B759)</f>
        <v>17. Item 17</v>
      </c>
      <c r="Y759" s="15">
        <f t="shared" si="72"/>
        <v>3</v>
      </c>
      <c r="Z759" s="15">
        <f t="shared" si="72"/>
        <v>3</v>
      </c>
      <c r="AA759" s="15">
        <f t="shared" si="69"/>
        <v>2021</v>
      </c>
      <c r="AB759" s="15">
        <f t="shared" si="70"/>
        <v>2021</v>
      </c>
      <c r="AC759" s="15">
        <f t="shared" si="71"/>
        <v>2021</v>
      </c>
      <c r="AD759" s="18" t="b">
        <f t="shared" si="68"/>
        <v>1</v>
      </c>
    </row>
    <row r="760" spans="1:30" ht="15" hidden="1" customHeight="1" x14ac:dyDescent="0.2">
      <c r="A760" s="7" t="s">
        <v>668</v>
      </c>
      <c r="B760" s="7"/>
      <c r="C760" s="2" t="s">
        <v>641</v>
      </c>
      <c r="D760" s="6" t="s">
        <v>649</v>
      </c>
      <c r="E760" s="32" t="s">
        <v>651</v>
      </c>
      <c r="F760" s="7"/>
      <c r="G760" s="7"/>
      <c r="H760" s="7"/>
      <c r="I760" s="7"/>
      <c r="J760" s="7"/>
      <c r="K760" s="7"/>
      <c r="L760" s="7" t="s">
        <v>662</v>
      </c>
      <c r="M760" s="8">
        <v>44256</v>
      </c>
      <c r="N760" s="8">
        <v>44256</v>
      </c>
      <c r="O760" s="13">
        <v>88571.43</v>
      </c>
      <c r="P760" s="13"/>
      <c r="Q760" s="33"/>
      <c r="R760" s="9"/>
      <c r="S760" s="9"/>
      <c r="T760" s="9"/>
      <c r="U760" s="9"/>
      <c r="X760" s="15" t="str">
        <f>IF(B760="",VLOOKUP(A760,items_lookup!A:B,2,FALSE),B760)</f>
        <v>01. Item 01</v>
      </c>
      <c r="Y760" s="15">
        <f t="shared" si="72"/>
        <v>3</v>
      </c>
      <c r="Z760" s="15">
        <f t="shared" si="72"/>
        <v>3</v>
      </c>
      <c r="AA760" s="15">
        <f t="shared" si="69"/>
        <v>2021</v>
      </c>
      <c r="AB760" s="15">
        <f t="shared" si="70"/>
        <v>2021</v>
      </c>
      <c r="AC760" s="15">
        <f t="shared" si="71"/>
        <v>2021</v>
      </c>
      <c r="AD760" s="18" t="b">
        <f t="shared" si="68"/>
        <v>1</v>
      </c>
    </row>
    <row r="761" spans="1:30" ht="15" hidden="1" customHeight="1" x14ac:dyDescent="0.2">
      <c r="A761" s="7" t="s">
        <v>668</v>
      </c>
      <c r="B761" s="7"/>
      <c r="C761" s="2" t="s">
        <v>641</v>
      </c>
      <c r="D761" s="6" t="s">
        <v>649</v>
      </c>
      <c r="E761" s="32" t="s">
        <v>651</v>
      </c>
      <c r="F761" s="7"/>
      <c r="G761" s="7"/>
      <c r="H761" s="7"/>
      <c r="I761" s="7"/>
      <c r="J761" s="7"/>
      <c r="K761" s="7"/>
      <c r="L761" s="7" t="s">
        <v>662</v>
      </c>
      <c r="M761" s="8">
        <v>44256</v>
      </c>
      <c r="N761" s="8">
        <v>44256</v>
      </c>
      <c r="O761" s="13">
        <v>5136666.67</v>
      </c>
      <c r="P761" s="13"/>
      <c r="Q761" s="33"/>
      <c r="R761" s="9"/>
      <c r="S761" s="9"/>
      <c r="T761" s="9"/>
      <c r="U761" s="9"/>
      <c r="X761" s="15" t="str">
        <f>IF(B761="",VLOOKUP(A761,items_lookup!A:B,2,FALSE),B761)</f>
        <v>01. Item 01</v>
      </c>
      <c r="Y761" s="15">
        <f t="shared" si="72"/>
        <v>3</v>
      </c>
      <c r="Z761" s="15">
        <f t="shared" si="72"/>
        <v>3</v>
      </c>
      <c r="AA761" s="15">
        <f t="shared" si="69"/>
        <v>2021</v>
      </c>
      <c r="AB761" s="15">
        <f t="shared" si="70"/>
        <v>2021</v>
      </c>
      <c r="AC761" s="15">
        <f t="shared" si="71"/>
        <v>2021</v>
      </c>
      <c r="AD761" s="18" t="b">
        <f t="shared" si="68"/>
        <v>1</v>
      </c>
    </row>
    <row r="762" spans="1:30" ht="15" hidden="1" customHeight="1" x14ac:dyDescent="0.2">
      <c r="A762" s="7" t="s">
        <v>677</v>
      </c>
      <c r="B762" s="20"/>
      <c r="C762" s="2" t="s">
        <v>641</v>
      </c>
      <c r="D762" s="6" t="s">
        <v>649</v>
      </c>
      <c r="E762" s="32" t="s">
        <v>651</v>
      </c>
      <c r="F762" s="7"/>
      <c r="G762" s="7"/>
      <c r="H762" s="7"/>
      <c r="I762" s="7"/>
      <c r="J762" s="7"/>
      <c r="K762" s="7"/>
      <c r="L762" s="7" t="s">
        <v>662</v>
      </c>
      <c r="M762" s="8">
        <v>44256</v>
      </c>
      <c r="N762" s="8">
        <v>44256</v>
      </c>
      <c r="O762" s="13">
        <v>278095.24</v>
      </c>
      <c r="P762" s="13"/>
      <c r="Q762" s="33"/>
      <c r="R762" s="9"/>
      <c r="S762" s="9"/>
      <c r="T762" s="9"/>
      <c r="U762" s="9"/>
      <c r="X762" s="15" t="str">
        <f>IF(B762="",VLOOKUP(A762,items_lookup!A:B,2,FALSE),B762)</f>
        <v>11. Item 11</v>
      </c>
      <c r="Y762" s="15">
        <f t="shared" si="72"/>
        <v>3</v>
      </c>
      <c r="Z762" s="15">
        <f t="shared" si="72"/>
        <v>3</v>
      </c>
      <c r="AA762" s="15">
        <f t="shared" si="69"/>
        <v>2021</v>
      </c>
      <c r="AB762" s="15">
        <f t="shared" si="70"/>
        <v>2021</v>
      </c>
      <c r="AC762" s="15">
        <f t="shared" si="71"/>
        <v>2021</v>
      </c>
      <c r="AD762" s="18" t="b">
        <f t="shared" si="68"/>
        <v>1</v>
      </c>
    </row>
    <row r="763" spans="1:30" ht="15" hidden="1" customHeight="1" x14ac:dyDescent="0.2">
      <c r="A763" s="7"/>
      <c r="B763" s="7" t="s">
        <v>712</v>
      </c>
      <c r="C763" s="2" t="s">
        <v>641</v>
      </c>
      <c r="D763" s="6" t="s">
        <v>649</v>
      </c>
      <c r="E763" s="32" t="s">
        <v>651</v>
      </c>
      <c r="F763" s="7"/>
      <c r="G763" s="7"/>
      <c r="H763" s="7"/>
      <c r="I763" s="7"/>
      <c r="J763" s="7"/>
      <c r="K763" s="7"/>
      <c r="L763" s="7" t="s">
        <v>662</v>
      </c>
      <c r="M763" s="8">
        <v>44256</v>
      </c>
      <c r="N763" s="8">
        <v>44256</v>
      </c>
      <c r="O763" s="13">
        <v>9523.81</v>
      </c>
      <c r="P763" s="13"/>
      <c r="Q763" s="33"/>
      <c r="R763" s="22"/>
      <c r="S763" s="22"/>
      <c r="T763" s="22"/>
      <c r="U763" s="22"/>
      <c r="X763" s="15" t="str">
        <f>IF(B763="",VLOOKUP(A763,items_lookup!A:B,2,FALSE),B763)</f>
        <v>10. Item 10</v>
      </c>
      <c r="Y763" s="15">
        <f t="shared" si="72"/>
        <v>3</v>
      </c>
      <c r="Z763" s="15">
        <f t="shared" si="72"/>
        <v>3</v>
      </c>
      <c r="AA763" s="15">
        <f t="shared" si="69"/>
        <v>2021</v>
      </c>
      <c r="AB763" s="15">
        <f t="shared" si="70"/>
        <v>2021</v>
      </c>
      <c r="AC763" s="15">
        <f t="shared" si="71"/>
        <v>2021</v>
      </c>
      <c r="AD763" s="18" t="b">
        <f t="shared" si="68"/>
        <v>1</v>
      </c>
    </row>
    <row r="764" spans="1:30" ht="15" hidden="1" customHeight="1" x14ac:dyDescent="0.2">
      <c r="A764" s="7" t="s">
        <v>681</v>
      </c>
      <c r="B764" s="20"/>
      <c r="C764" s="2" t="s">
        <v>641</v>
      </c>
      <c r="D764" s="6" t="s">
        <v>649</v>
      </c>
      <c r="E764" s="32" t="s">
        <v>651</v>
      </c>
      <c r="F764" s="7"/>
      <c r="G764" s="7"/>
      <c r="H764" s="7"/>
      <c r="I764" s="7"/>
      <c r="J764" s="7"/>
      <c r="K764" s="7"/>
      <c r="L764" s="7" t="s">
        <v>662</v>
      </c>
      <c r="M764" s="8">
        <v>44256</v>
      </c>
      <c r="N764" s="8">
        <v>44256</v>
      </c>
      <c r="O764" s="13">
        <v>63333.33</v>
      </c>
      <c r="P764" s="13"/>
      <c r="Q764" s="33"/>
      <c r="R764" s="22"/>
      <c r="S764" s="22"/>
      <c r="T764" s="22"/>
      <c r="U764" s="22"/>
      <c r="X764" s="15" t="str">
        <f>IF(B764="",VLOOKUP(A764,items_lookup!A:B,2,FALSE),B764)</f>
        <v>19. Item 19</v>
      </c>
      <c r="Y764" s="15">
        <f t="shared" si="72"/>
        <v>3</v>
      </c>
      <c r="Z764" s="15">
        <f t="shared" si="72"/>
        <v>3</v>
      </c>
      <c r="AA764" s="15">
        <f t="shared" si="69"/>
        <v>2021</v>
      </c>
      <c r="AB764" s="15">
        <f t="shared" si="70"/>
        <v>2021</v>
      </c>
      <c r="AC764" s="15">
        <f t="shared" si="71"/>
        <v>2021</v>
      </c>
      <c r="AD764" s="18" t="b">
        <f t="shared" si="68"/>
        <v>1</v>
      </c>
    </row>
    <row r="765" spans="1:30" ht="13.5" hidden="1" customHeight="1" x14ac:dyDescent="0.2">
      <c r="A765" s="7" t="s">
        <v>672</v>
      </c>
      <c r="B765" s="7" t="s">
        <v>711</v>
      </c>
      <c r="C765" s="2" t="s">
        <v>641</v>
      </c>
      <c r="D765" s="6" t="s">
        <v>649</v>
      </c>
      <c r="E765" s="32" t="s">
        <v>651</v>
      </c>
      <c r="F765" s="7"/>
      <c r="G765" s="7"/>
      <c r="H765" s="7"/>
      <c r="I765" s="7"/>
      <c r="J765" s="7"/>
      <c r="K765" s="7"/>
      <c r="L765" s="7" t="s">
        <v>662</v>
      </c>
      <c r="M765" s="8">
        <v>44256</v>
      </c>
      <c r="N765" s="8">
        <v>44256</v>
      </c>
      <c r="O765" s="13">
        <v>621190.48</v>
      </c>
      <c r="P765" s="13"/>
      <c r="Q765" s="33"/>
      <c r="R765" s="22"/>
      <c r="S765" s="22"/>
      <c r="T765" s="22"/>
      <c r="U765" s="22"/>
      <c r="X765" s="15" t="str">
        <f>IF(B765="",VLOOKUP(A765,items_lookup!A:B,2,FALSE),B765)</f>
        <v>12. Item 12</v>
      </c>
      <c r="Y765" s="15">
        <f t="shared" si="72"/>
        <v>3</v>
      </c>
      <c r="Z765" s="15">
        <f t="shared" si="72"/>
        <v>3</v>
      </c>
      <c r="AA765" s="15">
        <f t="shared" si="69"/>
        <v>2021</v>
      </c>
      <c r="AB765" s="15">
        <f t="shared" si="70"/>
        <v>2021</v>
      </c>
      <c r="AC765" s="15">
        <f t="shared" si="71"/>
        <v>2021</v>
      </c>
      <c r="AD765" s="18" t="b">
        <f t="shared" si="68"/>
        <v>1</v>
      </c>
    </row>
    <row r="766" spans="1:30" ht="15" hidden="1" customHeight="1" x14ac:dyDescent="0.2">
      <c r="A766" s="7" t="s">
        <v>671</v>
      </c>
      <c r="B766" s="7" t="s">
        <v>710</v>
      </c>
      <c r="C766" s="2" t="s">
        <v>641</v>
      </c>
      <c r="D766" s="6" t="s">
        <v>649</v>
      </c>
      <c r="E766" s="32" t="s">
        <v>651</v>
      </c>
      <c r="F766" s="7"/>
      <c r="G766" s="7"/>
      <c r="H766" s="7"/>
      <c r="I766" s="7"/>
      <c r="J766" s="7"/>
      <c r="K766" s="7"/>
      <c r="L766" s="7" t="s">
        <v>662</v>
      </c>
      <c r="M766" s="8">
        <v>44256</v>
      </c>
      <c r="N766" s="8">
        <v>44256</v>
      </c>
      <c r="O766" s="13">
        <v>1258619.05</v>
      </c>
      <c r="P766" s="13"/>
      <c r="Q766" s="33"/>
      <c r="R766" s="9"/>
      <c r="S766" s="9"/>
      <c r="T766" s="9"/>
      <c r="U766" s="9"/>
      <c r="X766" s="15" t="str">
        <f>IF(B766="",VLOOKUP(A766,items_lookup!A:B,2,FALSE),B766)</f>
        <v>13. Item 13</v>
      </c>
      <c r="Y766" s="15">
        <f t="shared" si="72"/>
        <v>3</v>
      </c>
      <c r="Z766" s="15">
        <f t="shared" si="72"/>
        <v>3</v>
      </c>
      <c r="AA766" s="15">
        <f t="shared" si="69"/>
        <v>2021</v>
      </c>
      <c r="AB766" s="15">
        <f t="shared" si="70"/>
        <v>2021</v>
      </c>
      <c r="AC766" s="15">
        <f t="shared" si="71"/>
        <v>2021</v>
      </c>
      <c r="AD766" s="18" t="b">
        <f t="shared" si="68"/>
        <v>1</v>
      </c>
    </row>
    <row r="767" spans="1:30" ht="15" hidden="1" customHeight="1" x14ac:dyDescent="0.2">
      <c r="A767" s="7" t="s">
        <v>675</v>
      </c>
      <c r="B767" s="7"/>
      <c r="C767" s="2" t="s">
        <v>641</v>
      </c>
      <c r="D767" s="6" t="s">
        <v>649</v>
      </c>
      <c r="E767" s="32" t="s">
        <v>651</v>
      </c>
      <c r="F767" s="7"/>
      <c r="G767" s="7"/>
      <c r="H767" s="7"/>
      <c r="I767" s="7"/>
      <c r="J767" s="7"/>
      <c r="K767" s="7"/>
      <c r="L767" s="7" t="s">
        <v>662</v>
      </c>
      <c r="M767" s="8">
        <v>44256</v>
      </c>
      <c r="N767" s="8">
        <v>44256</v>
      </c>
      <c r="O767" s="13">
        <v>2380.9499999999998</v>
      </c>
      <c r="P767" s="13"/>
      <c r="Q767" s="33"/>
      <c r="R767" s="22"/>
      <c r="S767" s="22"/>
      <c r="T767" s="22"/>
      <c r="U767" s="22"/>
      <c r="X767" s="15" t="str">
        <f>IF(B767="",VLOOKUP(A767,items_lookup!A:B,2,FALSE),B767)</f>
        <v>09. Item 09</v>
      </c>
      <c r="Y767" s="15">
        <f t="shared" si="72"/>
        <v>3</v>
      </c>
      <c r="Z767" s="15">
        <f t="shared" si="72"/>
        <v>3</v>
      </c>
      <c r="AA767" s="15">
        <f t="shared" si="69"/>
        <v>2021</v>
      </c>
      <c r="AB767" s="15">
        <f t="shared" si="70"/>
        <v>2021</v>
      </c>
      <c r="AC767" s="15">
        <f t="shared" si="71"/>
        <v>2021</v>
      </c>
      <c r="AD767" s="18" t="b">
        <f t="shared" si="68"/>
        <v>1</v>
      </c>
    </row>
    <row r="768" spans="1:30" ht="30" hidden="1" customHeight="1" x14ac:dyDescent="0.2">
      <c r="A768" s="7" t="s">
        <v>676</v>
      </c>
      <c r="B768" s="7"/>
      <c r="C768" s="2" t="s">
        <v>641</v>
      </c>
      <c r="D768" s="6" t="s">
        <v>649</v>
      </c>
      <c r="E768" s="32" t="s">
        <v>651</v>
      </c>
      <c r="F768" s="7"/>
      <c r="G768" s="7"/>
      <c r="H768" s="7"/>
      <c r="I768" s="7"/>
      <c r="J768" s="7"/>
      <c r="K768" s="7"/>
      <c r="L768" s="7" t="s">
        <v>662</v>
      </c>
      <c r="M768" s="8">
        <v>44256</v>
      </c>
      <c r="N768" s="8">
        <v>44256</v>
      </c>
      <c r="O768" s="13">
        <v>23.81</v>
      </c>
      <c r="P768" s="13"/>
      <c r="Q768" s="33"/>
      <c r="R768" s="22"/>
      <c r="S768" s="22"/>
      <c r="T768" s="22"/>
      <c r="U768" s="22"/>
      <c r="X768" s="15" t="str">
        <f>IF(B768="",VLOOKUP(A768,items_lookup!A:B,2,FALSE),B768)</f>
        <v>09. Item 09</v>
      </c>
      <c r="Y768" s="15">
        <f t="shared" si="72"/>
        <v>3</v>
      </c>
      <c r="Z768" s="15">
        <f t="shared" si="72"/>
        <v>3</v>
      </c>
      <c r="AA768" s="15">
        <f t="shared" si="69"/>
        <v>2021</v>
      </c>
      <c r="AB768" s="15">
        <f t="shared" si="70"/>
        <v>2021</v>
      </c>
      <c r="AC768" s="15">
        <f t="shared" si="71"/>
        <v>2021</v>
      </c>
      <c r="AD768" s="18" t="b">
        <f t="shared" si="68"/>
        <v>1</v>
      </c>
    </row>
    <row r="769" spans="1:30" ht="15" hidden="1" customHeight="1" x14ac:dyDescent="0.2">
      <c r="A769" s="7" t="s">
        <v>684</v>
      </c>
      <c r="B769" s="7"/>
      <c r="C769" s="2" t="s">
        <v>641</v>
      </c>
      <c r="D769" s="6" t="s">
        <v>649</v>
      </c>
      <c r="E769" s="32" t="s">
        <v>651</v>
      </c>
      <c r="F769" s="7"/>
      <c r="G769" s="7"/>
      <c r="H769" s="7"/>
      <c r="I769" s="7"/>
      <c r="J769" s="7"/>
      <c r="K769" s="7" t="s">
        <v>660</v>
      </c>
      <c r="L769" s="7" t="s">
        <v>663</v>
      </c>
      <c r="M769" s="8">
        <v>44259</v>
      </c>
      <c r="N769" s="8">
        <v>44259</v>
      </c>
      <c r="O769" s="13"/>
      <c r="P769" s="13">
        <v>3636.81</v>
      </c>
      <c r="Q769" s="33"/>
      <c r="R769" s="22"/>
      <c r="S769" s="22"/>
      <c r="T769" s="22"/>
      <c r="U769" s="22"/>
      <c r="X769" s="15" t="str">
        <f>IF(B769="",VLOOKUP(A769,items_lookup!A:B,2,FALSE),B769)</f>
        <v>09. Item 09</v>
      </c>
      <c r="Y769" s="15">
        <f t="shared" si="72"/>
        <v>3</v>
      </c>
      <c r="Z769" s="15">
        <f t="shared" si="72"/>
        <v>3</v>
      </c>
      <c r="AA769" s="15">
        <f t="shared" si="69"/>
        <v>2021</v>
      </c>
      <c r="AB769" s="15">
        <f t="shared" si="70"/>
        <v>2021</v>
      </c>
      <c r="AC769" s="15">
        <f t="shared" si="71"/>
        <v>2021</v>
      </c>
      <c r="AD769" s="18" t="b">
        <f t="shared" si="68"/>
        <v>1</v>
      </c>
    </row>
    <row r="770" spans="1:30" ht="15" hidden="1" customHeight="1" x14ac:dyDescent="0.2">
      <c r="A770" s="7" t="s">
        <v>688</v>
      </c>
      <c r="B770" s="7"/>
      <c r="C770" s="2" t="s">
        <v>641</v>
      </c>
      <c r="D770" s="6" t="s">
        <v>649</v>
      </c>
      <c r="E770" s="32" t="s">
        <v>651</v>
      </c>
      <c r="F770" s="7"/>
      <c r="G770" s="7"/>
      <c r="H770" s="7"/>
      <c r="I770" s="7"/>
      <c r="J770" s="7"/>
      <c r="K770" s="7" t="s">
        <v>660</v>
      </c>
      <c r="L770" s="7" t="s">
        <v>663</v>
      </c>
      <c r="M770" s="8">
        <v>44260</v>
      </c>
      <c r="N770" s="8">
        <v>44260</v>
      </c>
      <c r="O770" s="13"/>
      <c r="P770" s="13">
        <v>659414.06999999995</v>
      </c>
      <c r="Q770" s="33"/>
      <c r="R770" s="22"/>
      <c r="S770" s="22"/>
      <c r="T770" s="22"/>
      <c r="U770" s="22"/>
      <c r="X770" s="15" t="str">
        <f>IF(B770="",VLOOKUP(A770,items_lookup!A:B,2,FALSE),B770)</f>
        <v>09. Item 09</v>
      </c>
      <c r="Y770" s="15">
        <f t="shared" si="72"/>
        <v>3</v>
      </c>
      <c r="Z770" s="15">
        <f t="shared" si="72"/>
        <v>3</v>
      </c>
      <c r="AA770" s="15">
        <f t="shared" si="69"/>
        <v>2021</v>
      </c>
      <c r="AB770" s="15">
        <f t="shared" si="70"/>
        <v>2021</v>
      </c>
      <c r="AC770" s="15">
        <f t="shared" si="71"/>
        <v>2021</v>
      </c>
      <c r="AD770" s="18" t="b">
        <f t="shared" si="68"/>
        <v>1</v>
      </c>
    </row>
    <row r="771" spans="1:30" ht="15" hidden="1" customHeight="1" x14ac:dyDescent="0.2">
      <c r="A771" s="7" t="s">
        <v>687</v>
      </c>
      <c r="B771" s="7"/>
      <c r="C771" s="2" t="s">
        <v>641</v>
      </c>
      <c r="D771" s="6" t="s">
        <v>649</v>
      </c>
      <c r="E771" s="32" t="s">
        <v>651</v>
      </c>
      <c r="F771" s="7"/>
      <c r="G771" s="7"/>
      <c r="H771" s="7"/>
      <c r="I771" s="7"/>
      <c r="J771" s="7"/>
      <c r="K771" s="7" t="s">
        <v>660</v>
      </c>
      <c r="L771" s="7" t="s">
        <v>663</v>
      </c>
      <c r="M771" s="8">
        <v>44260</v>
      </c>
      <c r="N771" s="8">
        <v>44260</v>
      </c>
      <c r="O771" s="13"/>
      <c r="P771" s="13">
        <v>64342.47</v>
      </c>
      <c r="Q771" s="33"/>
      <c r="R771" s="22"/>
      <c r="S771" s="22"/>
      <c r="T771" s="22"/>
      <c r="U771" s="22"/>
      <c r="X771" s="15" t="str">
        <f>IF(B771="",VLOOKUP(A771,items_lookup!A:B,2,FALSE),B771)</f>
        <v>14. Item 14</v>
      </c>
      <c r="Y771" s="15">
        <f t="shared" si="72"/>
        <v>3</v>
      </c>
      <c r="Z771" s="15">
        <f t="shared" si="72"/>
        <v>3</v>
      </c>
      <c r="AA771" s="15">
        <f t="shared" si="69"/>
        <v>2021</v>
      </c>
      <c r="AB771" s="15">
        <f t="shared" si="70"/>
        <v>2021</v>
      </c>
      <c r="AC771" s="15">
        <f t="shared" si="71"/>
        <v>2021</v>
      </c>
      <c r="AD771" s="18" t="b">
        <f t="shared" ref="AD771:AD834" si="73">AND(ROUND(O771,2)=O771,ROUND(P771,2)=P771,OR(AND(O771&lt;&gt;0,L771="p"),AND(P771&lt;&gt;0,L771="f")),_xlfn.ISFORMULA(X771),_xlfn.ISFORMULA(Y771),_xlfn.ISFORMULA(Z771),_xlfn.ISFORMULA(AA771),_xlfn.ISFORMULA(AB771),_xlfn.ISFORMULA(AC771),NOT(_xlfn.ISFORMULA(O771)),NOT(_xlfn.ISFORMULA(P771)),M771&lt;&gt;0,N771&lt;&gt;0)</f>
        <v>1</v>
      </c>
    </row>
    <row r="772" spans="1:30" ht="15" hidden="1" customHeight="1" x14ac:dyDescent="0.2">
      <c r="A772" s="7" t="s">
        <v>696</v>
      </c>
      <c r="B772" s="7"/>
      <c r="C772" s="2" t="s">
        <v>641</v>
      </c>
      <c r="D772" s="6" t="s">
        <v>650</v>
      </c>
      <c r="E772" s="32" t="s">
        <v>651</v>
      </c>
      <c r="F772" s="7"/>
      <c r="G772" s="7"/>
      <c r="H772" s="7"/>
      <c r="I772" s="7"/>
      <c r="J772" s="7">
        <v>4</v>
      </c>
      <c r="K772" s="7" t="s">
        <v>660</v>
      </c>
      <c r="L772" s="7" t="s">
        <v>663</v>
      </c>
      <c r="M772" s="8">
        <v>44260</v>
      </c>
      <c r="N772" s="8">
        <v>44260</v>
      </c>
      <c r="O772" s="13"/>
      <c r="P772" s="13">
        <v>64182.02</v>
      </c>
      <c r="Q772" s="33"/>
      <c r="R772" s="22"/>
      <c r="S772" s="22"/>
      <c r="T772" s="22"/>
      <c r="U772" s="22"/>
      <c r="X772" s="15" t="str">
        <f>IF(B772="",VLOOKUP(A772,items_lookup!A:B,2,FALSE),B772)</f>
        <v>13. Item 13</v>
      </c>
      <c r="Y772" s="15">
        <f t="shared" si="72"/>
        <v>3</v>
      </c>
      <c r="Z772" s="15">
        <f t="shared" si="72"/>
        <v>3</v>
      </c>
      <c r="AA772" s="15">
        <f t="shared" si="69"/>
        <v>2021</v>
      </c>
      <c r="AB772" s="15">
        <f t="shared" si="70"/>
        <v>2021</v>
      </c>
      <c r="AC772" s="15">
        <f t="shared" si="71"/>
        <v>2021</v>
      </c>
      <c r="AD772" s="18" t="b">
        <f t="shared" si="73"/>
        <v>1</v>
      </c>
    </row>
    <row r="773" spans="1:30" ht="12.6" hidden="1" customHeight="1" x14ac:dyDescent="0.2">
      <c r="A773" s="7" t="s">
        <v>688</v>
      </c>
      <c r="B773" s="20"/>
      <c r="C773" s="2" t="s">
        <v>641</v>
      </c>
      <c r="D773" s="6" t="s">
        <v>649</v>
      </c>
      <c r="E773" s="32" t="s">
        <v>651</v>
      </c>
      <c r="F773" s="7"/>
      <c r="G773" s="7"/>
      <c r="H773" s="7"/>
      <c r="I773" s="7"/>
      <c r="J773" s="7">
        <v>1</v>
      </c>
      <c r="K773" s="7" t="s">
        <v>660</v>
      </c>
      <c r="L773" s="7" t="s">
        <v>663</v>
      </c>
      <c r="M773" s="8">
        <v>44260</v>
      </c>
      <c r="N773" s="8">
        <v>44266</v>
      </c>
      <c r="O773" s="13"/>
      <c r="P773" s="13">
        <v>206783.84</v>
      </c>
      <c r="Q773" s="33"/>
      <c r="R773" s="22"/>
      <c r="S773" s="22"/>
      <c r="T773" s="22"/>
      <c r="U773" s="22"/>
      <c r="X773" s="15" t="str">
        <f>IF(B773="",VLOOKUP(A773,items_lookup!A:B,2,FALSE),B773)</f>
        <v>09. Item 09</v>
      </c>
      <c r="Y773" s="15">
        <f t="shared" si="72"/>
        <v>3</v>
      </c>
      <c r="Z773" s="15">
        <f t="shared" si="72"/>
        <v>3</v>
      </c>
      <c r="AA773" s="15">
        <f t="shared" si="69"/>
        <v>2021</v>
      </c>
      <c r="AB773" s="15">
        <f t="shared" si="70"/>
        <v>2021</v>
      </c>
      <c r="AC773" s="15">
        <f t="shared" si="71"/>
        <v>2021</v>
      </c>
      <c r="AD773" s="18" t="b">
        <f t="shared" si="73"/>
        <v>1</v>
      </c>
    </row>
    <row r="774" spans="1:30" ht="15.75" hidden="1" customHeight="1" x14ac:dyDescent="0.2">
      <c r="A774" s="7" t="s">
        <v>672</v>
      </c>
      <c r="B774" s="20"/>
      <c r="C774" s="2" t="s">
        <v>641</v>
      </c>
      <c r="D774" s="6" t="s">
        <v>649</v>
      </c>
      <c r="E774" s="32" t="s">
        <v>651</v>
      </c>
      <c r="F774" s="7"/>
      <c r="G774" s="7"/>
      <c r="H774" s="7"/>
      <c r="I774" s="7"/>
      <c r="J774" s="7">
        <v>3</v>
      </c>
      <c r="K774" s="7" t="s">
        <v>660</v>
      </c>
      <c r="L774" s="7" t="s">
        <v>663</v>
      </c>
      <c r="M774" s="8">
        <v>44260</v>
      </c>
      <c r="N774" s="8">
        <v>44272</v>
      </c>
      <c r="O774" s="13"/>
      <c r="P774" s="13">
        <v>64639.25</v>
      </c>
      <c r="Q774" s="33"/>
      <c r="R774" s="22"/>
      <c r="S774" s="22"/>
      <c r="T774" s="22"/>
      <c r="U774" s="22"/>
      <c r="X774" s="15" t="str">
        <f>IF(B774="",VLOOKUP(A774,items_lookup!A:B,2,FALSE),B774)</f>
        <v>05. Item 05</v>
      </c>
      <c r="Y774" s="15">
        <f t="shared" si="72"/>
        <v>3</v>
      </c>
      <c r="Z774" s="15">
        <f t="shared" si="72"/>
        <v>3</v>
      </c>
      <c r="AA774" s="15">
        <f t="shared" si="69"/>
        <v>2021</v>
      </c>
      <c r="AB774" s="15">
        <f t="shared" si="70"/>
        <v>2021</v>
      </c>
      <c r="AC774" s="15">
        <f t="shared" si="71"/>
        <v>2021</v>
      </c>
      <c r="AD774" s="18" t="b">
        <f t="shared" si="73"/>
        <v>1</v>
      </c>
    </row>
    <row r="775" spans="1:30" ht="15.75" hidden="1" customHeight="1" x14ac:dyDescent="0.2">
      <c r="A775" s="7" t="s">
        <v>677</v>
      </c>
      <c r="B775" s="7"/>
      <c r="C775" s="2" t="s">
        <v>641</v>
      </c>
      <c r="D775" s="6" t="s">
        <v>649</v>
      </c>
      <c r="E775" s="32" t="s">
        <v>651</v>
      </c>
      <c r="F775" s="7"/>
      <c r="G775" s="7"/>
      <c r="H775" s="7"/>
      <c r="I775" s="7"/>
      <c r="J775" s="7">
        <v>1</v>
      </c>
      <c r="K775" s="7" t="s">
        <v>660</v>
      </c>
      <c r="L775" s="7" t="s">
        <v>663</v>
      </c>
      <c r="M775" s="8">
        <v>44260</v>
      </c>
      <c r="N775" s="8">
        <v>44270</v>
      </c>
      <c r="O775" s="13"/>
      <c r="P775" s="13">
        <v>21126.13</v>
      </c>
      <c r="Q775" s="33"/>
      <c r="R775" s="22"/>
      <c r="S775" s="22"/>
      <c r="T775" s="22"/>
      <c r="U775" s="22"/>
      <c r="X775" s="15" t="str">
        <f>IF(B775="",VLOOKUP(A775,items_lookup!A:B,2,FALSE),B775)</f>
        <v>11. Item 11</v>
      </c>
      <c r="Y775" s="15">
        <f t="shared" si="72"/>
        <v>3</v>
      </c>
      <c r="Z775" s="15">
        <f t="shared" si="72"/>
        <v>3</v>
      </c>
      <c r="AA775" s="15">
        <f t="shared" si="69"/>
        <v>2021</v>
      </c>
      <c r="AB775" s="15">
        <f t="shared" si="70"/>
        <v>2021</v>
      </c>
      <c r="AC775" s="15">
        <f t="shared" si="71"/>
        <v>2021</v>
      </c>
      <c r="AD775" s="18" t="b">
        <f t="shared" si="73"/>
        <v>1</v>
      </c>
    </row>
    <row r="776" spans="1:30" ht="15" hidden="1" customHeight="1" x14ac:dyDescent="0.2">
      <c r="A776" s="7" t="s">
        <v>701</v>
      </c>
      <c r="B776" s="7"/>
      <c r="C776" s="2" t="s">
        <v>641</v>
      </c>
      <c r="D776" s="6" t="s">
        <v>649</v>
      </c>
      <c r="E776" s="32" t="s">
        <v>651</v>
      </c>
      <c r="F776" s="7"/>
      <c r="G776" s="7"/>
      <c r="H776" s="7"/>
      <c r="I776" s="7"/>
      <c r="J776" s="7">
        <v>4</v>
      </c>
      <c r="K776" s="7" t="s">
        <v>660</v>
      </c>
      <c r="L776" s="7" t="s">
        <v>663</v>
      </c>
      <c r="M776" s="8">
        <v>44247</v>
      </c>
      <c r="N776" s="8">
        <v>44270</v>
      </c>
      <c r="O776" s="13"/>
      <c r="P776" s="13">
        <v>107.14</v>
      </c>
      <c r="Q776" s="33"/>
      <c r="R776" s="22"/>
      <c r="S776" s="22"/>
      <c r="T776" s="22"/>
      <c r="U776" s="22"/>
      <c r="X776" s="15" t="str">
        <f>IF(B776="",VLOOKUP(A776,items_lookup!A:B,2,FALSE),B776)</f>
        <v>13. Item 13</v>
      </c>
      <c r="Y776" s="15">
        <f t="shared" si="72"/>
        <v>2</v>
      </c>
      <c r="Z776" s="15">
        <f t="shared" si="72"/>
        <v>3</v>
      </c>
      <c r="AA776" s="15">
        <f t="shared" si="69"/>
        <v>2021</v>
      </c>
      <c r="AB776" s="15">
        <f t="shared" si="70"/>
        <v>2021</v>
      </c>
      <c r="AC776" s="15">
        <f t="shared" si="71"/>
        <v>2021</v>
      </c>
      <c r="AD776" s="18" t="b">
        <f t="shared" si="73"/>
        <v>1</v>
      </c>
    </row>
    <row r="777" spans="1:30" ht="12.6" hidden="1" customHeight="1" x14ac:dyDescent="0.2">
      <c r="A777" s="7" t="s">
        <v>680</v>
      </c>
      <c r="B777" s="7"/>
      <c r="C777" s="2" t="s">
        <v>641</v>
      </c>
      <c r="D777" s="6" t="s">
        <v>649</v>
      </c>
      <c r="E777" s="32" t="s">
        <v>651</v>
      </c>
      <c r="F777" s="7"/>
      <c r="G777" s="7"/>
      <c r="H777" s="7"/>
      <c r="I777" s="7" t="s">
        <v>20</v>
      </c>
      <c r="J777" s="7">
        <v>1</v>
      </c>
      <c r="K777" s="7" t="s">
        <v>660</v>
      </c>
      <c r="L777" s="7" t="s">
        <v>663</v>
      </c>
      <c r="M777" s="8">
        <v>44259</v>
      </c>
      <c r="N777" s="8">
        <v>44272</v>
      </c>
      <c r="O777" s="13"/>
      <c r="P777" s="13">
        <v>13701.21</v>
      </c>
      <c r="Q777" s="33"/>
      <c r="R777" s="22"/>
      <c r="S777" s="22"/>
      <c r="T777" s="22"/>
      <c r="U777" s="22"/>
      <c r="X777" s="15" t="str">
        <f>IF(B777="",VLOOKUP(A777,items_lookup!A:B,2,FALSE),B777)</f>
        <v>13. Item 13</v>
      </c>
      <c r="Y777" s="15">
        <f t="shared" si="72"/>
        <v>3</v>
      </c>
      <c r="Z777" s="15">
        <f t="shared" si="72"/>
        <v>3</v>
      </c>
      <c r="AA777" s="15">
        <f t="shared" si="69"/>
        <v>2021</v>
      </c>
      <c r="AB777" s="15">
        <f t="shared" si="70"/>
        <v>2021</v>
      </c>
      <c r="AC777" s="15">
        <f t="shared" si="71"/>
        <v>2021</v>
      </c>
      <c r="AD777" s="18" t="b">
        <f t="shared" si="73"/>
        <v>1</v>
      </c>
    </row>
    <row r="778" spans="1:30" ht="15" hidden="1" customHeight="1" x14ac:dyDescent="0.2">
      <c r="A778" s="7" t="s">
        <v>680</v>
      </c>
      <c r="B778" s="20"/>
      <c r="C778" s="2" t="s">
        <v>641</v>
      </c>
      <c r="D778" s="6" t="s">
        <v>649</v>
      </c>
      <c r="E778" s="32" t="s">
        <v>651</v>
      </c>
      <c r="F778" s="7"/>
      <c r="G778" s="7"/>
      <c r="H778" s="7"/>
      <c r="I778" s="7" t="s">
        <v>20</v>
      </c>
      <c r="J778" s="7">
        <v>1</v>
      </c>
      <c r="K778" s="7" t="s">
        <v>660</v>
      </c>
      <c r="L778" s="7" t="s">
        <v>663</v>
      </c>
      <c r="M778" s="8">
        <v>44259</v>
      </c>
      <c r="N778" s="8">
        <v>44272</v>
      </c>
      <c r="O778" s="13"/>
      <c r="P778" s="13">
        <v>7112.95</v>
      </c>
      <c r="Q778" s="33"/>
      <c r="R778" s="9"/>
      <c r="S778" s="9"/>
      <c r="T778" s="9"/>
      <c r="U778" s="9"/>
      <c r="X778" s="15" t="str">
        <f>IF(B778="",VLOOKUP(A778,items_lookup!A:B,2,FALSE),B778)</f>
        <v>13. Item 13</v>
      </c>
      <c r="Y778" s="15">
        <f t="shared" si="72"/>
        <v>3</v>
      </c>
      <c r="Z778" s="15">
        <f t="shared" si="72"/>
        <v>3</v>
      </c>
      <c r="AA778" s="15">
        <f t="shared" si="69"/>
        <v>2021</v>
      </c>
      <c r="AB778" s="15">
        <f t="shared" si="70"/>
        <v>2021</v>
      </c>
      <c r="AC778" s="15">
        <f t="shared" si="71"/>
        <v>2021</v>
      </c>
      <c r="AD778" s="18" t="b">
        <f t="shared" si="73"/>
        <v>1</v>
      </c>
    </row>
    <row r="779" spans="1:30" ht="15" hidden="1" customHeight="1" x14ac:dyDescent="0.2">
      <c r="A779" s="7" t="s">
        <v>683</v>
      </c>
      <c r="B779" s="20"/>
      <c r="C779" s="2" t="s">
        <v>641</v>
      </c>
      <c r="D779" s="6" t="s">
        <v>649</v>
      </c>
      <c r="E779" s="32" t="s">
        <v>651</v>
      </c>
      <c r="F779" s="7"/>
      <c r="G779" s="7"/>
      <c r="H779" s="7"/>
      <c r="I779" s="7"/>
      <c r="J779" s="7">
        <v>1</v>
      </c>
      <c r="K779" s="7" t="s">
        <v>660</v>
      </c>
      <c r="L779" s="7" t="s">
        <v>663</v>
      </c>
      <c r="M779" s="8">
        <v>44259</v>
      </c>
      <c r="N779" s="8">
        <v>44272</v>
      </c>
      <c r="O779" s="13"/>
      <c r="P779" s="13">
        <v>2856.84</v>
      </c>
      <c r="Q779" s="33"/>
      <c r="R779" s="9"/>
      <c r="S779" s="9"/>
      <c r="T779" s="9"/>
      <c r="U779" s="9"/>
      <c r="X779" s="15" t="str">
        <f>IF(B779="",VLOOKUP(A779,items_lookup!A:B,2,FALSE),B779)</f>
        <v>_1. Item _1</v>
      </c>
      <c r="Y779" s="15">
        <f t="shared" si="72"/>
        <v>3</v>
      </c>
      <c r="Z779" s="15">
        <f t="shared" si="72"/>
        <v>3</v>
      </c>
      <c r="AA779" s="15">
        <f t="shared" si="69"/>
        <v>2021</v>
      </c>
      <c r="AB779" s="15">
        <f t="shared" si="70"/>
        <v>2021</v>
      </c>
      <c r="AC779" s="15">
        <f t="shared" si="71"/>
        <v>2021</v>
      </c>
      <c r="AD779" s="18" t="b">
        <f t="shared" si="73"/>
        <v>1</v>
      </c>
    </row>
    <row r="780" spans="1:30" ht="15" hidden="1" customHeight="1" x14ac:dyDescent="0.2">
      <c r="A780" s="7" t="s">
        <v>683</v>
      </c>
      <c r="B780" s="20"/>
      <c r="C780" s="2" t="s">
        <v>641</v>
      </c>
      <c r="D780" s="6" t="s">
        <v>649</v>
      </c>
      <c r="E780" s="32" t="s">
        <v>651</v>
      </c>
      <c r="F780" s="7"/>
      <c r="G780" s="7"/>
      <c r="H780" s="7"/>
      <c r="I780" s="7" t="s">
        <v>20</v>
      </c>
      <c r="J780" s="7">
        <v>1</v>
      </c>
      <c r="K780" s="7" t="s">
        <v>660</v>
      </c>
      <c r="L780" s="7" t="s">
        <v>663</v>
      </c>
      <c r="M780" s="8">
        <v>44259</v>
      </c>
      <c r="N780" s="8">
        <v>44272</v>
      </c>
      <c r="O780" s="13"/>
      <c r="P780" s="13">
        <v>55572.55</v>
      </c>
      <c r="Q780" s="33"/>
      <c r="R780" s="9"/>
      <c r="S780" s="9"/>
      <c r="T780" s="9"/>
      <c r="U780" s="9"/>
      <c r="X780" s="15" t="str">
        <f>IF(B780="",VLOOKUP(A780,items_lookup!A:B,2,FALSE),B780)</f>
        <v>_1. Item _1</v>
      </c>
      <c r="Y780" s="15">
        <f t="shared" si="72"/>
        <v>3</v>
      </c>
      <c r="Z780" s="15">
        <f t="shared" si="72"/>
        <v>3</v>
      </c>
      <c r="AA780" s="15">
        <f t="shared" si="69"/>
        <v>2021</v>
      </c>
      <c r="AB780" s="15">
        <f t="shared" si="70"/>
        <v>2021</v>
      </c>
      <c r="AC780" s="15">
        <f t="shared" si="71"/>
        <v>2021</v>
      </c>
      <c r="AD780" s="18" t="b">
        <f t="shared" si="73"/>
        <v>1</v>
      </c>
    </row>
    <row r="781" spans="1:30" ht="15" hidden="1" customHeight="1" x14ac:dyDescent="0.2">
      <c r="A781" s="7" t="s">
        <v>683</v>
      </c>
      <c r="B781" s="20"/>
      <c r="C781" s="2" t="s">
        <v>641</v>
      </c>
      <c r="D781" s="6" t="s">
        <v>649</v>
      </c>
      <c r="E781" s="32" t="s">
        <v>651</v>
      </c>
      <c r="F781" s="7"/>
      <c r="G781" s="7"/>
      <c r="H781" s="7"/>
      <c r="I781" s="7"/>
      <c r="J781" s="7">
        <v>1</v>
      </c>
      <c r="K781" s="7" t="s">
        <v>660</v>
      </c>
      <c r="L781" s="7" t="s">
        <v>663</v>
      </c>
      <c r="M781" s="8">
        <v>44259</v>
      </c>
      <c r="N781" s="8">
        <v>44272</v>
      </c>
      <c r="O781" s="13"/>
      <c r="P781" s="13">
        <v>1216.95</v>
      </c>
      <c r="Q781" s="33"/>
      <c r="R781" s="9"/>
      <c r="S781" s="9"/>
      <c r="T781" s="9"/>
      <c r="U781" s="9"/>
      <c r="X781" s="15" t="str">
        <f>IF(B781="",VLOOKUP(A781,items_lookup!A:B,2,FALSE),B781)</f>
        <v>_1. Item _1</v>
      </c>
      <c r="Y781" s="15">
        <f t="shared" si="72"/>
        <v>3</v>
      </c>
      <c r="Z781" s="15">
        <f t="shared" si="72"/>
        <v>3</v>
      </c>
      <c r="AA781" s="15">
        <f t="shared" si="69"/>
        <v>2021</v>
      </c>
      <c r="AB781" s="15">
        <f t="shared" si="70"/>
        <v>2021</v>
      </c>
      <c r="AC781" s="15">
        <f t="shared" si="71"/>
        <v>2021</v>
      </c>
      <c r="AD781" s="18" t="b">
        <f t="shared" si="73"/>
        <v>1</v>
      </c>
    </row>
    <row r="782" spans="1:30" ht="15" hidden="1" customHeight="1" x14ac:dyDescent="0.2">
      <c r="A782" s="7" t="s">
        <v>692</v>
      </c>
      <c r="B782" s="7"/>
      <c r="C782" s="2" t="s">
        <v>641</v>
      </c>
      <c r="D782" s="6" t="s">
        <v>649</v>
      </c>
      <c r="E782" s="32" t="s">
        <v>651</v>
      </c>
      <c r="F782" s="7"/>
      <c r="G782" s="7"/>
      <c r="H782" s="7"/>
      <c r="I782" s="7" t="s">
        <v>20</v>
      </c>
      <c r="J782" s="7">
        <v>1</v>
      </c>
      <c r="K782" s="7" t="s">
        <v>660</v>
      </c>
      <c r="L782" s="7" t="s">
        <v>663</v>
      </c>
      <c r="M782" s="8">
        <v>44259</v>
      </c>
      <c r="N782" s="8">
        <v>44270</v>
      </c>
      <c r="O782" s="13"/>
      <c r="P782" s="13">
        <v>47969.94</v>
      </c>
      <c r="Q782" s="33"/>
      <c r="R782" s="22"/>
      <c r="S782" s="22"/>
      <c r="T782" s="22"/>
      <c r="U782" s="22"/>
      <c r="X782" s="15" t="str">
        <f>IF(B782="",VLOOKUP(A782,items_lookup!A:B,2,FALSE),B782)</f>
        <v>03. Item 03</v>
      </c>
      <c r="Y782" s="15">
        <f t="shared" si="72"/>
        <v>3</v>
      </c>
      <c r="Z782" s="15">
        <f t="shared" si="72"/>
        <v>3</v>
      </c>
      <c r="AA782" s="15">
        <f t="shared" si="69"/>
        <v>2021</v>
      </c>
      <c r="AB782" s="15">
        <f t="shared" si="70"/>
        <v>2021</v>
      </c>
      <c r="AC782" s="15">
        <f t="shared" si="71"/>
        <v>2021</v>
      </c>
      <c r="AD782" s="18" t="b">
        <f t="shared" si="73"/>
        <v>1</v>
      </c>
    </row>
    <row r="783" spans="1:30" ht="15" hidden="1" customHeight="1" x14ac:dyDescent="0.2">
      <c r="A783" s="7" t="s">
        <v>680</v>
      </c>
      <c r="B783" s="7"/>
      <c r="C783" s="2" t="s">
        <v>641</v>
      </c>
      <c r="D783" s="6" t="s">
        <v>649</v>
      </c>
      <c r="E783" s="32" t="s">
        <v>651</v>
      </c>
      <c r="F783" s="7"/>
      <c r="G783" s="7"/>
      <c r="H783" s="7"/>
      <c r="I783" s="7"/>
      <c r="J783" s="7">
        <v>1</v>
      </c>
      <c r="K783" s="7" t="s">
        <v>660</v>
      </c>
      <c r="L783" s="7" t="s">
        <v>663</v>
      </c>
      <c r="M783" s="8">
        <v>44259</v>
      </c>
      <c r="N783" s="8">
        <v>44270</v>
      </c>
      <c r="O783" s="13"/>
      <c r="P783" s="13">
        <v>136200.01</v>
      </c>
      <c r="Q783" s="33"/>
      <c r="R783" s="22"/>
      <c r="S783" s="22"/>
      <c r="T783" s="22"/>
      <c r="U783" s="22"/>
      <c r="X783" s="15" t="str">
        <f>IF(B783="",VLOOKUP(A783,items_lookup!A:B,2,FALSE),B783)</f>
        <v>13. Item 13</v>
      </c>
      <c r="Y783" s="15">
        <f t="shared" si="72"/>
        <v>3</v>
      </c>
      <c r="Z783" s="15">
        <f t="shared" si="72"/>
        <v>3</v>
      </c>
      <c r="AA783" s="15">
        <f t="shared" si="69"/>
        <v>2021</v>
      </c>
      <c r="AB783" s="15">
        <f t="shared" si="70"/>
        <v>2021</v>
      </c>
      <c r="AC783" s="15">
        <f t="shared" si="71"/>
        <v>2021</v>
      </c>
      <c r="AD783" s="18" t="b">
        <f t="shared" si="73"/>
        <v>1</v>
      </c>
    </row>
    <row r="784" spans="1:30" ht="15" hidden="1" customHeight="1" x14ac:dyDescent="0.2">
      <c r="A784" s="7" t="s">
        <v>682</v>
      </c>
      <c r="B784" s="7"/>
      <c r="C784" s="2" t="s">
        <v>641</v>
      </c>
      <c r="D784" s="6" t="s">
        <v>649</v>
      </c>
      <c r="E784" s="32" t="s">
        <v>651</v>
      </c>
      <c r="F784" s="7"/>
      <c r="G784" s="7"/>
      <c r="H784" s="7"/>
      <c r="I784" s="7" t="s">
        <v>20</v>
      </c>
      <c r="J784" s="7">
        <v>3</v>
      </c>
      <c r="K784" s="7" t="s">
        <v>660</v>
      </c>
      <c r="L784" s="7" t="s">
        <v>663</v>
      </c>
      <c r="M784" s="8">
        <v>44256</v>
      </c>
      <c r="N784" s="8">
        <v>44274</v>
      </c>
      <c r="O784" s="13"/>
      <c r="P784" s="13">
        <v>428571.43</v>
      </c>
      <c r="Q784" s="33"/>
      <c r="R784" s="22"/>
      <c r="S784" s="22"/>
      <c r="T784" s="22"/>
      <c r="U784" s="22"/>
      <c r="X784" s="15" t="str">
        <f>IF(B784="",VLOOKUP(A784,items_lookup!A:B,2,FALSE),B784)</f>
        <v>06. Item 06</v>
      </c>
      <c r="Y784" s="15">
        <f t="shared" si="72"/>
        <v>3</v>
      </c>
      <c r="Z784" s="15">
        <f t="shared" si="72"/>
        <v>3</v>
      </c>
      <c r="AA784" s="15">
        <f t="shared" si="69"/>
        <v>2021</v>
      </c>
      <c r="AB784" s="15">
        <f t="shared" si="70"/>
        <v>2021</v>
      </c>
      <c r="AC784" s="15">
        <f t="shared" si="71"/>
        <v>2021</v>
      </c>
      <c r="AD784" s="18" t="b">
        <f t="shared" si="73"/>
        <v>1</v>
      </c>
    </row>
    <row r="785" spans="1:30" ht="15" hidden="1" customHeight="1" x14ac:dyDescent="0.2">
      <c r="A785" s="7" t="s">
        <v>688</v>
      </c>
      <c r="B785" s="20"/>
      <c r="C785" s="2" t="s">
        <v>641</v>
      </c>
      <c r="D785" s="6" t="s">
        <v>649</v>
      </c>
      <c r="E785" s="32" t="s">
        <v>651</v>
      </c>
      <c r="F785" s="7"/>
      <c r="G785" s="7"/>
      <c r="H785" s="7"/>
      <c r="I785" s="7"/>
      <c r="J785" s="7">
        <v>3</v>
      </c>
      <c r="K785" s="7" t="s">
        <v>660</v>
      </c>
      <c r="L785" s="7" t="s">
        <v>663</v>
      </c>
      <c r="M785" s="8">
        <v>44260</v>
      </c>
      <c r="N785" s="8">
        <v>44273</v>
      </c>
      <c r="O785" s="13"/>
      <c r="P785" s="13">
        <v>26104.78</v>
      </c>
      <c r="Q785" s="33"/>
      <c r="R785" s="22"/>
      <c r="S785" s="22"/>
      <c r="T785" s="22"/>
      <c r="U785" s="22"/>
      <c r="X785" s="15" t="str">
        <f>IF(B785="",VLOOKUP(A785,items_lookup!A:B,2,FALSE),B785)</f>
        <v>09. Item 09</v>
      </c>
      <c r="Y785" s="15">
        <f t="shared" si="72"/>
        <v>3</v>
      </c>
      <c r="Z785" s="15">
        <f t="shared" si="72"/>
        <v>3</v>
      </c>
      <c r="AA785" s="15">
        <f t="shared" si="69"/>
        <v>2021</v>
      </c>
      <c r="AB785" s="15">
        <f t="shared" si="70"/>
        <v>2021</v>
      </c>
      <c r="AC785" s="15">
        <f t="shared" si="71"/>
        <v>2021</v>
      </c>
      <c r="AD785" s="18" t="b">
        <f t="shared" si="73"/>
        <v>1</v>
      </c>
    </row>
    <row r="786" spans="1:30" ht="15.75" hidden="1" customHeight="1" x14ac:dyDescent="0.2">
      <c r="A786" s="7" t="s">
        <v>683</v>
      </c>
      <c r="B786" s="20"/>
      <c r="C786" s="2" t="s">
        <v>641</v>
      </c>
      <c r="D786" s="6" t="s">
        <v>649</v>
      </c>
      <c r="E786" s="32" t="s">
        <v>651</v>
      </c>
      <c r="F786" s="7"/>
      <c r="G786" s="7"/>
      <c r="H786" s="7"/>
      <c r="I786" s="7" t="s">
        <v>20</v>
      </c>
      <c r="J786" s="7">
        <v>3</v>
      </c>
      <c r="K786" s="7" t="s">
        <v>660</v>
      </c>
      <c r="L786" s="7" t="s">
        <v>663</v>
      </c>
      <c r="M786" s="8">
        <v>44260</v>
      </c>
      <c r="N786" s="8">
        <v>44273</v>
      </c>
      <c r="O786" s="13"/>
      <c r="P786" s="13">
        <v>35714.29</v>
      </c>
      <c r="Q786" s="33"/>
      <c r="R786" s="22"/>
      <c r="S786" s="22"/>
      <c r="T786" s="22"/>
      <c r="U786" s="22"/>
      <c r="X786" s="15" t="str">
        <f>IF(B786="",VLOOKUP(A786,items_lookup!A:B,2,FALSE),B786)</f>
        <v>_1. Item _1</v>
      </c>
      <c r="Y786" s="15">
        <f t="shared" si="72"/>
        <v>3</v>
      </c>
      <c r="Z786" s="15">
        <f t="shared" si="72"/>
        <v>3</v>
      </c>
      <c r="AA786" s="15">
        <f t="shared" si="69"/>
        <v>2021</v>
      </c>
      <c r="AB786" s="15">
        <f t="shared" si="70"/>
        <v>2021</v>
      </c>
      <c r="AC786" s="15">
        <f t="shared" si="71"/>
        <v>2021</v>
      </c>
      <c r="AD786" s="18" t="b">
        <f t="shared" si="73"/>
        <v>1</v>
      </c>
    </row>
    <row r="787" spans="1:30" ht="15.75" hidden="1" customHeight="1" x14ac:dyDescent="0.2">
      <c r="A787" s="7" t="s">
        <v>683</v>
      </c>
      <c r="B787" s="7"/>
      <c r="C787" s="2" t="s">
        <v>641</v>
      </c>
      <c r="D787" s="6" t="s">
        <v>649</v>
      </c>
      <c r="E787" s="32" t="s">
        <v>651</v>
      </c>
      <c r="F787" s="7"/>
      <c r="G787" s="7"/>
      <c r="H787" s="7"/>
      <c r="I787" s="7" t="s">
        <v>20</v>
      </c>
      <c r="J787" s="7">
        <v>1</v>
      </c>
      <c r="K787" s="7" t="s">
        <v>660</v>
      </c>
      <c r="L787" s="7" t="s">
        <v>663</v>
      </c>
      <c r="M787" s="8">
        <v>44256</v>
      </c>
      <c r="N787" s="8">
        <v>44274</v>
      </c>
      <c r="O787" s="13"/>
      <c r="P787" s="13">
        <v>392831.56</v>
      </c>
      <c r="Q787" s="33"/>
      <c r="R787" s="22"/>
      <c r="S787" s="22"/>
      <c r="T787" s="22"/>
      <c r="U787" s="22"/>
      <c r="X787" s="15" t="str">
        <f>IF(B787="",VLOOKUP(A787,items_lookup!A:B,2,FALSE),B787)</f>
        <v>_1. Item _1</v>
      </c>
      <c r="Y787" s="15">
        <f t="shared" si="72"/>
        <v>3</v>
      </c>
      <c r="Z787" s="15">
        <f t="shared" si="72"/>
        <v>3</v>
      </c>
      <c r="AA787" s="15">
        <f t="shared" si="69"/>
        <v>2021</v>
      </c>
      <c r="AB787" s="15">
        <f t="shared" si="70"/>
        <v>2021</v>
      </c>
      <c r="AC787" s="15">
        <f t="shared" si="71"/>
        <v>2021</v>
      </c>
      <c r="AD787" s="18" t="b">
        <f t="shared" si="73"/>
        <v>1</v>
      </c>
    </row>
    <row r="788" spans="1:30" ht="15" hidden="1" customHeight="1" x14ac:dyDescent="0.2">
      <c r="A788" s="7" t="s">
        <v>683</v>
      </c>
      <c r="B788" s="7"/>
      <c r="C788" s="2" t="s">
        <v>641</v>
      </c>
      <c r="D788" s="6" t="s">
        <v>649</v>
      </c>
      <c r="E788" s="32" t="s">
        <v>651</v>
      </c>
      <c r="F788" s="7"/>
      <c r="G788" s="7"/>
      <c r="H788" s="7"/>
      <c r="I788" s="7"/>
      <c r="J788" s="7"/>
      <c r="K788" s="7" t="s">
        <v>660</v>
      </c>
      <c r="L788" s="7" t="s">
        <v>663</v>
      </c>
      <c r="M788" s="8">
        <v>44265</v>
      </c>
      <c r="N788" s="8">
        <v>44265</v>
      </c>
      <c r="O788" s="13"/>
      <c r="P788" s="13">
        <v>4132.21</v>
      </c>
      <c r="Q788" s="33"/>
      <c r="R788" s="22"/>
      <c r="S788" s="22"/>
      <c r="T788" s="22"/>
      <c r="U788" s="22"/>
      <c r="X788" s="15" t="str">
        <f>IF(B788="",VLOOKUP(A788,items_lookup!A:B,2,FALSE),B788)</f>
        <v>_1. Item _1</v>
      </c>
      <c r="Y788" s="15">
        <f t="shared" si="72"/>
        <v>3</v>
      </c>
      <c r="Z788" s="15">
        <f t="shared" si="72"/>
        <v>3</v>
      </c>
      <c r="AA788" s="15">
        <f t="shared" si="69"/>
        <v>2021</v>
      </c>
      <c r="AB788" s="15">
        <f t="shared" si="70"/>
        <v>2021</v>
      </c>
      <c r="AC788" s="15">
        <f t="shared" si="71"/>
        <v>2021</v>
      </c>
      <c r="AD788" s="18" t="b">
        <f t="shared" si="73"/>
        <v>1</v>
      </c>
    </row>
    <row r="789" spans="1:30" ht="15" hidden="1" customHeight="1" x14ac:dyDescent="0.2">
      <c r="A789" s="7" t="s">
        <v>683</v>
      </c>
      <c r="B789" s="7"/>
      <c r="C789" s="2" t="s">
        <v>641</v>
      </c>
      <c r="D789" s="6" t="s">
        <v>650</v>
      </c>
      <c r="E789" s="32" t="s">
        <v>651</v>
      </c>
      <c r="F789" s="7"/>
      <c r="G789" s="7"/>
      <c r="H789" s="7"/>
      <c r="I789" s="7"/>
      <c r="J789" s="7">
        <v>4</v>
      </c>
      <c r="K789" s="7" t="s">
        <v>660</v>
      </c>
      <c r="L789" s="7" t="s">
        <v>663</v>
      </c>
      <c r="M789" s="8">
        <v>44265</v>
      </c>
      <c r="N789" s="8">
        <v>44265</v>
      </c>
      <c r="O789" s="13"/>
      <c r="P789" s="13">
        <v>4132.21</v>
      </c>
      <c r="Q789" s="33"/>
      <c r="R789" s="22"/>
      <c r="S789" s="22"/>
      <c r="T789" s="22"/>
      <c r="U789" s="22"/>
      <c r="X789" s="15" t="str">
        <f>IF(B789="",VLOOKUP(A789,items_lookup!A:B,2,FALSE),B789)</f>
        <v>_1. Item _1</v>
      </c>
      <c r="Y789" s="15">
        <f t="shared" si="72"/>
        <v>3</v>
      </c>
      <c r="Z789" s="15">
        <f t="shared" si="72"/>
        <v>3</v>
      </c>
      <c r="AA789" s="15">
        <f t="shared" si="69"/>
        <v>2021</v>
      </c>
      <c r="AB789" s="15">
        <f t="shared" si="70"/>
        <v>2021</v>
      </c>
      <c r="AC789" s="15">
        <f t="shared" si="71"/>
        <v>2021</v>
      </c>
      <c r="AD789" s="18" t="b">
        <f t="shared" si="73"/>
        <v>1</v>
      </c>
    </row>
    <row r="790" spans="1:30" ht="12.6" hidden="1" customHeight="1" x14ac:dyDescent="0.2">
      <c r="A790" s="7" t="s">
        <v>683</v>
      </c>
      <c r="B790" s="7"/>
      <c r="C790" s="2" t="s">
        <v>641</v>
      </c>
      <c r="D790" s="6" t="s">
        <v>649</v>
      </c>
      <c r="E790" s="32" t="s">
        <v>651</v>
      </c>
      <c r="F790" s="7"/>
      <c r="G790" s="7"/>
      <c r="H790" s="7"/>
      <c r="I790" s="7"/>
      <c r="J790" s="7"/>
      <c r="K790" s="7" t="s">
        <v>660</v>
      </c>
      <c r="L790" s="7" t="s">
        <v>663</v>
      </c>
      <c r="M790" s="8">
        <v>44266</v>
      </c>
      <c r="N790" s="8">
        <v>44266</v>
      </c>
      <c r="O790" s="13"/>
      <c r="P790" s="13">
        <v>8612992.8499999996</v>
      </c>
      <c r="Q790" s="33"/>
      <c r="R790" s="22"/>
      <c r="S790" s="22"/>
      <c r="T790" s="22"/>
      <c r="U790" s="22"/>
      <c r="X790" s="15" t="str">
        <f>IF(B790="",VLOOKUP(A790,items_lookup!A:B,2,FALSE),B790)</f>
        <v>_1. Item _1</v>
      </c>
      <c r="Y790" s="15">
        <f t="shared" si="72"/>
        <v>3</v>
      </c>
      <c r="Z790" s="15">
        <f t="shared" si="72"/>
        <v>3</v>
      </c>
      <c r="AA790" s="15">
        <f t="shared" si="69"/>
        <v>2021</v>
      </c>
      <c r="AB790" s="15">
        <f t="shared" si="70"/>
        <v>2021</v>
      </c>
      <c r="AC790" s="15">
        <f t="shared" si="71"/>
        <v>2021</v>
      </c>
      <c r="AD790" s="18" t="b">
        <f t="shared" si="73"/>
        <v>1</v>
      </c>
    </row>
    <row r="791" spans="1:30" ht="15" hidden="1" customHeight="1" x14ac:dyDescent="0.2">
      <c r="A791" s="7" t="s">
        <v>683</v>
      </c>
      <c r="B791" s="7"/>
      <c r="C791" s="2" t="s">
        <v>641</v>
      </c>
      <c r="D791" s="6" t="s">
        <v>649</v>
      </c>
      <c r="E791" s="32" t="s">
        <v>651</v>
      </c>
      <c r="F791" s="7"/>
      <c r="G791" s="7"/>
      <c r="H791" s="7"/>
      <c r="I791" s="7"/>
      <c r="J791" s="7">
        <v>3</v>
      </c>
      <c r="K791" s="7" t="s">
        <v>660</v>
      </c>
      <c r="L791" s="7" t="s">
        <v>663</v>
      </c>
      <c r="M791" s="8">
        <v>44270</v>
      </c>
      <c r="N791" s="8">
        <v>44286</v>
      </c>
      <c r="O791" s="13"/>
      <c r="P791" s="13">
        <v>7649031.71</v>
      </c>
      <c r="Q791" s="33"/>
      <c r="R791" s="22"/>
      <c r="S791" s="22"/>
      <c r="T791" s="22"/>
      <c r="U791" s="22"/>
      <c r="X791" s="15" t="str">
        <f>IF(B791="",VLOOKUP(A791,items_lookup!A:B,2,FALSE),B791)</f>
        <v>_1. Item _1</v>
      </c>
      <c r="Y791" s="15">
        <f t="shared" si="72"/>
        <v>3</v>
      </c>
      <c r="Z791" s="15">
        <f t="shared" si="72"/>
        <v>3</v>
      </c>
      <c r="AA791" s="15">
        <f t="shared" si="69"/>
        <v>2021</v>
      </c>
      <c r="AB791" s="15">
        <f t="shared" si="70"/>
        <v>2021</v>
      </c>
      <c r="AC791" s="15">
        <f t="shared" si="71"/>
        <v>2021</v>
      </c>
      <c r="AD791" s="18" t="b">
        <f t="shared" si="73"/>
        <v>1</v>
      </c>
    </row>
    <row r="792" spans="1:30" ht="15" hidden="1" customHeight="1" x14ac:dyDescent="0.2">
      <c r="A792" s="7" t="s">
        <v>697</v>
      </c>
      <c r="B792" s="7"/>
      <c r="C792" s="2" t="s">
        <v>641</v>
      </c>
      <c r="D792" s="6" t="s">
        <v>649</v>
      </c>
      <c r="E792" s="32" t="s">
        <v>651</v>
      </c>
      <c r="F792" s="7"/>
      <c r="G792" s="7"/>
      <c r="H792" s="7"/>
      <c r="I792" s="7"/>
      <c r="J792" s="7">
        <v>3</v>
      </c>
      <c r="K792" s="7" t="s">
        <v>660</v>
      </c>
      <c r="L792" s="7" t="s">
        <v>663</v>
      </c>
      <c r="M792" s="8">
        <v>44270</v>
      </c>
      <c r="N792" s="8">
        <v>44286</v>
      </c>
      <c r="O792" s="13"/>
      <c r="P792" s="13">
        <v>5699178.4000000004</v>
      </c>
      <c r="Q792" s="33"/>
      <c r="R792" s="22"/>
      <c r="S792" s="22"/>
      <c r="T792" s="22"/>
      <c r="U792" s="22"/>
      <c r="X792" s="15" t="str">
        <f>IF(B792="",VLOOKUP(A792,items_lookup!A:B,2,FALSE),B792)</f>
        <v>10. Item 10</v>
      </c>
      <c r="Y792" s="15">
        <f t="shared" si="72"/>
        <v>3</v>
      </c>
      <c r="Z792" s="15">
        <f t="shared" si="72"/>
        <v>3</v>
      </c>
      <c r="AA792" s="15">
        <f t="shared" si="69"/>
        <v>2021</v>
      </c>
      <c r="AB792" s="15">
        <f t="shared" si="70"/>
        <v>2021</v>
      </c>
      <c r="AC792" s="15">
        <f t="shared" si="71"/>
        <v>2021</v>
      </c>
      <c r="AD792" s="18" t="b">
        <f t="shared" si="73"/>
        <v>1</v>
      </c>
    </row>
    <row r="793" spans="1:30" ht="15" hidden="1" customHeight="1" x14ac:dyDescent="0.2">
      <c r="A793" s="7" t="s">
        <v>682</v>
      </c>
      <c r="B793" s="7"/>
      <c r="C793" s="2" t="s">
        <v>641</v>
      </c>
      <c r="D793" s="6" t="s">
        <v>649</v>
      </c>
      <c r="E793" s="32" t="s">
        <v>651</v>
      </c>
      <c r="F793" s="7"/>
      <c r="G793" s="7"/>
      <c r="H793" s="7"/>
      <c r="I793" s="7"/>
      <c r="J793" s="7">
        <v>3</v>
      </c>
      <c r="K793" s="7" t="s">
        <v>660</v>
      </c>
      <c r="L793" s="7" t="s">
        <v>663</v>
      </c>
      <c r="M793" s="8">
        <v>44270</v>
      </c>
      <c r="N793" s="8">
        <v>44279</v>
      </c>
      <c r="O793" s="13"/>
      <c r="P793" s="13">
        <v>48440.31</v>
      </c>
      <c r="Q793" s="33"/>
      <c r="R793" s="22"/>
      <c r="S793" s="22"/>
      <c r="T793" s="22"/>
      <c r="U793" s="22"/>
      <c r="X793" s="15" t="str">
        <f>IF(B793="",VLOOKUP(A793,items_lookup!A:B,2,FALSE),B793)</f>
        <v>06. Item 06</v>
      </c>
      <c r="Y793" s="15">
        <f t="shared" si="72"/>
        <v>3</v>
      </c>
      <c r="Z793" s="15">
        <f t="shared" si="72"/>
        <v>3</v>
      </c>
      <c r="AA793" s="15">
        <f t="shared" si="69"/>
        <v>2021</v>
      </c>
      <c r="AB793" s="15">
        <f t="shared" si="70"/>
        <v>2021</v>
      </c>
      <c r="AC793" s="15">
        <f t="shared" si="71"/>
        <v>2021</v>
      </c>
      <c r="AD793" s="18" t="b">
        <f t="shared" si="73"/>
        <v>1</v>
      </c>
    </row>
    <row r="794" spans="1:30" ht="15" hidden="1" customHeight="1" x14ac:dyDescent="0.2">
      <c r="A794" s="7" t="s">
        <v>668</v>
      </c>
      <c r="B794" s="7"/>
      <c r="C794" s="2" t="s">
        <v>641</v>
      </c>
      <c r="D794" s="6" t="s">
        <v>649</v>
      </c>
      <c r="E794" s="32" t="s">
        <v>651</v>
      </c>
      <c r="F794" s="7"/>
      <c r="G794" s="7"/>
      <c r="H794" s="7"/>
      <c r="I794" s="7"/>
      <c r="J794" s="7">
        <v>3</v>
      </c>
      <c r="K794" s="7" t="s">
        <v>660</v>
      </c>
      <c r="L794" s="7" t="s">
        <v>663</v>
      </c>
      <c r="M794" s="8">
        <v>44270</v>
      </c>
      <c r="N794" s="8">
        <v>44279</v>
      </c>
      <c r="O794" s="13"/>
      <c r="P794" s="13">
        <v>675220.3</v>
      </c>
      <c r="Q794" s="33"/>
      <c r="R794" s="22"/>
      <c r="S794" s="22"/>
      <c r="T794" s="22"/>
      <c r="U794" s="22"/>
      <c r="X794" s="15" t="str">
        <f>IF(B794="",VLOOKUP(A794,items_lookup!A:B,2,FALSE),B794)</f>
        <v>01. Item 01</v>
      </c>
      <c r="Y794" s="15">
        <f t="shared" si="72"/>
        <v>3</v>
      </c>
      <c r="Z794" s="15">
        <f t="shared" si="72"/>
        <v>3</v>
      </c>
      <c r="AA794" s="15">
        <f t="shared" si="69"/>
        <v>2021</v>
      </c>
      <c r="AB794" s="15">
        <f t="shared" si="70"/>
        <v>2021</v>
      </c>
      <c r="AC794" s="15">
        <f t="shared" si="71"/>
        <v>2021</v>
      </c>
      <c r="AD794" s="18" t="b">
        <f t="shared" si="73"/>
        <v>1</v>
      </c>
    </row>
    <row r="795" spans="1:30" ht="15" hidden="1" customHeight="1" x14ac:dyDescent="0.2">
      <c r="A795" s="7" t="s">
        <v>669</v>
      </c>
      <c r="B795" s="7"/>
      <c r="C795" s="2" t="s">
        <v>641</v>
      </c>
      <c r="D795" s="6" t="s">
        <v>649</v>
      </c>
      <c r="E795" s="32" t="s">
        <v>651</v>
      </c>
      <c r="F795" s="7"/>
      <c r="G795" s="7"/>
      <c r="H795" s="7"/>
      <c r="I795" s="7" t="s">
        <v>20</v>
      </c>
      <c r="J795" s="7">
        <v>1</v>
      </c>
      <c r="K795" s="7" t="s">
        <v>660</v>
      </c>
      <c r="L795" s="7" t="s">
        <v>663</v>
      </c>
      <c r="M795" s="8">
        <v>44256</v>
      </c>
      <c r="N795" s="8">
        <v>44272</v>
      </c>
      <c r="O795" s="13"/>
      <c r="P795" s="13">
        <v>491917.41</v>
      </c>
      <c r="Q795" s="33"/>
      <c r="R795" s="22"/>
      <c r="S795" s="22"/>
      <c r="T795" s="22"/>
      <c r="U795" s="22"/>
      <c r="X795" s="15" t="str">
        <f>IF(B795="",VLOOKUP(A795,items_lookup!A:B,2,FALSE),B795)</f>
        <v>02. Item 02</v>
      </c>
      <c r="Y795" s="15">
        <f t="shared" si="72"/>
        <v>3</v>
      </c>
      <c r="Z795" s="15">
        <f t="shared" si="72"/>
        <v>3</v>
      </c>
      <c r="AA795" s="15">
        <f t="shared" si="69"/>
        <v>2021</v>
      </c>
      <c r="AB795" s="15">
        <f t="shared" si="70"/>
        <v>2021</v>
      </c>
      <c r="AC795" s="15">
        <f t="shared" si="71"/>
        <v>2021</v>
      </c>
      <c r="AD795" s="18" t="b">
        <f t="shared" si="73"/>
        <v>1</v>
      </c>
    </row>
    <row r="796" spans="1:30" ht="15" hidden="1" customHeight="1" x14ac:dyDescent="0.2">
      <c r="A796" s="7" t="s">
        <v>689</v>
      </c>
      <c r="B796" s="7"/>
      <c r="C796" s="2" t="s">
        <v>641</v>
      </c>
      <c r="D796" s="6" t="s">
        <v>649</v>
      </c>
      <c r="E796" s="32" t="s">
        <v>651</v>
      </c>
      <c r="F796" s="7"/>
      <c r="G796" s="7"/>
      <c r="H796" s="7"/>
      <c r="I796" s="7"/>
      <c r="J796" s="7">
        <v>3</v>
      </c>
      <c r="K796" s="7" t="s">
        <v>660</v>
      </c>
      <c r="L796" s="7" t="s">
        <v>663</v>
      </c>
      <c r="M796" s="8">
        <v>44270</v>
      </c>
      <c r="N796" s="8">
        <v>44279</v>
      </c>
      <c r="O796" s="13"/>
      <c r="P796" s="13">
        <v>127990.99</v>
      </c>
      <c r="Q796" s="33"/>
      <c r="R796" s="22"/>
      <c r="S796" s="22"/>
      <c r="T796" s="22"/>
      <c r="U796" s="22"/>
      <c r="X796" s="15" t="str">
        <f>IF(B796="",VLOOKUP(A796,items_lookup!A:B,2,FALSE),B796)</f>
        <v>04. Item 04</v>
      </c>
      <c r="Y796" s="15">
        <f t="shared" si="72"/>
        <v>3</v>
      </c>
      <c r="Z796" s="15">
        <f t="shared" si="72"/>
        <v>3</v>
      </c>
      <c r="AA796" s="15">
        <f t="shared" si="69"/>
        <v>2021</v>
      </c>
      <c r="AB796" s="15">
        <f t="shared" si="70"/>
        <v>2021</v>
      </c>
      <c r="AC796" s="15">
        <f t="shared" si="71"/>
        <v>2021</v>
      </c>
      <c r="AD796" s="18" t="b">
        <f t="shared" si="73"/>
        <v>1</v>
      </c>
    </row>
    <row r="797" spans="1:30" ht="15" hidden="1" customHeight="1" x14ac:dyDescent="0.2">
      <c r="A797" s="7" t="s">
        <v>671</v>
      </c>
      <c r="B797" s="7"/>
      <c r="C797" s="2" t="s">
        <v>641</v>
      </c>
      <c r="D797" s="6" t="s">
        <v>649</v>
      </c>
      <c r="E797" s="32" t="s">
        <v>651</v>
      </c>
      <c r="F797" s="7"/>
      <c r="G797" s="7"/>
      <c r="H797" s="7"/>
      <c r="I797" s="7"/>
      <c r="J797" s="7">
        <v>3</v>
      </c>
      <c r="K797" s="7" t="s">
        <v>660</v>
      </c>
      <c r="L797" s="7" t="s">
        <v>663</v>
      </c>
      <c r="M797" s="8">
        <v>44260</v>
      </c>
      <c r="N797" s="8">
        <v>44274</v>
      </c>
      <c r="O797" s="13"/>
      <c r="P797" s="13">
        <v>22804.69</v>
      </c>
      <c r="Q797" s="33"/>
      <c r="R797" s="22"/>
      <c r="S797" s="22"/>
      <c r="T797" s="22"/>
      <c r="U797" s="22"/>
      <c r="X797" s="15" t="str">
        <f>IF(B797="",VLOOKUP(A797,items_lookup!A:B,2,FALSE),B797)</f>
        <v>05. Item 05</v>
      </c>
      <c r="Y797" s="15">
        <f t="shared" si="72"/>
        <v>3</v>
      </c>
      <c r="Z797" s="15">
        <f t="shared" si="72"/>
        <v>3</v>
      </c>
      <c r="AA797" s="15">
        <f t="shared" ref="AA797:AA853" si="74">YEAR(N797)</f>
        <v>2021</v>
      </c>
      <c r="AB797" s="15">
        <f t="shared" ref="AB797:AB853" si="75">YEAR(M797)</f>
        <v>2021</v>
      </c>
      <c r="AC797" s="15">
        <f t="shared" ref="AC797:AC853" si="76">IF(F797="X",AA797-1,AA797)</f>
        <v>2021</v>
      </c>
      <c r="AD797" s="18" t="b">
        <f t="shared" si="73"/>
        <v>1</v>
      </c>
    </row>
    <row r="798" spans="1:30" ht="15" hidden="1" customHeight="1" x14ac:dyDescent="0.2">
      <c r="A798" s="7" t="s">
        <v>671</v>
      </c>
      <c r="B798" s="7"/>
      <c r="C798" s="2" t="s">
        <v>641</v>
      </c>
      <c r="D798" s="6" t="s">
        <v>649</v>
      </c>
      <c r="E798" s="32" t="s">
        <v>651</v>
      </c>
      <c r="F798" s="7"/>
      <c r="G798" s="7"/>
      <c r="H798" s="7"/>
      <c r="I798" s="7"/>
      <c r="J798" s="7">
        <v>3</v>
      </c>
      <c r="K798" s="7" t="s">
        <v>660</v>
      </c>
      <c r="L798" s="7" t="s">
        <v>663</v>
      </c>
      <c r="M798" s="8">
        <v>44270</v>
      </c>
      <c r="N798" s="8">
        <v>44279</v>
      </c>
      <c r="O798" s="13"/>
      <c r="P798" s="13">
        <v>22.69</v>
      </c>
      <c r="Q798" s="33"/>
      <c r="R798" s="22"/>
      <c r="S798" s="22"/>
      <c r="T798" s="22"/>
      <c r="U798" s="22"/>
      <c r="X798" s="15" t="str">
        <f>IF(B798="",VLOOKUP(A798,items_lookup!A:B,2,FALSE),B798)</f>
        <v>05. Item 05</v>
      </c>
      <c r="Y798" s="15">
        <f t="shared" si="72"/>
        <v>3</v>
      </c>
      <c r="Z798" s="15">
        <f t="shared" si="72"/>
        <v>3</v>
      </c>
      <c r="AA798" s="15">
        <f t="shared" si="74"/>
        <v>2021</v>
      </c>
      <c r="AB798" s="15">
        <f t="shared" si="75"/>
        <v>2021</v>
      </c>
      <c r="AC798" s="15">
        <f t="shared" si="76"/>
        <v>2021</v>
      </c>
      <c r="AD798" s="18" t="b">
        <f t="shared" si="73"/>
        <v>1</v>
      </c>
    </row>
    <row r="799" spans="1:30" ht="15" hidden="1" customHeight="1" x14ac:dyDescent="0.2">
      <c r="A799" s="7" t="s">
        <v>672</v>
      </c>
      <c r="B799" s="20"/>
      <c r="C799" s="2" t="s">
        <v>641</v>
      </c>
      <c r="D799" s="6" t="s">
        <v>649</v>
      </c>
      <c r="E799" s="32" t="s">
        <v>651</v>
      </c>
      <c r="F799" s="7"/>
      <c r="G799" s="7"/>
      <c r="H799" s="7"/>
      <c r="I799" s="7"/>
      <c r="J799" s="7">
        <v>3</v>
      </c>
      <c r="K799" s="7" t="s">
        <v>660</v>
      </c>
      <c r="L799" s="7" t="s">
        <v>663</v>
      </c>
      <c r="M799" s="8">
        <v>44267</v>
      </c>
      <c r="N799" s="8">
        <v>44277</v>
      </c>
      <c r="O799" s="13"/>
      <c r="P799" s="13">
        <v>66830.87</v>
      </c>
      <c r="Q799" s="33"/>
      <c r="R799" s="22"/>
      <c r="S799" s="22"/>
      <c r="T799" s="22"/>
      <c r="U799" s="22"/>
      <c r="X799" s="15" t="str">
        <f>IF(B799="",VLOOKUP(A799,items_lookup!A:B,2,FALSE),B799)</f>
        <v>05. Item 05</v>
      </c>
      <c r="Y799" s="15">
        <f t="shared" si="72"/>
        <v>3</v>
      </c>
      <c r="Z799" s="15">
        <f t="shared" si="72"/>
        <v>3</v>
      </c>
      <c r="AA799" s="15">
        <f t="shared" si="74"/>
        <v>2021</v>
      </c>
      <c r="AB799" s="15">
        <f t="shared" si="75"/>
        <v>2021</v>
      </c>
      <c r="AC799" s="15">
        <f t="shared" si="76"/>
        <v>2021</v>
      </c>
      <c r="AD799" s="18" t="b">
        <f t="shared" si="73"/>
        <v>1</v>
      </c>
    </row>
    <row r="800" spans="1:30" ht="15.75" hidden="1" customHeight="1" x14ac:dyDescent="0.2">
      <c r="A800" s="7" t="s">
        <v>682</v>
      </c>
      <c r="B800" s="20"/>
      <c r="C800" s="2" t="s">
        <v>641</v>
      </c>
      <c r="D800" s="6" t="s">
        <v>649</v>
      </c>
      <c r="E800" s="32" t="s">
        <v>651</v>
      </c>
      <c r="F800" s="7"/>
      <c r="G800" s="7"/>
      <c r="H800" s="7"/>
      <c r="I800" s="7"/>
      <c r="J800" s="7">
        <v>3</v>
      </c>
      <c r="K800" s="7" t="s">
        <v>660</v>
      </c>
      <c r="L800" s="7" t="s">
        <v>663</v>
      </c>
      <c r="M800" s="8">
        <v>44270</v>
      </c>
      <c r="N800" s="8">
        <v>44278</v>
      </c>
      <c r="O800" s="13"/>
      <c r="P800" s="13">
        <v>209.09</v>
      </c>
      <c r="Q800" s="33"/>
      <c r="R800" s="22"/>
      <c r="S800" s="22"/>
      <c r="T800" s="22"/>
      <c r="U800" s="22"/>
      <c r="X800" s="15" t="str">
        <f>IF(B800="",VLOOKUP(A800,items_lookup!A:B,2,FALSE),B800)</f>
        <v>06. Item 06</v>
      </c>
      <c r="Y800" s="15">
        <f t="shared" si="72"/>
        <v>3</v>
      </c>
      <c r="Z800" s="15">
        <f t="shared" si="72"/>
        <v>3</v>
      </c>
      <c r="AA800" s="15">
        <f t="shared" si="74"/>
        <v>2021</v>
      </c>
      <c r="AB800" s="15">
        <f t="shared" si="75"/>
        <v>2021</v>
      </c>
      <c r="AC800" s="15">
        <f t="shared" si="76"/>
        <v>2021</v>
      </c>
      <c r="AD800" s="18" t="b">
        <f t="shared" si="73"/>
        <v>1</v>
      </c>
    </row>
    <row r="801" spans="1:30" ht="15.75" hidden="1" customHeight="1" x14ac:dyDescent="0.2">
      <c r="A801" s="7" t="s">
        <v>673</v>
      </c>
      <c r="B801" s="20"/>
      <c r="C801" s="2" t="s">
        <v>641</v>
      </c>
      <c r="D801" s="6" t="s">
        <v>649</v>
      </c>
      <c r="E801" s="32" t="s">
        <v>651</v>
      </c>
      <c r="F801" s="7"/>
      <c r="G801" s="7"/>
      <c r="H801" s="7"/>
      <c r="I801" s="7"/>
      <c r="J801" s="7">
        <v>3</v>
      </c>
      <c r="K801" s="7" t="s">
        <v>660</v>
      </c>
      <c r="L801" s="7" t="s">
        <v>663</v>
      </c>
      <c r="M801" s="8">
        <v>44270</v>
      </c>
      <c r="N801" s="8">
        <v>44286</v>
      </c>
      <c r="O801" s="13"/>
      <c r="P801" s="13">
        <v>13095.24</v>
      </c>
      <c r="Q801" s="33"/>
      <c r="R801" s="22"/>
      <c r="S801" s="22"/>
      <c r="T801" s="22"/>
      <c r="U801" s="22"/>
      <c r="X801" s="15" t="str">
        <f>IF(B801="",VLOOKUP(A801,items_lookup!A:B,2,FALSE),B801)</f>
        <v>07. Item 07</v>
      </c>
      <c r="Y801" s="15">
        <f t="shared" si="72"/>
        <v>3</v>
      </c>
      <c r="Z801" s="15">
        <f t="shared" si="72"/>
        <v>3</v>
      </c>
      <c r="AA801" s="15">
        <f t="shared" si="74"/>
        <v>2021</v>
      </c>
      <c r="AB801" s="15">
        <f t="shared" si="75"/>
        <v>2021</v>
      </c>
      <c r="AC801" s="15">
        <f t="shared" si="76"/>
        <v>2021</v>
      </c>
      <c r="AD801" s="18" t="b">
        <f t="shared" si="73"/>
        <v>1</v>
      </c>
    </row>
    <row r="802" spans="1:30" ht="15.75" hidden="1" customHeight="1" x14ac:dyDescent="0.2">
      <c r="A802" s="7" t="s">
        <v>676</v>
      </c>
      <c r="B802" s="7"/>
      <c r="C802" s="2" t="s">
        <v>641</v>
      </c>
      <c r="D802" s="6" t="s">
        <v>649</v>
      </c>
      <c r="E802" s="32" t="s">
        <v>651</v>
      </c>
      <c r="F802" s="7"/>
      <c r="G802" s="7"/>
      <c r="H802" s="7"/>
      <c r="I802" s="7"/>
      <c r="J802" s="7">
        <v>3</v>
      </c>
      <c r="K802" s="7" t="s">
        <v>660</v>
      </c>
      <c r="L802" s="7" t="s">
        <v>663</v>
      </c>
      <c r="M802" s="8">
        <v>44270</v>
      </c>
      <c r="N802" s="8">
        <v>44278</v>
      </c>
      <c r="O802" s="13"/>
      <c r="P802" s="13">
        <v>67575.259999999995</v>
      </c>
      <c r="Q802" s="33"/>
      <c r="R802" s="22"/>
      <c r="S802" s="22"/>
      <c r="T802" s="22"/>
      <c r="U802" s="22"/>
      <c r="X802" s="15" t="str">
        <f>IF(B802="",VLOOKUP(A802,items_lookup!A:B,2,FALSE),B802)</f>
        <v>09. Item 09</v>
      </c>
      <c r="Y802" s="15">
        <f t="shared" si="72"/>
        <v>3</v>
      </c>
      <c r="Z802" s="15">
        <f t="shared" si="72"/>
        <v>3</v>
      </c>
      <c r="AA802" s="15">
        <f t="shared" si="74"/>
        <v>2021</v>
      </c>
      <c r="AB802" s="15">
        <f t="shared" si="75"/>
        <v>2021</v>
      </c>
      <c r="AC802" s="15">
        <f t="shared" si="76"/>
        <v>2021</v>
      </c>
      <c r="AD802" s="18" t="b">
        <f t="shared" si="73"/>
        <v>1</v>
      </c>
    </row>
    <row r="803" spans="1:30" ht="15" hidden="1" customHeight="1" x14ac:dyDescent="0.2">
      <c r="A803" s="7" t="s">
        <v>675</v>
      </c>
      <c r="B803" s="7"/>
      <c r="C803" s="2" t="s">
        <v>641</v>
      </c>
      <c r="D803" s="6" t="s">
        <v>649</v>
      </c>
      <c r="E803" s="32" t="s">
        <v>651</v>
      </c>
      <c r="F803" s="7"/>
      <c r="G803" s="7"/>
      <c r="H803" s="7"/>
      <c r="I803" s="7"/>
      <c r="J803" s="7">
        <v>3</v>
      </c>
      <c r="K803" s="7" t="s">
        <v>660</v>
      </c>
      <c r="L803" s="7" t="s">
        <v>663</v>
      </c>
      <c r="M803" s="8">
        <v>44270</v>
      </c>
      <c r="N803" s="8">
        <v>44277</v>
      </c>
      <c r="O803" s="13"/>
      <c r="P803" s="13">
        <v>7242.27</v>
      </c>
      <c r="Q803" s="33"/>
      <c r="R803" s="22"/>
      <c r="S803" s="22"/>
      <c r="T803" s="22"/>
      <c r="U803" s="22"/>
      <c r="X803" s="15" t="str">
        <f>IF(B803="",VLOOKUP(A803,items_lookup!A:B,2,FALSE),B803)</f>
        <v>09. Item 09</v>
      </c>
      <c r="Y803" s="15">
        <f t="shared" si="72"/>
        <v>3</v>
      </c>
      <c r="Z803" s="15">
        <f t="shared" si="72"/>
        <v>3</v>
      </c>
      <c r="AA803" s="15">
        <f t="shared" si="74"/>
        <v>2021</v>
      </c>
      <c r="AB803" s="15">
        <f t="shared" si="75"/>
        <v>2021</v>
      </c>
      <c r="AC803" s="15">
        <f t="shared" si="76"/>
        <v>2021</v>
      </c>
      <c r="AD803" s="18" t="b">
        <f t="shared" si="73"/>
        <v>1</v>
      </c>
    </row>
    <row r="804" spans="1:30" ht="15" hidden="1" customHeight="1" x14ac:dyDescent="0.2">
      <c r="A804" s="7" t="s">
        <v>688</v>
      </c>
      <c r="B804" s="7"/>
      <c r="C804" s="2" t="s">
        <v>641</v>
      </c>
      <c r="D804" s="6" t="s">
        <v>649</v>
      </c>
      <c r="E804" s="32" t="s">
        <v>651</v>
      </c>
      <c r="F804" s="7"/>
      <c r="G804" s="7"/>
      <c r="H804" s="7"/>
      <c r="I804" s="7"/>
      <c r="J804" s="7">
        <v>3</v>
      </c>
      <c r="K804" s="7" t="s">
        <v>660</v>
      </c>
      <c r="L804" s="7" t="s">
        <v>663</v>
      </c>
      <c r="M804" s="8">
        <v>44270</v>
      </c>
      <c r="N804" s="8">
        <v>44277</v>
      </c>
      <c r="O804" s="13"/>
      <c r="P804" s="13">
        <v>89119.29</v>
      </c>
      <c r="Q804" s="33"/>
      <c r="R804" s="22"/>
      <c r="S804" s="22"/>
      <c r="T804" s="22"/>
      <c r="U804" s="22"/>
      <c r="X804" s="15" t="str">
        <f>IF(B804="",VLOOKUP(A804,items_lookup!A:B,2,FALSE),B804)</f>
        <v>09. Item 09</v>
      </c>
      <c r="Y804" s="15">
        <f t="shared" si="72"/>
        <v>3</v>
      </c>
      <c r="Z804" s="15">
        <f t="shared" si="72"/>
        <v>3</v>
      </c>
      <c r="AA804" s="15">
        <f t="shared" si="74"/>
        <v>2021</v>
      </c>
      <c r="AB804" s="15">
        <f t="shared" si="75"/>
        <v>2021</v>
      </c>
      <c r="AC804" s="15">
        <f t="shared" si="76"/>
        <v>2021</v>
      </c>
      <c r="AD804" s="18" t="b">
        <f t="shared" si="73"/>
        <v>1</v>
      </c>
    </row>
    <row r="805" spans="1:30" ht="15" hidden="1" customHeight="1" x14ac:dyDescent="0.2">
      <c r="A805" s="7" t="s">
        <v>677</v>
      </c>
      <c r="B805" s="7"/>
      <c r="C805" s="2" t="s">
        <v>648</v>
      </c>
      <c r="D805" s="6" t="s">
        <v>649</v>
      </c>
      <c r="E805" s="32" t="s">
        <v>651</v>
      </c>
      <c r="F805" s="7"/>
      <c r="G805" s="7"/>
      <c r="H805" s="7"/>
      <c r="I805" s="7"/>
      <c r="J805" s="7"/>
      <c r="K805" s="7"/>
      <c r="L805" s="7" t="s">
        <v>663</v>
      </c>
      <c r="M805" s="8">
        <v>44255</v>
      </c>
      <c r="N805" s="8">
        <v>44255</v>
      </c>
      <c r="O805" s="13"/>
      <c r="P805" s="13">
        <v>34529634.93</v>
      </c>
      <c r="Q805" s="33"/>
      <c r="R805" s="22"/>
      <c r="S805" s="22"/>
      <c r="T805" s="22"/>
      <c r="U805" s="22"/>
      <c r="X805" s="15" t="str">
        <f>IF(B805="",VLOOKUP(A805,items_lookup!A:B,2,FALSE),B805)</f>
        <v>11. Item 11</v>
      </c>
      <c r="Y805" s="15">
        <f t="shared" si="72"/>
        <v>2</v>
      </c>
      <c r="Z805" s="15">
        <f t="shared" si="72"/>
        <v>2</v>
      </c>
      <c r="AA805" s="15">
        <f t="shared" si="74"/>
        <v>2021</v>
      </c>
      <c r="AB805" s="15">
        <f t="shared" si="75"/>
        <v>2021</v>
      </c>
      <c r="AC805" s="15">
        <f t="shared" si="76"/>
        <v>2021</v>
      </c>
      <c r="AD805" s="18" t="b">
        <f t="shared" si="73"/>
        <v>1</v>
      </c>
    </row>
    <row r="806" spans="1:30" ht="15" hidden="1" customHeight="1" x14ac:dyDescent="0.2">
      <c r="A806" s="7" t="s">
        <v>690</v>
      </c>
      <c r="B806" s="7"/>
      <c r="C806" s="2" t="s">
        <v>648</v>
      </c>
      <c r="D806" s="6" t="s">
        <v>649</v>
      </c>
      <c r="E806" s="32" t="s">
        <v>651</v>
      </c>
      <c r="F806" s="7"/>
      <c r="G806" s="7"/>
      <c r="H806" s="7"/>
      <c r="I806" s="7"/>
      <c r="J806" s="7"/>
      <c r="K806" s="7"/>
      <c r="L806" s="7" t="s">
        <v>663</v>
      </c>
      <c r="M806" s="8">
        <v>44256</v>
      </c>
      <c r="N806" s="8">
        <v>44256</v>
      </c>
      <c r="O806" s="13"/>
      <c r="P806" s="13">
        <v>6493.74</v>
      </c>
      <c r="Q806" s="33"/>
      <c r="R806" s="22"/>
      <c r="S806" s="22"/>
      <c r="T806" s="22"/>
      <c r="U806" s="22"/>
      <c r="X806" s="15" t="str">
        <f>IF(B806="",VLOOKUP(A806,items_lookup!A:B,2,FALSE),B806)</f>
        <v>21. Item 21</v>
      </c>
      <c r="Y806" s="15">
        <f t="shared" si="72"/>
        <v>3</v>
      </c>
      <c r="Z806" s="15">
        <f t="shared" si="72"/>
        <v>3</v>
      </c>
      <c r="AA806" s="15">
        <f t="shared" si="74"/>
        <v>2021</v>
      </c>
      <c r="AB806" s="15">
        <f t="shared" si="75"/>
        <v>2021</v>
      </c>
      <c r="AC806" s="15">
        <f t="shared" si="76"/>
        <v>2021</v>
      </c>
      <c r="AD806" s="18" t="b">
        <f t="shared" si="73"/>
        <v>1</v>
      </c>
    </row>
    <row r="807" spans="1:30" ht="15" hidden="1" customHeight="1" x14ac:dyDescent="0.2">
      <c r="A807" s="7" t="s">
        <v>687</v>
      </c>
      <c r="B807" s="7"/>
      <c r="C807" s="2" t="s">
        <v>648</v>
      </c>
      <c r="D807" s="6" t="s">
        <v>649</v>
      </c>
      <c r="E807" s="32" t="s">
        <v>651</v>
      </c>
      <c r="F807" s="7"/>
      <c r="G807" s="7"/>
      <c r="H807" s="7"/>
      <c r="I807" s="7"/>
      <c r="J807" s="7"/>
      <c r="K807" s="7"/>
      <c r="L807" s="7" t="s">
        <v>663</v>
      </c>
      <c r="M807" s="8">
        <v>44256</v>
      </c>
      <c r="N807" s="8">
        <v>44256</v>
      </c>
      <c r="O807" s="13"/>
      <c r="P807" s="13">
        <v>33447.75</v>
      </c>
      <c r="Q807" s="33"/>
      <c r="R807" s="22"/>
      <c r="S807" s="22"/>
      <c r="T807" s="22"/>
      <c r="U807" s="22"/>
      <c r="X807" s="15" t="str">
        <f>IF(B807="",VLOOKUP(A807,items_lookup!A:B,2,FALSE),B807)</f>
        <v>14. Item 14</v>
      </c>
      <c r="Y807" s="15">
        <f t="shared" si="72"/>
        <v>3</v>
      </c>
      <c r="Z807" s="15">
        <f t="shared" si="72"/>
        <v>3</v>
      </c>
      <c r="AA807" s="15">
        <f t="shared" si="74"/>
        <v>2021</v>
      </c>
      <c r="AB807" s="15">
        <f t="shared" si="75"/>
        <v>2021</v>
      </c>
      <c r="AC807" s="15">
        <f t="shared" si="76"/>
        <v>2021</v>
      </c>
      <c r="AD807" s="18" t="b">
        <f t="shared" si="73"/>
        <v>1</v>
      </c>
    </row>
    <row r="808" spans="1:30" ht="15" hidden="1" customHeight="1" x14ac:dyDescent="0.2">
      <c r="A808" s="7" t="s">
        <v>681</v>
      </c>
      <c r="B808" s="7"/>
      <c r="C808" s="2" t="s">
        <v>648</v>
      </c>
      <c r="D808" s="6" t="s">
        <v>649</v>
      </c>
      <c r="E808" s="32" t="s">
        <v>651</v>
      </c>
      <c r="F808" s="7"/>
      <c r="G808" s="7"/>
      <c r="H808" s="7"/>
      <c r="I808" s="7"/>
      <c r="J808" s="7"/>
      <c r="K808" s="7"/>
      <c r="L808" s="7" t="s">
        <v>663</v>
      </c>
      <c r="M808" s="8">
        <v>44256</v>
      </c>
      <c r="N808" s="8">
        <v>44256</v>
      </c>
      <c r="O808" s="13"/>
      <c r="P808" s="13">
        <v>38308.379999999997</v>
      </c>
      <c r="Q808" s="33"/>
      <c r="R808" s="22"/>
      <c r="S808" s="22"/>
      <c r="T808" s="22"/>
      <c r="U808" s="22"/>
      <c r="X808" s="15" t="str">
        <f>IF(B808="",VLOOKUP(A808,items_lookup!A:B,2,FALSE),B808)</f>
        <v>19. Item 19</v>
      </c>
      <c r="Y808" s="15">
        <f t="shared" si="72"/>
        <v>3</v>
      </c>
      <c r="Z808" s="15">
        <f t="shared" si="72"/>
        <v>3</v>
      </c>
      <c r="AA808" s="15">
        <f t="shared" si="74"/>
        <v>2021</v>
      </c>
      <c r="AB808" s="15">
        <f t="shared" si="75"/>
        <v>2021</v>
      </c>
      <c r="AC808" s="15">
        <f t="shared" si="76"/>
        <v>2021</v>
      </c>
      <c r="AD808" s="18" t="b">
        <f t="shared" si="73"/>
        <v>1</v>
      </c>
    </row>
    <row r="809" spans="1:30" ht="15" hidden="1" customHeight="1" x14ac:dyDescent="0.2">
      <c r="A809" s="7" t="s">
        <v>683</v>
      </c>
      <c r="B809" s="7"/>
      <c r="C809" s="2" t="s">
        <v>648</v>
      </c>
      <c r="D809" s="6" t="s">
        <v>649</v>
      </c>
      <c r="E809" s="32" t="s">
        <v>651</v>
      </c>
      <c r="F809" s="7"/>
      <c r="G809" s="7"/>
      <c r="H809" s="7"/>
      <c r="I809" s="7"/>
      <c r="J809" s="7"/>
      <c r="K809" s="7"/>
      <c r="L809" s="7" t="s">
        <v>663</v>
      </c>
      <c r="M809" s="8">
        <v>44256</v>
      </c>
      <c r="N809" s="8">
        <v>44256</v>
      </c>
      <c r="O809" s="13"/>
      <c r="P809" s="13">
        <v>7649031.71</v>
      </c>
      <c r="Q809" s="33"/>
      <c r="R809" s="22"/>
      <c r="S809" s="22"/>
      <c r="T809" s="22"/>
      <c r="U809" s="22"/>
      <c r="X809" s="15" t="str">
        <f>IF(B809="",VLOOKUP(A809,items_lookup!A:B,2,FALSE),B809)</f>
        <v>_1. Item _1</v>
      </c>
      <c r="Y809" s="15">
        <f t="shared" ref="Y809:Z868" si="77">MONTH(M809)</f>
        <v>3</v>
      </c>
      <c r="Z809" s="15">
        <f t="shared" si="77"/>
        <v>3</v>
      </c>
      <c r="AA809" s="15">
        <f t="shared" si="74"/>
        <v>2021</v>
      </c>
      <c r="AB809" s="15">
        <f t="shared" si="75"/>
        <v>2021</v>
      </c>
      <c r="AC809" s="15">
        <f t="shared" si="76"/>
        <v>2021</v>
      </c>
      <c r="AD809" s="18" t="b">
        <f t="shared" si="73"/>
        <v>1</v>
      </c>
    </row>
    <row r="810" spans="1:30" ht="15" hidden="1" customHeight="1" x14ac:dyDescent="0.2">
      <c r="A810" s="7" t="s">
        <v>683</v>
      </c>
      <c r="B810" s="7"/>
      <c r="C810" s="2" t="s">
        <v>648</v>
      </c>
      <c r="D810" s="6" t="s">
        <v>649</v>
      </c>
      <c r="E810" s="32" t="s">
        <v>651</v>
      </c>
      <c r="F810" s="7"/>
      <c r="G810" s="7"/>
      <c r="H810" s="7"/>
      <c r="I810" s="7"/>
      <c r="J810" s="7"/>
      <c r="K810" s="7"/>
      <c r="L810" s="7" t="s">
        <v>663</v>
      </c>
      <c r="M810" s="8">
        <v>44256</v>
      </c>
      <c r="N810" s="8">
        <v>44256</v>
      </c>
      <c r="O810" s="13"/>
      <c r="P810" s="13">
        <v>71940</v>
      </c>
      <c r="Q810" s="33"/>
      <c r="X810" s="15" t="str">
        <f>IF(B810="",VLOOKUP(A810,items_lookup!A:B,2,FALSE),B810)</f>
        <v>_1. Item _1</v>
      </c>
      <c r="Y810" s="15">
        <f t="shared" si="77"/>
        <v>3</v>
      </c>
      <c r="Z810" s="15">
        <f t="shared" si="77"/>
        <v>3</v>
      </c>
      <c r="AA810" s="15">
        <f t="shared" si="74"/>
        <v>2021</v>
      </c>
      <c r="AB810" s="15">
        <f t="shared" si="75"/>
        <v>2021</v>
      </c>
      <c r="AC810" s="15">
        <f t="shared" si="76"/>
        <v>2021</v>
      </c>
      <c r="AD810" s="18" t="b">
        <f t="shared" si="73"/>
        <v>1</v>
      </c>
    </row>
    <row r="811" spans="1:30" ht="15" hidden="1" customHeight="1" x14ac:dyDescent="0.2">
      <c r="A811" s="7" t="s">
        <v>703</v>
      </c>
      <c r="B811" s="7"/>
      <c r="C811" s="2" t="s">
        <v>648</v>
      </c>
      <c r="D811" s="6" t="s">
        <v>649</v>
      </c>
      <c r="E811" s="32" t="s">
        <v>651</v>
      </c>
      <c r="F811" s="7"/>
      <c r="G811" s="7"/>
      <c r="H811" s="7"/>
      <c r="I811" s="7"/>
      <c r="J811" s="7"/>
      <c r="K811" s="7"/>
      <c r="L811" s="7" t="s">
        <v>663</v>
      </c>
      <c r="M811" s="8">
        <v>44256</v>
      </c>
      <c r="N811" s="8">
        <v>44256</v>
      </c>
      <c r="O811" s="13"/>
      <c r="P811" s="13">
        <v>167473.21</v>
      </c>
      <c r="Q811" s="33"/>
      <c r="X811" s="15" t="str">
        <f>IF(B811="",VLOOKUP(A811,items_lookup!A:B,2,FALSE),B811)</f>
        <v>_3. Item _3</v>
      </c>
      <c r="Y811" s="15">
        <f t="shared" si="77"/>
        <v>3</v>
      </c>
      <c r="Z811" s="15">
        <f t="shared" si="77"/>
        <v>3</v>
      </c>
      <c r="AA811" s="15">
        <f t="shared" si="74"/>
        <v>2021</v>
      </c>
      <c r="AB811" s="15">
        <f t="shared" si="75"/>
        <v>2021</v>
      </c>
      <c r="AC811" s="15">
        <f t="shared" si="76"/>
        <v>2021</v>
      </c>
      <c r="AD811" s="18" t="b">
        <f t="shared" si="73"/>
        <v>1</v>
      </c>
    </row>
    <row r="812" spans="1:30" ht="15" hidden="1" customHeight="1" x14ac:dyDescent="0.2">
      <c r="A812" s="7" t="s">
        <v>702</v>
      </c>
      <c r="B812" s="7"/>
      <c r="C812" s="2" t="s">
        <v>648</v>
      </c>
      <c r="D812" s="6" t="s">
        <v>649</v>
      </c>
      <c r="E812" s="32" t="s">
        <v>651</v>
      </c>
      <c r="F812" s="7"/>
      <c r="G812" s="7"/>
      <c r="H812" s="7"/>
      <c r="I812" s="7"/>
      <c r="J812" s="7"/>
      <c r="K812" s="7"/>
      <c r="L812" s="7" t="s">
        <v>663</v>
      </c>
      <c r="M812" s="8">
        <v>44256</v>
      </c>
      <c r="N812" s="8">
        <v>44256</v>
      </c>
      <c r="O812" s="13"/>
      <c r="P812" s="13">
        <v>573159.51</v>
      </c>
      <c r="Q812" s="33"/>
      <c r="X812" s="15" t="str">
        <f>IF(B812="",VLOOKUP(A812,items_lookup!A:B,2,FALSE),B812)</f>
        <v>17. Item 17</v>
      </c>
      <c r="Y812" s="15">
        <f t="shared" si="77"/>
        <v>3</v>
      </c>
      <c r="Z812" s="15">
        <f t="shared" si="77"/>
        <v>3</v>
      </c>
      <c r="AA812" s="15">
        <f t="shared" si="74"/>
        <v>2021</v>
      </c>
      <c r="AB812" s="15">
        <f t="shared" si="75"/>
        <v>2021</v>
      </c>
      <c r="AC812" s="15">
        <f t="shared" si="76"/>
        <v>2021</v>
      </c>
      <c r="AD812" s="18" t="b">
        <f t="shared" si="73"/>
        <v>1</v>
      </c>
    </row>
    <row r="813" spans="1:30" ht="12.75" hidden="1" customHeight="1" x14ac:dyDescent="0.2">
      <c r="A813" s="7" t="s">
        <v>675</v>
      </c>
      <c r="B813" s="7"/>
      <c r="C813" s="2" t="s">
        <v>648</v>
      </c>
      <c r="D813" s="6" t="s">
        <v>649</v>
      </c>
      <c r="E813" s="32" t="s">
        <v>651</v>
      </c>
      <c r="F813" s="7"/>
      <c r="G813" s="7"/>
      <c r="H813" s="7"/>
      <c r="I813" s="7"/>
      <c r="J813" s="7"/>
      <c r="K813" s="7"/>
      <c r="L813" s="7" t="s">
        <v>663</v>
      </c>
      <c r="M813" s="8">
        <v>44256</v>
      </c>
      <c r="N813" s="8">
        <v>44256</v>
      </c>
      <c r="O813" s="13"/>
      <c r="P813" s="13">
        <v>1307.95</v>
      </c>
      <c r="Q813" s="33"/>
      <c r="R813" s="22"/>
      <c r="S813" s="22"/>
      <c r="T813" s="22"/>
      <c r="U813" s="22"/>
      <c r="X813" s="15" t="str">
        <f>IF(B813="",VLOOKUP(A813,items_lookup!A:B,2,FALSE),B813)</f>
        <v>09. Item 09</v>
      </c>
      <c r="Y813" s="15">
        <f t="shared" si="77"/>
        <v>3</v>
      </c>
      <c r="Z813" s="15">
        <f t="shared" si="77"/>
        <v>3</v>
      </c>
      <c r="AA813" s="15">
        <f t="shared" si="74"/>
        <v>2021</v>
      </c>
      <c r="AB813" s="15">
        <f t="shared" si="75"/>
        <v>2021</v>
      </c>
      <c r="AC813" s="15">
        <f t="shared" si="76"/>
        <v>2021</v>
      </c>
      <c r="AD813" s="18" t="b">
        <f t="shared" si="73"/>
        <v>1</v>
      </c>
    </row>
    <row r="814" spans="1:30" ht="15.75" hidden="1" customHeight="1" x14ac:dyDescent="0.2">
      <c r="A814" s="7" t="s">
        <v>675</v>
      </c>
      <c r="B814" s="7"/>
      <c r="C814" s="2" t="s">
        <v>648</v>
      </c>
      <c r="D814" s="6" t="s">
        <v>649</v>
      </c>
      <c r="E814" s="32" t="s">
        <v>651</v>
      </c>
      <c r="F814" s="7"/>
      <c r="G814" s="7"/>
      <c r="H814" s="7"/>
      <c r="I814" s="7"/>
      <c r="J814" s="7"/>
      <c r="K814" s="7"/>
      <c r="L814" s="7" t="s">
        <v>663</v>
      </c>
      <c r="M814" s="8">
        <v>44256</v>
      </c>
      <c r="N814" s="8">
        <v>44256</v>
      </c>
      <c r="O814" s="13"/>
      <c r="P814" s="13">
        <v>32725.58</v>
      </c>
      <c r="Q814" s="33"/>
      <c r="R814" s="22"/>
      <c r="S814" s="22"/>
      <c r="T814" s="22"/>
      <c r="U814" s="22"/>
      <c r="X814" s="15" t="str">
        <f>IF(B814="",VLOOKUP(A814,items_lookup!A:B,2,FALSE),B814)</f>
        <v>09. Item 09</v>
      </c>
      <c r="Y814" s="15">
        <f t="shared" si="77"/>
        <v>3</v>
      </c>
      <c r="Z814" s="15">
        <f t="shared" si="77"/>
        <v>3</v>
      </c>
      <c r="AA814" s="15">
        <f t="shared" si="74"/>
        <v>2021</v>
      </c>
      <c r="AB814" s="15">
        <f t="shared" si="75"/>
        <v>2021</v>
      </c>
      <c r="AC814" s="15">
        <f t="shared" si="76"/>
        <v>2021</v>
      </c>
      <c r="AD814" s="18" t="b">
        <f t="shared" si="73"/>
        <v>1</v>
      </c>
    </row>
    <row r="815" spans="1:30" ht="15" hidden="1" customHeight="1" x14ac:dyDescent="0.2">
      <c r="A815" s="7" t="s">
        <v>678</v>
      </c>
      <c r="B815" s="7"/>
      <c r="C815" s="2" t="s">
        <v>648</v>
      </c>
      <c r="D815" s="6" t="s">
        <v>649</v>
      </c>
      <c r="E815" s="32" t="s">
        <v>651</v>
      </c>
      <c r="F815" s="7"/>
      <c r="G815" s="7"/>
      <c r="H815" s="7"/>
      <c r="I815" s="7"/>
      <c r="J815" s="7"/>
      <c r="K815" s="7"/>
      <c r="L815" s="7" t="s">
        <v>663</v>
      </c>
      <c r="M815" s="8">
        <v>44256</v>
      </c>
      <c r="N815" s="8">
        <v>44256</v>
      </c>
      <c r="O815" s="13"/>
      <c r="P815" s="13">
        <v>2763142.42</v>
      </c>
      <c r="Q815" s="33"/>
      <c r="R815" s="22"/>
      <c r="S815" s="22"/>
      <c r="T815" s="22"/>
      <c r="U815" s="22"/>
      <c r="X815" s="15" t="str">
        <f>IF(B815="",VLOOKUP(A815,items_lookup!A:B,2,FALSE),B815)</f>
        <v>13. Item 13</v>
      </c>
      <c r="Y815" s="15">
        <f t="shared" si="77"/>
        <v>3</v>
      </c>
      <c r="Z815" s="15">
        <f t="shared" si="77"/>
        <v>3</v>
      </c>
      <c r="AA815" s="15">
        <f t="shared" si="74"/>
        <v>2021</v>
      </c>
      <c r="AB815" s="15">
        <f t="shared" si="75"/>
        <v>2021</v>
      </c>
      <c r="AC815" s="15">
        <f t="shared" si="76"/>
        <v>2021</v>
      </c>
      <c r="AD815" s="18" t="b">
        <f t="shared" si="73"/>
        <v>1</v>
      </c>
    </row>
    <row r="816" spans="1:30" ht="15" hidden="1" customHeight="1" x14ac:dyDescent="0.2">
      <c r="A816" s="7" t="s">
        <v>687</v>
      </c>
      <c r="B816" s="7"/>
      <c r="C816" s="2" t="s">
        <v>648</v>
      </c>
      <c r="D816" s="6" t="s">
        <v>649</v>
      </c>
      <c r="E816" s="32" t="s">
        <v>651</v>
      </c>
      <c r="F816" s="7"/>
      <c r="G816" s="7"/>
      <c r="H816" s="7"/>
      <c r="I816" s="7"/>
      <c r="J816" s="7"/>
      <c r="K816" s="7"/>
      <c r="L816" s="7" t="s">
        <v>663</v>
      </c>
      <c r="M816" s="8">
        <v>44256</v>
      </c>
      <c r="N816" s="8">
        <v>44256</v>
      </c>
      <c r="O816" s="13"/>
      <c r="P816" s="13">
        <v>481343.53</v>
      </c>
      <c r="Q816" s="33"/>
      <c r="R816" s="22"/>
      <c r="S816" s="22"/>
      <c r="T816" s="22"/>
      <c r="U816" s="22"/>
      <c r="X816" s="15" t="str">
        <f>IF(B816="",VLOOKUP(A816,items_lookup!A:B,2,FALSE),B816)</f>
        <v>14. Item 14</v>
      </c>
      <c r="Y816" s="15">
        <f t="shared" si="77"/>
        <v>3</v>
      </c>
      <c r="Z816" s="15">
        <f t="shared" si="77"/>
        <v>3</v>
      </c>
      <c r="AA816" s="15">
        <f t="shared" si="74"/>
        <v>2021</v>
      </c>
      <c r="AB816" s="15">
        <f t="shared" si="75"/>
        <v>2021</v>
      </c>
      <c r="AC816" s="15">
        <f t="shared" si="76"/>
        <v>2021</v>
      </c>
      <c r="AD816" s="18" t="b">
        <f t="shared" si="73"/>
        <v>1</v>
      </c>
    </row>
    <row r="817" spans="1:30" ht="17.25" hidden="1" customHeight="1" x14ac:dyDescent="0.2">
      <c r="A817" s="7" t="s">
        <v>677</v>
      </c>
      <c r="B817" s="7"/>
      <c r="C817" s="2" t="s">
        <v>648</v>
      </c>
      <c r="D817" s="6" t="s">
        <v>649</v>
      </c>
      <c r="E817" s="32" t="s">
        <v>651</v>
      </c>
      <c r="F817" s="7"/>
      <c r="G817" s="7"/>
      <c r="H817" s="7"/>
      <c r="I817" s="7"/>
      <c r="J817" s="7"/>
      <c r="K817" s="7"/>
      <c r="L817" s="7" t="s">
        <v>663</v>
      </c>
      <c r="M817" s="8">
        <v>44256</v>
      </c>
      <c r="N817" s="8">
        <v>44256</v>
      </c>
      <c r="O817" s="13"/>
      <c r="P817" s="13">
        <v>43953.51</v>
      </c>
      <c r="Q817" s="33"/>
      <c r="R817" s="22"/>
      <c r="S817" s="22"/>
      <c r="T817" s="22"/>
      <c r="U817" s="22"/>
      <c r="X817" s="15" t="str">
        <f>IF(B817="",VLOOKUP(A817,items_lookup!A:B,2,FALSE),B817)</f>
        <v>11. Item 11</v>
      </c>
      <c r="Y817" s="15">
        <f t="shared" si="77"/>
        <v>3</v>
      </c>
      <c r="Z817" s="15">
        <f t="shared" si="77"/>
        <v>3</v>
      </c>
      <c r="AA817" s="15">
        <f t="shared" si="74"/>
        <v>2021</v>
      </c>
      <c r="AB817" s="15">
        <f t="shared" si="75"/>
        <v>2021</v>
      </c>
      <c r="AC817" s="15">
        <f t="shared" si="76"/>
        <v>2021</v>
      </c>
      <c r="AD817" s="18" t="b">
        <f t="shared" si="73"/>
        <v>1</v>
      </c>
    </row>
    <row r="818" spans="1:30" ht="15" hidden="1" customHeight="1" x14ac:dyDescent="0.2">
      <c r="A818" s="7" t="s">
        <v>670</v>
      </c>
      <c r="B818" s="7"/>
      <c r="C818" s="2" t="s">
        <v>648</v>
      </c>
      <c r="D818" s="6" t="s">
        <v>649</v>
      </c>
      <c r="E818" s="32" t="s">
        <v>651</v>
      </c>
      <c r="F818" s="7"/>
      <c r="G818" s="7"/>
      <c r="H818" s="7"/>
      <c r="I818" s="7"/>
      <c r="J818" s="7"/>
      <c r="K818" s="7"/>
      <c r="L818" s="7" t="s">
        <v>663</v>
      </c>
      <c r="M818" s="8">
        <v>44256</v>
      </c>
      <c r="N818" s="8">
        <v>44256</v>
      </c>
      <c r="O818" s="13"/>
      <c r="P818" s="13">
        <v>127.62</v>
      </c>
      <c r="Q818" s="33"/>
      <c r="R818" s="22"/>
      <c r="S818" s="22"/>
      <c r="T818" s="22"/>
      <c r="U818" s="22"/>
      <c r="X818" s="15" t="str">
        <f>IF(B818="",VLOOKUP(A818,items_lookup!A:B,2,FALSE),B818)</f>
        <v>04. Item 04</v>
      </c>
      <c r="Y818" s="15">
        <f t="shared" si="77"/>
        <v>3</v>
      </c>
      <c r="Z818" s="15">
        <f t="shared" si="77"/>
        <v>3</v>
      </c>
      <c r="AA818" s="15">
        <f t="shared" si="74"/>
        <v>2021</v>
      </c>
      <c r="AB818" s="15">
        <f t="shared" si="75"/>
        <v>2021</v>
      </c>
      <c r="AC818" s="15">
        <f t="shared" si="76"/>
        <v>2021</v>
      </c>
      <c r="AD818" s="18" t="b">
        <f t="shared" si="73"/>
        <v>1</v>
      </c>
    </row>
    <row r="819" spans="1:30" ht="15" hidden="1" customHeight="1" x14ac:dyDescent="0.2">
      <c r="A819" s="7" t="s">
        <v>670</v>
      </c>
      <c r="B819" s="7"/>
      <c r="C819" s="2" t="s">
        <v>648</v>
      </c>
      <c r="D819" s="6" t="s">
        <v>649</v>
      </c>
      <c r="E819" s="32" t="s">
        <v>651</v>
      </c>
      <c r="F819" s="7"/>
      <c r="G819" s="7"/>
      <c r="H819" s="7"/>
      <c r="I819" s="7"/>
      <c r="J819" s="7"/>
      <c r="K819" s="7"/>
      <c r="L819" s="7" t="s">
        <v>663</v>
      </c>
      <c r="M819" s="8">
        <v>44256</v>
      </c>
      <c r="N819" s="8">
        <v>44256</v>
      </c>
      <c r="O819" s="13"/>
      <c r="P819" s="13">
        <v>16652.38</v>
      </c>
      <c r="Q819" s="33"/>
      <c r="R819" s="22"/>
      <c r="S819" s="22"/>
      <c r="T819" s="22"/>
      <c r="U819" s="22"/>
      <c r="X819" s="15" t="str">
        <f>IF(B819="",VLOOKUP(A819,items_lookup!A:B,2,FALSE),B819)</f>
        <v>04. Item 04</v>
      </c>
      <c r="Y819" s="15">
        <f t="shared" si="77"/>
        <v>3</v>
      </c>
      <c r="Z819" s="15">
        <f t="shared" si="77"/>
        <v>3</v>
      </c>
      <c r="AA819" s="15">
        <f t="shared" si="74"/>
        <v>2021</v>
      </c>
      <c r="AB819" s="15">
        <f t="shared" si="75"/>
        <v>2021</v>
      </c>
      <c r="AC819" s="15">
        <f t="shared" si="76"/>
        <v>2021</v>
      </c>
      <c r="AD819" s="18" t="b">
        <f t="shared" si="73"/>
        <v>1</v>
      </c>
    </row>
    <row r="820" spans="1:30" ht="25.5" hidden="1" customHeight="1" x14ac:dyDescent="0.2">
      <c r="A820" s="7" t="s">
        <v>672</v>
      </c>
      <c r="B820" s="7"/>
      <c r="C820" s="2" t="s">
        <v>648</v>
      </c>
      <c r="D820" s="6" t="s">
        <v>649</v>
      </c>
      <c r="E820" s="32" t="s">
        <v>651</v>
      </c>
      <c r="F820" s="7"/>
      <c r="G820" s="7"/>
      <c r="H820" s="7"/>
      <c r="I820" s="7"/>
      <c r="J820" s="7"/>
      <c r="K820" s="7"/>
      <c r="L820" s="7" t="s">
        <v>663</v>
      </c>
      <c r="M820" s="8">
        <v>44256</v>
      </c>
      <c r="N820" s="8">
        <v>44256</v>
      </c>
      <c r="O820" s="13"/>
      <c r="P820" s="13">
        <v>928445</v>
      </c>
      <c r="Q820" s="33"/>
      <c r="R820" s="22"/>
      <c r="S820" s="22"/>
      <c r="T820" s="22"/>
      <c r="U820" s="22"/>
      <c r="X820" s="15" t="str">
        <f>IF(B820="",VLOOKUP(A820,items_lookup!A:B,2,FALSE),B820)</f>
        <v>05. Item 05</v>
      </c>
      <c r="Y820" s="15">
        <f t="shared" si="77"/>
        <v>3</v>
      </c>
      <c r="Z820" s="15">
        <f t="shared" si="77"/>
        <v>3</v>
      </c>
      <c r="AA820" s="15">
        <f t="shared" si="74"/>
        <v>2021</v>
      </c>
      <c r="AB820" s="15">
        <f t="shared" si="75"/>
        <v>2021</v>
      </c>
      <c r="AC820" s="15">
        <f t="shared" si="76"/>
        <v>2021</v>
      </c>
      <c r="AD820" s="18" t="b">
        <f t="shared" si="73"/>
        <v>1</v>
      </c>
    </row>
    <row r="821" spans="1:30" ht="15" hidden="1" customHeight="1" x14ac:dyDescent="0.2">
      <c r="A821" s="7" t="s">
        <v>672</v>
      </c>
      <c r="B821" s="7"/>
      <c r="C821" s="2" t="s">
        <v>648</v>
      </c>
      <c r="D821" s="6" t="s">
        <v>649</v>
      </c>
      <c r="E821" s="32" t="s">
        <v>651</v>
      </c>
      <c r="F821" s="7"/>
      <c r="G821" s="7"/>
      <c r="H821" s="7"/>
      <c r="I821" s="7"/>
      <c r="J821" s="7"/>
      <c r="K821" s="7"/>
      <c r="L821" s="7" t="s">
        <v>663</v>
      </c>
      <c r="M821" s="8">
        <v>44256</v>
      </c>
      <c r="N821" s="8">
        <v>44256</v>
      </c>
      <c r="O821" s="13"/>
      <c r="P821" s="13">
        <v>1890983.19</v>
      </c>
      <c r="Q821" s="33"/>
      <c r="R821" s="22"/>
      <c r="S821" s="22"/>
      <c r="T821" s="22"/>
      <c r="U821" s="22"/>
      <c r="X821" s="15" t="str">
        <f>IF(B821="",VLOOKUP(A821,items_lookup!A:B,2,FALSE),B821)</f>
        <v>05. Item 05</v>
      </c>
      <c r="Y821" s="15">
        <f t="shared" si="77"/>
        <v>3</v>
      </c>
      <c r="Z821" s="15">
        <f t="shared" si="77"/>
        <v>3</v>
      </c>
      <c r="AA821" s="15">
        <f t="shared" si="74"/>
        <v>2021</v>
      </c>
      <c r="AB821" s="15">
        <f t="shared" si="75"/>
        <v>2021</v>
      </c>
      <c r="AC821" s="15">
        <f t="shared" si="76"/>
        <v>2021</v>
      </c>
      <c r="AD821" s="18" t="b">
        <f t="shared" si="73"/>
        <v>1</v>
      </c>
    </row>
    <row r="822" spans="1:30" ht="15" hidden="1" customHeight="1" x14ac:dyDescent="0.2">
      <c r="A822" s="7" t="s">
        <v>680</v>
      </c>
      <c r="B822" s="7"/>
      <c r="C822" s="2" t="s">
        <v>648</v>
      </c>
      <c r="D822" s="6" t="s">
        <v>649</v>
      </c>
      <c r="E822" s="32" t="s">
        <v>651</v>
      </c>
      <c r="F822" s="7"/>
      <c r="G822" s="7"/>
      <c r="H822" s="7"/>
      <c r="I822" s="7"/>
      <c r="J822" s="7"/>
      <c r="K822" s="7"/>
      <c r="L822" s="7" t="s">
        <v>663</v>
      </c>
      <c r="M822" s="8">
        <v>44256</v>
      </c>
      <c r="N822" s="8">
        <v>44256</v>
      </c>
      <c r="O822" s="13"/>
      <c r="P822" s="13">
        <v>88743.23</v>
      </c>
      <c r="Q822" s="33"/>
      <c r="R822" s="22"/>
      <c r="S822" s="22"/>
      <c r="T822" s="22"/>
      <c r="U822" s="22"/>
      <c r="X822" s="15" t="str">
        <f>IF(B822="",VLOOKUP(A822,items_lookup!A:B,2,FALSE),B822)</f>
        <v>13. Item 13</v>
      </c>
      <c r="Y822" s="15">
        <f t="shared" si="77"/>
        <v>3</v>
      </c>
      <c r="Z822" s="15">
        <f t="shared" si="77"/>
        <v>3</v>
      </c>
      <c r="AA822" s="15">
        <f t="shared" si="74"/>
        <v>2021</v>
      </c>
      <c r="AB822" s="15">
        <f t="shared" si="75"/>
        <v>2021</v>
      </c>
      <c r="AC822" s="15">
        <f t="shared" si="76"/>
        <v>2021</v>
      </c>
      <c r="AD822" s="18" t="b">
        <f t="shared" si="73"/>
        <v>1</v>
      </c>
    </row>
    <row r="823" spans="1:30" ht="15" hidden="1" customHeight="1" x14ac:dyDescent="0.2">
      <c r="A823" s="7" t="s">
        <v>680</v>
      </c>
      <c r="B823" s="7"/>
      <c r="C823" s="2" t="s">
        <v>641</v>
      </c>
      <c r="D823" s="6" t="s">
        <v>649</v>
      </c>
      <c r="E823" s="32" t="s">
        <v>651</v>
      </c>
      <c r="F823" s="7"/>
      <c r="G823" s="7"/>
      <c r="H823" s="7"/>
      <c r="I823" s="7" t="s">
        <v>20</v>
      </c>
      <c r="J823" s="7">
        <v>3</v>
      </c>
      <c r="K823" s="7" t="s">
        <v>660</v>
      </c>
      <c r="L823" s="7" t="s">
        <v>663</v>
      </c>
      <c r="M823" s="8">
        <v>44270</v>
      </c>
      <c r="N823" s="8">
        <v>44280</v>
      </c>
      <c r="O823" s="13"/>
      <c r="P823" s="13">
        <v>571.42999999999995</v>
      </c>
      <c r="Q823" s="33"/>
      <c r="R823" s="22"/>
      <c r="S823" s="22"/>
      <c r="T823" s="22"/>
      <c r="U823" s="22"/>
      <c r="X823" s="15" t="str">
        <f>IF(B823="",VLOOKUP(A823,items_lookup!A:B,2,FALSE),B823)</f>
        <v>13. Item 13</v>
      </c>
      <c r="Y823" s="15">
        <f t="shared" si="77"/>
        <v>3</v>
      </c>
      <c r="Z823" s="15">
        <f t="shared" si="77"/>
        <v>3</v>
      </c>
      <c r="AA823" s="15">
        <f t="shared" si="74"/>
        <v>2021</v>
      </c>
      <c r="AB823" s="15">
        <f t="shared" si="75"/>
        <v>2021</v>
      </c>
      <c r="AC823" s="15">
        <f t="shared" si="76"/>
        <v>2021</v>
      </c>
      <c r="AD823" s="18" t="b">
        <f t="shared" si="73"/>
        <v>1</v>
      </c>
    </row>
    <row r="824" spans="1:30" ht="15" hidden="1" customHeight="1" x14ac:dyDescent="0.2">
      <c r="A824" s="7" t="s">
        <v>689</v>
      </c>
      <c r="B824" s="7"/>
      <c r="C824" s="2" t="s">
        <v>641</v>
      </c>
      <c r="D824" s="6" t="s">
        <v>649</v>
      </c>
      <c r="E824" s="32" t="s">
        <v>651</v>
      </c>
      <c r="F824" s="7"/>
      <c r="G824" s="7"/>
      <c r="H824" s="7"/>
      <c r="I824" s="7"/>
      <c r="J824" s="7">
        <v>3</v>
      </c>
      <c r="K824" s="7" t="s">
        <v>660</v>
      </c>
      <c r="L824" s="7" t="s">
        <v>663</v>
      </c>
      <c r="M824" s="8">
        <v>44270</v>
      </c>
      <c r="N824" s="8">
        <v>44280</v>
      </c>
      <c r="O824" s="13"/>
      <c r="P824" s="13">
        <v>32995.58</v>
      </c>
      <c r="Q824" s="33"/>
      <c r="R824" s="22"/>
      <c r="S824" s="22"/>
      <c r="T824" s="22"/>
      <c r="U824" s="22"/>
      <c r="X824" s="15" t="str">
        <f>IF(B824="",VLOOKUP(A824,items_lookup!A:B,2,FALSE),B824)</f>
        <v>04. Item 04</v>
      </c>
      <c r="Y824" s="15">
        <f t="shared" si="77"/>
        <v>3</v>
      </c>
      <c r="Z824" s="15">
        <f t="shared" si="77"/>
        <v>3</v>
      </c>
      <c r="AA824" s="15">
        <f t="shared" si="74"/>
        <v>2021</v>
      </c>
      <c r="AB824" s="15">
        <f t="shared" si="75"/>
        <v>2021</v>
      </c>
      <c r="AC824" s="15">
        <f t="shared" si="76"/>
        <v>2021</v>
      </c>
      <c r="AD824" s="18" t="b">
        <f t="shared" si="73"/>
        <v>1</v>
      </c>
    </row>
    <row r="825" spans="1:30" ht="15" hidden="1" customHeight="1" x14ac:dyDescent="0.2">
      <c r="A825" s="7" t="s">
        <v>675</v>
      </c>
      <c r="B825" s="20"/>
      <c r="C825" s="2" t="s">
        <v>641</v>
      </c>
      <c r="D825" s="6" t="s">
        <v>649</v>
      </c>
      <c r="E825" s="32" t="s">
        <v>651</v>
      </c>
      <c r="F825" s="7"/>
      <c r="G825" s="7"/>
      <c r="H825" s="7"/>
      <c r="I825" s="7"/>
      <c r="J825" s="7">
        <v>3</v>
      </c>
      <c r="K825" s="7" t="s">
        <v>660</v>
      </c>
      <c r="L825" s="7" t="s">
        <v>663</v>
      </c>
      <c r="M825" s="8">
        <v>44270</v>
      </c>
      <c r="N825" s="8">
        <v>44281</v>
      </c>
      <c r="O825" s="13"/>
      <c r="P825" s="13">
        <v>31642.21</v>
      </c>
      <c r="Q825" s="33"/>
      <c r="R825" s="9"/>
      <c r="S825" s="9"/>
      <c r="T825" s="9"/>
      <c r="U825" s="9"/>
      <c r="X825" s="15" t="str">
        <f>IF(B825="",VLOOKUP(A825,items_lookup!A:B,2,FALSE),B825)</f>
        <v>09. Item 09</v>
      </c>
      <c r="Y825" s="15">
        <f t="shared" si="77"/>
        <v>3</v>
      </c>
      <c r="Z825" s="15">
        <f t="shared" si="77"/>
        <v>3</v>
      </c>
      <c r="AA825" s="15">
        <f t="shared" si="74"/>
        <v>2021</v>
      </c>
      <c r="AB825" s="15">
        <f t="shared" si="75"/>
        <v>2021</v>
      </c>
      <c r="AC825" s="15">
        <f t="shared" si="76"/>
        <v>2021</v>
      </c>
      <c r="AD825" s="18" t="b">
        <f t="shared" si="73"/>
        <v>1</v>
      </c>
    </row>
    <row r="826" spans="1:30" ht="15" hidden="1" customHeight="1" x14ac:dyDescent="0.2">
      <c r="A826" s="7" t="s">
        <v>675</v>
      </c>
      <c r="B826" s="7"/>
      <c r="C826" s="2" t="s">
        <v>641</v>
      </c>
      <c r="D826" s="6" t="s">
        <v>649</v>
      </c>
      <c r="E826" s="32" t="s">
        <v>651</v>
      </c>
      <c r="F826" s="7"/>
      <c r="G826" s="7"/>
      <c r="H826" s="7"/>
      <c r="I826" s="7"/>
      <c r="J826" s="7">
        <v>3</v>
      </c>
      <c r="K826" s="7" t="s">
        <v>660</v>
      </c>
      <c r="L826" s="7" t="s">
        <v>663</v>
      </c>
      <c r="M826" s="8">
        <v>44270</v>
      </c>
      <c r="N826" s="8">
        <v>44279</v>
      </c>
      <c r="O826" s="13"/>
      <c r="P826" s="13">
        <v>16652.38</v>
      </c>
      <c r="Q826" s="33"/>
      <c r="R826" s="22"/>
      <c r="S826" s="22"/>
      <c r="T826" s="22"/>
      <c r="U826" s="22"/>
      <c r="X826" s="15" t="str">
        <f>IF(B826="",VLOOKUP(A826,items_lookup!A:B,2,FALSE),B826)</f>
        <v>09. Item 09</v>
      </c>
      <c r="Y826" s="15">
        <f t="shared" si="77"/>
        <v>3</v>
      </c>
      <c r="Z826" s="15">
        <f t="shared" si="77"/>
        <v>3</v>
      </c>
      <c r="AA826" s="15">
        <f t="shared" si="74"/>
        <v>2021</v>
      </c>
      <c r="AB826" s="15">
        <f t="shared" si="75"/>
        <v>2021</v>
      </c>
      <c r="AC826" s="15">
        <f t="shared" si="76"/>
        <v>2021</v>
      </c>
      <c r="AD826" s="18" t="b">
        <f t="shared" si="73"/>
        <v>1</v>
      </c>
    </row>
    <row r="827" spans="1:30" ht="12.6" hidden="1" customHeight="1" x14ac:dyDescent="0.2">
      <c r="A827" s="7" t="s">
        <v>689</v>
      </c>
      <c r="B827" s="7"/>
      <c r="C827" s="2" t="s">
        <v>641</v>
      </c>
      <c r="D827" s="6" t="s">
        <v>649</v>
      </c>
      <c r="E827" s="32" t="s">
        <v>651</v>
      </c>
      <c r="F827" s="7"/>
      <c r="G827" s="7"/>
      <c r="H827" s="7"/>
      <c r="I827" s="7"/>
      <c r="J827" s="7">
        <v>3</v>
      </c>
      <c r="K827" s="7" t="s">
        <v>660</v>
      </c>
      <c r="L827" s="7" t="s">
        <v>663</v>
      </c>
      <c r="M827" s="8">
        <v>44270</v>
      </c>
      <c r="N827" s="8">
        <v>44277</v>
      </c>
      <c r="O827" s="13"/>
      <c r="P827" s="13">
        <v>122648.38</v>
      </c>
      <c r="Q827" s="33"/>
      <c r="R827" s="22"/>
      <c r="S827" s="22"/>
      <c r="T827" s="22"/>
      <c r="U827" s="22"/>
      <c r="X827" s="15" t="str">
        <f>IF(B827="",VLOOKUP(A827,items_lookup!A:B,2,FALSE),B827)</f>
        <v>04. Item 04</v>
      </c>
      <c r="Y827" s="15">
        <f t="shared" si="77"/>
        <v>3</v>
      </c>
      <c r="Z827" s="15">
        <f t="shared" si="77"/>
        <v>3</v>
      </c>
      <c r="AA827" s="15">
        <f t="shared" si="74"/>
        <v>2021</v>
      </c>
      <c r="AB827" s="15">
        <f t="shared" si="75"/>
        <v>2021</v>
      </c>
      <c r="AC827" s="15">
        <f t="shared" si="76"/>
        <v>2021</v>
      </c>
      <c r="AD827" s="18" t="b">
        <f t="shared" si="73"/>
        <v>1</v>
      </c>
    </row>
    <row r="828" spans="1:30" ht="15" hidden="1" customHeight="1" x14ac:dyDescent="0.2">
      <c r="A828" s="7" t="s">
        <v>703</v>
      </c>
      <c r="B828" s="7"/>
      <c r="C828" s="2" t="s">
        <v>641</v>
      </c>
      <c r="D828" s="6" t="s">
        <v>649</v>
      </c>
      <c r="E828" s="32" t="s">
        <v>651</v>
      </c>
      <c r="F828" s="7"/>
      <c r="G828" s="7"/>
      <c r="H828" s="7"/>
      <c r="I828" s="7"/>
      <c r="J828" s="7">
        <v>3</v>
      </c>
      <c r="K828" s="7" t="s">
        <v>660</v>
      </c>
      <c r="L828" s="7" t="s">
        <v>663</v>
      </c>
      <c r="M828" s="8">
        <v>44270</v>
      </c>
      <c r="N828" s="8">
        <v>44278</v>
      </c>
      <c r="O828" s="13"/>
      <c r="P828" s="13">
        <v>714.66</v>
      </c>
      <c r="Q828" s="33"/>
      <c r="R828" s="22"/>
      <c r="S828" s="22"/>
      <c r="T828" s="22"/>
      <c r="U828" s="22"/>
      <c r="X828" s="15" t="str">
        <f>IF(B828="",VLOOKUP(A828,items_lookup!A:B,2,FALSE),B828)</f>
        <v>_3. Item _3</v>
      </c>
      <c r="Y828" s="15">
        <f t="shared" si="77"/>
        <v>3</v>
      </c>
      <c r="Z828" s="15">
        <f t="shared" si="77"/>
        <v>3</v>
      </c>
      <c r="AA828" s="15">
        <f t="shared" si="74"/>
        <v>2021</v>
      </c>
      <c r="AB828" s="15">
        <f t="shared" si="75"/>
        <v>2021</v>
      </c>
      <c r="AC828" s="15">
        <f t="shared" si="76"/>
        <v>2021</v>
      </c>
      <c r="AD828" s="18" t="b">
        <f t="shared" si="73"/>
        <v>1</v>
      </c>
    </row>
    <row r="829" spans="1:30" ht="15" hidden="1" customHeight="1" x14ac:dyDescent="0.2">
      <c r="A829" s="7" t="s">
        <v>702</v>
      </c>
      <c r="B829" s="7"/>
      <c r="C829" s="2" t="s">
        <v>641</v>
      </c>
      <c r="D829" s="6" t="s">
        <v>649</v>
      </c>
      <c r="E829" s="32" t="s">
        <v>651</v>
      </c>
      <c r="F829" s="7"/>
      <c r="G829" s="7"/>
      <c r="H829" s="7"/>
      <c r="I829" s="7" t="s">
        <v>20</v>
      </c>
      <c r="J829" s="7">
        <v>3</v>
      </c>
      <c r="K829" s="7" t="s">
        <v>660</v>
      </c>
      <c r="L829" s="7" t="s">
        <v>663</v>
      </c>
      <c r="M829" s="8">
        <v>44270</v>
      </c>
      <c r="N829" s="8">
        <v>44279</v>
      </c>
      <c r="O829" s="13"/>
      <c r="P829" s="13">
        <v>1028.57</v>
      </c>
      <c r="Q829" s="33"/>
      <c r="R829" s="22"/>
      <c r="S829" s="22"/>
      <c r="T829" s="22"/>
      <c r="U829" s="22"/>
      <c r="X829" s="15" t="str">
        <f>IF(B829="",VLOOKUP(A829,items_lookup!A:B,2,FALSE),B829)</f>
        <v>17. Item 17</v>
      </c>
      <c r="Y829" s="15">
        <f t="shared" si="77"/>
        <v>3</v>
      </c>
      <c r="Z829" s="15">
        <f t="shared" si="77"/>
        <v>3</v>
      </c>
      <c r="AA829" s="15">
        <f t="shared" si="74"/>
        <v>2021</v>
      </c>
      <c r="AB829" s="15">
        <f t="shared" si="75"/>
        <v>2021</v>
      </c>
      <c r="AC829" s="15">
        <f t="shared" si="76"/>
        <v>2021</v>
      </c>
      <c r="AD829" s="18" t="b">
        <f t="shared" si="73"/>
        <v>1</v>
      </c>
    </row>
    <row r="830" spans="1:30" ht="15" hidden="1" customHeight="1" x14ac:dyDescent="0.2">
      <c r="A830" s="7" t="s">
        <v>683</v>
      </c>
      <c r="B830" s="7"/>
      <c r="C830" s="2" t="s">
        <v>641</v>
      </c>
      <c r="D830" s="6" t="s">
        <v>649</v>
      </c>
      <c r="E830" s="32" t="s">
        <v>651</v>
      </c>
      <c r="F830" s="7"/>
      <c r="G830" s="7"/>
      <c r="H830" s="7"/>
      <c r="I830" s="7"/>
      <c r="J830" s="7">
        <v>3</v>
      </c>
      <c r="K830" s="7" t="s">
        <v>660</v>
      </c>
      <c r="L830" s="7" t="s">
        <v>663</v>
      </c>
      <c r="M830" s="8">
        <v>44270</v>
      </c>
      <c r="N830" s="8">
        <v>44279</v>
      </c>
      <c r="O830" s="13"/>
      <c r="P830" s="13">
        <v>648354.4</v>
      </c>
      <c r="Q830" s="33"/>
      <c r="R830" s="22"/>
      <c r="S830" s="22"/>
      <c r="T830" s="22"/>
      <c r="U830" s="22"/>
      <c r="X830" s="15" t="str">
        <f>IF(B830="",VLOOKUP(A830,items_lookup!A:B,2,FALSE),B830)</f>
        <v>_1. Item _1</v>
      </c>
      <c r="Y830" s="15">
        <f t="shared" si="77"/>
        <v>3</v>
      </c>
      <c r="Z830" s="15">
        <f t="shared" si="77"/>
        <v>3</v>
      </c>
      <c r="AA830" s="15">
        <f t="shared" si="74"/>
        <v>2021</v>
      </c>
      <c r="AB830" s="15">
        <f t="shared" si="75"/>
        <v>2021</v>
      </c>
      <c r="AC830" s="15">
        <f t="shared" si="76"/>
        <v>2021</v>
      </c>
      <c r="AD830" s="18" t="b">
        <f t="shared" si="73"/>
        <v>1</v>
      </c>
    </row>
    <row r="831" spans="1:30" ht="15" hidden="1" customHeight="1" x14ac:dyDescent="0.2">
      <c r="A831" s="7" t="s">
        <v>673</v>
      </c>
      <c r="B831" s="7"/>
      <c r="C831" s="2" t="s">
        <v>642</v>
      </c>
      <c r="D831" s="6"/>
      <c r="E831" s="32" t="s">
        <v>651</v>
      </c>
      <c r="F831" s="7"/>
      <c r="G831" s="7"/>
      <c r="H831" s="7"/>
      <c r="I831" s="7"/>
      <c r="J831" s="7"/>
      <c r="K831" s="7"/>
      <c r="L831" s="7" t="s">
        <v>663</v>
      </c>
      <c r="M831" s="8">
        <v>44105</v>
      </c>
      <c r="N831" s="8">
        <v>44105</v>
      </c>
      <c r="O831" s="13"/>
      <c r="P831" s="13">
        <v>266214.28999999998</v>
      </c>
      <c r="Q831" s="33"/>
      <c r="R831" s="9"/>
      <c r="S831" s="9"/>
      <c r="T831" s="9"/>
      <c r="U831" s="9"/>
      <c r="X831" s="15" t="str">
        <f>IF(B831="",VLOOKUP(A831,items_lookup!A:B,2,FALSE),B831)</f>
        <v>07. Item 07</v>
      </c>
      <c r="Y831" s="15">
        <f t="shared" si="77"/>
        <v>10</v>
      </c>
      <c r="Z831" s="15">
        <f t="shared" si="77"/>
        <v>10</v>
      </c>
      <c r="AA831" s="15">
        <f t="shared" si="74"/>
        <v>2020</v>
      </c>
      <c r="AB831" s="15">
        <f t="shared" si="75"/>
        <v>2020</v>
      </c>
      <c r="AC831" s="15">
        <f t="shared" si="76"/>
        <v>2020</v>
      </c>
      <c r="AD831" s="18" t="b">
        <f t="shared" si="73"/>
        <v>1</v>
      </c>
    </row>
    <row r="832" spans="1:30" ht="12.6" hidden="1" customHeight="1" x14ac:dyDescent="0.2">
      <c r="A832" s="7" t="s">
        <v>671</v>
      </c>
      <c r="B832" s="7"/>
      <c r="C832" s="2" t="s">
        <v>642</v>
      </c>
      <c r="D832" s="6"/>
      <c r="E832" s="32" t="s">
        <v>651</v>
      </c>
      <c r="F832" s="7"/>
      <c r="G832" s="7"/>
      <c r="H832" s="7"/>
      <c r="I832" s="7"/>
      <c r="J832" s="7"/>
      <c r="K832" s="7"/>
      <c r="L832" s="7" t="s">
        <v>663</v>
      </c>
      <c r="M832" s="8">
        <v>44105</v>
      </c>
      <c r="N832" s="8">
        <v>44105</v>
      </c>
      <c r="O832" s="13"/>
      <c r="P832" s="13">
        <v>1858571.43</v>
      </c>
      <c r="Q832" s="33"/>
      <c r="R832" s="9"/>
      <c r="S832" s="9"/>
      <c r="T832" s="9"/>
      <c r="U832" s="9"/>
      <c r="X832" s="15" t="str">
        <f>IF(B832="",VLOOKUP(A832,items_lookup!A:B,2,FALSE),B832)</f>
        <v>05. Item 05</v>
      </c>
      <c r="Y832" s="15">
        <f t="shared" si="77"/>
        <v>10</v>
      </c>
      <c r="Z832" s="15">
        <f t="shared" si="77"/>
        <v>10</v>
      </c>
      <c r="AA832" s="15">
        <f t="shared" si="74"/>
        <v>2020</v>
      </c>
      <c r="AB832" s="15">
        <f t="shared" si="75"/>
        <v>2020</v>
      </c>
      <c r="AC832" s="15">
        <f t="shared" si="76"/>
        <v>2020</v>
      </c>
      <c r="AD832" s="18" t="b">
        <f t="shared" si="73"/>
        <v>1</v>
      </c>
    </row>
    <row r="833" spans="1:30" ht="12.6" hidden="1" customHeight="1" x14ac:dyDescent="0.2">
      <c r="A833" s="7" t="s">
        <v>689</v>
      </c>
      <c r="B833" s="20"/>
      <c r="C833" s="2" t="s">
        <v>642</v>
      </c>
      <c r="D833" s="6"/>
      <c r="E833" s="32" t="s">
        <v>651</v>
      </c>
      <c r="F833" s="7"/>
      <c r="G833" s="7"/>
      <c r="H833" s="7"/>
      <c r="I833" s="7"/>
      <c r="J833" s="7"/>
      <c r="K833" s="7"/>
      <c r="L833" s="7" t="s">
        <v>663</v>
      </c>
      <c r="M833" s="8">
        <v>44105</v>
      </c>
      <c r="N833" s="8">
        <v>44105</v>
      </c>
      <c r="O833" s="13"/>
      <c r="P833" s="13">
        <v>7159690.4800000004</v>
      </c>
      <c r="Q833" s="33"/>
      <c r="R833" s="9"/>
      <c r="S833" s="9"/>
      <c r="T833" s="9"/>
      <c r="U833" s="9"/>
      <c r="X833" s="15" t="str">
        <f>IF(B833="",VLOOKUP(A833,items_lookup!A:B,2,FALSE),B833)</f>
        <v>04. Item 04</v>
      </c>
      <c r="Y833" s="15">
        <f t="shared" si="77"/>
        <v>10</v>
      </c>
      <c r="Z833" s="15">
        <f t="shared" si="77"/>
        <v>10</v>
      </c>
      <c r="AA833" s="15">
        <f t="shared" si="74"/>
        <v>2020</v>
      </c>
      <c r="AB833" s="15">
        <f t="shared" si="75"/>
        <v>2020</v>
      </c>
      <c r="AC833" s="15">
        <f t="shared" si="76"/>
        <v>2020</v>
      </c>
      <c r="AD833" s="18" t="b">
        <f t="shared" si="73"/>
        <v>1</v>
      </c>
    </row>
    <row r="834" spans="1:30" ht="15" hidden="1" customHeight="1" x14ac:dyDescent="0.2">
      <c r="A834" s="7" t="s">
        <v>689</v>
      </c>
      <c r="B834" s="20"/>
      <c r="C834" s="2" t="s">
        <v>642</v>
      </c>
      <c r="D834" s="6"/>
      <c r="E834" s="32" t="s">
        <v>651</v>
      </c>
      <c r="F834" s="7"/>
      <c r="G834" s="7"/>
      <c r="H834" s="7"/>
      <c r="I834" s="7"/>
      <c r="J834" s="7"/>
      <c r="K834" s="7"/>
      <c r="L834" s="7" t="s">
        <v>663</v>
      </c>
      <c r="M834" s="8">
        <v>44105</v>
      </c>
      <c r="N834" s="8">
        <v>44105</v>
      </c>
      <c r="O834" s="13"/>
      <c r="P834" s="13">
        <v>57690.48</v>
      </c>
      <c r="Q834" s="33"/>
      <c r="R834" s="9"/>
      <c r="S834" s="9"/>
      <c r="T834" s="9"/>
      <c r="U834" s="9"/>
      <c r="X834" s="15" t="str">
        <f>IF(B834="",VLOOKUP(A834,items_lookup!A:B,2,FALSE),B834)</f>
        <v>04. Item 04</v>
      </c>
      <c r="Y834" s="15">
        <f t="shared" si="77"/>
        <v>10</v>
      </c>
      <c r="Z834" s="15">
        <f t="shared" si="77"/>
        <v>10</v>
      </c>
      <c r="AA834" s="15">
        <f t="shared" si="74"/>
        <v>2020</v>
      </c>
      <c r="AB834" s="15">
        <f t="shared" si="75"/>
        <v>2020</v>
      </c>
      <c r="AC834" s="15">
        <f t="shared" si="76"/>
        <v>2020</v>
      </c>
      <c r="AD834" s="18" t="b">
        <f t="shared" si="73"/>
        <v>1</v>
      </c>
    </row>
    <row r="835" spans="1:30" ht="15" hidden="1" customHeight="1" x14ac:dyDescent="0.2">
      <c r="A835" s="7" t="s">
        <v>689</v>
      </c>
      <c r="B835" s="20"/>
      <c r="C835" s="2" t="s">
        <v>642</v>
      </c>
      <c r="D835" s="6"/>
      <c r="E835" s="32" t="s">
        <v>651</v>
      </c>
      <c r="F835" s="7"/>
      <c r="G835" s="7"/>
      <c r="H835" s="7"/>
      <c r="I835" s="7"/>
      <c r="J835" s="7"/>
      <c r="K835" s="7"/>
      <c r="L835" s="7" t="s">
        <v>663</v>
      </c>
      <c r="M835" s="8">
        <v>44105</v>
      </c>
      <c r="N835" s="8">
        <v>44105</v>
      </c>
      <c r="O835" s="13"/>
      <c r="P835" s="13">
        <v>7196404.7599999998</v>
      </c>
      <c r="Q835" s="33"/>
      <c r="R835" s="9"/>
      <c r="S835" s="9"/>
      <c r="T835" s="9"/>
      <c r="U835" s="9"/>
      <c r="X835" s="15" t="str">
        <f>IF(B835="",VLOOKUP(A835,items_lookup!A:B,2,FALSE),B835)</f>
        <v>04. Item 04</v>
      </c>
      <c r="Y835" s="15">
        <f t="shared" si="77"/>
        <v>10</v>
      </c>
      <c r="Z835" s="15">
        <f t="shared" si="77"/>
        <v>10</v>
      </c>
      <c r="AA835" s="15">
        <f t="shared" si="74"/>
        <v>2020</v>
      </c>
      <c r="AB835" s="15">
        <f t="shared" si="75"/>
        <v>2020</v>
      </c>
      <c r="AC835" s="15">
        <f t="shared" si="76"/>
        <v>2020</v>
      </c>
      <c r="AD835" s="18" t="b">
        <f t="shared" ref="AD835:AD898" si="78">AND(ROUND(O835,2)=O835,ROUND(P835,2)=P835,OR(AND(O835&lt;&gt;0,L835="p"),AND(P835&lt;&gt;0,L835="f")),_xlfn.ISFORMULA(X835),_xlfn.ISFORMULA(Y835),_xlfn.ISFORMULA(Z835),_xlfn.ISFORMULA(AA835),_xlfn.ISFORMULA(AB835),_xlfn.ISFORMULA(AC835),NOT(_xlfn.ISFORMULA(O835)),NOT(_xlfn.ISFORMULA(P835)),M835&lt;&gt;0,N835&lt;&gt;0)</f>
        <v>1</v>
      </c>
    </row>
    <row r="836" spans="1:30" ht="12.6" hidden="1" customHeight="1" x14ac:dyDescent="0.2">
      <c r="A836" s="7" t="s">
        <v>689</v>
      </c>
      <c r="B836" s="20"/>
      <c r="C836" s="2" t="s">
        <v>642</v>
      </c>
      <c r="D836" s="6"/>
      <c r="E836" s="32" t="s">
        <v>651</v>
      </c>
      <c r="F836" s="7"/>
      <c r="G836" s="7"/>
      <c r="H836" s="7"/>
      <c r="I836" s="7"/>
      <c r="J836" s="7"/>
      <c r="K836" s="7"/>
      <c r="L836" s="7" t="s">
        <v>663</v>
      </c>
      <c r="M836" s="8">
        <v>44105</v>
      </c>
      <c r="N836" s="8">
        <v>44105</v>
      </c>
      <c r="O836" s="13"/>
      <c r="P836" s="13">
        <v>1575476.19</v>
      </c>
      <c r="Q836" s="33"/>
      <c r="R836" s="9"/>
      <c r="S836" s="9"/>
      <c r="T836" s="9"/>
      <c r="U836" s="9"/>
      <c r="X836" s="15" t="str">
        <f>IF(B836="",VLOOKUP(A836,items_lookup!A:B,2,FALSE),B836)</f>
        <v>04. Item 04</v>
      </c>
      <c r="Y836" s="15">
        <f t="shared" si="77"/>
        <v>10</v>
      </c>
      <c r="Z836" s="15">
        <f t="shared" si="77"/>
        <v>10</v>
      </c>
      <c r="AA836" s="15">
        <f t="shared" si="74"/>
        <v>2020</v>
      </c>
      <c r="AB836" s="15">
        <f t="shared" si="75"/>
        <v>2020</v>
      </c>
      <c r="AC836" s="15">
        <f t="shared" si="76"/>
        <v>2020</v>
      </c>
      <c r="AD836" s="18" t="b">
        <f t="shared" si="78"/>
        <v>1</v>
      </c>
    </row>
    <row r="837" spans="1:30" ht="12.6" hidden="1" customHeight="1" x14ac:dyDescent="0.2">
      <c r="A837" s="7" t="s">
        <v>696</v>
      </c>
      <c r="B837" s="7" t="s">
        <v>709</v>
      </c>
      <c r="C837" s="2" t="s">
        <v>642</v>
      </c>
      <c r="D837" s="6"/>
      <c r="E837" s="32" t="s">
        <v>651</v>
      </c>
      <c r="F837" s="7"/>
      <c r="G837" s="7"/>
      <c r="H837" s="7"/>
      <c r="I837" s="7"/>
      <c r="J837" s="7"/>
      <c r="K837" s="7"/>
      <c r="L837" s="7" t="s">
        <v>663</v>
      </c>
      <c r="M837" s="8">
        <v>44105</v>
      </c>
      <c r="N837" s="8">
        <v>44105</v>
      </c>
      <c r="O837" s="13"/>
      <c r="P837" s="13">
        <v>3072023.81</v>
      </c>
      <c r="Q837" s="33"/>
      <c r="R837" s="22"/>
      <c r="S837" s="22"/>
      <c r="T837" s="22"/>
      <c r="U837" s="22"/>
      <c r="X837" s="15" t="str">
        <f>IF(B837="",VLOOKUP(A837,items_lookup!A:B,2,FALSE),B837)</f>
        <v>04. Item 04</v>
      </c>
      <c r="Y837" s="15">
        <f t="shared" si="77"/>
        <v>10</v>
      </c>
      <c r="Z837" s="15">
        <f t="shared" si="77"/>
        <v>10</v>
      </c>
      <c r="AA837" s="15">
        <f t="shared" si="74"/>
        <v>2020</v>
      </c>
      <c r="AB837" s="15">
        <f t="shared" si="75"/>
        <v>2020</v>
      </c>
      <c r="AC837" s="15">
        <f t="shared" si="76"/>
        <v>2020</v>
      </c>
      <c r="AD837" s="18" t="b">
        <f t="shared" si="78"/>
        <v>1</v>
      </c>
    </row>
    <row r="838" spans="1:30" ht="12.6" hidden="1" customHeight="1" x14ac:dyDescent="0.2">
      <c r="A838" s="7" t="s">
        <v>678</v>
      </c>
      <c r="B838" s="7"/>
      <c r="C838" s="2" t="s">
        <v>642</v>
      </c>
      <c r="D838" s="6"/>
      <c r="E838" s="32" t="s">
        <v>651</v>
      </c>
      <c r="F838" s="7"/>
      <c r="G838" s="7"/>
      <c r="H838" s="7"/>
      <c r="I838" s="7"/>
      <c r="J838" s="7"/>
      <c r="K838" s="7"/>
      <c r="L838" s="7" t="s">
        <v>663</v>
      </c>
      <c r="M838" s="8">
        <v>44105</v>
      </c>
      <c r="N838" s="8">
        <v>44105</v>
      </c>
      <c r="O838" s="13"/>
      <c r="P838" s="13">
        <v>3561000</v>
      </c>
      <c r="Q838" s="33"/>
      <c r="R838" s="9"/>
      <c r="S838" s="9"/>
      <c r="T838" s="9"/>
      <c r="U838" s="9"/>
      <c r="X838" s="15" t="str">
        <f>IF(B838="",VLOOKUP(A838,items_lookup!A:B,2,FALSE),B838)</f>
        <v>13. Item 13</v>
      </c>
      <c r="Y838" s="15">
        <f t="shared" si="77"/>
        <v>10</v>
      </c>
      <c r="Z838" s="15">
        <f t="shared" si="77"/>
        <v>10</v>
      </c>
      <c r="AA838" s="15">
        <f t="shared" si="74"/>
        <v>2020</v>
      </c>
      <c r="AB838" s="15">
        <f t="shared" si="75"/>
        <v>2020</v>
      </c>
      <c r="AC838" s="15">
        <f t="shared" si="76"/>
        <v>2020</v>
      </c>
      <c r="AD838" s="18" t="b">
        <f t="shared" si="78"/>
        <v>1</v>
      </c>
    </row>
    <row r="839" spans="1:30" ht="12.6" hidden="1" customHeight="1" x14ac:dyDescent="0.2">
      <c r="A839" s="7" t="s">
        <v>678</v>
      </c>
      <c r="B839" s="7"/>
      <c r="C839" s="2" t="s">
        <v>642</v>
      </c>
      <c r="D839" s="6"/>
      <c r="E839" s="32" t="s">
        <v>651</v>
      </c>
      <c r="F839" s="7"/>
      <c r="G839" s="7"/>
      <c r="H839" s="7"/>
      <c r="I839" s="7"/>
      <c r="J839" s="7"/>
      <c r="K839" s="7"/>
      <c r="L839" s="7" t="s">
        <v>663</v>
      </c>
      <c r="M839" s="8">
        <v>44105</v>
      </c>
      <c r="N839" s="8">
        <v>44105</v>
      </c>
      <c r="O839" s="13"/>
      <c r="P839" s="13">
        <v>237547.62</v>
      </c>
      <c r="Q839" s="33"/>
      <c r="R839" s="9"/>
      <c r="S839" s="9"/>
      <c r="T839" s="9"/>
      <c r="U839" s="9"/>
      <c r="X839" s="15" t="str">
        <f>IF(B839="",VLOOKUP(A839,items_lookup!A:B,2,FALSE),B839)</f>
        <v>13. Item 13</v>
      </c>
      <c r="Y839" s="15">
        <f t="shared" si="77"/>
        <v>10</v>
      </c>
      <c r="Z839" s="15">
        <f t="shared" si="77"/>
        <v>10</v>
      </c>
      <c r="AA839" s="15">
        <f t="shared" si="74"/>
        <v>2020</v>
      </c>
      <c r="AB839" s="15">
        <f t="shared" si="75"/>
        <v>2020</v>
      </c>
      <c r="AC839" s="15">
        <f t="shared" si="76"/>
        <v>2020</v>
      </c>
      <c r="AD839" s="18" t="b">
        <f t="shared" si="78"/>
        <v>1</v>
      </c>
    </row>
    <row r="840" spans="1:30" ht="12.6" hidden="1" customHeight="1" x14ac:dyDescent="0.2">
      <c r="A840" s="7" t="s">
        <v>675</v>
      </c>
      <c r="B840" s="7"/>
      <c r="C840" s="2" t="s">
        <v>642</v>
      </c>
      <c r="D840" s="6"/>
      <c r="E840" s="32" t="s">
        <v>651</v>
      </c>
      <c r="F840" s="7"/>
      <c r="G840" s="7"/>
      <c r="H840" s="7"/>
      <c r="I840" s="7"/>
      <c r="J840" s="7"/>
      <c r="K840" s="7"/>
      <c r="L840" s="7" t="s">
        <v>663</v>
      </c>
      <c r="M840" s="8">
        <v>44105</v>
      </c>
      <c r="N840" s="8">
        <v>44105</v>
      </c>
      <c r="O840" s="13"/>
      <c r="P840" s="13">
        <v>35642.86</v>
      </c>
      <c r="Q840" s="33"/>
      <c r="R840" s="9"/>
      <c r="S840" s="9"/>
      <c r="T840" s="9"/>
      <c r="U840" s="9"/>
      <c r="X840" s="15" t="str">
        <f>IF(B840="",VLOOKUP(A840,items_lookup!A:B,2,FALSE),B840)</f>
        <v>09. Item 09</v>
      </c>
      <c r="Y840" s="15">
        <f t="shared" si="77"/>
        <v>10</v>
      </c>
      <c r="Z840" s="15">
        <f t="shared" si="77"/>
        <v>10</v>
      </c>
      <c r="AA840" s="15">
        <f t="shared" si="74"/>
        <v>2020</v>
      </c>
      <c r="AB840" s="15">
        <f t="shared" si="75"/>
        <v>2020</v>
      </c>
      <c r="AC840" s="15">
        <f t="shared" si="76"/>
        <v>2020</v>
      </c>
      <c r="AD840" s="18" t="b">
        <f t="shared" si="78"/>
        <v>1</v>
      </c>
    </row>
    <row r="841" spans="1:30" ht="12.6" hidden="1" customHeight="1" x14ac:dyDescent="0.2">
      <c r="A841" s="7" t="s">
        <v>675</v>
      </c>
      <c r="B841" s="7" t="s">
        <v>711</v>
      </c>
      <c r="C841" s="2" t="s">
        <v>642</v>
      </c>
      <c r="D841" s="6"/>
      <c r="E841" s="32" t="s">
        <v>651</v>
      </c>
      <c r="F841" s="7"/>
      <c r="G841" s="7"/>
      <c r="H841" s="7"/>
      <c r="I841" s="7"/>
      <c r="J841" s="7"/>
      <c r="K841" s="7"/>
      <c r="L841" s="7" t="s">
        <v>663</v>
      </c>
      <c r="M841" s="8">
        <v>44105</v>
      </c>
      <c r="N841" s="8">
        <v>44105</v>
      </c>
      <c r="O841" s="13"/>
      <c r="P841" s="13">
        <v>851880.95</v>
      </c>
      <c r="Q841" s="33"/>
      <c r="R841" s="9"/>
      <c r="S841" s="9"/>
      <c r="T841" s="9"/>
      <c r="U841" s="9"/>
      <c r="X841" s="15" t="str">
        <f>IF(B841="",VLOOKUP(A841,items_lookup!A:B,2,FALSE),B841)</f>
        <v>12. Item 12</v>
      </c>
      <c r="Y841" s="15">
        <f t="shared" si="77"/>
        <v>10</v>
      </c>
      <c r="Z841" s="15">
        <f t="shared" si="77"/>
        <v>10</v>
      </c>
      <c r="AA841" s="15">
        <f t="shared" si="74"/>
        <v>2020</v>
      </c>
      <c r="AB841" s="15">
        <f t="shared" si="75"/>
        <v>2020</v>
      </c>
      <c r="AC841" s="15">
        <f t="shared" si="76"/>
        <v>2020</v>
      </c>
      <c r="AD841" s="18" t="b">
        <f t="shared" si="78"/>
        <v>1</v>
      </c>
    </row>
    <row r="842" spans="1:30" ht="12.6" hidden="1" customHeight="1" x14ac:dyDescent="0.2">
      <c r="A842" s="7" t="s">
        <v>675</v>
      </c>
      <c r="C842" s="2" t="s">
        <v>642</v>
      </c>
      <c r="D842" s="6"/>
      <c r="E842" s="32" t="s">
        <v>651</v>
      </c>
      <c r="H842" s="7"/>
      <c r="K842" s="7"/>
      <c r="L842" s="7" t="s">
        <v>663</v>
      </c>
      <c r="M842" s="8">
        <v>44105</v>
      </c>
      <c r="N842" s="8">
        <v>44105</v>
      </c>
      <c r="P842" s="14">
        <v>30261.9</v>
      </c>
      <c r="Q842" s="33"/>
      <c r="X842" s="15" t="str">
        <f>IF(B842="",VLOOKUP(A842,items_lookup!A:B,2,FALSE),B842)</f>
        <v>09. Item 09</v>
      </c>
      <c r="Y842" s="15">
        <f t="shared" si="77"/>
        <v>10</v>
      </c>
      <c r="Z842" s="15">
        <f t="shared" si="77"/>
        <v>10</v>
      </c>
      <c r="AA842" s="15">
        <f t="shared" si="74"/>
        <v>2020</v>
      </c>
      <c r="AB842" s="15">
        <f t="shared" si="75"/>
        <v>2020</v>
      </c>
      <c r="AC842" s="15">
        <f t="shared" si="76"/>
        <v>2020</v>
      </c>
      <c r="AD842" s="18" t="b">
        <f t="shared" si="78"/>
        <v>1</v>
      </c>
    </row>
    <row r="843" spans="1:30" ht="13.5" hidden="1" customHeight="1" x14ac:dyDescent="0.2">
      <c r="A843" s="7" t="s">
        <v>676</v>
      </c>
      <c r="C843" s="2" t="s">
        <v>642</v>
      </c>
      <c r="D843" s="6"/>
      <c r="E843" s="32" t="s">
        <v>651</v>
      </c>
      <c r="H843" s="7"/>
      <c r="K843" s="7"/>
      <c r="L843" s="7" t="s">
        <v>663</v>
      </c>
      <c r="M843" s="8">
        <v>44105</v>
      </c>
      <c r="N843" s="8">
        <v>44105</v>
      </c>
      <c r="P843" s="14">
        <v>658952.38</v>
      </c>
      <c r="Q843" s="33"/>
      <c r="X843" s="15" t="str">
        <f>IF(B843="",VLOOKUP(A843,items_lookup!A:B,2,FALSE),B843)</f>
        <v>09. Item 09</v>
      </c>
      <c r="Y843" s="15">
        <f t="shared" si="77"/>
        <v>10</v>
      </c>
      <c r="Z843" s="15">
        <f t="shared" si="77"/>
        <v>10</v>
      </c>
      <c r="AA843" s="15">
        <f t="shared" si="74"/>
        <v>2020</v>
      </c>
      <c r="AB843" s="15">
        <f t="shared" si="75"/>
        <v>2020</v>
      </c>
      <c r="AC843" s="15">
        <f t="shared" si="76"/>
        <v>2020</v>
      </c>
      <c r="AD843" s="18" t="b">
        <f t="shared" si="78"/>
        <v>1</v>
      </c>
    </row>
    <row r="844" spans="1:30" ht="12.75" hidden="1" customHeight="1" x14ac:dyDescent="0.2">
      <c r="A844" s="7" t="s">
        <v>676</v>
      </c>
      <c r="C844" s="2" t="s">
        <v>642</v>
      </c>
      <c r="D844" s="6"/>
      <c r="E844" s="32" t="s">
        <v>651</v>
      </c>
      <c r="H844" s="7"/>
      <c r="K844" s="7"/>
      <c r="L844" s="7" t="s">
        <v>663</v>
      </c>
      <c r="M844" s="8">
        <v>44105</v>
      </c>
      <c r="N844" s="8">
        <v>44105</v>
      </c>
      <c r="P844" s="14">
        <v>283023.81</v>
      </c>
      <c r="Q844" s="33"/>
      <c r="R844" s="23"/>
      <c r="S844" s="23"/>
      <c r="T844" s="23"/>
      <c r="U844" s="23"/>
      <c r="X844" s="15" t="str">
        <f>IF(B844="",VLOOKUP(A844,items_lookup!A:B,2,FALSE),B844)</f>
        <v>09. Item 09</v>
      </c>
      <c r="Y844" s="15">
        <f t="shared" si="77"/>
        <v>10</v>
      </c>
      <c r="Z844" s="15">
        <f t="shared" si="77"/>
        <v>10</v>
      </c>
      <c r="AA844" s="15">
        <f t="shared" si="74"/>
        <v>2020</v>
      </c>
      <c r="AB844" s="15">
        <f t="shared" si="75"/>
        <v>2020</v>
      </c>
      <c r="AC844" s="15">
        <f t="shared" si="76"/>
        <v>2020</v>
      </c>
      <c r="AD844" s="18" t="b">
        <f t="shared" si="78"/>
        <v>1</v>
      </c>
    </row>
    <row r="845" spans="1:30" ht="25.5" hidden="1" customHeight="1" x14ac:dyDescent="0.2">
      <c r="A845" s="7" t="s">
        <v>676</v>
      </c>
      <c r="B845" s="20"/>
      <c r="C845" s="2" t="s">
        <v>642</v>
      </c>
      <c r="D845" s="6"/>
      <c r="E845" s="32" t="s">
        <v>651</v>
      </c>
      <c r="F845" s="7"/>
      <c r="G845" s="7"/>
      <c r="H845" s="7"/>
      <c r="I845" s="7"/>
      <c r="J845" s="7"/>
      <c r="K845" s="7"/>
      <c r="L845" s="7" t="s">
        <v>663</v>
      </c>
      <c r="M845" s="8">
        <v>44105</v>
      </c>
      <c r="N845" s="8">
        <v>44105</v>
      </c>
      <c r="O845" s="13"/>
      <c r="P845" s="13">
        <v>3494452.38</v>
      </c>
      <c r="Q845" s="33"/>
      <c r="R845" s="9"/>
      <c r="S845" s="9"/>
      <c r="T845" s="9"/>
      <c r="U845" s="9"/>
      <c r="X845" s="15" t="str">
        <f>IF(B845="",VLOOKUP(A845,items_lookup!A:B,2,FALSE),B845)</f>
        <v>09. Item 09</v>
      </c>
      <c r="Y845" s="15">
        <f t="shared" si="77"/>
        <v>10</v>
      </c>
      <c r="Z845" s="15">
        <f t="shared" si="77"/>
        <v>10</v>
      </c>
      <c r="AA845" s="15">
        <f t="shared" si="74"/>
        <v>2020</v>
      </c>
      <c r="AB845" s="15">
        <f t="shared" si="75"/>
        <v>2020</v>
      </c>
      <c r="AC845" s="15">
        <f t="shared" si="76"/>
        <v>2020</v>
      </c>
      <c r="AD845" s="18" t="b">
        <f t="shared" si="78"/>
        <v>1</v>
      </c>
    </row>
    <row r="846" spans="1:30" ht="15" hidden="1" customHeight="1" x14ac:dyDescent="0.2">
      <c r="A846" s="7" t="s">
        <v>676</v>
      </c>
      <c r="C846" s="2" t="s">
        <v>642</v>
      </c>
      <c r="D846" s="6"/>
      <c r="E846" s="32" t="s">
        <v>651</v>
      </c>
      <c r="H846" s="7"/>
      <c r="K846" s="7"/>
      <c r="L846" s="7" t="s">
        <v>662</v>
      </c>
      <c r="M846" s="8">
        <v>44105</v>
      </c>
      <c r="N846" s="8">
        <v>44105</v>
      </c>
      <c r="O846" s="14">
        <v>283047.62</v>
      </c>
      <c r="Q846" s="33"/>
      <c r="R846" s="23"/>
      <c r="S846" s="23"/>
      <c r="T846" s="23"/>
      <c r="U846" s="23"/>
      <c r="X846" s="15" t="str">
        <f>IF(B846="",VLOOKUP(A846,items_lookup!A:B,2,FALSE),B846)</f>
        <v>09. Item 09</v>
      </c>
      <c r="Y846" s="15">
        <f t="shared" si="77"/>
        <v>10</v>
      </c>
      <c r="Z846" s="15">
        <f t="shared" si="77"/>
        <v>10</v>
      </c>
      <c r="AA846" s="15">
        <f t="shared" si="74"/>
        <v>2020</v>
      </c>
      <c r="AB846" s="15">
        <f t="shared" si="75"/>
        <v>2020</v>
      </c>
      <c r="AC846" s="15">
        <f t="shared" si="76"/>
        <v>2020</v>
      </c>
      <c r="AD846" s="18" t="b">
        <f t="shared" si="78"/>
        <v>1</v>
      </c>
    </row>
    <row r="847" spans="1:30" ht="25.5" hidden="1" customHeight="1" x14ac:dyDescent="0.2">
      <c r="A847" s="7" t="s">
        <v>683</v>
      </c>
      <c r="C847" s="2" t="s">
        <v>642</v>
      </c>
      <c r="D847" s="6"/>
      <c r="E847" s="32" t="s">
        <v>651</v>
      </c>
      <c r="H847" s="7"/>
      <c r="K847" s="7"/>
      <c r="L847" s="7" t="s">
        <v>662</v>
      </c>
      <c r="M847" s="8">
        <v>44105</v>
      </c>
      <c r="N847" s="8">
        <v>44105</v>
      </c>
      <c r="O847" s="14">
        <v>-22142.86</v>
      </c>
      <c r="Q847" s="33"/>
      <c r="X847" s="15" t="str">
        <f>IF(B847="",VLOOKUP(A847,items_lookup!A:B,2,FALSE),B847)</f>
        <v>_1. Item _1</v>
      </c>
      <c r="Y847" s="15">
        <f t="shared" si="77"/>
        <v>10</v>
      </c>
      <c r="Z847" s="15">
        <f t="shared" si="77"/>
        <v>10</v>
      </c>
      <c r="AA847" s="15">
        <f t="shared" si="74"/>
        <v>2020</v>
      </c>
      <c r="AB847" s="15">
        <f t="shared" si="75"/>
        <v>2020</v>
      </c>
      <c r="AC847" s="15">
        <f t="shared" si="76"/>
        <v>2020</v>
      </c>
      <c r="AD847" s="18" t="b">
        <f t="shared" si="78"/>
        <v>1</v>
      </c>
    </row>
    <row r="848" spans="1:30" ht="12.75" hidden="1" customHeight="1" x14ac:dyDescent="0.2">
      <c r="A848" s="7" t="s">
        <v>683</v>
      </c>
      <c r="C848" s="2" t="s">
        <v>642</v>
      </c>
      <c r="D848" s="6"/>
      <c r="E848" s="32" t="s">
        <v>651</v>
      </c>
      <c r="H848" s="7"/>
      <c r="K848" s="7"/>
      <c r="L848" s="7" t="s">
        <v>662</v>
      </c>
      <c r="M848" s="8">
        <v>44105</v>
      </c>
      <c r="N848" s="8">
        <v>44105</v>
      </c>
      <c r="O848" s="14">
        <v>758904.76</v>
      </c>
      <c r="Q848" s="33"/>
      <c r="X848" s="15" t="str">
        <f>IF(B848="",VLOOKUP(A848,items_lookup!A:B,2,FALSE),B848)</f>
        <v>_1. Item _1</v>
      </c>
      <c r="Y848" s="15">
        <f t="shared" si="77"/>
        <v>10</v>
      </c>
      <c r="Z848" s="15">
        <f t="shared" si="77"/>
        <v>10</v>
      </c>
      <c r="AA848" s="15">
        <f t="shared" si="74"/>
        <v>2020</v>
      </c>
      <c r="AB848" s="15">
        <f t="shared" si="75"/>
        <v>2020</v>
      </c>
      <c r="AC848" s="15">
        <f t="shared" si="76"/>
        <v>2020</v>
      </c>
      <c r="AD848" s="18" t="b">
        <f t="shared" si="78"/>
        <v>1</v>
      </c>
    </row>
    <row r="849" spans="1:30" ht="12.75" hidden="1" customHeight="1" x14ac:dyDescent="0.2">
      <c r="A849" s="7" t="s">
        <v>670</v>
      </c>
      <c r="B849" s="7"/>
      <c r="C849" s="2" t="s">
        <v>642</v>
      </c>
      <c r="D849" s="6"/>
      <c r="E849" s="32" t="s">
        <v>651</v>
      </c>
      <c r="F849" s="7"/>
      <c r="G849" s="7"/>
      <c r="H849" s="7"/>
      <c r="I849" s="7"/>
      <c r="J849" s="7"/>
      <c r="K849" s="7"/>
      <c r="L849" s="7" t="s">
        <v>663</v>
      </c>
      <c r="M849" s="8">
        <v>44136</v>
      </c>
      <c r="N849" s="8">
        <v>44136</v>
      </c>
      <c r="O849" s="13"/>
      <c r="P849" s="13">
        <v>342190.48</v>
      </c>
      <c r="Q849" s="33"/>
      <c r="R849" s="9"/>
      <c r="S849" s="9"/>
      <c r="T849" s="9"/>
      <c r="U849" s="9"/>
      <c r="X849" s="15" t="str">
        <f>IF(B849="",VLOOKUP(A849,items_lookup!A:B,2,FALSE),B849)</f>
        <v>04. Item 04</v>
      </c>
      <c r="Y849" s="15">
        <f t="shared" si="77"/>
        <v>11</v>
      </c>
      <c r="Z849" s="15">
        <f t="shared" si="77"/>
        <v>11</v>
      </c>
      <c r="AA849" s="15">
        <f t="shared" si="74"/>
        <v>2020</v>
      </c>
      <c r="AB849" s="15">
        <f t="shared" si="75"/>
        <v>2020</v>
      </c>
      <c r="AC849" s="15">
        <f t="shared" si="76"/>
        <v>2020</v>
      </c>
      <c r="AD849" s="18" t="b">
        <f t="shared" si="78"/>
        <v>1</v>
      </c>
    </row>
    <row r="850" spans="1:30" ht="12.6" hidden="1" customHeight="1" x14ac:dyDescent="0.2">
      <c r="A850" s="7" t="s">
        <v>689</v>
      </c>
      <c r="B850" s="7"/>
      <c r="C850" s="2" t="s">
        <v>642</v>
      </c>
      <c r="D850" s="6"/>
      <c r="E850" s="32" t="s">
        <v>651</v>
      </c>
      <c r="F850" s="7"/>
      <c r="G850" s="7"/>
      <c r="H850" s="7"/>
      <c r="I850" s="7"/>
      <c r="J850" s="7"/>
      <c r="K850" s="7"/>
      <c r="L850" s="7" t="s">
        <v>663</v>
      </c>
      <c r="M850" s="8">
        <v>44136</v>
      </c>
      <c r="N850" s="8">
        <v>44136</v>
      </c>
      <c r="O850" s="13"/>
      <c r="P850" s="13">
        <v>2343642.86</v>
      </c>
      <c r="Q850" s="33"/>
      <c r="R850" s="9"/>
      <c r="S850" s="9"/>
      <c r="T850" s="9"/>
      <c r="U850" s="9"/>
      <c r="X850" s="15" t="str">
        <f>IF(B850="",VLOOKUP(A850,items_lookup!A:B,2,FALSE),B850)</f>
        <v>04. Item 04</v>
      </c>
      <c r="Y850" s="15">
        <f t="shared" si="77"/>
        <v>11</v>
      </c>
      <c r="Z850" s="15">
        <f t="shared" si="77"/>
        <v>11</v>
      </c>
      <c r="AA850" s="15">
        <f t="shared" si="74"/>
        <v>2020</v>
      </c>
      <c r="AB850" s="15">
        <f t="shared" si="75"/>
        <v>2020</v>
      </c>
      <c r="AC850" s="15">
        <f t="shared" si="76"/>
        <v>2020</v>
      </c>
      <c r="AD850" s="18" t="b">
        <f t="shared" si="78"/>
        <v>1</v>
      </c>
    </row>
    <row r="851" spans="1:30" ht="12.6" hidden="1" customHeight="1" x14ac:dyDescent="0.2">
      <c r="A851" s="7" t="s">
        <v>671</v>
      </c>
      <c r="B851" s="20"/>
      <c r="C851" s="2" t="s">
        <v>642</v>
      </c>
      <c r="D851" s="6"/>
      <c r="E851" s="32" t="s">
        <v>651</v>
      </c>
      <c r="F851" s="7"/>
      <c r="G851" s="7"/>
      <c r="H851" s="7"/>
      <c r="I851" s="7"/>
      <c r="J851" s="7"/>
      <c r="K851" s="7"/>
      <c r="L851" s="7" t="s">
        <v>663</v>
      </c>
      <c r="M851" s="8">
        <v>44136</v>
      </c>
      <c r="N851" s="8">
        <v>44136</v>
      </c>
      <c r="O851" s="13"/>
      <c r="P851" s="13">
        <v>8035571.4299999997</v>
      </c>
      <c r="Q851" s="33"/>
      <c r="R851" s="9"/>
      <c r="S851" s="9"/>
      <c r="T851" s="9"/>
      <c r="U851" s="9"/>
      <c r="X851" s="15" t="str">
        <f>IF(B851="",VLOOKUP(A851,items_lookup!A:B,2,FALSE),B851)</f>
        <v>05. Item 05</v>
      </c>
      <c r="Y851" s="15">
        <f t="shared" si="77"/>
        <v>11</v>
      </c>
      <c r="Z851" s="15">
        <f t="shared" si="77"/>
        <v>11</v>
      </c>
      <c r="AA851" s="15">
        <f t="shared" si="74"/>
        <v>2020</v>
      </c>
      <c r="AB851" s="15">
        <f t="shared" si="75"/>
        <v>2020</v>
      </c>
      <c r="AC851" s="15">
        <f t="shared" si="76"/>
        <v>2020</v>
      </c>
      <c r="AD851" s="18" t="b">
        <f t="shared" si="78"/>
        <v>1</v>
      </c>
    </row>
    <row r="852" spans="1:30" ht="15" hidden="1" customHeight="1" x14ac:dyDescent="0.2">
      <c r="A852" s="7" t="s">
        <v>672</v>
      </c>
      <c r="B852" s="20"/>
      <c r="C852" s="2" t="s">
        <v>642</v>
      </c>
      <c r="D852" s="6"/>
      <c r="E852" s="32" t="s">
        <v>651</v>
      </c>
      <c r="F852" s="7"/>
      <c r="G852" s="7"/>
      <c r="H852" s="7"/>
      <c r="I852" s="7"/>
      <c r="J852" s="7"/>
      <c r="K852" s="7"/>
      <c r="L852" s="7" t="s">
        <v>663</v>
      </c>
      <c r="M852" s="8">
        <v>44136</v>
      </c>
      <c r="N852" s="8">
        <v>44136</v>
      </c>
      <c r="O852" s="13"/>
      <c r="P852" s="13">
        <v>69095.240000000005</v>
      </c>
      <c r="Q852" s="33"/>
      <c r="R852" s="9"/>
      <c r="S852" s="9"/>
      <c r="T852" s="9"/>
      <c r="U852" s="9"/>
      <c r="X852" s="15" t="str">
        <f>IF(B852="",VLOOKUP(A852,items_lookup!A:B,2,FALSE),B852)</f>
        <v>05. Item 05</v>
      </c>
      <c r="Y852" s="15">
        <f t="shared" si="77"/>
        <v>11</v>
      </c>
      <c r="Z852" s="15">
        <f t="shared" si="77"/>
        <v>11</v>
      </c>
      <c r="AA852" s="15">
        <f t="shared" si="74"/>
        <v>2020</v>
      </c>
      <c r="AB852" s="15">
        <f t="shared" si="75"/>
        <v>2020</v>
      </c>
      <c r="AC852" s="15">
        <f t="shared" si="76"/>
        <v>2020</v>
      </c>
      <c r="AD852" s="18" t="b">
        <f t="shared" si="78"/>
        <v>1</v>
      </c>
    </row>
    <row r="853" spans="1:30" ht="15" hidden="1" customHeight="1" x14ac:dyDescent="0.2">
      <c r="A853" s="7" t="s">
        <v>682</v>
      </c>
      <c r="B853" s="20"/>
      <c r="C853" s="2" t="s">
        <v>642</v>
      </c>
      <c r="D853" s="6"/>
      <c r="E853" s="32" t="s">
        <v>651</v>
      </c>
      <c r="F853" s="7"/>
      <c r="G853" s="7"/>
      <c r="H853" s="7"/>
      <c r="I853" s="7"/>
      <c r="J853" s="7"/>
      <c r="K853" s="7"/>
      <c r="L853" s="7" t="s">
        <v>663</v>
      </c>
      <c r="M853" s="8">
        <v>44136</v>
      </c>
      <c r="N853" s="8">
        <v>44136</v>
      </c>
      <c r="O853" s="13"/>
      <c r="P853" s="13">
        <v>5879214.29</v>
      </c>
      <c r="Q853" s="33"/>
      <c r="R853" s="9"/>
      <c r="S853" s="9"/>
      <c r="T853" s="9"/>
      <c r="U853" s="9"/>
      <c r="X853" s="15" t="str">
        <f>IF(B853="",VLOOKUP(A853,items_lookup!A:B,2,FALSE),B853)</f>
        <v>06. Item 06</v>
      </c>
      <c r="Y853" s="15">
        <f t="shared" si="77"/>
        <v>11</v>
      </c>
      <c r="Z853" s="15">
        <f t="shared" si="77"/>
        <v>11</v>
      </c>
      <c r="AA853" s="15">
        <f t="shared" si="74"/>
        <v>2020</v>
      </c>
      <c r="AB853" s="15">
        <f t="shared" si="75"/>
        <v>2020</v>
      </c>
      <c r="AC853" s="15">
        <f t="shared" si="76"/>
        <v>2020</v>
      </c>
      <c r="AD853" s="18" t="b">
        <f t="shared" si="78"/>
        <v>1</v>
      </c>
    </row>
    <row r="854" spans="1:30" ht="12.6" hidden="1" customHeight="1" x14ac:dyDescent="0.2">
      <c r="A854" s="7" t="s">
        <v>673</v>
      </c>
      <c r="B854" s="20"/>
      <c r="C854" s="2" t="s">
        <v>642</v>
      </c>
      <c r="D854" s="6"/>
      <c r="E854" s="32" t="s">
        <v>651</v>
      </c>
      <c r="F854" s="7"/>
      <c r="G854" s="7"/>
      <c r="H854" s="7"/>
      <c r="I854" s="7"/>
      <c r="J854" s="7"/>
      <c r="K854" s="7"/>
      <c r="L854" s="7" t="s">
        <v>663</v>
      </c>
      <c r="M854" s="8">
        <v>44136</v>
      </c>
      <c r="N854" s="8">
        <v>44136</v>
      </c>
      <c r="O854" s="13"/>
      <c r="P854" s="13">
        <v>1543357.14</v>
      </c>
      <c r="Q854" s="33"/>
      <c r="R854" s="9"/>
      <c r="S854" s="9"/>
      <c r="T854" s="9"/>
      <c r="U854" s="9"/>
      <c r="X854" s="15" t="str">
        <f>IF(B854="",VLOOKUP(A854,items_lookup!A:B,2,FALSE),B854)</f>
        <v>07. Item 07</v>
      </c>
      <c r="Y854" s="15">
        <f t="shared" si="77"/>
        <v>11</v>
      </c>
      <c r="Z854" s="15">
        <f t="shared" si="77"/>
        <v>11</v>
      </c>
      <c r="AA854" s="15">
        <f t="shared" ref="AA854:AA909" si="79">YEAR(N854)</f>
        <v>2020</v>
      </c>
      <c r="AB854" s="15">
        <f t="shared" ref="AB854:AB909" si="80">YEAR(M854)</f>
        <v>2020</v>
      </c>
      <c r="AC854" s="15">
        <f t="shared" ref="AC854:AC909" si="81">IF(F854="X",AA854-1,AA854)</f>
        <v>2020</v>
      </c>
      <c r="AD854" s="18" t="b">
        <f t="shared" si="78"/>
        <v>1</v>
      </c>
    </row>
    <row r="855" spans="1:30" ht="12.6" hidden="1" customHeight="1" x14ac:dyDescent="0.2">
      <c r="A855" s="7" t="s">
        <v>688</v>
      </c>
      <c r="B855" s="7" t="s">
        <v>709</v>
      </c>
      <c r="C855" s="2" t="s">
        <v>642</v>
      </c>
      <c r="D855" s="6"/>
      <c r="E855" s="32" t="s">
        <v>651</v>
      </c>
      <c r="F855" s="7"/>
      <c r="G855" s="7"/>
      <c r="H855" s="7"/>
      <c r="I855" s="7"/>
      <c r="J855" s="7"/>
      <c r="K855" s="7"/>
      <c r="L855" s="7" t="s">
        <v>663</v>
      </c>
      <c r="M855" s="8">
        <v>44136</v>
      </c>
      <c r="N855" s="8">
        <v>44136</v>
      </c>
      <c r="O855" s="13"/>
      <c r="P855" s="13">
        <v>4002904.76</v>
      </c>
      <c r="Q855" s="33"/>
      <c r="R855" s="22"/>
      <c r="S855" s="22"/>
      <c r="T855" s="22"/>
      <c r="U855" s="22"/>
      <c r="X855" s="15" t="str">
        <f>IF(B855="",VLOOKUP(A855,items_lookup!A:B,2,FALSE),B855)</f>
        <v>04. Item 04</v>
      </c>
      <c r="Y855" s="15">
        <f t="shared" si="77"/>
        <v>11</v>
      </c>
      <c r="Z855" s="15">
        <f t="shared" si="77"/>
        <v>11</v>
      </c>
      <c r="AA855" s="15">
        <f t="shared" si="79"/>
        <v>2020</v>
      </c>
      <c r="AB855" s="15">
        <f t="shared" si="80"/>
        <v>2020</v>
      </c>
      <c r="AC855" s="15">
        <f t="shared" si="81"/>
        <v>2020</v>
      </c>
      <c r="AD855" s="18" t="b">
        <f t="shared" si="78"/>
        <v>1</v>
      </c>
    </row>
    <row r="856" spans="1:30" ht="12.6" hidden="1" customHeight="1" x14ac:dyDescent="0.2">
      <c r="A856" s="7" t="s">
        <v>676</v>
      </c>
      <c r="B856" s="7"/>
      <c r="C856" s="2" t="s">
        <v>642</v>
      </c>
      <c r="D856" s="6"/>
      <c r="E856" s="32" t="s">
        <v>651</v>
      </c>
      <c r="F856" s="7"/>
      <c r="G856" s="7"/>
      <c r="H856" s="7"/>
      <c r="I856" s="7"/>
      <c r="J856" s="7"/>
      <c r="K856" s="7"/>
      <c r="L856" s="7" t="s">
        <v>663</v>
      </c>
      <c r="M856" s="8">
        <v>44136</v>
      </c>
      <c r="N856" s="8">
        <v>44136</v>
      </c>
      <c r="O856" s="13"/>
      <c r="P856" s="13">
        <v>6952404.7599999998</v>
      </c>
      <c r="Q856" s="33"/>
      <c r="R856" s="9"/>
      <c r="S856" s="9"/>
      <c r="T856" s="9"/>
      <c r="U856" s="9"/>
      <c r="X856" s="15" t="str">
        <f>IF(B856="",VLOOKUP(A856,items_lookup!A:B,2,FALSE),B856)</f>
        <v>09. Item 09</v>
      </c>
      <c r="Y856" s="15">
        <f t="shared" si="77"/>
        <v>11</v>
      </c>
      <c r="Z856" s="15">
        <f t="shared" si="77"/>
        <v>11</v>
      </c>
      <c r="AA856" s="15">
        <f t="shared" si="79"/>
        <v>2020</v>
      </c>
      <c r="AB856" s="15">
        <f t="shared" si="80"/>
        <v>2020</v>
      </c>
      <c r="AC856" s="15">
        <f t="shared" si="81"/>
        <v>2020</v>
      </c>
      <c r="AD856" s="18" t="b">
        <f t="shared" si="78"/>
        <v>1</v>
      </c>
    </row>
    <row r="857" spans="1:30" ht="12.6" hidden="1" customHeight="1" x14ac:dyDescent="0.2">
      <c r="A857" s="7" t="s">
        <v>675</v>
      </c>
      <c r="B857" s="7"/>
      <c r="C857" s="2" t="s">
        <v>642</v>
      </c>
      <c r="D857" s="6"/>
      <c r="E857" s="32" t="s">
        <v>651</v>
      </c>
      <c r="F857" s="7"/>
      <c r="G857" s="7"/>
      <c r="H857" s="7"/>
      <c r="I857" s="7"/>
      <c r="J857" s="7"/>
      <c r="K857" s="7"/>
      <c r="L857" s="7" t="s">
        <v>663</v>
      </c>
      <c r="M857" s="8">
        <v>44136</v>
      </c>
      <c r="N857" s="8">
        <v>44136</v>
      </c>
      <c r="O857" s="13"/>
      <c r="P857" s="13">
        <v>239023.81</v>
      </c>
      <c r="Q857" s="33"/>
      <c r="R857" s="9"/>
      <c r="S857" s="9"/>
      <c r="T857" s="9"/>
      <c r="U857" s="9"/>
      <c r="X857" s="15" t="str">
        <f>IF(B857="",VLOOKUP(A857,items_lookup!A:B,2,FALSE),B857)</f>
        <v>09. Item 09</v>
      </c>
      <c r="Y857" s="15">
        <f t="shared" si="77"/>
        <v>11</v>
      </c>
      <c r="Z857" s="15">
        <f t="shared" si="77"/>
        <v>11</v>
      </c>
      <c r="AA857" s="15">
        <f t="shared" si="79"/>
        <v>2020</v>
      </c>
      <c r="AB857" s="15">
        <f t="shared" si="80"/>
        <v>2020</v>
      </c>
      <c r="AC857" s="15">
        <f t="shared" si="81"/>
        <v>2020</v>
      </c>
      <c r="AD857" s="18" t="b">
        <f t="shared" si="78"/>
        <v>1</v>
      </c>
    </row>
    <row r="858" spans="1:30" ht="12.6" hidden="1" customHeight="1" x14ac:dyDescent="0.2">
      <c r="A858" s="7" t="s">
        <v>697</v>
      </c>
      <c r="B858" s="7"/>
      <c r="C858" s="2" t="s">
        <v>642</v>
      </c>
      <c r="D858" s="6"/>
      <c r="E858" s="32" t="s">
        <v>651</v>
      </c>
      <c r="F858" s="7"/>
      <c r="G858" s="7"/>
      <c r="H858" s="7"/>
      <c r="I858" s="7"/>
      <c r="J858" s="7"/>
      <c r="K858" s="7"/>
      <c r="L858" s="7" t="s">
        <v>663</v>
      </c>
      <c r="M858" s="8">
        <v>44136</v>
      </c>
      <c r="N858" s="8">
        <v>44136</v>
      </c>
      <c r="O858" s="13"/>
      <c r="P858" s="13">
        <v>23523.81</v>
      </c>
      <c r="Q858" s="33"/>
      <c r="R858" s="9"/>
      <c r="S858" s="9"/>
      <c r="T858" s="9"/>
      <c r="U858" s="9"/>
      <c r="X858" s="15" t="str">
        <f>IF(B858="",VLOOKUP(A858,items_lookup!A:B,2,FALSE),B858)</f>
        <v>10. Item 10</v>
      </c>
      <c r="Y858" s="15">
        <f t="shared" si="77"/>
        <v>11</v>
      </c>
      <c r="Z858" s="15">
        <f t="shared" si="77"/>
        <v>11</v>
      </c>
      <c r="AA858" s="15">
        <f t="shared" si="79"/>
        <v>2020</v>
      </c>
      <c r="AB858" s="15">
        <f t="shared" si="80"/>
        <v>2020</v>
      </c>
      <c r="AC858" s="15">
        <f t="shared" si="81"/>
        <v>2020</v>
      </c>
      <c r="AD858" s="18" t="b">
        <f t="shared" si="78"/>
        <v>1</v>
      </c>
    </row>
    <row r="859" spans="1:30" ht="12.6" hidden="1" customHeight="1" x14ac:dyDescent="0.2">
      <c r="A859" s="7" t="s">
        <v>677</v>
      </c>
      <c r="B859" s="7" t="s">
        <v>711</v>
      </c>
      <c r="C859" s="2" t="s">
        <v>642</v>
      </c>
      <c r="D859" s="6"/>
      <c r="E859" s="32" t="s">
        <v>651</v>
      </c>
      <c r="F859" s="7"/>
      <c r="G859" s="7"/>
      <c r="H859" s="7"/>
      <c r="I859" s="7"/>
      <c r="J859" s="7"/>
      <c r="K859" s="7"/>
      <c r="L859" s="7" t="s">
        <v>663</v>
      </c>
      <c r="M859" s="8">
        <v>44136</v>
      </c>
      <c r="N859" s="8">
        <v>44136</v>
      </c>
      <c r="O859" s="13"/>
      <c r="P859" s="13">
        <v>518857.14</v>
      </c>
      <c r="Q859" s="33"/>
      <c r="R859" s="9"/>
      <c r="S859" s="9"/>
      <c r="T859" s="9"/>
      <c r="U859" s="9"/>
      <c r="X859" s="15" t="str">
        <f>IF(B859="",VLOOKUP(A859,items_lookup!A:B,2,FALSE),B859)</f>
        <v>12. Item 12</v>
      </c>
      <c r="Y859" s="15">
        <f t="shared" si="77"/>
        <v>11</v>
      </c>
      <c r="Z859" s="15">
        <f t="shared" si="77"/>
        <v>11</v>
      </c>
      <c r="AA859" s="15">
        <f t="shared" si="79"/>
        <v>2020</v>
      </c>
      <c r="AB859" s="15">
        <f t="shared" si="80"/>
        <v>2020</v>
      </c>
      <c r="AC859" s="15">
        <f t="shared" si="81"/>
        <v>2020</v>
      </c>
      <c r="AD859" s="18" t="b">
        <f t="shared" si="78"/>
        <v>1</v>
      </c>
    </row>
    <row r="860" spans="1:30" ht="12.6" hidden="1" customHeight="1" x14ac:dyDescent="0.2">
      <c r="A860" s="7" t="s">
        <v>699</v>
      </c>
      <c r="C860" s="2" t="s">
        <v>642</v>
      </c>
      <c r="D860" s="6"/>
      <c r="E860" s="32" t="s">
        <v>651</v>
      </c>
      <c r="H860" s="7"/>
      <c r="K860" s="7"/>
      <c r="L860" s="7" t="s">
        <v>663</v>
      </c>
      <c r="M860" s="8">
        <v>44136</v>
      </c>
      <c r="N860" s="8">
        <v>44136</v>
      </c>
      <c r="P860" s="14">
        <v>32309.52</v>
      </c>
      <c r="Q860" s="33"/>
      <c r="X860" s="15" t="str">
        <f>IF(B860="",VLOOKUP(A860,items_lookup!A:B,2,FALSE),B860)</f>
        <v>12. Item 12</v>
      </c>
      <c r="Y860" s="15">
        <f t="shared" si="77"/>
        <v>11</v>
      </c>
      <c r="Z860" s="15">
        <f t="shared" si="77"/>
        <v>11</v>
      </c>
      <c r="AA860" s="15">
        <f t="shared" si="79"/>
        <v>2020</v>
      </c>
      <c r="AB860" s="15">
        <f t="shared" si="80"/>
        <v>2020</v>
      </c>
      <c r="AC860" s="15">
        <f t="shared" si="81"/>
        <v>2020</v>
      </c>
      <c r="AD860" s="18" t="b">
        <f t="shared" si="78"/>
        <v>1</v>
      </c>
    </row>
    <row r="861" spans="1:30" ht="13.5" hidden="1" customHeight="1" x14ac:dyDescent="0.2">
      <c r="A861" s="7" t="s">
        <v>696</v>
      </c>
      <c r="C861" s="2" t="s">
        <v>642</v>
      </c>
      <c r="D861" s="6"/>
      <c r="E861" s="32" t="s">
        <v>651</v>
      </c>
      <c r="H861" s="7"/>
      <c r="K861" s="7"/>
      <c r="L861" s="7" t="s">
        <v>663</v>
      </c>
      <c r="M861" s="8">
        <v>44136</v>
      </c>
      <c r="N861" s="8">
        <v>44136</v>
      </c>
      <c r="P861" s="14">
        <v>762428.57</v>
      </c>
      <c r="Q861" s="33"/>
      <c r="X861" s="15" t="str">
        <f>IF(B861="",VLOOKUP(A861,items_lookup!A:B,2,FALSE),B861)</f>
        <v>13. Item 13</v>
      </c>
      <c r="Y861" s="15">
        <f t="shared" si="77"/>
        <v>11</v>
      </c>
      <c r="Z861" s="15">
        <f t="shared" si="77"/>
        <v>11</v>
      </c>
      <c r="AA861" s="15">
        <f t="shared" si="79"/>
        <v>2020</v>
      </c>
      <c r="AB861" s="15">
        <f t="shared" si="80"/>
        <v>2020</v>
      </c>
      <c r="AC861" s="15">
        <f t="shared" si="81"/>
        <v>2020</v>
      </c>
      <c r="AD861" s="18" t="b">
        <f t="shared" si="78"/>
        <v>1</v>
      </c>
    </row>
    <row r="862" spans="1:30" ht="12.75" hidden="1" customHeight="1" x14ac:dyDescent="0.2">
      <c r="A862" s="7" t="s">
        <v>678</v>
      </c>
      <c r="C862" s="2" t="s">
        <v>642</v>
      </c>
      <c r="D862" s="6"/>
      <c r="E862" s="32" t="s">
        <v>651</v>
      </c>
      <c r="H862" s="7"/>
      <c r="K862" s="7"/>
      <c r="L862" s="7" t="s">
        <v>663</v>
      </c>
      <c r="M862" s="8">
        <v>44136</v>
      </c>
      <c r="N862" s="8">
        <v>44136</v>
      </c>
      <c r="P862" s="14">
        <v>593857.14</v>
      </c>
      <c r="Q862" s="33"/>
      <c r="R862" s="23"/>
      <c r="S862" s="23"/>
      <c r="T862" s="23"/>
      <c r="U862" s="23"/>
      <c r="X862" s="15" t="str">
        <f>IF(B862="",VLOOKUP(A862,items_lookup!A:B,2,FALSE),B862)</f>
        <v>13. Item 13</v>
      </c>
      <c r="Y862" s="15">
        <f t="shared" si="77"/>
        <v>11</v>
      </c>
      <c r="Z862" s="15">
        <f t="shared" si="77"/>
        <v>11</v>
      </c>
      <c r="AA862" s="15">
        <f t="shared" si="79"/>
        <v>2020</v>
      </c>
      <c r="AB862" s="15">
        <f t="shared" si="80"/>
        <v>2020</v>
      </c>
      <c r="AC862" s="15">
        <f t="shared" si="81"/>
        <v>2020</v>
      </c>
      <c r="AD862" s="18" t="b">
        <f t="shared" si="78"/>
        <v>1</v>
      </c>
    </row>
    <row r="863" spans="1:30" ht="25.5" hidden="1" customHeight="1" x14ac:dyDescent="0.2">
      <c r="A863" s="7" t="s">
        <v>700</v>
      </c>
      <c r="B863" s="20"/>
      <c r="C863" s="2" t="s">
        <v>642</v>
      </c>
      <c r="D863" s="6"/>
      <c r="E863" s="32" t="s">
        <v>651</v>
      </c>
      <c r="F863" s="7"/>
      <c r="G863" s="7"/>
      <c r="H863" s="7"/>
      <c r="I863" s="7"/>
      <c r="J863" s="7"/>
      <c r="K863" s="7"/>
      <c r="L863" s="7" t="s">
        <v>663</v>
      </c>
      <c r="M863" s="8">
        <v>44136</v>
      </c>
      <c r="N863" s="8">
        <v>44136</v>
      </c>
      <c r="O863" s="13"/>
      <c r="P863" s="13">
        <v>2307190.48</v>
      </c>
      <c r="Q863" s="33"/>
      <c r="R863" s="9"/>
      <c r="S863" s="9"/>
      <c r="T863" s="9"/>
      <c r="U863" s="9"/>
      <c r="X863" s="15" t="str">
        <f>IF(B863="",VLOOKUP(A863,items_lookup!A:B,2,FALSE),B863)</f>
        <v>13. Item 13</v>
      </c>
      <c r="Y863" s="15">
        <f t="shared" si="77"/>
        <v>11</v>
      </c>
      <c r="Z863" s="15">
        <f t="shared" si="77"/>
        <v>11</v>
      </c>
      <c r="AA863" s="15">
        <f t="shared" si="79"/>
        <v>2020</v>
      </c>
      <c r="AB863" s="15">
        <f t="shared" si="80"/>
        <v>2020</v>
      </c>
      <c r="AC863" s="15">
        <f t="shared" si="81"/>
        <v>2020</v>
      </c>
      <c r="AD863" s="18" t="b">
        <f t="shared" si="78"/>
        <v>1</v>
      </c>
    </row>
    <row r="864" spans="1:30" ht="15" hidden="1" customHeight="1" x14ac:dyDescent="0.2">
      <c r="A864" s="7" t="s">
        <v>701</v>
      </c>
      <c r="C864" s="2" t="s">
        <v>642</v>
      </c>
      <c r="D864" s="6"/>
      <c r="E864" s="32" t="s">
        <v>651</v>
      </c>
      <c r="H864" s="7"/>
      <c r="K864" s="7"/>
      <c r="L864" s="7" t="s">
        <v>662</v>
      </c>
      <c r="M864" s="8">
        <v>44136</v>
      </c>
      <c r="N864" s="8">
        <v>44136</v>
      </c>
      <c r="O864" s="14">
        <v>259928.57</v>
      </c>
      <c r="Q864" s="33"/>
      <c r="R864" s="23"/>
      <c r="S864" s="23"/>
      <c r="T864" s="23"/>
      <c r="U864" s="23"/>
      <c r="X864" s="15" t="str">
        <f>IF(B864="",VLOOKUP(A864,items_lookup!A:B,2,FALSE),B864)</f>
        <v>13. Item 13</v>
      </c>
      <c r="Y864" s="15">
        <f t="shared" si="77"/>
        <v>11</v>
      </c>
      <c r="Z864" s="15">
        <f t="shared" si="77"/>
        <v>11</v>
      </c>
      <c r="AA864" s="15">
        <f t="shared" si="79"/>
        <v>2020</v>
      </c>
      <c r="AB864" s="15">
        <f t="shared" si="80"/>
        <v>2020</v>
      </c>
      <c r="AC864" s="15">
        <f t="shared" si="81"/>
        <v>2020</v>
      </c>
      <c r="AD864" s="18" t="b">
        <f t="shared" si="78"/>
        <v>1</v>
      </c>
    </row>
    <row r="865" spans="1:30" ht="25.5" hidden="1" customHeight="1" x14ac:dyDescent="0.2">
      <c r="A865" s="7" t="s">
        <v>680</v>
      </c>
      <c r="C865" s="2" t="s">
        <v>642</v>
      </c>
      <c r="D865" s="6"/>
      <c r="E865" s="32" t="s">
        <v>651</v>
      </c>
      <c r="H865" s="7"/>
      <c r="K865" s="7"/>
      <c r="L865" s="7" t="s">
        <v>662</v>
      </c>
      <c r="M865" s="8">
        <v>44136</v>
      </c>
      <c r="N865" s="8">
        <v>44136</v>
      </c>
      <c r="O865" s="14">
        <v>-22142.86</v>
      </c>
      <c r="Q865" s="33"/>
      <c r="X865" s="15" t="str">
        <f>IF(B865="",VLOOKUP(A865,items_lookup!A:B,2,FALSE),B865)</f>
        <v>13. Item 13</v>
      </c>
      <c r="Y865" s="15">
        <f t="shared" si="77"/>
        <v>11</v>
      </c>
      <c r="Z865" s="15">
        <f t="shared" si="77"/>
        <v>11</v>
      </c>
      <c r="AA865" s="15">
        <f t="shared" si="79"/>
        <v>2020</v>
      </c>
      <c r="AB865" s="15">
        <f t="shared" si="80"/>
        <v>2020</v>
      </c>
      <c r="AC865" s="15">
        <f t="shared" si="81"/>
        <v>2020</v>
      </c>
      <c r="AD865" s="18" t="b">
        <f t="shared" si="78"/>
        <v>1</v>
      </c>
    </row>
    <row r="866" spans="1:30" ht="12.75" hidden="1" customHeight="1" x14ac:dyDescent="0.2">
      <c r="A866" s="7" t="s">
        <v>687</v>
      </c>
      <c r="C866" s="2" t="s">
        <v>642</v>
      </c>
      <c r="D866" s="6"/>
      <c r="E866" s="32" t="s">
        <v>651</v>
      </c>
      <c r="H866" s="7"/>
      <c r="K866" s="7"/>
      <c r="L866" s="7" t="s">
        <v>662</v>
      </c>
      <c r="M866" s="8">
        <v>44136</v>
      </c>
      <c r="N866" s="8">
        <v>44136</v>
      </c>
      <c r="O866" s="14">
        <v>758904.76</v>
      </c>
      <c r="Q866" s="33"/>
      <c r="X866" s="15" t="str">
        <f>IF(B866="",VLOOKUP(A866,items_lookup!A:B,2,FALSE),B866)</f>
        <v>14. Item 14</v>
      </c>
      <c r="Y866" s="15">
        <f t="shared" si="77"/>
        <v>11</v>
      </c>
      <c r="Z866" s="15">
        <f t="shared" si="77"/>
        <v>11</v>
      </c>
      <c r="AA866" s="15">
        <f t="shared" si="79"/>
        <v>2020</v>
      </c>
      <c r="AB866" s="15">
        <f t="shared" si="80"/>
        <v>2020</v>
      </c>
      <c r="AC866" s="15">
        <f t="shared" si="81"/>
        <v>2020</v>
      </c>
      <c r="AD866" s="18" t="b">
        <f t="shared" si="78"/>
        <v>1</v>
      </c>
    </row>
    <row r="867" spans="1:30" ht="12.75" hidden="1" customHeight="1" x14ac:dyDescent="0.2">
      <c r="A867" s="7" t="s">
        <v>702</v>
      </c>
      <c r="B867" s="7"/>
      <c r="C867" s="2" t="s">
        <v>642</v>
      </c>
      <c r="D867" s="6"/>
      <c r="E867" s="32" t="s">
        <v>651</v>
      </c>
      <c r="F867" s="7"/>
      <c r="G867" s="7"/>
      <c r="H867" s="7"/>
      <c r="I867" s="7"/>
      <c r="J867" s="7"/>
      <c r="K867" s="7"/>
      <c r="L867" s="7" t="s">
        <v>663</v>
      </c>
      <c r="M867" s="8">
        <v>44166</v>
      </c>
      <c r="N867" s="8">
        <v>44166</v>
      </c>
      <c r="O867" s="13"/>
      <c r="P867" s="13">
        <v>319642.86</v>
      </c>
      <c r="Q867" s="33"/>
      <c r="R867" s="9"/>
      <c r="S867" s="9"/>
      <c r="T867" s="9"/>
      <c r="U867" s="9"/>
      <c r="X867" s="15" t="str">
        <f>IF(B867="",VLOOKUP(A867,items_lookup!A:B,2,FALSE),B867)</f>
        <v>17. Item 17</v>
      </c>
      <c r="Y867" s="15">
        <f t="shared" si="77"/>
        <v>12</v>
      </c>
      <c r="Z867" s="15">
        <f t="shared" si="77"/>
        <v>12</v>
      </c>
      <c r="AA867" s="15">
        <f t="shared" si="79"/>
        <v>2020</v>
      </c>
      <c r="AB867" s="15">
        <f t="shared" si="80"/>
        <v>2020</v>
      </c>
      <c r="AC867" s="15">
        <f t="shared" si="81"/>
        <v>2020</v>
      </c>
      <c r="AD867" s="18" t="b">
        <f t="shared" si="78"/>
        <v>1</v>
      </c>
    </row>
    <row r="868" spans="1:30" ht="12.6" hidden="1" customHeight="1" x14ac:dyDescent="0.2">
      <c r="A868" s="7" t="s">
        <v>677</v>
      </c>
      <c r="B868" s="7"/>
      <c r="C868" s="2" t="s">
        <v>642</v>
      </c>
      <c r="D868" s="6"/>
      <c r="E868" s="32" t="s">
        <v>651</v>
      </c>
      <c r="F868" s="7"/>
      <c r="G868" s="7"/>
      <c r="H868" s="7"/>
      <c r="I868" s="7"/>
      <c r="J868" s="7"/>
      <c r="K868" s="7"/>
      <c r="L868" s="7" t="s">
        <v>663</v>
      </c>
      <c r="M868" s="8">
        <v>44166</v>
      </c>
      <c r="N868" s="8">
        <v>44166</v>
      </c>
      <c r="O868" s="13"/>
      <c r="P868" s="13">
        <v>6508571.4299999997</v>
      </c>
      <c r="Q868" s="33"/>
      <c r="R868" s="9"/>
      <c r="S868" s="9"/>
      <c r="T868" s="9"/>
      <c r="U868" s="9"/>
      <c r="X868" s="15" t="str">
        <f>IF(B868="",VLOOKUP(A868,items_lookup!A:B,2,FALSE),B868)</f>
        <v>11. Item 11</v>
      </c>
      <c r="Y868" s="15">
        <f t="shared" si="77"/>
        <v>12</v>
      </c>
      <c r="Z868" s="15">
        <f t="shared" si="77"/>
        <v>12</v>
      </c>
      <c r="AA868" s="15">
        <f t="shared" si="79"/>
        <v>2020</v>
      </c>
      <c r="AB868" s="15">
        <f t="shared" si="80"/>
        <v>2020</v>
      </c>
      <c r="AC868" s="15">
        <f t="shared" si="81"/>
        <v>2020</v>
      </c>
      <c r="AD868" s="18" t="b">
        <f t="shared" si="78"/>
        <v>1</v>
      </c>
    </row>
    <row r="869" spans="1:30" ht="12.6" hidden="1" customHeight="1" x14ac:dyDescent="0.2">
      <c r="A869" s="7" t="s">
        <v>677</v>
      </c>
      <c r="B869" s="20"/>
      <c r="C869" s="2" t="s">
        <v>642</v>
      </c>
      <c r="D869" s="6"/>
      <c r="E869" s="32" t="s">
        <v>651</v>
      </c>
      <c r="F869" s="7"/>
      <c r="G869" s="7"/>
      <c r="H869" s="7"/>
      <c r="I869" s="7"/>
      <c r="J869" s="7"/>
      <c r="K869" s="7"/>
      <c r="L869" s="7" t="s">
        <v>663</v>
      </c>
      <c r="M869" s="8">
        <v>44166</v>
      </c>
      <c r="N869" s="8">
        <v>44166</v>
      </c>
      <c r="O869" s="13"/>
      <c r="P869" s="13">
        <v>8870690.4800000004</v>
      </c>
      <c r="Q869" s="33"/>
      <c r="R869" s="9"/>
      <c r="S869" s="9"/>
      <c r="T869" s="9"/>
      <c r="U869" s="9"/>
      <c r="X869" s="15" t="str">
        <f>IF(B869="",VLOOKUP(A869,items_lookup!A:B,2,FALSE),B869)</f>
        <v>11. Item 11</v>
      </c>
      <c r="Y869" s="15">
        <f t="shared" ref="Y869:Z923" si="82">MONTH(M869)</f>
        <v>12</v>
      </c>
      <c r="Z869" s="15">
        <f t="shared" si="82"/>
        <v>12</v>
      </c>
      <c r="AA869" s="15">
        <f t="shared" si="79"/>
        <v>2020</v>
      </c>
      <c r="AB869" s="15">
        <f t="shared" si="80"/>
        <v>2020</v>
      </c>
      <c r="AC869" s="15">
        <f t="shared" si="81"/>
        <v>2020</v>
      </c>
      <c r="AD869" s="18" t="b">
        <f t="shared" si="78"/>
        <v>1</v>
      </c>
    </row>
    <row r="870" spans="1:30" ht="15" hidden="1" customHeight="1" x14ac:dyDescent="0.2">
      <c r="A870" s="7" t="s">
        <v>672</v>
      </c>
      <c r="B870" s="20"/>
      <c r="C870" s="2" t="s">
        <v>642</v>
      </c>
      <c r="D870" s="6"/>
      <c r="E870" s="32" t="s">
        <v>651</v>
      </c>
      <c r="F870" s="7"/>
      <c r="G870" s="7"/>
      <c r="H870" s="7"/>
      <c r="I870" s="7"/>
      <c r="J870" s="7"/>
      <c r="K870" s="7"/>
      <c r="L870" s="7" t="s">
        <v>663</v>
      </c>
      <c r="M870" s="8">
        <v>44166</v>
      </c>
      <c r="N870" s="8">
        <v>44166</v>
      </c>
      <c r="O870" s="13"/>
      <c r="P870" s="13">
        <v>66285.710000000006</v>
      </c>
      <c r="Q870" s="33"/>
      <c r="R870" s="9"/>
      <c r="S870" s="9"/>
      <c r="T870" s="9"/>
      <c r="U870" s="9"/>
      <c r="X870" s="15" t="str">
        <f>IF(B870="",VLOOKUP(A870,items_lookup!A:B,2,FALSE),B870)</f>
        <v>05. Item 05</v>
      </c>
      <c r="Y870" s="15">
        <f t="shared" si="82"/>
        <v>12</v>
      </c>
      <c r="Z870" s="15">
        <f t="shared" si="82"/>
        <v>12</v>
      </c>
      <c r="AA870" s="15">
        <f t="shared" si="79"/>
        <v>2020</v>
      </c>
      <c r="AB870" s="15">
        <f t="shared" si="80"/>
        <v>2020</v>
      </c>
      <c r="AC870" s="15">
        <f t="shared" si="81"/>
        <v>2020</v>
      </c>
      <c r="AD870" s="18" t="b">
        <f t="shared" si="78"/>
        <v>1</v>
      </c>
    </row>
    <row r="871" spans="1:30" ht="15" hidden="1" customHeight="1" x14ac:dyDescent="0.2">
      <c r="A871" s="7" t="s">
        <v>701</v>
      </c>
      <c r="B871" s="20"/>
      <c r="C871" s="2" t="s">
        <v>642</v>
      </c>
      <c r="D871" s="6"/>
      <c r="E871" s="32" t="s">
        <v>651</v>
      </c>
      <c r="F871" s="7"/>
      <c r="G871" s="7"/>
      <c r="H871" s="7"/>
      <c r="I871" s="7"/>
      <c r="J871" s="7"/>
      <c r="K871" s="7"/>
      <c r="L871" s="7" t="s">
        <v>663</v>
      </c>
      <c r="M871" s="8">
        <v>44166</v>
      </c>
      <c r="N871" s="8">
        <v>44166</v>
      </c>
      <c r="O871" s="13"/>
      <c r="P871" s="13">
        <v>8251357.1399999997</v>
      </c>
      <c r="Q871" s="33"/>
      <c r="R871" s="9"/>
      <c r="S871" s="9"/>
      <c r="T871" s="9"/>
      <c r="U871" s="9"/>
      <c r="X871" s="15" t="str">
        <f>IF(B871="",VLOOKUP(A871,items_lookup!A:B,2,FALSE),B871)</f>
        <v>13. Item 13</v>
      </c>
      <c r="Y871" s="15">
        <f t="shared" si="82"/>
        <v>12</v>
      </c>
      <c r="Z871" s="15">
        <f t="shared" si="82"/>
        <v>12</v>
      </c>
      <c r="AA871" s="15">
        <f t="shared" si="79"/>
        <v>2020</v>
      </c>
      <c r="AB871" s="15">
        <f t="shared" si="80"/>
        <v>2020</v>
      </c>
      <c r="AC871" s="15">
        <f t="shared" si="81"/>
        <v>2020</v>
      </c>
      <c r="AD871" s="18" t="b">
        <f t="shared" si="78"/>
        <v>1</v>
      </c>
    </row>
    <row r="872" spans="1:30" ht="12.6" hidden="1" customHeight="1" x14ac:dyDescent="0.2">
      <c r="A872" s="7" t="s">
        <v>680</v>
      </c>
      <c r="B872" s="20"/>
      <c r="C872" s="2" t="s">
        <v>642</v>
      </c>
      <c r="D872" s="6"/>
      <c r="E872" s="32" t="s">
        <v>651</v>
      </c>
      <c r="F872" s="7"/>
      <c r="G872" s="7"/>
      <c r="H872" s="7"/>
      <c r="I872" s="7"/>
      <c r="J872" s="7"/>
      <c r="K872" s="7"/>
      <c r="L872" s="7" t="s">
        <v>663</v>
      </c>
      <c r="M872" s="8">
        <v>44166</v>
      </c>
      <c r="N872" s="8">
        <v>44166</v>
      </c>
      <c r="O872" s="13"/>
      <c r="P872" s="13">
        <v>1890666.67</v>
      </c>
      <c r="Q872" s="33"/>
      <c r="R872" s="9"/>
      <c r="S872" s="9"/>
      <c r="T872" s="9"/>
      <c r="U872" s="9"/>
      <c r="X872" s="15" t="str">
        <f>IF(B872="",VLOOKUP(A872,items_lookup!A:B,2,FALSE),B872)</f>
        <v>13. Item 13</v>
      </c>
      <c r="Y872" s="15">
        <f t="shared" si="82"/>
        <v>12</v>
      </c>
      <c r="Z872" s="15">
        <f t="shared" si="82"/>
        <v>12</v>
      </c>
      <c r="AA872" s="15">
        <f t="shared" si="79"/>
        <v>2020</v>
      </c>
      <c r="AB872" s="15">
        <f t="shared" si="80"/>
        <v>2020</v>
      </c>
      <c r="AC872" s="15">
        <f t="shared" si="81"/>
        <v>2020</v>
      </c>
      <c r="AD872" s="18" t="b">
        <f t="shared" si="78"/>
        <v>1</v>
      </c>
    </row>
    <row r="873" spans="1:30" ht="12.6" hidden="1" customHeight="1" x14ac:dyDescent="0.2">
      <c r="A873" s="7" t="s">
        <v>680</v>
      </c>
      <c r="B873" s="7" t="s">
        <v>709</v>
      </c>
      <c r="C873" s="2" t="s">
        <v>642</v>
      </c>
      <c r="D873" s="6"/>
      <c r="E873" s="32" t="s">
        <v>651</v>
      </c>
      <c r="F873" s="7"/>
      <c r="G873" s="7"/>
      <c r="H873" s="7"/>
      <c r="I873" s="7"/>
      <c r="J873" s="7"/>
      <c r="K873" s="7"/>
      <c r="L873" s="7" t="s">
        <v>663</v>
      </c>
      <c r="M873" s="8">
        <v>44166</v>
      </c>
      <c r="N873" s="8">
        <v>44166</v>
      </c>
      <c r="O873" s="13"/>
      <c r="P873" s="13">
        <v>8742642.8599999994</v>
      </c>
      <c r="Q873" s="33"/>
      <c r="R873" s="22"/>
      <c r="S873" s="22"/>
      <c r="T873" s="22"/>
      <c r="U873" s="22"/>
      <c r="X873" s="15" t="str">
        <f>IF(B873="",VLOOKUP(A873,items_lookup!A:B,2,FALSE),B873)</f>
        <v>04. Item 04</v>
      </c>
      <c r="Y873" s="15">
        <f t="shared" si="82"/>
        <v>12</v>
      </c>
      <c r="Z873" s="15">
        <f t="shared" si="82"/>
        <v>12</v>
      </c>
      <c r="AA873" s="15">
        <f t="shared" si="79"/>
        <v>2020</v>
      </c>
      <c r="AB873" s="15">
        <f t="shared" si="80"/>
        <v>2020</v>
      </c>
      <c r="AC873" s="15">
        <f t="shared" si="81"/>
        <v>2020</v>
      </c>
      <c r="AD873" s="18" t="b">
        <f t="shared" si="78"/>
        <v>1</v>
      </c>
    </row>
    <row r="874" spans="1:30" ht="12.6" hidden="1" customHeight="1" x14ac:dyDescent="0.2">
      <c r="A874" s="7" t="s">
        <v>680</v>
      </c>
      <c r="B874" s="7"/>
      <c r="C874" s="2" t="s">
        <v>642</v>
      </c>
      <c r="D874" s="6"/>
      <c r="E874" s="32" t="s">
        <v>651</v>
      </c>
      <c r="F874" s="7"/>
      <c r="G874" s="7"/>
      <c r="H874" s="7"/>
      <c r="I874" s="7"/>
      <c r="J874" s="7"/>
      <c r="K874" s="7"/>
      <c r="L874" s="7" t="s">
        <v>663</v>
      </c>
      <c r="M874" s="8">
        <v>44166</v>
      </c>
      <c r="N874" s="8">
        <v>44166</v>
      </c>
      <c r="O874" s="13"/>
      <c r="P874" s="13">
        <v>5571190.4800000004</v>
      </c>
      <c r="Q874" s="33"/>
      <c r="R874" s="9"/>
      <c r="S874" s="9"/>
      <c r="T874" s="9"/>
      <c r="U874" s="9"/>
      <c r="X874" s="15" t="str">
        <f>IF(B874="",VLOOKUP(A874,items_lookup!A:B,2,FALSE),B874)</f>
        <v>13. Item 13</v>
      </c>
      <c r="Y874" s="15">
        <f t="shared" si="82"/>
        <v>12</v>
      </c>
      <c r="Z874" s="15">
        <f t="shared" si="82"/>
        <v>12</v>
      </c>
      <c r="AA874" s="15">
        <f t="shared" si="79"/>
        <v>2020</v>
      </c>
      <c r="AB874" s="15">
        <f t="shared" si="80"/>
        <v>2020</v>
      </c>
      <c r="AC874" s="15">
        <f t="shared" si="81"/>
        <v>2020</v>
      </c>
      <c r="AD874" s="18" t="b">
        <f t="shared" si="78"/>
        <v>1</v>
      </c>
    </row>
    <row r="875" spans="1:30" ht="12.6" hidden="1" customHeight="1" x14ac:dyDescent="0.2">
      <c r="A875" s="7" t="s">
        <v>680</v>
      </c>
      <c r="B875" s="7"/>
      <c r="C875" s="2" t="s">
        <v>642</v>
      </c>
      <c r="D875" s="6"/>
      <c r="E875" s="32" t="s">
        <v>651</v>
      </c>
      <c r="F875" s="7"/>
      <c r="G875" s="7"/>
      <c r="H875" s="7"/>
      <c r="I875" s="7"/>
      <c r="J875" s="7"/>
      <c r="K875" s="7"/>
      <c r="L875" s="7" t="s">
        <v>663</v>
      </c>
      <c r="M875" s="8">
        <v>44166</v>
      </c>
      <c r="N875" s="8">
        <v>44166</v>
      </c>
      <c r="O875" s="13"/>
      <c r="P875" s="13">
        <v>1127357.1399999999</v>
      </c>
      <c r="Q875" s="33"/>
      <c r="R875" s="9"/>
      <c r="S875" s="9"/>
      <c r="T875" s="9"/>
      <c r="U875" s="9"/>
      <c r="X875" s="15" t="str">
        <f>IF(B875="",VLOOKUP(A875,items_lookup!A:B,2,FALSE),B875)</f>
        <v>13. Item 13</v>
      </c>
      <c r="Y875" s="15">
        <f t="shared" si="82"/>
        <v>12</v>
      </c>
      <c r="Z875" s="15">
        <f t="shared" si="82"/>
        <v>12</v>
      </c>
      <c r="AA875" s="15">
        <f t="shared" si="79"/>
        <v>2020</v>
      </c>
      <c r="AB875" s="15">
        <f t="shared" si="80"/>
        <v>2020</v>
      </c>
      <c r="AC875" s="15">
        <f t="shared" si="81"/>
        <v>2020</v>
      </c>
      <c r="AD875" s="18" t="b">
        <f t="shared" si="78"/>
        <v>1</v>
      </c>
    </row>
    <row r="876" spans="1:30" ht="12.6" hidden="1" customHeight="1" x14ac:dyDescent="0.2">
      <c r="A876" s="7" t="s">
        <v>676</v>
      </c>
      <c r="B876" s="7"/>
      <c r="C876" s="2" t="s">
        <v>642</v>
      </c>
      <c r="D876" s="6"/>
      <c r="E876" s="32" t="s">
        <v>651</v>
      </c>
      <c r="F876" s="7"/>
      <c r="G876" s="7"/>
      <c r="H876" s="7"/>
      <c r="I876" s="7"/>
      <c r="J876" s="7"/>
      <c r="K876" s="7"/>
      <c r="L876" s="7" t="s">
        <v>663</v>
      </c>
      <c r="M876" s="8">
        <v>44166</v>
      </c>
      <c r="N876" s="8">
        <v>44166</v>
      </c>
      <c r="O876" s="13"/>
      <c r="P876" s="13">
        <v>74761.899999999994</v>
      </c>
      <c r="Q876" s="33"/>
      <c r="R876" s="9"/>
      <c r="S876" s="9"/>
      <c r="T876" s="9"/>
      <c r="U876" s="9"/>
      <c r="X876" s="15" t="str">
        <f>IF(B876="",VLOOKUP(A876,items_lookup!A:B,2,FALSE),B876)</f>
        <v>09. Item 09</v>
      </c>
      <c r="Y876" s="15">
        <f t="shared" si="82"/>
        <v>12</v>
      </c>
      <c r="Z876" s="15">
        <f t="shared" si="82"/>
        <v>12</v>
      </c>
      <c r="AA876" s="15">
        <f t="shared" si="79"/>
        <v>2020</v>
      </c>
      <c r="AB876" s="15">
        <f t="shared" si="80"/>
        <v>2020</v>
      </c>
      <c r="AC876" s="15">
        <f t="shared" si="81"/>
        <v>2020</v>
      </c>
      <c r="AD876" s="18" t="b">
        <f t="shared" si="78"/>
        <v>1</v>
      </c>
    </row>
    <row r="877" spans="1:30" ht="12.6" hidden="1" customHeight="1" x14ac:dyDescent="0.2">
      <c r="A877" s="7" t="s">
        <v>675</v>
      </c>
      <c r="B877" s="7" t="s">
        <v>711</v>
      </c>
      <c r="C877" s="2" t="s">
        <v>642</v>
      </c>
      <c r="D877" s="6"/>
      <c r="E877" s="32" t="s">
        <v>651</v>
      </c>
      <c r="F877" s="7"/>
      <c r="G877" s="7"/>
      <c r="H877" s="7"/>
      <c r="I877" s="7"/>
      <c r="J877" s="7"/>
      <c r="K877" s="7"/>
      <c r="L877" s="7" t="s">
        <v>663</v>
      </c>
      <c r="M877" s="8">
        <v>44166</v>
      </c>
      <c r="N877" s="8">
        <v>44166</v>
      </c>
      <c r="O877" s="13"/>
      <c r="P877" s="13">
        <v>449071.43</v>
      </c>
      <c r="Q877" s="33"/>
      <c r="R877" s="9"/>
      <c r="S877" s="9"/>
      <c r="T877" s="9"/>
      <c r="U877" s="9"/>
      <c r="X877" s="15" t="str">
        <f>IF(B877="",VLOOKUP(A877,items_lookup!A:B,2,FALSE),B877)</f>
        <v>12. Item 12</v>
      </c>
      <c r="Y877" s="15">
        <f t="shared" si="82"/>
        <v>12</v>
      </c>
      <c r="Z877" s="15">
        <f t="shared" si="82"/>
        <v>12</v>
      </c>
      <c r="AA877" s="15">
        <f t="shared" si="79"/>
        <v>2020</v>
      </c>
      <c r="AB877" s="15">
        <f t="shared" si="80"/>
        <v>2020</v>
      </c>
      <c r="AC877" s="15">
        <f t="shared" si="81"/>
        <v>2020</v>
      </c>
      <c r="AD877" s="18" t="b">
        <f t="shared" si="78"/>
        <v>1</v>
      </c>
    </row>
    <row r="878" spans="1:30" ht="12.6" hidden="1" customHeight="1" x14ac:dyDescent="0.2">
      <c r="A878" s="7" t="s">
        <v>673</v>
      </c>
      <c r="C878" s="2" t="s">
        <v>642</v>
      </c>
      <c r="D878" s="6"/>
      <c r="E878" s="32" t="s">
        <v>651</v>
      </c>
      <c r="H878" s="7"/>
      <c r="K878" s="7"/>
      <c r="L878" s="7" t="s">
        <v>663</v>
      </c>
      <c r="M878" s="8">
        <v>44166</v>
      </c>
      <c r="N878" s="8">
        <v>44166</v>
      </c>
      <c r="P878" s="14">
        <v>22452.38</v>
      </c>
      <c r="Q878" s="33"/>
      <c r="X878" s="15" t="str">
        <f>IF(B878="",VLOOKUP(A878,items_lookup!A:B,2,FALSE),B878)</f>
        <v>07. Item 07</v>
      </c>
      <c r="Y878" s="15">
        <f t="shared" si="82"/>
        <v>12</v>
      </c>
      <c r="Z878" s="15">
        <f t="shared" si="82"/>
        <v>12</v>
      </c>
      <c r="AA878" s="15">
        <f t="shared" si="79"/>
        <v>2020</v>
      </c>
      <c r="AB878" s="15">
        <f t="shared" si="80"/>
        <v>2020</v>
      </c>
      <c r="AC878" s="15">
        <f t="shared" si="81"/>
        <v>2020</v>
      </c>
      <c r="AD878" s="18" t="b">
        <f t="shared" si="78"/>
        <v>1</v>
      </c>
    </row>
    <row r="879" spans="1:30" ht="13.5" hidden="1" customHeight="1" x14ac:dyDescent="0.2">
      <c r="A879" s="7" t="s">
        <v>672</v>
      </c>
      <c r="C879" s="2" t="s">
        <v>642</v>
      </c>
      <c r="D879" s="6"/>
      <c r="E879" s="32" t="s">
        <v>651</v>
      </c>
      <c r="H879" s="7"/>
      <c r="K879" s="7"/>
      <c r="L879" s="7" t="s">
        <v>663</v>
      </c>
      <c r="M879" s="8">
        <v>44166</v>
      </c>
      <c r="N879" s="8">
        <v>44166</v>
      </c>
      <c r="P879" s="14">
        <v>2121285.71</v>
      </c>
      <c r="Q879" s="33"/>
      <c r="X879" s="15" t="str">
        <f>IF(B879="",VLOOKUP(A879,items_lookup!A:B,2,FALSE),B879)</f>
        <v>05. Item 05</v>
      </c>
      <c r="Y879" s="15">
        <f t="shared" si="82"/>
        <v>12</v>
      </c>
      <c r="Z879" s="15">
        <f t="shared" si="82"/>
        <v>12</v>
      </c>
      <c r="AA879" s="15">
        <f t="shared" si="79"/>
        <v>2020</v>
      </c>
      <c r="AB879" s="15">
        <f t="shared" si="80"/>
        <v>2020</v>
      </c>
      <c r="AC879" s="15">
        <f t="shared" si="81"/>
        <v>2020</v>
      </c>
      <c r="AD879" s="18" t="b">
        <f t="shared" si="78"/>
        <v>1</v>
      </c>
    </row>
    <row r="880" spans="1:30" ht="25.5" hidden="1" customHeight="1" x14ac:dyDescent="0.2">
      <c r="A880" s="7" t="s">
        <v>668</v>
      </c>
      <c r="B880" s="20"/>
      <c r="C880" s="2" t="s">
        <v>642</v>
      </c>
      <c r="D880" s="6"/>
      <c r="E880" s="32" t="s">
        <v>651</v>
      </c>
      <c r="F880" s="7"/>
      <c r="G880" s="7"/>
      <c r="H880" s="7"/>
      <c r="I880" s="7"/>
      <c r="J880" s="7"/>
      <c r="K880" s="7"/>
      <c r="L880" s="7" t="s">
        <v>663</v>
      </c>
      <c r="M880" s="8">
        <v>44166</v>
      </c>
      <c r="N880" s="8">
        <v>44166</v>
      </c>
      <c r="O880" s="13"/>
      <c r="P880" s="13">
        <v>2069761.9</v>
      </c>
      <c r="Q880" s="33"/>
      <c r="R880" s="9"/>
      <c r="S880" s="9"/>
      <c r="T880" s="9"/>
      <c r="U880" s="9"/>
      <c r="X880" s="15" t="str">
        <f>IF(B880="",VLOOKUP(A880,items_lookup!A:B,2,FALSE),B880)</f>
        <v>01. Item 01</v>
      </c>
      <c r="Y880" s="15">
        <f t="shared" si="82"/>
        <v>12</v>
      </c>
      <c r="Z880" s="15">
        <f t="shared" si="82"/>
        <v>12</v>
      </c>
      <c r="AA880" s="15">
        <f t="shared" si="79"/>
        <v>2020</v>
      </c>
      <c r="AB880" s="15">
        <f t="shared" si="80"/>
        <v>2020</v>
      </c>
      <c r="AC880" s="15">
        <f t="shared" si="81"/>
        <v>2020</v>
      </c>
      <c r="AD880" s="18" t="b">
        <f t="shared" si="78"/>
        <v>1</v>
      </c>
    </row>
    <row r="881" spans="1:30" ht="15" hidden="1" customHeight="1" x14ac:dyDescent="0.2">
      <c r="A881" s="7" t="s">
        <v>669</v>
      </c>
      <c r="C881" s="2" t="s">
        <v>642</v>
      </c>
      <c r="D881" s="6"/>
      <c r="E881" s="32" t="s">
        <v>651</v>
      </c>
      <c r="H881" s="7"/>
      <c r="K881" s="7"/>
      <c r="L881" s="7" t="s">
        <v>662</v>
      </c>
      <c r="M881" s="8">
        <v>44166</v>
      </c>
      <c r="N881" s="8">
        <v>44166</v>
      </c>
      <c r="O881" s="14">
        <v>927738.1</v>
      </c>
      <c r="Q881" s="33"/>
      <c r="R881" s="23"/>
      <c r="S881" s="23"/>
      <c r="T881" s="23"/>
      <c r="U881" s="23"/>
      <c r="X881" s="15" t="str">
        <f>IF(B881="",VLOOKUP(A881,items_lookup!A:B,2,FALSE),B881)</f>
        <v>02. Item 02</v>
      </c>
      <c r="Y881" s="15">
        <f t="shared" si="82"/>
        <v>12</v>
      </c>
      <c r="Z881" s="15">
        <f t="shared" si="82"/>
        <v>12</v>
      </c>
      <c r="AA881" s="15">
        <f t="shared" si="79"/>
        <v>2020</v>
      </c>
      <c r="AB881" s="15">
        <f t="shared" si="80"/>
        <v>2020</v>
      </c>
      <c r="AC881" s="15">
        <f t="shared" si="81"/>
        <v>2020</v>
      </c>
      <c r="AD881" s="18" t="b">
        <f t="shared" si="78"/>
        <v>1</v>
      </c>
    </row>
    <row r="882" spans="1:30" ht="12.75" hidden="1" customHeight="1" x14ac:dyDescent="0.2">
      <c r="A882" s="7" t="s">
        <v>670</v>
      </c>
      <c r="C882" s="2" t="s">
        <v>642</v>
      </c>
      <c r="D882" s="6"/>
      <c r="E882" s="32" t="s">
        <v>651</v>
      </c>
      <c r="H882" s="7"/>
      <c r="K882" s="7"/>
      <c r="L882" s="7" t="s">
        <v>662</v>
      </c>
      <c r="M882" s="8">
        <v>44166</v>
      </c>
      <c r="N882" s="8">
        <v>44166</v>
      </c>
      <c r="O882" s="14">
        <v>788619.05</v>
      </c>
      <c r="Q882" s="33"/>
      <c r="X882" s="15" t="str">
        <f>IF(B882="",VLOOKUP(A882,items_lookup!A:B,2,FALSE),B882)</f>
        <v>04. Item 04</v>
      </c>
      <c r="Y882" s="15">
        <f t="shared" si="82"/>
        <v>12</v>
      </c>
      <c r="Z882" s="15">
        <f t="shared" si="82"/>
        <v>12</v>
      </c>
      <c r="AA882" s="15">
        <f t="shared" si="79"/>
        <v>2020</v>
      </c>
      <c r="AB882" s="15">
        <f t="shared" si="80"/>
        <v>2020</v>
      </c>
      <c r="AC882" s="15">
        <f t="shared" si="81"/>
        <v>2020</v>
      </c>
      <c r="AD882" s="18" t="b">
        <f t="shared" si="78"/>
        <v>1</v>
      </c>
    </row>
    <row r="883" spans="1:30" ht="12.75" hidden="1" customHeight="1" x14ac:dyDescent="0.2">
      <c r="A883" s="7" t="s">
        <v>671</v>
      </c>
      <c r="B883" s="7"/>
      <c r="C883" s="2" t="s">
        <v>641</v>
      </c>
      <c r="D883" s="6" t="s">
        <v>649</v>
      </c>
      <c r="E883" s="32" t="s">
        <v>651</v>
      </c>
      <c r="F883" s="7"/>
      <c r="G883" s="7"/>
      <c r="H883" s="7"/>
      <c r="I883" s="7"/>
      <c r="J883" s="7">
        <v>3</v>
      </c>
      <c r="K883" s="7" t="s">
        <v>660</v>
      </c>
      <c r="L883" s="7" t="s">
        <v>663</v>
      </c>
      <c r="M883" s="8">
        <v>44271</v>
      </c>
      <c r="N883" s="8">
        <v>44280</v>
      </c>
      <c r="O883" s="13"/>
      <c r="P883" s="13">
        <v>1285714.29</v>
      </c>
      <c r="Q883" s="33"/>
      <c r="R883" s="22"/>
      <c r="S883" s="22"/>
      <c r="T883" s="22"/>
      <c r="U883" s="22"/>
      <c r="X883" s="15" t="str">
        <f>IF(B883="",VLOOKUP(A883,items_lookup!A:B,2,FALSE),B883)</f>
        <v>05. Item 05</v>
      </c>
      <c r="Y883" s="15">
        <f t="shared" si="82"/>
        <v>3</v>
      </c>
      <c r="Z883" s="15">
        <f t="shared" si="82"/>
        <v>3</v>
      </c>
      <c r="AA883" s="15">
        <f t="shared" si="79"/>
        <v>2021</v>
      </c>
      <c r="AB883" s="15">
        <f t="shared" si="80"/>
        <v>2021</v>
      </c>
      <c r="AC883" s="15">
        <f t="shared" si="81"/>
        <v>2021</v>
      </c>
      <c r="AD883" s="18" t="b">
        <f t="shared" si="78"/>
        <v>1</v>
      </c>
    </row>
    <row r="884" spans="1:30" ht="15" hidden="1" customHeight="1" x14ac:dyDescent="0.2">
      <c r="A884" s="7" t="s">
        <v>674</v>
      </c>
      <c r="B884" s="20"/>
      <c r="C884" s="2" t="s">
        <v>641</v>
      </c>
      <c r="D884" s="6" t="s">
        <v>649</v>
      </c>
      <c r="E884" s="32" t="s">
        <v>651</v>
      </c>
      <c r="F884" s="7"/>
      <c r="G884" s="7"/>
      <c r="H884" s="7"/>
      <c r="I884" s="7" t="s">
        <v>20</v>
      </c>
      <c r="J884" s="7">
        <v>3</v>
      </c>
      <c r="K884" s="7" t="s">
        <v>660</v>
      </c>
      <c r="L884" s="7" t="s">
        <v>663</v>
      </c>
      <c r="M884" s="8">
        <v>44256</v>
      </c>
      <c r="N884" s="8">
        <v>44277</v>
      </c>
      <c r="O884" s="13"/>
      <c r="P884" s="13">
        <v>278005.71000000002</v>
      </c>
      <c r="Q884" s="33"/>
      <c r="R884" s="22"/>
      <c r="S884" s="22"/>
      <c r="T884" s="22"/>
      <c r="U884" s="22"/>
      <c r="X884" s="15" t="str">
        <f>IF(B884="",VLOOKUP(A884,items_lookup!A:B,2,FALSE),B884)</f>
        <v>08. Item 08</v>
      </c>
      <c r="Y884" s="15">
        <f t="shared" si="82"/>
        <v>3</v>
      </c>
      <c r="Z884" s="15">
        <f t="shared" si="82"/>
        <v>3</v>
      </c>
      <c r="AA884" s="15">
        <f t="shared" si="79"/>
        <v>2021</v>
      </c>
      <c r="AB884" s="15">
        <f t="shared" si="80"/>
        <v>2021</v>
      </c>
      <c r="AC884" s="15">
        <f t="shared" si="81"/>
        <v>2021</v>
      </c>
      <c r="AD884" s="18" t="b">
        <f t="shared" si="78"/>
        <v>1</v>
      </c>
    </row>
    <row r="885" spans="1:30" ht="15" hidden="1" customHeight="1" x14ac:dyDescent="0.2">
      <c r="A885" s="7" t="s">
        <v>677</v>
      </c>
      <c r="B885" s="20"/>
      <c r="C885" s="2" t="s">
        <v>641</v>
      </c>
      <c r="D885" s="6" t="s">
        <v>649</v>
      </c>
      <c r="E885" s="32" t="s">
        <v>651</v>
      </c>
      <c r="F885" s="7"/>
      <c r="G885" s="7"/>
      <c r="H885" s="7"/>
      <c r="I885" s="7"/>
      <c r="J885" s="7">
        <v>3</v>
      </c>
      <c r="K885" s="7" t="s">
        <v>660</v>
      </c>
      <c r="L885" s="7" t="s">
        <v>663</v>
      </c>
      <c r="M885" s="8">
        <v>44256</v>
      </c>
      <c r="N885" s="8">
        <v>44280</v>
      </c>
      <c r="O885" s="13"/>
      <c r="P885" s="13">
        <v>89.52</v>
      </c>
      <c r="Q885" s="33"/>
      <c r="R885" s="22"/>
      <c r="S885" s="22"/>
      <c r="T885" s="22"/>
      <c r="U885" s="22"/>
      <c r="X885" s="15" t="str">
        <f>IF(B885="",VLOOKUP(A885,items_lookup!A:B,2,FALSE),B885)</f>
        <v>11. Item 11</v>
      </c>
      <c r="Y885" s="15">
        <f t="shared" si="82"/>
        <v>3</v>
      </c>
      <c r="Z885" s="15">
        <f t="shared" si="82"/>
        <v>3</v>
      </c>
      <c r="AA885" s="15">
        <f t="shared" si="79"/>
        <v>2021</v>
      </c>
      <c r="AB885" s="15">
        <f t="shared" si="80"/>
        <v>2021</v>
      </c>
      <c r="AC885" s="15">
        <f t="shared" si="81"/>
        <v>2021</v>
      </c>
      <c r="AD885" s="18" t="b">
        <f t="shared" si="78"/>
        <v>1</v>
      </c>
    </row>
    <row r="886" spans="1:30" ht="15" hidden="1" customHeight="1" x14ac:dyDescent="0.2">
      <c r="A886" s="7" t="s">
        <v>679</v>
      </c>
      <c r="B886" s="7"/>
      <c r="C886" s="2" t="s">
        <v>641</v>
      </c>
      <c r="D886" s="6" t="s">
        <v>649</v>
      </c>
      <c r="E886" s="32" t="s">
        <v>651</v>
      </c>
      <c r="F886" s="7"/>
      <c r="G886" s="7"/>
      <c r="H886" s="7"/>
      <c r="I886" s="7"/>
      <c r="J886" s="7">
        <v>2</v>
      </c>
      <c r="K886" s="7" t="s">
        <v>660</v>
      </c>
      <c r="L886" s="7" t="s">
        <v>663</v>
      </c>
      <c r="M886" s="8">
        <v>44267</v>
      </c>
      <c r="N886" s="8">
        <v>44278</v>
      </c>
      <c r="O886" s="13"/>
      <c r="P886" s="13">
        <v>626497.02</v>
      </c>
      <c r="Q886" s="33"/>
      <c r="R886" s="22"/>
      <c r="S886" s="22"/>
      <c r="T886" s="22"/>
      <c r="U886" s="22"/>
      <c r="X886" s="15" t="str">
        <f>IF(B886="",VLOOKUP(A886,items_lookup!A:B,2,FALSE),B886)</f>
        <v>13. Item 13</v>
      </c>
      <c r="Y886" s="15">
        <f t="shared" si="82"/>
        <v>3</v>
      </c>
      <c r="Z886" s="15">
        <f t="shared" si="82"/>
        <v>3</v>
      </c>
      <c r="AA886" s="15">
        <f t="shared" si="79"/>
        <v>2021</v>
      </c>
      <c r="AB886" s="15">
        <f t="shared" si="80"/>
        <v>2021</v>
      </c>
      <c r="AC886" s="15">
        <f t="shared" si="81"/>
        <v>2021</v>
      </c>
      <c r="AD886" s="18" t="b">
        <f t="shared" si="78"/>
        <v>1</v>
      </c>
    </row>
    <row r="887" spans="1:30" ht="15" hidden="1" customHeight="1" x14ac:dyDescent="0.2">
      <c r="A887" s="7" t="s">
        <v>680</v>
      </c>
      <c r="B887" s="7"/>
      <c r="C887" s="2" t="s">
        <v>641</v>
      </c>
      <c r="D887" s="6" t="s">
        <v>650</v>
      </c>
      <c r="E887" s="32" t="s">
        <v>651</v>
      </c>
      <c r="F887" s="7"/>
      <c r="G887" s="7"/>
      <c r="H887" s="7"/>
      <c r="I887" s="7"/>
      <c r="J887" s="7">
        <v>4</v>
      </c>
      <c r="K887" s="7" t="s">
        <v>660</v>
      </c>
      <c r="L887" s="7" t="s">
        <v>663</v>
      </c>
      <c r="M887" s="8">
        <v>44271</v>
      </c>
      <c r="N887" s="8">
        <v>44277</v>
      </c>
      <c r="O887" s="13"/>
      <c r="P887" s="13">
        <v>24561.21</v>
      </c>
      <c r="Q887" s="33"/>
      <c r="R887" s="22"/>
      <c r="S887" s="22"/>
      <c r="T887" s="22"/>
      <c r="U887" s="22"/>
      <c r="X887" s="15" t="str">
        <f>IF(B887="",VLOOKUP(A887,items_lookup!A:B,2,FALSE),B887)</f>
        <v>13. Item 13</v>
      </c>
      <c r="Y887" s="15">
        <f t="shared" si="82"/>
        <v>3</v>
      </c>
      <c r="Z887" s="15">
        <f t="shared" si="82"/>
        <v>3</v>
      </c>
      <c r="AA887" s="15">
        <f t="shared" si="79"/>
        <v>2021</v>
      </c>
      <c r="AB887" s="15">
        <f t="shared" si="80"/>
        <v>2021</v>
      </c>
      <c r="AC887" s="15">
        <f t="shared" si="81"/>
        <v>2021</v>
      </c>
      <c r="AD887" s="18" t="b">
        <f t="shared" si="78"/>
        <v>1</v>
      </c>
    </row>
    <row r="888" spans="1:30" ht="12.6" hidden="1" customHeight="1" x14ac:dyDescent="0.2">
      <c r="A888" s="7" t="s">
        <v>678</v>
      </c>
      <c r="B888" s="7"/>
      <c r="C888" s="2" t="s">
        <v>642</v>
      </c>
      <c r="D888" s="6"/>
      <c r="E888" s="32" t="s">
        <v>651</v>
      </c>
      <c r="F888" s="7"/>
      <c r="G888" s="7"/>
      <c r="H888" s="7"/>
      <c r="I888" s="7"/>
      <c r="J888" s="7"/>
      <c r="K888" s="7"/>
      <c r="L888" s="7" t="s">
        <v>662</v>
      </c>
      <c r="M888" s="8">
        <v>44075</v>
      </c>
      <c r="N888" s="8">
        <v>44075</v>
      </c>
      <c r="O888" s="13">
        <v>1443500</v>
      </c>
      <c r="P888" s="13"/>
      <c r="Q888" s="33"/>
      <c r="R888" s="9"/>
      <c r="S888" s="9"/>
      <c r="T888" s="9"/>
      <c r="U888" s="9"/>
      <c r="X888" s="15" t="str">
        <f>IF(B888="",VLOOKUP(A888,items_lookup!A:B,2,FALSE),B888)</f>
        <v>13. Item 13</v>
      </c>
      <c r="Y888" s="15">
        <f t="shared" si="82"/>
        <v>9</v>
      </c>
      <c r="Z888" s="15">
        <f t="shared" si="82"/>
        <v>9</v>
      </c>
      <c r="AA888" s="15">
        <f t="shared" si="79"/>
        <v>2020</v>
      </c>
      <c r="AB888" s="15">
        <f t="shared" si="80"/>
        <v>2020</v>
      </c>
      <c r="AC888" s="15">
        <f t="shared" si="81"/>
        <v>2020</v>
      </c>
      <c r="AD888" s="18" t="b">
        <f t="shared" si="78"/>
        <v>1</v>
      </c>
    </row>
    <row r="889" spans="1:30" ht="12.6" hidden="1" customHeight="1" x14ac:dyDescent="0.2">
      <c r="A889" s="7" t="s">
        <v>682</v>
      </c>
      <c r="B889" s="7"/>
      <c r="C889" s="2" t="s">
        <v>641</v>
      </c>
      <c r="D889" s="6" t="s">
        <v>649</v>
      </c>
      <c r="E889" s="32" t="s">
        <v>651</v>
      </c>
      <c r="F889" s="7"/>
      <c r="G889" s="7"/>
      <c r="H889" s="7"/>
      <c r="I889" s="7"/>
      <c r="J889" s="7"/>
      <c r="K889" s="7" t="s">
        <v>660</v>
      </c>
      <c r="L889" s="7" t="s">
        <v>663</v>
      </c>
      <c r="M889" s="8">
        <v>44271</v>
      </c>
      <c r="N889" s="8">
        <v>44271</v>
      </c>
      <c r="O889" s="13"/>
      <c r="P889" s="13">
        <v>357600</v>
      </c>
      <c r="Q889" s="33"/>
      <c r="R889" s="22"/>
      <c r="S889" s="22"/>
      <c r="T889" s="22"/>
      <c r="U889" s="22"/>
      <c r="X889" s="15" t="str">
        <f>IF(B889="",VLOOKUP(A889,items_lookup!A:B,2,FALSE),B889)</f>
        <v>06. Item 06</v>
      </c>
      <c r="Y889" s="15">
        <f t="shared" si="82"/>
        <v>3</v>
      </c>
      <c r="Z889" s="15">
        <f t="shared" si="82"/>
        <v>3</v>
      </c>
      <c r="AA889" s="15">
        <f t="shared" si="79"/>
        <v>2021</v>
      </c>
      <c r="AB889" s="15">
        <f t="shared" si="80"/>
        <v>2021</v>
      </c>
      <c r="AC889" s="15">
        <f t="shared" si="81"/>
        <v>2021</v>
      </c>
      <c r="AD889" s="18" t="b">
        <f t="shared" si="78"/>
        <v>1</v>
      </c>
    </row>
    <row r="890" spans="1:30" ht="15" hidden="1" customHeight="1" x14ac:dyDescent="0.2">
      <c r="A890" s="7" t="s">
        <v>678</v>
      </c>
      <c r="B890" s="7"/>
      <c r="C890" s="2" t="s">
        <v>641</v>
      </c>
      <c r="D890" s="6" t="s">
        <v>649</v>
      </c>
      <c r="E890" s="32" t="s">
        <v>651</v>
      </c>
      <c r="F890" s="7"/>
      <c r="G890" s="7"/>
      <c r="H890" s="7"/>
      <c r="I890" s="7"/>
      <c r="J890" s="7"/>
      <c r="K890" s="7" t="s">
        <v>660</v>
      </c>
      <c r="L890" s="7" t="s">
        <v>663</v>
      </c>
      <c r="M890" s="8">
        <v>44272</v>
      </c>
      <c r="N890" s="8">
        <v>44272</v>
      </c>
      <c r="O890" s="13"/>
      <c r="P890" s="13">
        <v>3827291.92</v>
      </c>
      <c r="Q890" s="33"/>
      <c r="R890" s="22"/>
      <c r="S890" s="22"/>
      <c r="T890" s="22"/>
      <c r="U890" s="22"/>
      <c r="X890" s="15" t="str">
        <f>IF(B890="",VLOOKUP(A890,items_lookup!A:B,2,FALSE),B890)</f>
        <v>13. Item 13</v>
      </c>
      <c r="Y890" s="15">
        <f t="shared" si="82"/>
        <v>3</v>
      </c>
      <c r="Z890" s="15">
        <f t="shared" si="82"/>
        <v>3</v>
      </c>
      <c r="AA890" s="15">
        <f t="shared" si="79"/>
        <v>2021</v>
      </c>
      <c r="AB890" s="15">
        <f t="shared" si="80"/>
        <v>2021</v>
      </c>
      <c r="AC890" s="15">
        <f t="shared" si="81"/>
        <v>2021</v>
      </c>
      <c r="AD890" s="18" t="b">
        <f t="shared" si="78"/>
        <v>1</v>
      </c>
    </row>
    <row r="891" spans="1:30" ht="15" hidden="1" customHeight="1" x14ac:dyDescent="0.2">
      <c r="A891" s="7" t="s">
        <v>679</v>
      </c>
      <c r="B891" s="7"/>
      <c r="C891" s="2" t="s">
        <v>641</v>
      </c>
      <c r="D891" s="6" t="s">
        <v>649</v>
      </c>
      <c r="E891" s="32" t="s">
        <v>651</v>
      </c>
      <c r="F891" s="7"/>
      <c r="G891" s="7"/>
      <c r="H891" s="7" t="s">
        <v>653</v>
      </c>
      <c r="I891" s="7"/>
      <c r="J891" s="7"/>
      <c r="K891" s="7"/>
      <c r="L891" s="7" t="s">
        <v>662</v>
      </c>
      <c r="M891" s="8">
        <v>44197</v>
      </c>
      <c r="N891" s="8">
        <v>44197</v>
      </c>
      <c r="O891" s="13">
        <v>-1.19</v>
      </c>
      <c r="P891" s="13"/>
      <c r="Q891" s="33"/>
      <c r="R891" s="9"/>
      <c r="S891" s="9"/>
      <c r="T891" s="9"/>
      <c r="U891" s="9"/>
      <c r="X891" s="15" t="str">
        <f>IF(B891="",VLOOKUP(A891,items_lookup!A:B,2,FALSE),B891)</f>
        <v>13. Item 13</v>
      </c>
      <c r="Y891" s="15">
        <f t="shared" si="82"/>
        <v>1</v>
      </c>
      <c r="Z891" s="15">
        <f t="shared" si="82"/>
        <v>1</v>
      </c>
      <c r="AA891" s="15">
        <f t="shared" si="79"/>
        <v>2021</v>
      </c>
      <c r="AB891" s="15">
        <f t="shared" si="80"/>
        <v>2021</v>
      </c>
      <c r="AC891" s="15">
        <f t="shared" si="81"/>
        <v>2021</v>
      </c>
      <c r="AD891" s="18" t="b">
        <f t="shared" si="78"/>
        <v>1</v>
      </c>
    </row>
    <row r="892" spans="1:30" ht="15" hidden="1" customHeight="1" x14ac:dyDescent="0.2">
      <c r="A892" s="7" t="s">
        <v>680</v>
      </c>
      <c r="B892" s="7" t="s">
        <v>708</v>
      </c>
      <c r="C892" s="2" t="s">
        <v>641</v>
      </c>
      <c r="D892" s="6" t="s">
        <v>649</v>
      </c>
      <c r="E892" s="32" t="s">
        <v>651</v>
      </c>
      <c r="F892" s="7"/>
      <c r="G892" s="7"/>
      <c r="H892" s="7" t="s">
        <v>653</v>
      </c>
      <c r="I892" s="7"/>
      <c r="J892" s="7"/>
      <c r="K892" s="7"/>
      <c r="L892" s="7" t="s">
        <v>662</v>
      </c>
      <c r="M892" s="8">
        <v>44197</v>
      </c>
      <c r="N892" s="8">
        <v>44197</v>
      </c>
      <c r="O892" s="13">
        <v>-6559.02</v>
      </c>
      <c r="P892" s="13"/>
      <c r="Q892" s="33"/>
      <c r="R892" s="9"/>
      <c r="S892" s="9"/>
      <c r="T892" s="9"/>
      <c r="U892" s="9"/>
      <c r="X892" s="15" t="str">
        <f>IF(B892="",VLOOKUP(A892,items_lookup!A:B,2,FALSE),B892)</f>
        <v>03. Item 03</v>
      </c>
      <c r="Y892" s="15">
        <f t="shared" si="82"/>
        <v>1</v>
      </c>
      <c r="Z892" s="15">
        <f t="shared" si="82"/>
        <v>1</v>
      </c>
      <c r="AA892" s="15">
        <f t="shared" si="79"/>
        <v>2021</v>
      </c>
      <c r="AB892" s="15">
        <f t="shared" si="80"/>
        <v>2021</v>
      </c>
      <c r="AC892" s="15">
        <f t="shared" si="81"/>
        <v>2021</v>
      </c>
      <c r="AD892" s="18" t="b">
        <f t="shared" si="78"/>
        <v>1</v>
      </c>
    </row>
    <row r="893" spans="1:30" ht="15" hidden="1" customHeight="1" x14ac:dyDescent="0.2">
      <c r="A893" s="7" t="s">
        <v>676</v>
      </c>
      <c r="B893" s="7"/>
      <c r="C893" s="2" t="s">
        <v>641</v>
      </c>
      <c r="D893" s="6" t="s">
        <v>649</v>
      </c>
      <c r="E893" s="32" t="s">
        <v>651</v>
      </c>
      <c r="F893" s="7"/>
      <c r="G893" s="7"/>
      <c r="H893" s="7"/>
      <c r="I893" s="7"/>
      <c r="J893" s="7"/>
      <c r="K893" s="7"/>
      <c r="L893" s="7" t="s">
        <v>662</v>
      </c>
      <c r="M893" s="8">
        <v>44197</v>
      </c>
      <c r="N893" s="8">
        <v>44197</v>
      </c>
      <c r="O893" s="13">
        <v>2448436.98</v>
      </c>
      <c r="P893" s="13"/>
      <c r="Q893" s="33"/>
      <c r="R893" s="22"/>
      <c r="S893" s="22"/>
      <c r="T893" s="22"/>
      <c r="U893" s="22"/>
      <c r="X893" s="15" t="str">
        <f>IF(B893="",VLOOKUP(A893,items_lookup!A:B,2,FALSE),B893)</f>
        <v>09. Item 09</v>
      </c>
      <c r="Y893" s="15">
        <f t="shared" si="82"/>
        <v>1</v>
      </c>
      <c r="Z893" s="15">
        <f t="shared" si="82"/>
        <v>1</v>
      </c>
      <c r="AA893" s="15">
        <f t="shared" si="79"/>
        <v>2021</v>
      </c>
      <c r="AB893" s="15">
        <f t="shared" si="80"/>
        <v>2021</v>
      </c>
      <c r="AC893" s="15">
        <f t="shared" si="81"/>
        <v>2021</v>
      </c>
      <c r="AD893" s="18" t="b">
        <f t="shared" si="78"/>
        <v>1</v>
      </c>
    </row>
    <row r="894" spans="1:30" ht="15" hidden="1" customHeight="1" x14ac:dyDescent="0.2">
      <c r="A894" s="7" t="s">
        <v>675</v>
      </c>
      <c r="B894" s="7"/>
      <c r="C894" s="2" t="s">
        <v>641</v>
      </c>
      <c r="D894" s="6" t="s">
        <v>649</v>
      </c>
      <c r="E894" s="32" t="s">
        <v>651</v>
      </c>
      <c r="F894" s="7" t="s">
        <v>20</v>
      </c>
      <c r="G894" s="7"/>
      <c r="H894" s="7"/>
      <c r="I894" s="7"/>
      <c r="J894" s="7"/>
      <c r="K894" s="7"/>
      <c r="L894" s="7" t="s">
        <v>662</v>
      </c>
      <c r="M894" s="8">
        <v>44197</v>
      </c>
      <c r="N894" s="8">
        <v>44197</v>
      </c>
      <c r="O894" s="13">
        <v>3632710.5</v>
      </c>
      <c r="P894" s="13"/>
      <c r="Q894" s="33"/>
      <c r="R894" s="22"/>
      <c r="S894" s="22"/>
      <c r="T894" s="22"/>
      <c r="U894" s="22"/>
      <c r="X894" s="15" t="str">
        <f>IF(B894="",VLOOKUP(A894,items_lookup!A:B,2,FALSE),B894)</f>
        <v>09. Item 09</v>
      </c>
      <c r="Y894" s="15">
        <f t="shared" si="82"/>
        <v>1</v>
      </c>
      <c r="Z894" s="15">
        <f t="shared" si="82"/>
        <v>1</v>
      </c>
      <c r="AA894" s="15">
        <f t="shared" si="79"/>
        <v>2021</v>
      </c>
      <c r="AB894" s="15">
        <f t="shared" si="80"/>
        <v>2021</v>
      </c>
      <c r="AC894" s="15">
        <f t="shared" si="81"/>
        <v>2020</v>
      </c>
      <c r="AD894" s="18" t="b">
        <f t="shared" si="78"/>
        <v>1</v>
      </c>
    </row>
    <row r="895" spans="1:30" ht="15" hidden="1" customHeight="1" x14ac:dyDescent="0.2">
      <c r="A895" s="7" t="s">
        <v>673</v>
      </c>
      <c r="B895" s="7"/>
      <c r="C895" s="2" t="s">
        <v>641</v>
      </c>
      <c r="D895" s="6" t="s">
        <v>649</v>
      </c>
      <c r="E895" s="32" t="s">
        <v>651</v>
      </c>
      <c r="F895" s="7"/>
      <c r="G895" s="7"/>
      <c r="H895" s="7" t="s">
        <v>653</v>
      </c>
      <c r="I895" s="7"/>
      <c r="J895" s="7"/>
      <c r="K895" s="7"/>
      <c r="L895" s="7" t="s">
        <v>662</v>
      </c>
      <c r="M895" s="8">
        <v>44197</v>
      </c>
      <c r="N895" s="8">
        <v>44197</v>
      </c>
      <c r="O895" s="13">
        <v>-9344.1</v>
      </c>
      <c r="P895" s="13"/>
      <c r="Q895" s="33"/>
      <c r="R895" s="22"/>
      <c r="S895" s="22"/>
      <c r="T895" s="22"/>
      <c r="U895" s="22"/>
      <c r="X895" s="15" t="str">
        <f>IF(B895="",VLOOKUP(A895,items_lookup!A:B,2,FALSE),B895)</f>
        <v>07. Item 07</v>
      </c>
      <c r="Y895" s="15">
        <f t="shared" si="82"/>
        <v>1</v>
      </c>
      <c r="Z895" s="15">
        <f t="shared" si="82"/>
        <v>1</v>
      </c>
      <c r="AA895" s="15">
        <f t="shared" si="79"/>
        <v>2021</v>
      </c>
      <c r="AB895" s="15">
        <f t="shared" si="80"/>
        <v>2021</v>
      </c>
      <c r="AC895" s="15">
        <f t="shared" si="81"/>
        <v>2021</v>
      </c>
      <c r="AD895" s="18" t="b">
        <f t="shared" si="78"/>
        <v>1</v>
      </c>
    </row>
    <row r="896" spans="1:30" ht="15" hidden="1" customHeight="1" x14ac:dyDescent="0.2">
      <c r="A896" s="7" t="s">
        <v>672</v>
      </c>
      <c r="B896" s="20"/>
      <c r="C896" s="2" t="s">
        <v>641</v>
      </c>
      <c r="D896" s="6" t="s">
        <v>649</v>
      </c>
      <c r="E896" s="32" t="s">
        <v>651</v>
      </c>
      <c r="F896" s="7"/>
      <c r="G896" s="7"/>
      <c r="H896" s="7" t="s">
        <v>653</v>
      </c>
      <c r="I896" s="7"/>
      <c r="J896" s="7"/>
      <c r="K896" s="7"/>
      <c r="L896" s="7" t="s">
        <v>662</v>
      </c>
      <c r="M896" s="8">
        <v>44197</v>
      </c>
      <c r="N896" s="8">
        <v>44197</v>
      </c>
      <c r="O896" s="13">
        <v>-203.89</v>
      </c>
      <c r="P896" s="13"/>
      <c r="Q896" s="33"/>
      <c r="R896" s="22"/>
      <c r="S896" s="22"/>
      <c r="T896" s="22"/>
      <c r="U896" s="22"/>
      <c r="X896" s="15" t="str">
        <f>IF(B896="",VLOOKUP(A896,items_lookup!A:B,2,FALSE),B896)</f>
        <v>05. Item 05</v>
      </c>
      <c r="Y896" s="15">
        <f t="shared" si="82"/>
        <v>1</v>
      </c>
      <c r="Z896" s="15">
        <f t="shared" si="82"/>
        <v>1</v>
      </c>
      <c r="AA896" s="15">
        <f t="shared" si="79"/>
        <v>2021</v>
      </c>
      <c r="AB896" s="15">
        <f t="shared" si="80"/>
        <v>2021</v>
      </c>
      <c r="AC896" s="15">
        <f t="shared" si="81"/>
        <v>2021</v>
      </c>
      <c r="AD896" s="18" t="b">
        <f t="shared" si="78"/>
        <v>1</v>
      </c>
    </row>
    <row r="897" spans="1:30" ht="13.5" hidden="1" customHeight="1" x14ac:dyDescent="0.2">
      <c r="A897" s="7" t="s">
        <v>668</v>
      </c>
      <c r="B897" s="7"/>
      <c r="C897" s="2" t="s">
        <v>641</v>
      </c>
      <c r="D897" s="6" t="s">
        <v>649</v>
      </c>
      <c r="E897" s="32" t="s">
        <v>651</v>
      </c>
      <c r="F897" s="7"/>
      <c r="G897" s="7"/>
      <c r="H897" s="7" t="s">
        <v>653</v>
      </c>
      <c r="I897" s="7"/>
      <c r="J897" s="7"/>
      <c r="K897" s="7"/>
      <c r="L897" s="7" t="s">
        <v>662</v>
      </c>
      <c r="M897" s="8">
        <v>44197</v>
      </c>
      <c r="N897" s="8">
        <v>44197</v>
      </c>
      <c r="O897" s="13">
        <v>-0.54</v>
      </c>
      <c r="P897" s="13"/>
      <c r="Q897" s="33"/>
      <c r="R897" s="22"/>
      <c r="S897" s="22"/>
      <c r="T897" s="22"/>
      <c r="U897" s="22"/>
      <c r="X897" s="15" t="str">
        <f>IF(B897="",VLOOKUP(A897,items_lookup!A:B,2,FALSE),B897)</f>
        <v>01. Item 01</v>
      </c>
      <c r="Y897" s="15">
        <f t="shared" si="82"/>
        <v>1</v>
      </c>
      <c r="Z897" s="15">
        <f t="shared" si="82"/>
        <v>1</v>
      </c>
      <c r="AA897" s="15">
        <f t="shared" si="79"/>
        <v>2021</v>
      </c>
      <c r="AB897" s="15">
        <f t="shared" si="80"/>
        <v>2021</v>
      </c>
      <c r="AC897" s="15">
        <f t="shared" si="81"/>
        <v>2021</v>
      </c>
      <c r="AD897" s="18" t="b">
        <f t="shared" si="78"/>
        <v>1</v>
      </c>
    </row>
    <row r="898" spans="1:30" ht="15" hidden="1" customHeight="1" x14ac:dyDescent="0.2">
      <c r="A898" s="7" t="s">
        <v>669</v>
      </c>
      <c r="B898" s="7" t="s">
        <v>712</v>
      </c>
      <c r="C898" s="2" t="s">
        <v>641</v>
      </c>
      <c r="D898" s="6" t="s">
        <v>649</v>
      </c>
      <c r="E898" s="32" t="s">
        <v>651</v>
      </c>
      <c r="F898" s="7"/>
      <c r="G898" s="7"/>
      <c r="H898" s="7" t="s">
        <v>653</v>
      </c>
      <c r="I898" s="7"/>
      <c r="J898" s="7"/>
      <c r="K898" s="7"/>
      <c r="L898" s="7" t="s">
        <v>662</v>
      </c>
      <c r="M898" s="8">
        <v>44197</v>
      </c>
      <c r="N898" s="8">
        <v>44197</v>
      </c>
      <c r="O898" s="13">
        <v>-175</v>
      </c>
      <c r="P898" s="13"/>
      <c r="Q898" s="33"/>
      <c r="R898" s="22"/>
      <c r="S898" s="22"/>
      <c r="T898" s="22"/>
      <c r="U898" s="22"/>
      <c r="X898" s="15" t="str">
        <f>IF(B898="",VLOOKUP(A898,items_lookup!A:B,2,FALSE),B898)</f>
        <v>10. Item 10</v>
      </c>
      <c r="Y898" s="15">
        <f t="shared" si="82"/>
        <v>1</v>
      </c>
      <c r="Z898" s="15">
        <f t="shared" si="82"/>
        <v>1</v>
      </c>
      <c r="AA898" s="15">
        <f t="shared" si="79"/>
        <v>2021</v>
      </c>
      <c r="AB898" s="15">
        <f t="shared" si="80"/>
        <v>2021</v>
      </c>
      <c r="AC898" s="15">
        <f t="shared" si="81"/>
        <v>2021</v>
      </c>
      <c r="AD898" s="18" t="b">
        <f t="shared" si="78"/>
        <v>1</v>
      </c>
    </row>
    <row r="899" spans="1:30" ht="15" hidden="1" customHeight="1" x14ac:dyDescent="0.2">
      <c r="A899" s="7"/>
      <c r="B899" s="7" t="s">
        <v>711</v>
      </c>
      <c r="C899" s="2" t="s">
        <v>641</v>
      </c>
      <c r="D899" s="6" t="s">
        <v>649</v>
      </c>
      <c r="E899" s="32" t="s">
        <v>651</v>
      </c>
      <c r="F899" s="7"/>
      <c r="G899" s="7"/>
      <c r="H899" s="7" t="s">
        <v>653</v>
      </c>
      <c r="I899" s="7"/>
      <c r="J899" s="7"/>
      <c r="K899" s="7"/>
      <c r="L899" s="7" t="s">
        <v>662</v>
      </c>
      <c r="M899" s="8">
        <v>44197</v>
      </c>
      <c r="N899" s="8">
        <v>44197</v>
      </c>
      <c r="O899" s="13">
        <v>-15.43</v>
      </c>
      <c r="P899" s="13"/>
      <c r="Q899" s="33"/>
      <c r="R899" s="22"/>
      <c r="S899" s="22"/>
      <c r="T899" s="22"/>
      <c r="U899" s="22"/>
      <c r="X899" s="15" t="str">
        <f>IF(B899="",VLOOKUP(A899,items_lookup!A:B,2,FALSE),B899)</f>
        <v>12. Item 12</v>
      </c>
      <c r="Y899" s="15">
        <f t="shared" si="82"/>
        <v>1</v>
      </c>
      <c r="Z899" s="15">
        <f t="shared" si="82"/>
        <v>1</v>
      </c>
      <c r="AA899" s="15">
        <f t="shared" si="79"/>
        <v>2021</v>
      </c>
      <c r="AB899" s="15">
        <f t="shared" si="80"/>
        <v>2021</v>
      </c>
      <c r="AC899" s="15">
        <f t="shared" si="81"/>
        <v>2021</v>
      </c>
      <c r="AD899" s="18" t="b">
        <f t="shared" ref="AD899:AD962" si="83">AND(ROUND(O899,2)=O899,ROUND(P899,2)=P899,OR(AND(O899&lt;&gt;0,L899="p"),AND(P899&lt;&gt;0,L899="f")),_xlfn.ISFORMULA(X899),_xlfn.ISFORMULA(Y899),_xlfn.ISFORMULA(Z899),_xlfn.ISFORMULA(AA899),_xlfn.ISFORMULA(AB899),_xlfn.ISFORMULA(AC899),NOT(_xlfn.ISFORMULA(O899)),NOT(_xlfn.ISFORMULA(P899)),M899&lt;&gt;0,N899&lt;&gt;0)</f>
        <v>1</v>
      </c>
    </row>
    <row r="900" spans="1:30" ht="15" hidden="1" customHeight="1" x14ac:dyDescent="0.2">
      <c r="A900" s="7" t="s">
        <v>670</v>
      </c>
      <c r="B900" s="7"/>
      <c r="C900" s="2" t="s">
        <v>641</v>
      </c>
      <c r="D900" s="6" t="s">
        <v>649</v>
      </c>
      <c r="E900" s="32" t="s">
        <v>651</v>
      </c>
      <c r="F900" s="7"/>
      <c r="G900" s="7"/>
      <c r="H900" s="7" t="s">
        <v>653</v>
      </c>
      <c r="I900" s="7"/>
      <c r="J900" s="7"/>
      <c r="K900" s="7"/>
      <c r="L900" s="7" t="s">
        <v>662</v>
      </c>
      <c r="M900" s="8">
        <v>44197</v>
      </c>
      <c r="N900" s="8">
        <v>44197</v>
      </c>
      <c r="O900" s="13">
        <v>-17.11</v>
      </c>
      <c r="P900" s="13"/>
      <c r="Q900" s="33"/>
      <c r="R900" s="9"/>
      <c r="S900" s="9"/>
      <c r="T900" s="9"/>
      <c r="U900" s="9"/>
      <c r="X900" s="15" t="str">
        <f>IF(B900="",VLOOKUP(A900,items_lookup!A:B,2,FALSE),B900)</f>
        <v>04. Item 04</v>
      </c>
      <c r="Y900" s="15">
        <f t="shared" si="82"/>
        <v>1</v>
      </c>
      <c r="Z900" s="15">
        <f t="shared" si="82"/>
        <v>1</v>
      </c>
      <c r="AA900" s="15">
        <f t="shared" si="79"/>
        <v>2021</v>
      </c>
      <c r="AB900" s="15">
        <f t="shared" si="80"/>
        <v>2021</v>
      </c>
      <c r="AC900" s="15">
        <f t="shared" si="81"/>
        <v>2021</v>
      </c>
      <c r="AD900" s="18" t="b">
        <f t="shared" si="83"/>
        <v>1</v>
      </c>
    </row>
    <row r="901" spans="1:30" ht="15" hidden="1" customHeight="1" x14ac:dyDescent="0.2">
      <c r="A901" s="7" t="s">
        <v>671</v>
      </c>
      <c r="B901" s="7"/>
      <c r="C901" s="2" t="s">
        <v>641</v>
      </c>
      <c r="D901" s="6" t="s">
        <v>649</v>
      </c>
      <c r="E901" s="32" t="s">
        <v>651</v>
      </c>
      <c r="F901" s="7"/>
      <c r="G901" s="7"/>
      <c r="H901" s="7"/>
      <c r="I901" s="7"/>
      <c r="J901" s="7"/>
      <c r="K901" s="7"/>
      <c r="L901" s="7" t="s">
        <v>662</v>
      </c>
      <c r="M901" s="8">
        <v>44197</v>
      </c>
      <c r="N901" s="8">
        <v>44197</v>
      </c>
      <c r="O901" s="13">
        <v>-212922.91</v>
      </c>
      <c r="P901" s="13"/>
      <c r="Q901" s="33"/>
      <c r="R901" s="9"/>
      <c r="S901" s="9"/>
      <c r="T901" s="9"/>
      <c r="U901" s="9"/>
      <c r="X901" s="15" t="str">
        <f>IF(B901="",VLOOKUP(A901,items_lookup!A:B,2,FALSE),B901)</f>
        <v>05. Item 05</v>
      </c>
      <c r="Y901" s="15">
        <f t="shared" si="82"/>
        <v>1</v>
      </c>
      <c r="Z901" s="15">
        <f t="shared" si="82"/>
        <v>1</v>
      </c>
      <c r="AA901" s="15">
        <f t="shared" si="79"/>
        <v>2021</v>
      </c>
      <c r="AB901" s="15">
        <f t="shared" si="80"/>
        <v>2021</v>
      </c>
      <c r="AC901" s="15">
        <f t="shared" si="81"/>
        <v>2021</v>
      </c>
      <c r="AD901" s="18" t="b">
        <f t="shared" si="83"/>
        <v>1</v>
      </c>
    </row>
    <row r="902" spans="1:30" ht="15" hidden="1" customHeight="1" x14ac:dyDescent="0.2">
      <c r="A902" s="7" t="s">
        <v>674</v>
      </c>
      <c r="B902" s="7"/>
      <c r="C902" s="2" t="s">
        <v>641</v>
      </c>
      <c r="D902" s="6" t="s">
        <v>649</v>
      </c>
      <c r="E902" s="32" t="s">
        <v>651</v>
      </c>
      <c r="F902" s="7"/>
      <c r="G902" s="7"/>
      <c r="H902" s="7" t="s">
        <v>653</v>
      </c>
      <c r="I902" s="7"/>
      <c r="J902" s="7"/>
      <c r="K902" s="7"/>
      <c r="L902" s="7" t="s">
        <v>662</v>
      </c>
      <c r="M902" s="8">
        <v>44197</v>
      </c>
      <c r="N902" s="8">
        <v>44197</v>
      </c>
      <c r="O902" s="13">
        <v>-5054.05</v>
      </c>
      <c r="P902" s="13"/>
      <c r="Q902" s="33"/>
      <c r="R902" s="9"/>
      <c r="S902" s="9"/>
      <c r="T902" s="9"/>
      <c r="U902" s="9"/>
      <c r="X902" s="15" t="str">
        <f>IF(B902="",VLOOKUP(A902,items_lookup!A:B,2,FALSE),B902)</f>
        <v>08. Item 08</v>
      </c>
      <c r="Y902" s="15">
        <f t="shared" si="82"/>
        <v>1</v>
      </c>
      <c r="Z902" s="15">
        <f t="shared" si="82"/>
        <v>1</v>
      </c>
      <c r="AA902" s="15">
        <f t="shared" si="79"/>
        <v>2021</v>
      </c>
      <c r="AB902" s="15">
        <f t="shared" si="80"/>
        <v>2021</v>
      </c>
      <c r="AC902" s="15">
        <f t="shared" si="81"/>
        <v>2021</v>
      </c>
      <c r="AD902" s="18" t="b">
        <f t="shared" si="83"/>
        <v>1</v>
      </c>
    </row>
    <row r="903" spans="1:30" ht="15" hidden="1" customHeight="1" x14ac:dyDescent="0.2">
      <c r="A903" s="7" t="s">
        <v>677</v>
      </c>
      <c r="B903" s="7"/>
      <c r="C903" s="2" t="s">
        <v>641</v>
      </c>
      <c r="D903" s="6" t="s">
        <v>649</v>
      </c>
      <c r="E903" s="32" t="s">
        <v>651</v>
      </c>
      <c r="F903" s="7"/>
      <c r="G903" s="7"/>
      <c r="H903" s="7" t="s">
        <v>653</v>
      </c>
      <c r="I903" s="7"/>
      <c r="J903" s="7"/>
      <c r="K903" s="7"/>
      <c r="L903" s="7" t="s">
        <v>662</v>
      </c>
      <c r="M903" s="8">
        <v>44197</v>
      </c>
      <c r="N903" s="8">
        <v>44197</v>
      </c>
      <c r="O903" s="13">
        <v>-173.29</v>
      </c>
      <c r="P903" s="13"/>
      <c r="Q903" s="33"/>
      <c r="R903" s="22"/>
      <c r="S903" s="22"/>
      <c r="T903" s="22"/>
      <c r="U903" s="22"/>
      <c r="X903" s="15" t="str">
        <f>IF(B903="",VLOOKUP(A903,items_lookup!A:B,2,FALSE),B903)</f>
        <v>11. Item 11</v>
      </c>
      <c r="Y903" s="15">
        <f t="shared" si="82"/>
        <v>1</v>
      </c>
      <c r="Z903" s="15">
        <f t="shared" si="82"/>
        <v>1</v>
      </c>
      <c r="AA903" s="15">
        <f t="shared" si="79"/>
        <v>2021</v>
      </c>
      <c r="AB903" s="15">
        <f t="shared" si="80"/>
        <v>2021</v>
      </c>
      <c r="AC903" s="15">
        <f t="shared" si="81"/>
        <v>2021</v>
      </c>
      <c r="AD903" s="18" t="b">
        <f t="shared" si="83"/>
        <v>1</v>
      </c>
    </row>
    <row r="904" spans="1:30" ht="15" hidden="1" customHeight="1" x14ac:dyDescent="0.2">
      <c r="A904" s="7" t="s">
        <v>679</v>
      </c>
      <c r="B904" s="7"/>
      <c r="C904" s="2" t="s">
        <v>641</v>
      </c>
      <c r="D904" s="6" t="s">
        <v>649</v>
      </c>
      <c r="E904" s="32" t="s">
        <v>651</v>
      </c>
      <c r="F904" s="7"/>
      <c r="G904" s="7"/>
      <c r="H904" s="7" t="s">
        <v>653</v>
      </c>
      <c r="I904" s="7"/>
      <c r="J904" s="7"/>
      <c r="K904" s="7"/>
      <c r="L904" s="7" t="s">
        <v>662</v>
      </c>
      <c r="M904" s="8">
        <v>44197</v>
      </c>
      <c r="N904" s="8">
        <v>44197</v>
      </c>
      <c r="O904" s="13">
        <v>-8.0299999999999994</v>
      </c>
      <c r="P904" s="13"/>
      <c r="Q904" s="33"/>
      <c r="R904" s="9"/>
      <c r="S904" s="9"/>
      <c r="T904" s="9"/>
      <c r="U904" s="9"/>
      <c r="X904" s="15" t="str">
        <f>IF(B904="",VLOOKUP(A904,items_lookup!A:B,2,FALSE),B904)</f>
        <v>13. Item 13</v>
      </c>
      <c r="Y904" s="15">
        <f t="shared" si="82"/>
        <v>1</v>
      </c>
      <c r="Z904" s="15">
        <f t="shared" si="82"/>
        <v>1</v>
      </c>
      <c r="AA904" s="15">
        <f t="shared" si="79"/>
        <v>2021</v>
      </c>
      <c r="AB904" s="15">
        <f t="shared" si="80"/>
        <v>2021</v>
      </c>
      <c r="AC904" s="15">
        <f t="shared" si="81"/>
        <v>2021</v>
      </c>
      <c r="AD904" s="18" t="b">
        <f t="shared" si="83"/>
        <v>1</v>
      </c>
    </row>
    <row r="905" spans="1:30" ht="15" hidden="1" customHeight="1" x14ac:dyDescent="0.2">
      <c r="A905" s="7" t="s">
        <v>680</v>
      </c>
      <c r="B905" s="20"/>
      <c r="C905" s="2" t="s">
        <v>641</v>
      </c>
      <c r="D905" s="6" t="s">
        <v>649</v>
      </c>
      <c r="E905" s="32" t="s">
        <v>651</v>
      </c>
      <c r="F905" s="7"/>
      <c r="G905" s="7"/>
      <c r="H905" s="7"/>
      <c r="I905" s="7"/>
      <c r="J905" s="7"/>
      <c r="K905" s="7"/>
      <c r="L905" s="7" t="s">
        <v>662</v>
      </c>
      <c r="M905" s="8">
        <v>44197</v>
      </c>
      <c r="N905" s="8">
        <v>44197</v>
      </c>
      <c r="O905" s="13">
        <v>-27791.15</v>
      </c>
      <c r="P905" s="13"/>
      <c r="Q905" s="33"/>
      <c r="R905" s="9"/>
      <c r="S905" s="9"/>
      <c r="T905" s="9"/>
      <c r="U905" s="9"/>
      <c r="X905" s="15" t="str">
        <f>IF(B905="",VLOOKUP(A905,items_lookup!A:B,2,FALSE),B905)</f>
        <v>13. Item 13</v>
      </c>
      <c r="Y905" s="15">
        <f t="shared" si="82"/>
        <v>1</v>
      </c>
      <c r="Z905" s="15">
        <f t="shared" si="82"/>
        <v>1</v>
      </c>
      <c r="AA905" s="15">
        <f t="shared" si="79"/>
        <v>2021</v>
      </c>
      <c r="AB905" s="15">
        <f t="shared" si="80"/>
        <v>2021</v>
      </c>
      <c r="AC905" s="15">
        <f t="shared" si="81"/>
        <v>2021</v>
      </c>
      <c r="AD905" s="18" t="b">
        <f t="shared" si="83"/>
        <v>1</v>
      </c>
    </row>
    <row r="906" spans="1:30" ht="15" hidden="1" customHeight="1" x14ac:dyDescent="0.2">
      <c r="A906" s="7" t="s">
        <v>678</v>
      </c>
      <c r="B906" s="7"/>
      <c r="C906" s="2" t="s">
        <v>641</v>
      </c>
      <c r="D906" s="6" t="s">
        <v>649</v>
      </c>
      <c r="E906" s="32" t="s">
        <v>651</v>
      </c>
      <c r="F906" s="7"/>
      <c r="G906" s="7"/>
      <c r="H906" s="7"/>
      <c r="I906" s="7"/>
      <c r="J906" s="7"/>
      <c r="K906" s="7" t="s">
        <v>660</v>
      </c>
      <c r="L906" s="7" t="s">
        <v>663</v>
      </c>
      <c r="M906" s="8">
        <v>44273</v>
      </c>
      <c r="N906" s="8">
        <v>44273</v>
      </c>
      <c r="O906" s="13"/>
      <c r="P906" s="13">
        <v>61819.06</v>
      </c>
      <c r="Q906" s="33"/>
      <c r="R906" s="22"/>
      <c r="S906" s="22"/>
      <c r="T906" s="22"/>
      <c r="U906" s="22"/>
      <c r="X906" s="15" t="str">
        <f>IF(B906="",VLOOKUP(A906,items_lookup!A:B,2,FALSE),B906)</f>
        <v>13. Item 13</v>
      </c>
      <c r="Y906" s="15">
        <f t="shared" si="82"/>
        <v>3</v>
      </c>
      <c r="Z906" s="15">
        <f t="shared" si="82"/>
        <v>3</v>
      </c>
      <c r="AA906" s="15">
        <f t="shared" si="79"/>
        <v>2021</v>
      </c>
      <c r="AB906" s="15">
        <f t="shared" si="80"/>
        <v>2021</v>
      </c>
      <c r="AC906" s="15">
        <f t="shared" si="81"/>
        <v>2021</v>
      </c>
      <c r="AD906" s="18" t="b">
        <f t="shared" si="83"/>
        <v>1</v>
      </c>
    </row>
    <row r="907" spans="1:30" ht="15" hidden="1" customHeight="1" x14ac:dyDescent="0.2">
      <c r="A907" s="7" t="s">
        <v>682</v>
      </c>
      <c r="B907" s="7"/>
      <c r="C907" s="2" t="s">
        <v>641</v>
      </c>
      <c r="D907" s="6" t="s">
        <v>649</v>
      </c>
      <c r="E907" s="32" t="s">
        <v>651</v>
      </c>
      <c r="F907" s="7"/>
      <c r="G907" s="7"/>
      <c r="H907" s="7"/>
      <c r="I907" s="7"/>
      <c r="J907" s="7"/>
      <c r="K907" s="7" t="s">
        <v>660</v>
      </c>
      <c r="L907" s="7" t="s">
        <v>663</v>
      </c>
      <c r="M907" s="8">
        <v>44274</v>
      </c>
      <c r="N907" s="8">
        <v>44274</v>
      </c>
      <c r="O907" s="13"/>
      <c r="P907" s="13">
        <v>844207.68</v>
      </c>
      <c r="Q907" s="33"/>
      <c r="R907" s="22"/>
      <c r="S907" s="22"/>
      <c r="T907" s="22"/>
      <c r="U907" s="22"/>
      <c r="X907" s="15" t="str">
        <f>IF(B907="",VLOOKUP(A907,items_lookup!A:B,2,FALSE),B907)</f>
        <v>06. Item 06</v>
      </c>
      <c r="Y907" s="15">
        <f t="shared" si="82"/>
        <v>3</v>
      </c>
      <c r="Z907" s="15">
        <f t="shared" si="82"/>
        <v>3</v>
      </c>
      <c r="AA907" s="15">
        <f t="shared" si="79"/>
        <v>2021</v>
      </c>
      <c r="AB907" s="15">
        <f t="shared" si="80"/>
        <v>2021</v>
      </c>
      <c r="AC907" s="15">
        <f t="shared" si="81"/>
        <v>2021</v>
      </c>
      <c r="AD907" s="18" t="b">
        <f t="shared" si="83"/>
        <v>1</v>
      </c>
    </row>
    <row r="908" spans="1:30" ht="15" hidden="1" customHeight="1" x14ac:dyDescent="0.2">
      <c r="A908" s="7" t="s">
        <v>678</v>
      </c>
      <c r="B908" s="20"/>
      <c r="C908" s="2" t="s">
        <v>641</v>
      </c>
      <c r="D908" s="6" t="s">
        <v>649</v>
      </c>
      <c r="E908" s="32" t="s">
        <v>651</v>
      </c>
      <c r="F908" s="7"/>
      <c r="G908" s="7"/>
      <c r="H908" s="7"/>
      <c r="I908" s="7"/>
      <c r="J908" s="7"/>
      <c r="K908" s="7"/>
      <c r="L908" s="7" t="s">
        <v>662</v>
      </c>
      <c r="M908" s="8">
        <v>44228</v>
      </c>
      <c r="N908" s="8">
        <v>44228</v>
      </c>
      <c r="O908" s="13">
        <v>-108.93</v>
      </c>
      <c r="P908" s="13"/>
      <c r="Q908" s="33"/>
      <c r="R908" s="9"/>
      <c r="S908" s="9"/>
      <c r="T908" s="9"/>
      <c r="U908" s="9"/>
      <c r="X908" s="15" t="str">
        <f>IF(B908="",VLOOKUP(A908,items_lookup!A:B,2,FALSE),B908)</f>
        <v>13. Item 13</v>
      </c>
      <c r="Y908" s="15">
        <f t="shared" si="82"/>
        <v>2</v>
      </c>
      <c r="Z908" s="15">
        <f t="shared" si="82"/>
        <v>2</v>
      </c>
      <c r="AA908" s="15">
        <f t="shared" si="79"/>
        <v>2021</v>
      </c>
      <c r="AB908" s="15">
        <f t="shared" si="80"/>
        <v>2021</v>
      </c>
      <c r="AC908" s="15">
        <f t="shared" si="81"/>
        <v>2021</v>
      </c>
      <c r="AD908" s="18" t="b">
        <f t="shared" si="83"/>
        <v>1</v>
      </c>
    </row>
    <row r="909" spans="1:30" ht="15" hidden="1" customHeight="1" x14ac:dyDescent="0.2">
      <c r="A909" s="7" t="s">
        <v>679</v>
      </c>
      <c r="B909" s="7"/>
      <c r="C909" s="2" t="s">
        <v>641</v>
      </c>
      <c r="D909" s="6" t="s">
        <v>649</v>
      </c>
      <c r="E909" s="32" t="s">
        <v>651</v>
      </c>
      <c r="F909" s="7" t="s">
        <v>20</v>
      </c>
      <c r="G909" s="7"/>
      <c r="H909" s="7"/>
      <c r="I909" s="7"/>
      <c r="J909" s="7"/>
      <c r="K909" s="7"/>
      <c r="L909" s="7" t="s">
        <v>662</v>
      </c>
      <c r="M909" s="8">
        <v>44197</v>
      </c>
      <c r="N909" s="8">
        <v>44197</v>
      </c>
      <c r="O909" s="13">
        <v>-48.6</v>
      </c>
      <c r="P909" s="13"/>
      <c r="Q909" s="33"/>
      <c r="R909" s="9"/>
      <c r="S909" s="9"/>
      <c r="T909" s="9"/>
      <c r="U909" s="9"/>
      <c r="X909" s="15" t="str">
        <f>IF(B909="",VLOOKUP(A909,items_lookup!A:B,2,FALSE),B909)</f>
        <v>13. Item 13</v>
      </c>
      <c r="Y909" s="15">
        <f t="shared" si="82"/>
        <v>1</v>
      </c>
      <c r="Z909" s="15">
        <f t="shared" si="82"/>
        <v>1</v>
      </c>
      <c r="AA909" s="15">
        <f t="shared" si="79"/>
        <v>2021</v>
      </c>
      <c r="AB909" s="15">
        <f t="shared" si="80"/>
        <v>2021</v>
      </c>
      <c r="AC909" s="15">
        <f t="shared" si="81"/>
        <v>2020</v>
      </c>
      <c r="AD909" s="18" t="b">
        <f t="shared" si="83"/>
        <v>1</v>
      </c>
    </row>
    <row r="910" spans="1:30" ht="15" hidden="1" customHeight="1" x14ac:dyDescent="0.2">
      <c r="A910" s="7" t="s">
        <v>680</v>
      </c>
      <c r="B910" s="7"/>
      <c r="C910" s="2" t="s">
        <v>641</v>
      </c>
      <c r="D910" s="6" t="s">
        <v>649</v>
      </c>
      <c r="E910" s="32" t="s">
        <v>651</v>
      </c>
      <c r="F910" s="7"/>
      <c r="G910" s="7"/>
      <c r="H910" s="7"/>
      <c r="I910" s="7"/>
      <c r="J910" s="7"/>
      <c r="K910" s="7"/>
      <c r="L910" s="7" t="s">
        <v>662</v>
      </c>
      <c r="M910" s="8">
        <v>44197</v>
      </c>
      <c r="N910" s="8">
        <v>44197</v>
      </c>
      <c r="O910" s="13">
        <v>-2976.19</v>
      </c>
      <c r="P910" s="13"/>
      <c r="Q910" s="33"/>
      <c r="R910" s="9"/>
      <c r="S910" s="9"/>
      <c r="T910" s="9"/>
      <c r="U910" s="9"/>
      <c r="X910" s="15" t="str">
        <f>IF(B910="",VLOOKUP(A910,items_lookup!A:B,2,FALSE),B910)</f>
        <v>13. Item 13</v>
      </c>
      <c r="Y910" s="15">
        <f t="shared" si="82"/>
        <v>1</v>
      </c>
      <c r="Z910" s="15">
        <f t="shared" si="82"/>
        <v>1</v>
      </c>
      <c r="AA910" s="15">
        <f t="shared" ref="AA910:AA967" si="84">YEAR(N910)</f>
        <v>2021</v>
      </c>
      <c r="AB910" s="15">
        <f t="shared" ref="AB910:AB967" si="85">YEAR(M910)</f>
        <v>2021</v>
      </c>
      <c r="AC910" s="15">
        <f t="shared" ref="AC910:AC967" si="86">IF(F910="X",AA910-1,AA910)</f>
        <v>2021</v>
      </c>
      <c r="AD910" s="18" t="b">
        <f t="shared" si="83"/>
        <v>1</v>
      </c>
    </row>
    <row r="911" spans="1:30" ht="15" hidden="1" customHeight="1" x14ac:dyDescent="0.2">
      <c r="A911" s="7" t="s">
        <v>676</v>
      </c>
      <c r="B911" s="20"/>
      <c r="C911" s="2" t="s">
        <v>641</v>
      </c>
      <c r="D911" s="6" t="s">
        <v>649</v>
      </c>
      <c r="E911" s="32" t="s">
        <v>651</v>
      </c>
      <c r="F911" s="7"/>
      <c r="G911" s="7"/>
      <c r="H911" s="7"/>
      <c r="I911" s="7"/>
      <c r="J911" s="7">
        <v>3</v>
      </c>
      <c r="K911" s="7" t="s">
        <v>660</v>
      </c>
      <c r="L911" s="7" t="s">
        <v>663</v>
      </c>
      <c r="M911" s="8">
        <v>44270</v>
      </c>
      <c r="N911" s="8">
        <v>44285</v>
      </c>
      <c r="O911" s="13"/>
      <c r="P911" s="13">
        <v>4916.76</v>
      </c>
      <c r="Q911" s="33"/>
      <c r="R911" s="22"/>
      <c r="S911" s="22"/>
      <c r="T911" s="22"/>
      <c r="U911" s="22"/>
      <c r="X911" s="15" t="str">
        <f>IF(B911="",VLOOKUP(A911,items_lookup!A:B,2,FALSE),B911)</f>
        <v>09. Item 09</v>
      </c>
      <c r="Y911" s="15">
        <f t="shared" si="82"/>
        <v>3</v>
      </c>
      <c r="Z911" s="15">
        <f t="shared" si="82"/>
        <v>3</v>
      </c>
      <c r="AA911" s="15">
        <f t="shared" si="84"/>
        <v>2021</v>
      </c>
      <c r="AB911" s="15">
        <f t="shared" si="85"/>
        <v>2021</v>
      </c>
      <c r="AC911" s="15">
        <f t="shared" si="86"/>
        <v>2021</v>
      </c>
      <c r="AD911" s="18" t="b">
        <f t="shared" si="83"/>
        <v>1</v>
      </c>
    </row>
    <row r="912" spans="1:30" ht="15.75" hidden="1" customHeight="1" x14ac:dyDescent="0.2">
      <c r="A912" s="7" t="s">
        <v>675</v>
      </c>
      <c r="B912" s="7"/>
      <c r="C912" s="2" t="s">
        <v>641</v>
      </c>
      <c r="D912" s="6" t="s">
        <v>649</v>
      </c>
      <c r="E912" s="32" t="s">
        <v>651</v>
      </c>
      <c r="F912" s="7"/>
      <c r="G912" s="7"/>
      <c r="H912" s="7"/>
      <c r="I912" s="7"/>
      <c r="J912" s="7">
        <v>4</v>
      </c>
      <c r="K912" s="7" t="s">
        <v>660</v>
      </c>
      <c r="L912" s="7" t="s">
        <v>663</v>
      </c>
      <c r="M912" s="8">
        <v>44274</v>
      </c>
      <c r="N912" s="8">
        <v>44280</v>
      </c>
      <c r="O912" s="13"/>
      <c r="P912" s="13">
        <v>139.21</v>
      </c>
      <c r="Q912" s="33"/>
      <c r="R912" s="22"/>
      <c r="S912" s="22"/>
      <c r="T912" s="22"/>
      <c r="U912" s="22"/>
      <c r="X912" s="15" t="str">
        <f>IF(B912="",VLOOKUP(A912,items_lookup!A:B,2,FALSE),B912)</f>
        <v>09. Item 09</v>
      </c>
      <c r="Y912" s="15">
        <f t="shared" si="82"/>
        <v>3</v>
      </c>
      <c r="Z912" s="15">
        <f t="shared" si="82"/>
        <v>3</v>
      </c>
      <c r="AA912" s="15">
        <f t="shared" si="84"/>
        <v>2021</v>
      </c>
      <c r="AB912" s="15">
        <f t="shared" si="85"/>
        <v>2021</v>
      </c>
      <c r="AC912" s="15">
        <f t="shared" si="86"/>
        <v>2021</v>
      </c>
      <c r="AD912" s="18" t="b">
        <f t="shared" si="83"/>
        <v>1</v>
      </c>
    </row>
    <row r="913" spans="1:32" ht="15" hidden="1" customHeight="1" x14ac:dyDescent="0.2">
      <c r="A913" s="7" t="s">
        <v>673</v>
      </c>
      <c r="B913" s="7"/>
      <c r="C913" s="2" t="s">
        <v>641</v>
      </c>
      <c r="D913" s="6" t="s">
        <v>649</v>
      </c>
      <c r="E913" s="32" t="s">
        <v>651</v>
      </c>
      <c r="F913" s="7"/>
      <c r="G913" s="7"/>
      <c r="H913" s="7"/>
      <c r="I913" s="7"/>
      <c r="J913" s="7">
        <v>4</v>
      </c>
      <c r="K913" s="7" t="s">
        <v>660</v>
      </c>
      <c r="L913" s="7" t="s">
        <v>663</v>
      </c>
      <c r="M913" s="8">
        <v>44278</v>
      </c>
      <c r="N913" s="8">
        <v>44285</v>
      </c>
      <c r="O913" s="13"/>
      <c r="P913" s="13">
        <v>467616.48</v>
      </c>
      <c r="Q913" s="33"/>
      <c r="R913" s="22"/>
      <c r="S913" s="22"/>
      <c r="T913" s="22"/>
      <c r="U913" s="22"/>
      <c r="X913" s="15" t="str">
        <f>IF(B913="",VLOOKUP(A913,items_lookup!A:B,2,FALSE),B913)</f>
        <v>07. Item 07</v>
      </c>
      <c r="Y913" s="15">
        <f t="shared" si="82"/>
        <v>3</v>
      </c>
      <c r="Z913" s="15">
        <f t="shared" si="82"/>
        <v>3</v>
      </c>
      <c r="AA913" s="15">
        <f t="shared" si="84"/>
        <v>2021</v>
      </c>
      <c r="AB913" s="15">
        <f t="shared" si="85"/>
        <v>2021</v>
      </c>
      <c r="AC913" s="15">
        <f t="shared" si="86"/>
        <v>2021</v>
      </c>
      <c r="AD913" s="18" t="b">
        <f t="shared" si="83"/>
        <v>1</v>
      </c>
    </row>
    <row r="914" spans="1:32" ht="15" hidden="1" customHeight="1" x14ac:dyDescent="0.2">
      <c r="A914" s="7" t="s">
        <v>672</v>
      </c>
      <c r="B914" s="7"/>
      <c r="C914" s="2" t="s">
        <v>641</v>
      </c>
      <c r="D914" s="6" t="s">
        <v>649</v>
      </c>
      <c r="E914" s="32" t="s">
        <v>651</v>
      </c>
      <c r="F914" s="7"/>
      <c r="G914" s="7"/>
      <c r="H914" s="7"/>
      <c r="I914" s="7"/>
      <c r="J914" s="7"/>
      <c r="K914" s="7"/>
      <c r="L914" s="7" t="s">
        <v>662</v>
      </c>
      <c r="M914" s="8">
        <v>44228</v>
      </c>
      <c r="N914" s="8">
        <v>44228</v>
      </c>
      <c r="O914" s="13">
        <v>53635.81</v>
      </c>
      <c r="P914" s="13"/>
      <c r="Q914" s="33"/>
      <c r="R914" s="9"/>
      <c r="S914" s="9"/>
      <c r="T914" s="9"/>
      <c r="U914" s="9"/>
      <c r="X914" s="15" t="str">
        <f>IF(B914="",VLOOKUP(A914,items_lookup!A:B,2,FALSE),B914)</f>
        <v>05. Item 05</v>
      </c>
      <c r="Y914" s="15">
        <f t="shared" si="82"/>
        <v>2</v>
      </c>
      <c r="Z914" s="15">
        <f t="shared" si="82"/>
        <v>2</v>
      </c>
      <c r="AA914" s="15">
        <f t="shared" si="84"/>
        <v>2021</v>
      </c>
      <c r="AB914" s="15">
        <f t="shared" si="85"/>
        <v>2021</v>
      </c>
      <c r="AC914" s="15">
        <f t="shared" si="86"/>
        <v>2021</v>
      </c>
      <c r="AD914" s="18" t="b">
        <f t="shared" si="83"/>
        <v>1</v>
      </c>
    </row>
    <row r="915" spans="1:32" ht="15" hidden="1" customHeight="1" x14ac:dyDescent="0.2">
      <c r="A915" s="7" t="s">
        <v>668</v>
      </c>
      <c r="B915" s="7"/>
      <c r="C915" s="2" t="s">
        <v>641</v>
      </c>
      <c r="D915" s="6" t="s">
        <v>649</v>
      </c>
      <c r="E915" s="32" t="s">
        <v>651</v>
      </c>
      <c r="F915" s="7"/>
      <c r="G915" s="7"/>
      <c r="H915" s="7"/>
      <c r="I915" s="7"/>
      <c r="J915" s="7"/>
      <c r="K915" s="7"/>
      <c r="L915" s="7" t="s">
        <v>662</v>
      </c>
      <c r="M915" s="8">
        <v>44228</v>
      </c>
      <c r="N915" s="8">
        <v>44228</v>
      </c>
      <c r="O915" s="13">
        <v>-16.760000000000002</v>
      </c>
      <c r="P915" s="13"/>
      <c r="Q915" s="33"/>
      <c r="R915" s="9"/>
      <c r="S915" s="9"/>
      <c r="T915" s="9"/>
      <c r="U915" s="9"/>
      <c r="X915" s="15" t="str">
        <f>IF(B915="",VLOOKUP(A915,items_lookup!A:B,2,FALSE),B915)</f>
        <v>01. Item 01</v>
      </c>
      <c r="Y915" s="15">
        <f t="shared" si="82"/>
        <v>2</v>
      </c>
      <c r="Z915" s="15">
        <f t="shared" si="82"/>
        <v>2</v>
      </c>
      <c r="AA915" s="15">
        <f t="shared" si="84"/>
        <v>2021</v>
      </c>
      <c r="AB915" s="15">
        <f t="shared" si="85"/>
        <v>2021</v>
      </c>
      <c r="AC915" s="15">
        <f t="shared" si="86"/>
        <v>2021</v>
      </c>
      <c r="AD915" s="18" t="b">
        <f t="shared" si="83"/>
        <v>1</v>
      </c>
    </row>
    <row r="916" spans="1:32" ht="15" hidden="1" customHeight="1" x14ac:dyDescent="0.2">
      <c r="A916" s="7" t="s">
        <v>669</v>
      </c>
      <c r="B916" s="7"/>
      <c r="C916" s="2" t="s">
        <v>641</v>
      </c>
      <c r="D916" s="6" t="s">
        <v>649</v>
      </c>
      <c r="E916" s="32" t="s">
        <v>651</v>
      </c>
      <c r="F916" s="7"/>
      <c r="G916" s="7"/>
      <c r="H916" s="7"/>
      <c r="I916" s="7" t="s">
        <v>20</v>
      </c>
      <c r="J916" s="7">
        <v>4</v>
      </c>
      <c r="K916" s="7" t="s">
        <v>660</v>
      </c>
      <c r="L916" s="7" t="s">
        <v>663</v>
      </c>
      <c r="M916" s="8">
        <v>44273</v>
      </c>
      <c r="N916" s="8">
        <v>44284</v>
      </c>
      <c r="O916" s="13"/>
      <c r="P916" s="13">
        <v>2515238.1</v>
      </c>
      <c r="Q916" s="33"/>
      <c r="R916" s="22"/>
      <c r="S916" s="22"/>
      <c r="T916" s="22"/>
      <c r="U916" s="22"/>
      <c r="X916" s="15" t="str">
        <f>IF(B916="",VLOOKUP(A916,items_lookup!A:B,2,FALSE),B916)</f>
        <v>02. Item 02</v>
      </c>
      <c r="Y916" s="15">
        <f t="shared" si="82"/>
        <v>3</v>
      </c>
      <c r="Z916" s="15">
        <f t="shared" si="82"/>
        <v>3</v>
      </c>
      <c r="AA916" s="15">
        <f t="shared" si="84"/>
        <v>2021</v>
      </c>
      <c r="AB916" s="15">
        <f t="shared" si="85"/>
        <v>2021</v>
      </c>
      <c r="AC916" s="15">
        <f t="shared" si="86"/>
        <v>2021</v>
      </c>
      <c r="AD916" s="18" t="b">
        <f t="shared" si="83"/>
        <v>1</v>
      </c>
    </row>
    <row r="917" spans="1:32" ht="15" hidden="1" customHeight="1" x14ac:dyDescent="0.2">
      <c r="A917" s="7" t="s">
        <v>670</v>
      </c>
      <c r="B917" s="7"/>
      <c r="C917" s="2" t="s">
        <v>641</v>
      </c>
      <c r="D917" s="6" t="s">
        <v>649</v>
      </c>
      <c r="E917" s="32" t="s">
        <v>651</v>
      </c>
      <c r="F917" s="7"/>
      <c r="G917" s="7"/>
      <c r="H917" s="7"/>
      <c r="I917" s="7"/>
      <c r="J917" s="7"/>
      <c r="K917" s="7"/>
      <c r="L917" s="7" t="s">
        <v>662</v>
      </c>
      <c r="M917" s="8">
        <v>44256</v>
      </c>
      <c r="N917" s="8">
        <v>44256</v>
      </c>
      <c r="O917" s="13">
        <v>9969.7900000000009</v>
      </c>
      <c r="P917" s="13"/>
      <c r="Q917" s="33"/>
      <c r="R917" s="22"/>
      <c r="S917" s="22"/>
      <c r="T917" s="22"/>
      <c r="U917" s="22"/>
      <c r="X917" s="15" t="str">
        <f>IF(B917="",VLOOKUP(A917,items_lookup!A:B,2,FALSE),B917)</f>
        <v>04. Item 04</v>
      </c>
      <c r="Y917" s="15">
        <f t="shared" si="82"/>
        <v>3</v>
      </c>
      <c r="Z917" s="15">
        <f t="shared" si="82"/>
        <v>3</v>
      </c>
      <c r="AA917" s="15">
        <f t="shared" si="84"/>
        <v>2021</v>
      </c>
      <c r="AB917" s="15">
        <f t="shared" si="85"/>
        <v>2021</v>
      </c>
      <c r="AC917" s="15">
        <f t="shared" si="86"/>
        <v>2021</v>
      </c>
      <c r="AD917" s="18" t="b">
        <f t="shared" si="83"/>
        <v>1</v>
      </c>
    </row>
    <row r="918" spans="1:32" ht="15" hidden="1" customHeight="1" x14ac:dyDescent="0.2">
      <c r="A918" s="7" t="s">
        <v>671</v>
      </c>
      <c r="B918" s="7"/>
      <c r="C918" s="2" t="s">
        <v>641</v>
      </c>
      <c r="D918" s="6" t="s">
        <v>649</v>
      </c>
      <c r="E918" s="32" t="s">
        <v>651</v>
      </c>
      <c r="F918" s="7"/>
      <c r="G918" s="7"/>
      <c r="H918" s="7"/>
      <c r="I918" s="7"/>
      <c r="J918" s="7"/>
      <c r="K918" s="7"/>
      <c r="L918" s="7" t="s">
        <v>662</v>
      </c>
      <c r="M918" s="8">
        <v>44228</v>
      </c>
      <c r="N918" s="8">
        <v>44228</v>
      </c>
      <c r="O918" s="13">
        <v>3636.81</v>
      </c>
      <c r="P918" s="13"/>
      <c r="Q918" s="33"/>
      <c r="R918" s="22"/>
      <c r="S918" s="22"/>
      <c r="T918" s="22"/>
      <c r="U918" s="22"/>
      <c r="X918" s="15" t="str">
        <f>IF(B918="",VLOOKUP(A918,items_lookup!A:B,2,FALSE),B918)</f>
        <v>05. Item 05</v>
      </c>
      <c r="Y918" s="15">
        <f t="shared" si="82"/>
        <v>2</v>
      </c>
      <c r="Z918" s="15">
        <f t="shared" si="82"/>
        <v>2</v>
      </c>
      <c r="AA918" s="15">
        <f t="shared" si="84"/>
        <v>2021</v>
      </c>
      <c r="AB918" s="15">
        <f t="shared" si="85"/>
        <v>2021</v>
      </c>
      <c r="AC918" s="15">
        <f t="shared" si="86"/>
        <v>2021</v>
      </c>
      <c r="AD918" s="18" t="b">
        <f t="shared" si="83"/>
        <v>1</v>
      </c>
    </row>
    <row r="919" spans="1:32" ht="15" hidden="1" customHeight="1" x14ac:dyDescent="0.2">
      <c r="A919" s="7" t="s">
        <v>674</v>
      </c>
      <c r="B919" s="7"/>
      <c r="C919" s="2" t="s">
        <v>641</v>
      </c>
      <c r="D919" s="6" t="s">
        <v>649</v>
      </c>
      <c r="E919" s="32" t="s">
        <v>651</v>
      </c>
      <c r="F919" s="7"/>
      <c r="G919" s="7"/>
      <c r="H919" s="7"/>
      <c r="I919" s="7"/>
      <c r="J919" s="7"/>
      <c r="K919" s="7"/>
      <c r="L919" s="7" t="s">
        <v>662</v>
      </c>
      <c r="M919" s="8">
        <v>44197</v>
      </c>
      <c r="N919" s="8">
        <v>44197</v>
      </c>
      <c r="O919" s="13">
        <v>237185.84</v>
      </c>
      <c r="P919" s="13"/>
      <c r="Q919" s="33"/>
      <c r="R919" s="22"/>
      <c r="S919" s="22"/>
      <c r="T919" s="22"/>
      <c r="U919" s="22"/>
      <c r="X919" s="15" t="str">
        <f>IF(B919="",VLOOKUP(A919,items_lookup!A:B,2,FALSE),B919)</f>
        <v>08. Item 08</v>
      </c>
      <c r="Y919" s="15">
        <f t="shared" si="82"/>
        <v>1</v>
      </c>
      <c r="Z919" s="15">
        <f t="shared" si="82"/>
        <v>1</v>
      </c>
      <c r="AA919" s="15">
        <f t="shared" si="84"/>
        <v>2021</v>
      </c>
      <c r="AB919" s="15">
        <f t="shared" si="85"/>
        <v>2021</v>
      </c>
      <c r="AC919" s="15">
        <f t="shared" si="86"/>
        <v>2021</v>
      </c>
      <c r="AD919" s="18" t="b">
        <f t="shared" si="83"/>
        <v>1</v>
      </c>
    </row>
    <row r="920" spans="1:32" ht="15" hidden="1" customHeight="1" x14ac:dyDescent="0.2">
      <c r="A920" s="7" t="s">
        <v>677</v>
      </c>
      <c r="B920" s="7" t="s">
        <v>710</v>
      </c>
      <c r="C920" s="2" t="s">
        <v>641</v>
      </c>
      <c r="D920" s="6" t="s">
        <v>649</v>
      </c>
      <c r="E920" s="32" t="s">
        <v>651</v>
      </c>
      <c r="F920" s="7" t="s">
        <v>20</v>
      </c>
      <c r="G920" s="7"/>
      <c r="H920" s="7" t="s">
        <v>653</v>
      </c>
      <c r="I920" s="7"/>
      <c r="J920" s="7"/>
      <c r="K920" s="7"/>
      <c r="L920" s="7" t="s">
        <v>662</v>
      </c>
      <c r="M920" s="8">
        <v>44197</v>
      </c>
      <c r="N920" s="8">
        <v>44197</v>
      </c>
      <c r="O920" s="13">
        <v>-3525.5</v>
      </c>
      <c r="P920" s="13"/>
      <c r="Q920" s="33"/>
      <c r="R920" s="9"/>
      <c r="S920" s="9"/>
      <c r="T920" s="9"/>
      <c r="U920" s="9"/>
      <c r="X920" s="15" t="str">
        <f>IF(B920="",VLOOKUP(A920,items_lookup!A:B,2,FALSE),B920)</f>
        <v>13. Item 13</v>
      </c>
      <c r="Y920" s="15">
        <f t="shared" si="82"/>
        <v>1</v>
      </c>
      <c r="Z920" s="15">
        <f t="shared" si="82"/>
        <v>1</v>
      </c>
      <c r="AA920" s="15">
        <f t="shared" si="84"/>
        <v>2021</v>
      </c>
      <c r="AB920" s="15">
        <f t="shared" si="85"/>
        <v>2021</v>
      </c>
      <c r="AC920" s="15">
        <f t="shared" si="86"/>
        <v>2020</v>
      </c>
      <c r="AD920" s="18" t="b">
        <f t="shared" si="83"/>
        <v>1</v>
      </c>
    </row>
    <row r="921" spans="1:32" ht="15" hidden="1" customHeight="1" x14ac:dyDescent="0.2">
      <c r="A921" s="7"/>
      <c r="B921" s="7" t="s">
        <v>710</v>
      </c>
      <c r="C921" s="2" t="s">
        <v>641</v>
      </c>
      <c r="D921" s="6" t="s">
        <v>649</v>
      </c>
      <c r="E921" s="32" t="s">
        <v>651</v>
      </c>
      <c r="F921" s="7"/>
      <c r="G921" s="7"/>
      <c r="H921" s="7" t="s">
        <v>653</v>
      </c>
      <c r="I921" s="7"/>
      <c r="J921" s="7"/>
      <c r="K921" s="7"/>
      <c r="L921" s="7" t="s">
        <v>662</v>
      </c>
      <c r="M921" s="8">
        <v>44197</v>
      </c>
      <c r="N921" s="8">
        <v>44197</v>
      </c>
      <c r="O921" s="13">
        <v>-2315.0300000000002</v>
      </c>
      <c r="P921" s="13"/>
      <c r="Q921" s="33"/>
      <c r="R921" s="22"/>
      <c r="S921" s="22"/>
      <c r="T921" s="22"/>
      <c r="U921" s="22"/>
      <c r="X921" s="15" t="str">
        <f>IF(B921="",VLOOKUP(A921,items_lookup!A:B,2,FALSE),B921)</f>
        <v>13. Item 13</v>
      </c>
      <c r="Y921" s="15">
        <f t="shared" si="82"/>
        <v>1</v>
      </c>
      <c r="Z921" s="15">
        <f t="shared" si="82"/>
        <v>1</v>
      </c>
      <c r="AA921" s="15">
        <f t="shared" si="84"/>
        <v>2021</v>
      </c>
      <c r="AB921" s="15">
        <f t="shared" si="85"/>
        <v>2021</v>
      </c>
      <c r="AC921" s="15">
        <f t="shared" si="86"/>
        <v>2021</v>
      </c>
      <c r="AD921" s="18" t="b">
        <f t="shared" si="83"/>
        <v>1</v>
      </c>
    </row>
    <row r="922" spans="1:32" ht="24" hidden="1" customHeight="1" x14ac:dyDescent="0.2">
      <c r="A922" s="7" t="s">
        <v>679</v>
      </c>
      <c r="B922" s="7"/>
      <c r="C922" s="2" t="s">
        <v>641</v>
      </c>
      <c r="D922" s="6" t="s">
        <v>649</v>
      </c>
      <c r="E922" s="32" t="s">
        <v>651</v>
      </c>
      <c r="F922" s="7" t="s">
        <v>20</v>
      </c>
      <c r="G922" s="7"/>
      <c r="H922" s="7" t="s">
        <v>653</v>
      </c>
      <c r="I922" s="7"/>
      <c r="J922" s="7"/>
      <c r="K922" s="7"/>
      <c r="L922" s="7" t="s">
        <v>662</v>
      </c>
      <c r="M922" s="8">
        <v>44197</v>
      </c>
      <c r="N922" s="8">
        <v>44197</v>
      </c>
      <c r="O922" s="13">
        <v>-222201.99</v>
      </c>
      <c r="P922" s="13"/>
      <c r="Q922" s="33"/>
      <c r="R922" s="22"/>
      <c r="S922" s="22"/>
      <c r="T922" s="22"/>
      <c r="U922" s="22"/>
      <c r="X922" s="15" t="str">
        <f>IF(B922="",VLOOKUP(A922,items_lookup!A:B,2,FALSE),B922)</f>
        <v>13. Item 13</v>
      </c>
      <c r="Y922" s="15">
        <f t="shared" si="82"/>
        <v>1</v>
      </c>
      <c r="Z922" s="15">
        <f t="shared" si="82"/>
        <v>1</v>
      </c>
      <c r="AA922" s="15">
        <f t="shared" si="84"/>
        <v>2021</v>
      </c>
      <c r="AB922" s="15">
        <f t="shared" si="85"/>
        <v>2021</v>
      </c>
      <c r="AC922" s="15">
        <f t="shared" si="86"/>
        <v>2020</v>
      </c>
      <c r="AD922" s="18" t="b">
        <f t="shared" si="83"/>
        <v>1</v>
      </c>
    </row>
    <row r="923" spans="1:32" ht="31.5" hidden="1" customHeight="1" x14ac:dyDescent="0.2">
      <c r="A923" s="7" t="s">
        <v>680</v>
      </c>
      <c r="B923" s="7"/>
      <c r="C923" s="2" t="s">
        <v>641</v>
      </c>
      <c r="D923" s="6" t="s">
        <v>649</v>
      </c>
      <c r="E923" s="32" t="s">
        <v>651</v>
      </c>
      <c r="F923" s="7"/>
      <c r="G923" s="7"/>
      <c r="H923" s="7" t="s">
        <v>653</v>
      </c>
      <c r="I923" s="7"/>
      <c r="J923" s="7"/>
      <c r="K923" s="7"/>
      <c r="L923" s="7" t="s">
        <v>662</v>
      </c>
      <c r="M923" s="8">
        <v>44197</v>
      </c>
      <c r="N923" s="8">
        <v>44197</v>
      </c>
      <c r="O923" s="13">
        <v>-816607.03</v>
      </c>
      <c r="P923" s="13"/>
      <c r="Q923" s="33"/>
      <c r="R923" s="22"/>
      <c r="S923" s="22"/>
      <c r="T923" s="22"/>
      <c r="U923" s="22"/>
      <c r="X923" s="15" t="str">
        <f>IF(B923="",VLOOKUP(A923,items_lookup!A:B,2,FALSE),B923)</f>
        <v>13. Item 13</v>
      </c>
      <c r="Y923" s="15">
        <f t="shared" si="82"/>
        <v>1</v>
      </c>
      <c r="Z923" s="15">
        <f t="shared" si="82"/>
        <v>1</v>
      </c>
      <c r="AA923" s="15">
        <f t="shared" si="84"/>
        <v>2021</v>
      </c>
      <c r="AB923" s="15">
        <f t="shared" si="85"/>
        <v>2021</v>
      </c>
      <c r="AC923" s="15">
        <f t="shared" si="86"/>
        <v>2021</v>
      </c>
      <c r="AD923" s="18" t="b">
        <f t="shared" si="83"/>
        <v>1</v>
      </c>
      <c r="AF923"/>
    </row>
    <row r="924" spans="1:32" ht="30" hidden="1" customHeight="1" x14ac:dyDescent="0.2">
      <c r="A924" s="7" t="s">
        <v>678</v>
      </c>
      <c r="B924" s="7"/>
      <c r="C924" s="2" t="s">
        <v>641</v>
      </c>
      <c r="D924" s="6" t="s">
        <v>650</v>
      </c>
      <c r="E924" s="32" t="s">
        <v>651</v>
      </c>
      <c r="F924" s="7"/>
      <c r="G924" s="7"/>
      <c r="H924" s="7"/>
      <c r="I924" s="7"/>
      <c r="J924" s="7">
        <v>4</v>
      </c>
      <c r="K924" s="7" t="s">
        <v>660</v>
      </c>
      <c r="L924" s="7" t="s">
        <v>663</v>
      </c>
      <c r="M924" s="8">
        <v>44211</v>
      </c>
      <c r="N924" s="8">
        <v>44225</v>
      </c>
      <c r="O924" s="13"/>
      <c r="P924" s="13">
        <v>214632.42</v>
      </c>
      <c r="Q924" s="33"/>
      <c r="R924" s="22"/>
      <c r="S924" s="22"/>
      <c r="T924" s="22"/>
      <c r="U924" s="22"/>
      <c r="X924" s="15" t="str">
        <f>IF(B924="",VLOOKUP(A924,items_lookup!A:B,2,FALSE),B924)</f>
        <v>13. Item 13</v>
      </c>
      <c r="Y924" s="15">
        <f t="shared" ref="Y924:Z982" si="87">MONTH(M924)</f>
        <v>1</v>
      </c>
      <c r="Z924" s="15">
        <f t="shared" si="87"/>
        <v>1</v>
      </c>
      <c r="AA924" s="15">
        <f t="shared" si="84"/>
        <v>2021</v>
      </c>
      <c r="AB924" s="15">
        <f t="shared" si="85"/>
        <v>2021</v>
      </c>
      <c r="AC924" s="15">
        <f t="shared" si="86"/>
        <v>2021</v>
      </c>
      <c r="AD924" s="18" t="b">
        <f t="shared" si="83"/>
        <v>1</v>
      </c>
    </row>
    <row r="925" spans="1:32" ht="12.6" hidden="1" customHeight="1" x14ac:dyDescent="0.2">
      <c r="A925" s="7" t="s">
        <v>682</v>
      </c>
      <c r="B925" s="7"/>
      <c r="C925" s="2" t="s">
        <v>641</v>
      </c>
      <c r="D925" s="6" t="s">
        <v>650</v>
      </c>
      <c r="E925" s="32" t="s">
        <v>651</v>
      </c>
      <c r="F925" s="7"/>
      <c r="G925" s="7"/>
      <c r="H925" s="7"/>
      <c r="I925" s="7"/>
      <c r="J925" s="7"/>
      <c r="K925" s="7"/>
      <c r="L925" s="7" t="s">
        <v>662</v>
      </c>
      <c r="M925" s="8">
        <v>44197</v>
      </c>
      <c r="N925" s="8">
        <v>44197</v>
      </c>
      <c r="O925" s="13">
        <v>212922.91</v>
      </c>
      <c r="P925" s="13"/>
      <c r="Q925" s="33"/>
      <c r="R925" s="9"/>
      <c r="S925" s="9"/>
      <c r="T925" s="9"/>
      <c r="U925" s="9"/>
      <c r="X925" s="15" t="str">
        <f>IF(B925="",VLOOKUP(A925,items_lookup!A:B,2,FALSE),B925)</f>
        <v>06. Item 06</v>
      </c>
      <c r="Y925" s="15">
        <f t="shared" si="87"/>
        <v>1</v>
      </c>
      <c r="Z925" s="15">
        <f t="shared" si="87"/>
        <v>1</v>
      </c>
      <c r="AA925" s="15">
        <f t="shared" si="84"/>
        <v>2021</v>
      </c>
      <c r="AB925" s="15">
        <f t="shared" si="85"/>
        <v>2021</v>
      </c>
      <c r="AC925" s="15">
        <f t="shared" si="86"/>
        <v>2021</v>
      </c>
      <c r="AD925" s="18" t="b">
        <f t="shared" si="83"/>
        <v>1</v>
      </c>
    </row>
    <row r="926" spans="1:32" ht="15" hidden="1" customHeight="1" x14ac:dyDescent="0.2">
      <c r="A926" s="7" t="s">
        <v>678</v>
      </c>
      <c r="B926" s="7"/>
      <c r="C926" s="2" t="s">
        <v>641</v>
      </c>
      <c r="D926" s="6" t="s">
        <v>650</v>
      </c>
      <c r="E926" s="32" t="s">
        <v>651</v>
      </c>
      <c r="F926" s="7"/>
      <c r="G926" s="7"/>
      <c r="H926" s="7"/>
      <c r="I926" s="7"/>
      <c r="J926" s="7">
        <v>4</v>
      </c>
      <c r="K926" s="7" t="s">
        <v>660</v>
      </c>
      <c r="L926" s="7" t="s">
        <v>663</v>
      </c>
      <c r="M926" s="8">
        <v>44260</v>
      </c>
      <c r="N926" s="8">
        <v>44260</v>
      </c>
      <c r="O926" s="13"/>
      <c r="P926" s="13">
        <v>160.46</v>
      </c>
      <c r="Q926" s="33"/>
      <c r="R926" s="22"/>
      <c r="S926" s="22"/>
      <c r="T926" s="22"/>
      <c r="U926" s="22"/>
      <c r="X926" s="15" t="str">
        <f>IF(B926="",VLOOKUP(A926,items_lookup!A:B,2,FALSE),B926)</f>
        <v>13. Item 13</v>
      </c>
      <c r="Y926" s="15">
        <f t="shared" si="87"/>
        <v>3</v>
      </c>
      <c r="Z926" s="15">
        <f t="shared" si="87"/>
        <v>3</v>
      </c>
      <c r="AA926" s="15">
        <f t="shared" si="84"/>
        <v>2021</v>
      </c>
      <c r="AB926" s="15">
        <f t="shared" si="85"/>
        <v>2021</v>
      </c>
      <c r="AC926" s="15">
        <f t="shared" si="86"/>
        <v>2021</v>
      </c>
      <c r="AD926" s="18" t="b">
        <f t="shared" si="83"/>
        <v>1</v>
      </c>
    </row>
    <row r="927" spans="1:32" ht="12.6" hidden="1" customHeight="1" x14ac:dyDescent="0.2">
      <c r="A927" s="7" t="s">
        <v>679</v>
      </c>
      <c r="B927" s="7"/>
      <c r="C927" s="2" t="s">
        <v>641</v>
      </c>
      <c r="D927" s="6" t="s">
        <v>649</v>
      </c>
      <c r="E927" s="32" t="s">
        <v>651</v>
      </c>
      <c r="F927" s="7"/>
      <c r="G927" s="7"/>
      <c r="H927" s="7"/>
      <c r="I927" s="7"/>
      <c r="J927" s="7"/>
      <c r="K927" s="7" t="s">
        <v>660</v>
      </c>
      <c r="L927" s="7" t="s">
        <v>663</v>
      </c>
      <c r="M927" s="8">
        <v>44277</v>
      </c>
      <c r="N927" s="8">
        <v>44277</v>
      </c>
      <c r="O927" s="13"/>
      <c r="P927" s="13">
        <v>1126491.69</v>
      </c>
      <c r="Q927" s="33"/>
      <c r="R927" s="22"/>
      <c r="S927" s="22"/>
      <c r="T927" s="22"/>
      <c r="U927" s="22"/>
      <c r="X927" s="15" t="str">
        <f>IF(B927="",VLOOKUP(A927,items_lookup!A:B,2,FALSE),B927)</f>
        <v>13. Item 13</v>
      </c>
      <c r="Y927" s="15">
        <f t="shared" si="87"/>
        <v>3</v>
      </c>
      <c r="Z927" s="15">
        <f t="shared" si="87"/>
        <v>3</v>
      </c>
      <c r="AA927" s="15">
        <f t="shared" si="84"/>
        <v>2021</v>
      </c>
      <c r="AB927" s="15">
        <f t="shared" si="85"/>
        <v>2021</v>
      </c>
      <c r="AC927" s="15">
        <f t="shared" si="86"/>
        <v>2021</v>
      </c>
      <c r="AD927" s="18" t="b">
        <f t="shared" si="83"/>
        <v>1</v>
      </c>
    </row>
    <row r="928" spans="1:32" ht="15" hidden="1" customHeight="1" x14ac:dyDescent="0.2">
      <c r="A928" s="7" t="s">
        <v>680</v>
      </c>
      <c r="B928" s="7"/>
      <c r="C928" s="2" t="s">
        <v>641</v>
      </c>
      <c r="D928" s="6" t="s">
        <v>649</v>
      </c>
      <c r="E928" s="32" t="s">
        <v>651</v>
      </c>
      <c r="F928" s="7"/>
      <c r="G928" s="7"/>
      <c r="H928" s="7"/>
      <c r="I928" s="7"/>
      <c r="J928" s="7"/>
      <c r="K928" s="7" t="s">
        <v>660</v>
      </c>
      <c r="L928" s="7" t="s">
        <v>663</v>
      </c>
      <c r="M928" s="8">
        <v>44277</v>
      </c>
      <c r="N928" s="8">
        <v>44277</v>
      </c>
      <c r="O928" s="13"/>
      <c r="P928" s="13">
        <v>24561.21</v>
      </c>
      <c r="Q928" s="33"/>
      <c r="R928" s="22"/>
      <c r="S928" s="22"/>
      <c r="T928" s="22"/>
      <c r="U928" s="22"/>
      <c r="X928" s="15" t="str">
        <f>IF(B928="",VLOOKUP(A928,items_lookup!A:B,2,FALSE),B928)</f>
        <v>13. Item 13</v>
      </c>
      <c r="Y928" s="15">
        <f t="shared" si="87"/>
        <v>3</v>
      </c>
      <c r="Z928" s="15">
        <f t="shared" si="87"/>
        <v>3</v>
      </c>
      <c r="AA928" s="15">
        <f t="shared" si="84"/>
        <v>2021</v>
      </c>
      <c r="AB928" s="15">
        <f t="shared" si="85"/>
        <v>2021</v>
      </c>
      <c r="AC928" s="15">
        <f t="shared" si="86"/>
        <v>2021</v>
      </c>
      <c r="AD928" s="18" t="b">
        <f t="shared" si="83"/>
        <v>1</v>
      </c>
    </row>
    <row r="929" spans="1:30" ht="15" hidden="1" customHeight="1" x14ac:dyDescent="0.2">
      <c r="A929" s="7" t="s">
        <v>692</v>
      </c>
      <c r="B929" s="7"/>
      <c r="C929" s="2" t="s">
        <v>641</v>
      </c>
      <c r="D929" s="6" t="s">
        <v>649</v>
      </c>
      <c r="E929" s="32" t="s">
        <v>651</v>
      </c>
      <c r="F929" s="7"/>
      <c r="G929" s="7"/>
      <c r="H929" s="7"/>
      <c r="I929" s="7"/>
      <c r="J929" s="7"/>
      <c r="K929" s="7" t="s">
        <v>660</v>
      </c>
      <c r="L929" s="7" t="s">
        <v>663</v>
      </c>
      <c r="M929" s="8">
        <v>44278</v>
      </c>
      <c r="N929" s="8">
        <v>44278</v>
      </c>
      <c r="O929" s="13"/>
      <c r="P929" s="13">
        <v>694996.03</v>
      </c>
      <c r="Q929" s="33"/>
      <c r="R929" s="22"/>
      <c r="S929" s="22"/>
      <c r="T929" s="22"/>
      <c r="U929" s="22"/>
      <c r="X929" s="15" t="str">
        <f>IF(B929="",VLOOKUP(A929,items_lookup!A:B,2,FALSE),B929)</f>
        <v>03. Item 03</v>
      </c>
      <c r="Y929" s="15">
        <f t="shared" si="87"/>
        <v>3</v>
      </c>
      <c r="Z929" s="15">
        <f t="shared" si="87"/>
        <v>3</v>
      </c>
      <c r="AA929" s="15">
        <f t="shared" si="84"/>
        <v>2021</v>
      </c>
      <c r="AB929" s="15">
        <f t="shared" si="85"/>
        <v>2021</v>
      </c>
      <c r="AC929" s="15">
        <f t="shared" si="86"/>
        <v>2021</v>
      </c>
      <c r="AD929" s="18" t="b">
        <f t="shared" si="83"/>
        <v>1</v>
      </c>
    </row>
    <row r="930" spans="1:30" ht="15" hidden="1" customHeight="1" x14ac:dyDescent="0.2">
      <c r="A930" s="7" t="s">
        <v>688</v>
      </c>
      <c r="B930" s="7"/>
      <c r="C930" s="2" t="s">
        <v>641</v>
      </c>
      <c r="D930" s="6" t="s">
        <v>649</v>
      </c>
      <c r="E930" s="32" t="s">
        <v>651</v>
      </c>
      <c r="F930" s="7"/>
      <c r="G930" s="7"/>
      <c r="H930" s="7"/>
      <c r="I930" s="7"/>
      <c r="J930" s="7"/>
      <c r="K930" s="7" t="s">
        <v>660</v>
      </c>
      <c r="L930" s="7" t="s">
        <v>663</v>
      </c>
      <c r="M930" s="8">
        <v>44279</v>
      </c>
      <c r="N930" s="8">
        <v>44279</v>
      </c>
      <c r="O930" s="13"/>
      <c r="P930" s="13">
        <v>1517709.64</v>
      </c>
      <c r="Q930" s="33"/>
      <c r="R930" s="22"/>
      <c r="S930" s="22"/>
      <c r="T930" s="22"/>
      <c r="U930" s="22"/>
      <c r="X930" s="15" t="str">
        <f>IF(B930="",VLOOKUP(A930,items_lookup!A:B,2,FALSE),B930)</f>
        <v>09. Item 09</v>
      </c>
      <c r="Y930" s="15">
        <f t="shared" si="87"/>
        <v>3</v>
      </c>
      <c r="Z930" s="15">
        <f t="shared" si="87"/>
        <v>3</v>
      </c>
      <c r="AA930" s="15">
        <f t="shared" si="84"/>
        <v>2021</v>
      </c>
      <c r="AB930" s="15">
        <f t="shared" si="85"/>
        <v>2021</v>
      </c>
      <c r="AC930" s="15">
        <f t="shared" si="86"/>
        <v>2021</v>
      </c>
      <c r="AD930" s="18" t="b">
        <f t="shared" si="83"/>
        <v>1</v>
      </c>
    </row>
    <row r="931" spans="1:30" ht="15" hidden="1" customHeight="1" x14ac:dyDescent="0.2">
      <c r="A931" s="7" t="s">
        <v>688</v>
      </c>
      <c r="B931" s="7"/>
      <c r="C931" s="2" t="s">
        <v>641</v>
      </c>
      <c r="D931" s="6" t="s">
        <v>649</v>
      </c>
      <c r="E931" s="32" t="s">
        <v>651</v>
      </c>
      <c r="F931" s="7"/>
      <c r="G931" s="7"/>
      <c r="H931" s="7"/>
      <c r="I931" s="7"/>
      <c r="J931" s="7"/>
      <c r="K931" s="7" t="s">
        <v>660</v>
      </c>
      <c r="L931" s="7" t="s">
        <v>663</v>
      </c>
      <c r="M931" s="8">
        <v>44280</v>
      </c>
      <c r="N931" s="8">
        <v>44280</v>
      </c>
      <c r="O931" s="13"/>
      <c r="P931" s="13">
        <v>1319510.03</v>
      </c>
      <c r="Q931" s="33"/>
      <c r="R931" s="22"/>
      <c r="S931" s="22"/>
      <c r="T931" s="22"/>
      <c r="U931" s="22"/>
      <c r="X931" s="15" t="str">
        <f>IF(B931="",VLOOKUP(A931,items_lookup!A:B,2,FALSE),B931)</f>
        <v>09. Item 09</v>
      </c>
      <c r="Y931" s="15">
        <f t="shared" si="87"/>
        <v>3</v>
      </c>
      <c r="Z931" s="15">
        <f t="shared" si="87"/>
        <v>3</v>
      </c>
      <c r="AA931" s="15">
        <f t="shared" si="84"/>
        <v>2021</v>
      </c>
      <c r="AB931" s="15">
        <f t="shared" si="85"/>
        <v>2021</v>
      </c>
      <c r="AC931" s="15">
        <f t="shared" si="86"/>
        <v>2021</v>
      </c>
      <c r="AD931" s="18" t="b">
        <f t="shared" si="83"/>
        <v>1</v>
      </c>
    </row>
    <row r="932" spans="1:30" ht="15" hidden="1" customHeight="1" x14ac:dyDescent="0.2">
      <c r="A932" s="7" t="s">
        <v>690</v>
      </c>
      <c r="B932" s="7"/>
      <c r="C932" s="2" t="s">
        <v>641</v>
      </c>
      <c r="D932" s="6" t="s">
        <v>649</v>
      </c>
      <c r="E932" s="32" t="s">
        <v>651</v>
      </c>
      <c r="F932" s="7"/>
      <c r="G932" s="7"/>
      <c r="H932" s="7"/>
      <c r="I932" s="7"/>
      <c r="J932" s="7"/>
      <c r="K932" s="7" t="s">
        <v>660</v>
      </c>
      <c r="L932" s="7" t="s">
        <v>663</v>
      </c>
      <c r="M932" s="8">
        <v>44281</v>
      </c>
      <c r="N932" s="8">
        <v>44281</v>
      </c>
      <c r="O932" s="13"/>
      <c r="P932" s="13">
        <v>31642.21</v>
      </c>
      <c r="Q932" s="33"/>
      <c r="R932" s="22"/>
      <c r="S932" s="22"/>
      <c r="T932" s="22"/>
      <c r="U932" s="22"/>
      <c r="X932" s="15" t="str">
        <f>IF(B932="",VLOOKUP(A932,items_lookup!A:B,2,FALSE),B932)</f>
        <v>21. Item 21</v>
      </c>
      <c r="Y932" s="15">
        <f t="shared" si="87"/>
        <v>3</v>
      </c>
      <c r="Z932" s="15">
        <f t="shared" si="87"/>
        <v>3</v>
      </c>
      <c r="AA932" s="15">
        <f t="shared" si="84"/>
        <v>2021</v>
      </c>
      <c r="AB932" s="15">
        <f t="shared" si="85"/>
        <v>2021</v>
      </c>
      <c r="AC932" s="15">
        <f t="shared" si="86"/>
        <v>2021</v>
      </c>
      <c r="AD932" s="18" t="b">
        <f t="shared" si="83"/>
        <v>1</v>
      </c>
    </row>
    <row r="933" spans="1:30" ht="15" hidden="1" customHeight="1" x14ac:dyDescent="0.2">
      <c r="A933" s="7" t="s">
        <v>699</v>
      </c>
      <c r="B933" s="7"/>
      <c r="C933" s="2" t="s">
        <v>641</v>
      </c>
      <c r="D933" s="6" t="s">
        <v>649</v>
      </c>
      <c r="E933" s="32" t="s">
        <v>651</v>
      </c>
      <c r="F933" s="7"/>
      <c r="G933" s="7"/>
      <c r="H933" s="7"/>
      <c r="I933" s="7"/>
      <c r="J933" s="7"/>
      <c r="K933" s="7" t="s">
        <v>660</v>
      </c>
      <c r="L933" s="7" t="s">
        <v>663</v>
      </c>
      <c r="M933" s="8">
        <v>44284</v>
      </c>
      <c r="N933" s="8">
        <v>44284</v>
      </c>
      <c r="O933" s="13"/>
      <c r="P933" s="13">
        <v>2518184.2599999998</v>
      </c>
      <c r="Q933" s="33"/>
      <c r="R933" s="22"/>
      <c r="S933" s="22"/>
      <c r="T933" s="22"/>
      <c r="U933" s="22"/>
      <c r="X933" s="15" t="str">
        <f>IF(B933="",VLOOKUP(A933,items_lookup!A:B,2,FALSE),B933)</f>
        <v>12. Item 12</v>
      </c>
      <c r="Y933" s="15">
        <f t="shared" si="87"/>
        <v>3</v>
      </c>
      <c r="Z933" s="15">
        <f t="shared" si="87"/>
        <v>3</v>
      </c>
      <c r="AA933" s="15">
        <f t="shared" si="84"/>
        <v>2021</v>
      </c>
      <c r="AB933" s="15">
        <f t="shared" si="85"/>
        <v>2021</v>
      </c>
      <c r="AC933" s="15">
        <f t="shared" si="86"/>
        <v>2021</v>
      </c>
      <c r="AD933" s="18" t="b">
        <f t="shared" si="83"/>
        <v>1</v>
      </c>
    </row>
    <row r="934" spans="1:30" ht="15" hidden="1" customHeight="1" x14ac:dyDescent="0.2">
      <c r="A934" s="7" t="s">
        <v>702</v>
      </c>
      <c r="B934" s="20"/>
      <c r="C934" s="2" t="s">
        <v>641</v>
      </c>
      <c r="D934" s="6" t="s">
        <v>649</v>
      </c>
      <c r="E934" s="32" t="s">
        <v>651</v>
      </c>
      <c r="F934" s="7"/>
      <c r="G934" s="7"/>
      <c r="H934" s="7"/>
      <c r="I934" s="7"/>
      <c r="J934" s="7">
        <v>3</v>
      </c>
      <c r="K934" s="7" t="s">
        <v>660</v>
      </c>
      <c r="L934" s="7" t="s">
        <v>663</v>
      </c>
      <c r="M934" s="8">
        <v>44278</v>
      </c>
      <c r="N934" s="8">
        <v>44291</v>
      </c>
      <c r="O934" s="13"/>
      <c r="P934" s="13">
        <v>163.66</v>
      </c>
      <c r="Q934" s="33"/>
      <c r="R934" s="22"/>
      <c r="S934" s="22"/>
      <c r="T934" s="22"/>
      <c r="U934" s="22"/>
      <c r="X934" s="15" t="str">
        <f>IF(B934="",VLOOKUP(A934,items_lookup!A:B,2,FALSE),B934)</f>
        <v>17. Item 17</v>
      </c>
      <c r="Y934" s="15">
        <f t="shared" si="87"/>
        <v>3</v>
      </c>
      <c r="Z934" s="15">
        <f t="shared" si="87"/>
        <v>4</v>
      </c>
      <c r="AA934" s="15">
        <f t="shared" si="84"/>
        <v>2021</v>
      </c>
      <c r="AB934" s="15">
        <f t="shared" si="85"/>
        <v>2021</v>
      </c>
      <c r="AC934" s="15">
        <f t="shared" si="86"/>
        <v>2021</v>
      </c>
      <c r="AD934" s="18" t="b">
        <f t="shared" si="83"/>
        <v>1</v>
      </c>
    </row>
    <row r="935" spans="1:30" ht="15.75" hidden="1" customHeight="1" x14ac:dyDescent="0.2">
      <c r="A935" s="7" t="s">
        <v>674</v>
      </c>
      <c r="B935" s="20"/>
      <c r="C935" s="2" t="s">
        <v>641</v>
      </c>
      <c r="D935" s="6" t="s">
        <v>649</v>
      </c>
      <c r="E935" s="32" t="s">
        <v>651</v>
      </c>
      <c r="F935" s="7"/>
      <c r="G935" s="7"/>
      <c r="H935" s="7"/>
      <c r="I935" s="7"/>
      <c r="J935" s="7">
        <v>3</v>
      </c>
      <c r="K935" s="7" t="s">
        <v>660</v>
      </c>
      <c r="L935" s="7" t="s">
        <v>663</v>
      </c>
      <c r="M935" s="8">
        <v>44279</v>
      </c>
      <c r="N935" s="8">
        <v>44291</v>
      </c>
      <c r="O935" s="13"/>
      <c r="P935" s="13">
        <v>11077.6</v>
      </c>
      <c r="Q935" s="33"/>
      <c r="R935" s="22"/>
      <c r="S935" s="22"/>
      <c r="T935" s="22"/>
      <c r="U935" s="22"/>
      <c r="X935" s="15" t="str">
        <f>IF(B935="",VLOOKUP(A935,items_lookup!A:B,2,FALSE),B935)</f>
        <v>08. Item 08</v>
      </c>
      <c r="Y935" s="15">
        <f t="shared" si="87"/>
        <v>3</v>
      </c>
      <c r="Z935" s="15">
        <f t="shared" si="87"/>
        <v>4</v>
      </c>
      <c r="AA935" s="15">
        <f t="shared" si="84"/>
        <v>2021</v>
      </c>
      <c r="AB935" s="15">
        <f t="shared" si="85"/>
        <v>2021</v>
      </c>
      <c r="AC935" s="15">
        <f t="shared" si="86"/>
        <v>2021</v>
      </c>
      <c r="AD935" s="18" t="b">
        <f t="shared" si="83"/>
        <v>1</v>
      </c>
    </row>
    <row r="936" spans="1:30" ht="15.75" hidden="1" customHeight="1" x14ac:dyDescent="0.2">
      <c r="A936" s="7" t="s">
        <v>683</v>
      </c>
      <c r="B936" s="7"/>
      <c r="C936" s="2" t="s">
        <v>641</v>
      </c>
      <c r="D936" s="6" t="s">
        <v>649</v>
      </c>
      <c r="E936" s="32" t="s">
        <v>651</v>
      </c>
      <c r="F936" s="7" t="s">
        <v>20</v>
      </c>
      <c r="G936" s="7"/>
      <c r="H936" s="7"/>
      <c r="I936" s="7"/>
      <c r="J936" s="7"/>
      <c r="K936" s="7"/>
      <c r="L936" s="7" t="s">
        <v>662</v>
      </c>
      <c r="M936" s="8">
        <v>44197</v>
      </c>
      <c r="N936" s="8">
        <v>44197</v>
      </c>
      <c r="O936" s="13">
        <v>-75146.7</v>
      </c>
      <c r="P936" s="13"/>
      <c r="Q936" s="33"/>
      <c r="R936" s="9"/>
      <c r="S936" s="9"/>
      <c r="T936" s="9"/>
      <c r="U936" s="9"/>
      <c r="X936" s="15" t="str">
        <f>IF(B936="",VLOOKUP(A936,items_lookup!A:B,2,FALSE),B936)</f>
        <v>_1. Item _1</v>
      </c>
      <c r="Y936" s="15">
        <f t="shared" si="87"/>
        <v>1</v>
      </c>
      <c r="Z936" s="15">
        <f t="shared" si="87"/>
        <v>1</v>
      </c>
      <c r="AA936" s="15">
        <f t="shared" si="84"/>
        <v>2021</v>
      </c>
      <c r="AB936" s="15">
        <f t="shared" si="85"/>
        <v>2021</v>
      </c>
      <c r="AC936" s="15">
        <f t="shared" si="86"/>
        <v>2020</v>
      </c>
      <c r="AD936" s="18" t="b">
        <f t="shared" si="83"/>
        <v>1</v>
      </c>
    </row>
    <row r="937" spans="1:30" ht="15" hidden="1" customHeight="1" x14ac:dyDescent="0.2">
      <c r="A937" s="7" t="s">
        <v>683</v>
      </c>
      <c r="B937" s="7"/>
      <c r="C937" s="2" t="s">
        <v>641</v>
      </c>
      <c r="D937" s="6" t="s">
        <v>649</v>
      </c>
      <c r="E937" s="32" t="s">
        <v>651</v>
      </c>
      <c r="F937" s="7"/>
      <c r="G937" s="7"/>
      <c r="H937" s="7"/>
      <c r="I937" s="7" t="s">
        <v>20</v>
      </c>
      <c r="J937" s="7">
        <v>3</v>
      </c>
      <c r="K937" s="7" t="s">
        <v>660</v>
      </c>
      <c r="L937" s="7" t="s">
        <v>663</v>
      </c>
      <c r="M937" s="8">
        <v>44256</v>
      </c>
      <c r="N937" s="8">
        <v>44286</v>
      </c>
      <c r="O937" s="13"/>
      <c r="P937" s="13">
        <v>1952380.95</v>
      </c>
      <c r="Q937" s="33"/>
      <c r="R937" s="22"/>
      <c r="S937" s="22"/>
      <c r="T937" s="22"/>
      <c r="U937" s="22"/>
      <c r="X937" s="15" t="str">
        <f>IF(B937="",VLOOKUP(A937,items_lookup!A:B,2,FALSE),B937)</f>
        <v>_1. Item _1</v>
      </c>
      <c r="Y937" s="15">
        <f t="shared" si="87"/>
        <v>3</v>
      </c>
      <c r="Z937" s="15">
        <f t="shared" si="87"/>
        <v>3</v>
      </c>
      <c r="AA937" s="15">
        <f t="shared" si="84"/>
        <v>2021</v>
      </c>
      <c r="AB937" s="15">
        <f t="shared" si="85"/>
        <v>2021</v>
      </c>
      <c r="AC937" s="15">
        <f t="shared" si="86"/>
        <v>2021</v>
      </c>
      <c r="AD937" s="18" t="b">
        <f t="shared" si="83"/>
        <v>1</v>
      </c>
    </row>
    <row r="938" spans="1:30" ht="15" hidden="1" customHeight="1" x14ac:dyDescent="0.2">
      <c r="A938" s="7" t="s">
        <v>674</v>
      </c>
      <c r="B938" s="7"/>
      <c r="C938" s="2" t="s">
        <v>641</v>
      </c>
      <c r="D938" s="6" t="s">
        <v>649</v>
      </c>
      <c r="E938" s="32" t="s">
        <v>651</v>
      </c>
      <c r="F938" s="7" t="s">
        <v>20</v>
      </c>
      <c r="G938" s="7"/>
      <c r="H938" s="7" t="s">
        <v>653</v>
      </c>
      <c r="I938" s="7"/>
      <c r="J938" s="7"/>
      <c r="K938" s="7"/>
      <c r="L938" s="7" t="s">
        <v>662</v>
      </c>
      <c r="M938" s="8">
        <v>44228</v>
      </c>
      <c r="N938" s="8">
        <v>44228</v>
      </c>
      <c r="O938" s="13">
        <v>-0.01</v>
      </c>
      <c r="P938" s="13"/>
      <c r="Q938" s="33"/>
      <c r="R938" s="22"/>
      <c r="S938" s="22"/>
      <c r="T938" s="22"/>
      <c r="U938" s="22"/>
      <c r="X938" s="15" t="str">
        <f>IF(B938="",VLOOKUP(A938,items_lookup!A:B,2,FALSE),B938)</f>
        <v>08. Item 08</v>
      </c>
      <c r="Y938" s="15">
        <f t="shared" si="87"/>
        <v>2</v>
      </c>
      <c r="Z938" s="15">
        <f t="shared" si="87"/>
        <v>2</v>
      </c>
      <c r="AA938" s="15">
        <f t="shared" si="84"/>
        <v>2021</v>
      </c>
      <c r="AB938" s="15">
        <f t="shared" si="85"/>
        <v>2021</v>
      </c>
      <c r="AC938" s="15">
        <f t="shared" si="86"/>
        <v>2020</v>
      </c>
      <c r="AD938" s="18" t="b">
        <f t="shared" si="83"/>
        <v>1</v>
      </c>
    </row>
    <row r="939" spans="1:30" ht="15" hidden="1" customHeight="1" x14ac:dyDescent="0.2">
      <c r="A939" s="7" t="s">
        <v>689</v>
      </c>
      <c r="B939" s="7"/>
      <c r="C939" s="2" t="s">
        <v>641</v>
      </c>
      <c r="D939" s="6" t="s">
        <v>649</v>
      </c>
      <c r="E939" s="32" t="s">
        <v>651</v>
      </c>
      <c r="F939" s="7"/>
      <c r="G939" s="7"/>
      <c r="H939" s="7"/>
      <c r="I939" s="7"/>
      <c r="J939" s="7"/>
      <c r="K939" s="7" t="s">
        <v>660</v>
      </c>
      <c r="L939" s="7" t="s">
        <v>663</v>
      </c>
      <c r="M939" s="8">
        <v>44285</v>
      </c>
      <c r="N939" s="8">
        <v>44285</v>
      </c>
      <c r="O939" s="13"/>
      <c r="P939" s="13">
        <v>472533.24</v>
      </c>
      <c r="Q939" s="33"/>
      <c r="R939" s="22"/>
      <c r="S939" s="22"/>
      <c r="T939" s="22"/>
      <c r="U939" s="22"/>
      <c r="X939" s="15" t="str">
        <f>IF(B939="",VLOOKUP(A939,items_lookup!A:B,2,FALSE),B939)</f>
        <v>04. Item 04</v>
      </c>
      <c r="Y939" s="15">
        <f t="shared" si="87"/>
        <v>3</v>
      </c>
      <c r="Z939" s="15">
        <f t="shared" si="87"/>
        <v>3</v>
      </c>
      <c r="AA939" s="15">
        <f t="shared" si="84"/>
        <v>2021</v>
      </c>
      <c r="AB939" s="15">
        <f t="shared" si="85"/>
        <v>2021</v>
      </c>
      <c r="AC939" s="15">
        <f t="shared" si="86"/>
        <v>2021</v>
      </c>
      <c r="AD939" s="18" t="b">
        <f t="shared" si="83"/>
        <v>1</v>
      </c>
    </row>
    <row r="940" spans="1:30" ht="15" hidden="1" customHeight="1" x14ac:dyDescent="0.2">
      <c r="A940" s="7" t="s">
        <v>689</v>
      </c>
      <c r="B940" s="20"/>
      <c r="C940" s="2" t="s">
        <v>641</v>
      </c>
      <c r="D940" s="6" t="s">
        <v>649</v>
      </c>
      <c r="E940" s="32" t="s">
        <v>651</v>
      </c>
      <c r="F940" s="7"/>
      <c r="G940" s="7"/>
      <c r="H940" s="7"/>
      <c r="I940" s="7"/>
      <c r="J940" s="7">
        <v>3</v>
      </c>
      <c r="K940" s="7" t="s">
        <v>660</v>
      </c>
      <c r="L940" s="7" t="s">
        <v>663</v>
      </c>
      <c r="M940" s="8">
        <v>44285</v>
      </c>
      <c r="N940" s="8">
        <v>44293</v>
      </c>
      <c r="O940" s="13"/>
      <c r="P940" s="13">
        <v>11297.52</v>
      </c>
      <c r="Q940" s="33"/>
      <c r="R940" s="22"/>
      <c r="S940" s="22"/>
      <c r="T940" s="22"/>
      <c r="U940" s="22"/>
      <c r="X940" s="15" t="str">
        <f>IF(B940="",VLOOKUP(A940,items_lookup!A:B,2,FALSE),B940)</f>
        <v>04. Item 04</v>
      </c>
      <c r="Y940" s="15">
        <f t="shared" si="87"/>
        <v>3</v>
      </c>
      <c r="Z940" s="15">
        <f t="shared" si="87"/>
        <v>4</v>
      </c>
      <c r="AA940" s="15">
        <f t="shared" si="84"/>
        <v>2021</v>
      </c>
      <c r="AB940" s="15">
        <f t="shared" si="85"/>
        <v>2021</v>
      </c>
      <c r="AC940" s="15">
        <f t="shared" si="86"/>
        <v>2021</v>
      </c>
      <c r="AD940" s="18" t="b">
        <f t="shared" si="83"/>
        <v>1</v>
      </c>
    </row>
    <row r="941" spans="1:30" ht="15.75" hidden="1" customHeight="1" x14ac:dyDescent="0.2">
      <c r="A941" s="7" t="s">
        <v>689</v>
      </c>
      <c r="B941" s="20"/>
      <c r="C941" s="2" t="s">
        <v>641</v>
      </c>
      <c r="D941" s="6" t="s">
        <v>649</v>
      </c>
      <c r="E941" s="32" t="s">
        <v>651</v>
      </c>
      <c r="F941" s="7"/>
      <c r="G941" s="7"/>
      <c r="H941" s="7"/>
      <c r="I941" s="7"/>
      <c r="J941" s="7">
        <v>3</v>
      </c>
      <c r="K941" s="7" t="s">
        <v>660</v>
      </c>
      <c r="L941" s="7" t="s">
        <v>663</v>
      </c>
      <c r="M941" s="8">
        <v>44286</v>
      </c>
      <c r="N941" s="8">
        <v>44294</v>
      </c>
      <c r="O941" s="13"/>
      <c r="P941" s="13">
        <v>41022.04</v>
      </c>
      <c r="Q941" s="33"/>
      <c r="R941" s="22"/>
      <c r="S941" s="22"/>
      <c r="T941" s="22"/>
      <c r="U941" s="22"/>
      <c r="X941" s="15" t="str">
        <f>IF(B941="",VLOOKUP(A941,items_lookup!A:B,2,FALSE),B941)</f>
        <v>04. Item 04</v>
      </c>
      <c r="Y941" s="15">
        <f t="shared" si="87"/>
        <v>3</v>
      </c>
      <c r="Z941" s="15">
        <f t="shared" si="87"/>
        <v>4</v>
      </c>
      <c r="AA941" s="15">
        <f t="shared" si="84"/>
        <v>2021</v>
      </c>
      <c r="AB941" s="15">
        <f t="shared" si="85"/>
        <v>2021</v>
      </c>
      <c r="AC941" s="15">
        <f t="shared" si="86"/>
        <v>2021</v>
      </c>
      <c r="AD941" s="18" t="b">
        <f t="shared" si="83"/>
        <v>1</v>
      </c>
    </row>
    <row r="942" spans="1:30" ht="15.75" hidden="1" customHeight="1" x14ac:dyDescent="0.2">
      <c r="A942" s="7" t="s">
        <v>690</v>
      </c>
      <c r="B942" s="7"/>
      <c r="C942" s="2" t="s">
        <v>641</v>
      </c>
      <c r="D942" s="6" t="s">
        <v>649</v>
      </c>
      <c r="E942" s="32" t="s">
        <v>651</v>
      </c>
      <c r="F942" s="7"/>
      <c r="G942" s="7"/>
      <c r="H942" s="7"/>
      <c r="I942" s="7"/>
      <c r="J942" s="7"/>
      <c r="K942" s="7" t="s">
        <v>660</v>
      </c>
      <c r="L942" s="7" t="s">
        <v>663</v>
      </c>
      <c r="M942" s="8">
        <v>44286</v>
      </c>
      <c r="N942" s="8">
        <v>44286</v>
      </c>
      <c r="O942" s="13"/>
      <c r="P942" s="13">
        <v>15313686.300000001</v>
      </c>
      <c r="Q942" s="33"/>
      <c r="R942" s="22"/>
      <c r="S942" s="22"/>
      <c r="T942" s="22"/>
      <c r="U942" s="22"/>
      <c r="X942" s="15" t="str">
        <f>IF(B942="",VLOOKUP(A942,items_lookup!A:B,2,FALSE),B942)</f>
        <v>21. Item 21</v>
      </c>
      <c r="Y942" s="15">
        <f t="shared" si="87"/>
        <v>3</v>
      </c>
      <c r="Z942" s="15">
        <f t="shared" si="87"/>
        <v>3</v>
      </c>
      <c r="AA942" s="15">
        <f t="shared" si="84"/>
        <v>2021</v>
      </c>
      <c r="AB942" s="15">
        <f t="shared" si="85"/>
        <v>2021</v>
      </c>
      <c r="AC942" s="15">
        <f t="shared" si="86"/>
        <v>2021</v>
      </c>
      <c r="AD942" s="18" t="b">
        <f t="shared" si="83"/>
        <v>1</v>
      </c>
    </row>
    <row r="943" spans="1:30" ht="15" hidden="1" customHeight="1" x14ac:dyDescent="0.2">
      <c r="A943" s="7" t="s">
        <v>690</v>
      </c>
      <c r="B943" s="7"/>
      <c r="C943" s="2" t="s">
        <v>641</v>
      </c>
      <c r="D943" s="6" t="s">
        <v>649</v>
      </c>
      <c r="E943" s="32" t="s">
        <v>651</v>
      </c>
      <c r="F943" s="7"/>
      <c r="G943" s="7"/>
      <c r="H943" s="7"/>
      <c r="I943" s="7" t="s">
        <v>20</v>
      </c>
      <c r="J943" s="7">
        <v>1</v>
      </c>
      <c r="K943" s="7" t="s">
        <v>660</v>
      </c>
      <c r="L943" s="7" t="s">
        <v>663</v>
      </c>
      <c r="M943" s="8">
        <v>44288</v>
      </c>
      <c r="N943" s="8">
        <v>44301</v>
      </c>
      <c r="O943" s="13"/>
      <c r="P943" s="13">
        <v>98512.46</v>
      </c>
      <c r="Q943" s="33"/>
      <c r="R943" s="22"/>
      <c r="S943" s="22"/>
      <c r="T943" s="22"/>
      <c r="U943" s="22"/>
      <c r="X943" s="15" t="str">
        <f>IF(B943="",VLOOKUP(A943,items_lookup!A:B,2,FALSE),B943)</f>
        <v>21. Item 21</v>
      </c>
      <c r="Y943" s="15">
        <f t="shared" si="87"/>
        <v>4</v>
      </c>
      <c r="Z943" s="15">
        <f t="shared" si="87"/>
        <v>4</v>
      </c>
      <c r="AA943" s="15">
        <f t="shared" si="84"/>
        <v>2021</v>
      </c>
      <c r="AB943" s="15">
        <f t="shared" si="85"/>
        <v>2021</v>
      </c>
      <c r="AC943" s="15">
        <f t="shared" si="86"/>
        <v>2021</v>
      </c>
      <c r="AD943" s="18" t="b">
        <f t="shared" si="83"/>
        <v>1</v>
      </c>
    </row>
    <row r="944" spans="1:30" ht="15" hidden="1" customHeight="1" x14ac:dyDescent="0.2">
      <c r="A944" s="7" t="s">
        <v>677</v>
      </c>
      <c r="B944" s="7"/>
      <c r="C944" s="2" t="s">
        <v>641</v>
      </c>
      <c r="D944" s="6" t="s">
        <v>649</v>
      </c>
      <c r="E944" s="32" t="s">
        <v>651</v>
      </c>
      <c r="F944" s="7"/>
      <c r="G944" s="7"/>
      <c r="H944" s="7"/>
      <c r="I944" s="7"/>
      <c r="J944" s="7">
        <v>1</v>
      </c>
      <c r="K944" s="7" t="s">
        <v>660</v>
      </c>
      <c r="L944" s="7" t="s">
        <v>663</v>
      </c>
      <c r="M944" s="8">
        <v>44288</v>
      </c>
      <c r="N944" s="8">
        <v>44301</v>
      </c>
      <c r="O944" s="13"/>
      <c r="P944" s="13">
        <v>15457.81</v>
      </c>
      <c r="Q944" s="33"/>
      <c r="R944" s="22"/>
      <c r="S944" s="22"/>
      <c r="T944" s="22"/>
      <c r="U944" s="22"/>
      <c r="X944" s="15" t="str">
        <f>IF(B944="",VLOOKUP(A944,items_lookup!A:B,2,FALSE),B944)</f>
        <v>11. Item 11</v>
      </c>
      <c r="Y944" s="15">
        <f t="shared" si="87"/>
        <v>4</v>
      </c>
      <c r="Z944" s="15">
        <f t="shared" si="87"/>
        <v>4</v>
      </c>
      <c r="AA944" s="15">
        <f t="shared" si="84"/>
        <v>2021</v>
      </c>
      <c r="AB944" s="15">
        <f t="shared" si="85"/>
        <v>2021</v>
      </c>
      <c r="AC944" s="15">
        <f t="shared" si="86"/>
        <v>2021</v>
      </c>
      <c r="AD944" s="18" t="b">
        <f t="shared" si="83"/>
        <v>1</v>
      </c>
    </row>
    <row r="945" spans="1:30" ht="15" hidden="1" customHeight="1" x14ac:dyDescent="0.2">
      <c r="A945" s="7" t="s">
        <v>672</v>
      </c>
      <c r="B945" s="7"/>
      <c r="C945" s="2" t="s">
        <v>641</v>
      </c>
      <c r="D945" s="6" t="s">
        <v>649</v>
      </c>
      <c r="E945" s="32" t="s">
        <v>651</v>
      </c>
      <c r="F945" s="7"/>
      <c r="G945" s="7"/>
      <c r="H945" s="7"/>
      <c r="I945" s="7"/>
      <c r="J945" s="7"/>
      <c r="K945" s="7"/>
      <c r="L945" s="7" t="s">
        <v>662</v>
      </c>
      <c r="M945" s="8">
        <v>44348</v>
      </c>
      <c r="N945" s="8">
        <v>44348</v>
      </c>
      <c r="O945" s="13">
        <v>46830476.189999998</v>
      </c>
      <c r="P945" s="13"/>
      <c r="Q945" s="33"/>
      <c r="R945" s="22"/>
      <c r="S945" s="22"/>
      <c r="T945" s="22"/>
      <c r="U945" s="22"/>
      <c r="X945" s="15" t="str">
        <f>IF(B945="",VLOOKUP(A945,items_lookup!A:B,2,FALSE),B945)</f>
        <v>05. Item 05</v>
      </c>
      <c r="Y945" s="15">
        <f t="shared" si="87"/>
        <v>6</v>
      </c>
      <c r="Z945" s="15">
        <f t="shared" si="87"/>
        <v>6</v>
      </c>
      <c r="AA945" s="15">
        <f t="shared" si="84"/>
        <v>2021</v>
      </c>
      <c r="AB945" s="15">
        <f t="shared" si="85"/>
        <v>2021</v>
      </c>
      <c r="AC945" s="15">
        <f t="shared" si="86"/>
        <v>2021</v>
      </c>
      <c r="AD945" s="18" t="b">
        <f t="shared" si="83"/>
        <v>1</v>
      </c>
    </row>
    <row r="946" spans="1:30" ht="15" hidden="1" customHeight="1" x14ac:dyDescent="0.2">
      <c r="A946" s="7" t="s">
        <v>671</v>
      </c>
      <c r="B946" s="7"/>
      <c r="C946" s="2" t="s">
        <v>641</v>
      </c>
      <c r="D946" s="6" t="s">
        <v>650</v>
      </c>
      <c r="E946" s="32" t="s">
        <v>651</v>
      </c>
      <c r="F946" s="7"/>
      <c r="G946" s="7"/>
      <c r="H946" s="7"/>
      <c r="I946" s="7"/>
      <c r="J946" s="7"/>
      <c r="K946" s="7"/>
      <c r="L946" s="7" t="s">
        <v>662</v>
      </c>
      <c r="M946" s="8">
        <v>44287</v>
      </c>
      <c r="N946" s="8">
        <v>44287</v>
      </c>
      <c r="O946" s="13">
        <v>55000</v>
      </c>
      <c r="P946" s="13"/>
      <c r="Q946" s="33"/>
      <c r="R946" s="22"/>
      <c r="S946" s="22"/>
      <c r="T946" s="22"/>
      <c r="U946" s="22"/>
      <c r="X946" s="15" t="str">
        <f>IF(B946="",VLOOKUP(A946,items_lookup!A:B,2,FALSE),B946)</f>
        <v>05. Item 05</v>
      </c>
      <c r="Y946" s="15">
        <f t="shared" si="87"/>
        <v>4</v>
      </c>
      <c r="Z946" s="15">
        <f t="shared" si="87"/>
        <v>4</v>
      </c>
      <c r="AA946" s="15">
        <f t="shared" si="84"/>
        <v>2021</v>
      </c>
      <c r="AB946" s="15">
        <f t="shared" si="85"/>
        <v>2021</v>
      </c>
      <c r="AC946" s="15">
        <f t="shared" si="86"/>
        <v>2021</v>
      </c>
      <c r="AD946" s="18" t="b">
        <f t="shared" si="83"/>
        <v>1</v>
      </c>
    </row>
    <row r="947" spans="1:30" ht="15" hidden="1" customHeight="1" x14ac:dyDescent="0.2">
      <c r="A947" s="7" t="s">
        <v>671</v>
      </c>
      <c r="B947" s="7"/>
      <c r="C947" s="2" t="s">
        <v>641</v>
      </c>
      <c r="D947" s="6" t="s">
        <v>650</v>
      </c>
      <c r="E947" s="32" t="s">
        <v>651</v>
      </c>
      <c r="F947" s="7"/>
      <c r="G947" s="7"/>
      <c r="H947" s="7"/>
      <c r="I947" s="7"/>
      <c r="J947" s="7"/>
      <c r="K947" s="7"/>
      <c r="L947" s="7" t="s">
        <v>662</v>
      </c>
      <c r="M947" s="8">
        <v>44287</v>
      </c>
      <c r="N947" s="8">
        <v>44287</v>
      </c>
      <c r="O947" s="13">
        <v>455238.1</v>
      </c>
      <c r="P947" s="13"/>
      <c r="Q947" s="33"/>
      <c r="R947" s="22"/>
      <c r="S947" s="22"/>
      <c r="T947" s="22"/>
      <c r="U947" s="22"/>
      <c r="X947" s="15" t="str">
        <f>IF(B947="",VLOOKUP(A947,items_lookup!A:B,2,FALSE),B947)</f>
        <v>05. Item 05</v>
      </c>
      <c r="Y947" s="15">
        <f t="shared" si="87"/>
        <v>4</v>
      </c>
      <c r="Z947" s="15">
        <f t="shared" si="87"/>
        <v>4</v>
      </c>
      <c r="AA947" s="15">
        <f t="shared" si="84"/>
        <v>2021</v>
      </c>
      <c r="AB947" s="15">
        <f t="shared" si="85"/>
        <v>2021</v>
      </c>
      <c r="AC947" s="15">
        <f t="shared" si="86"/>
        <v>2021</v>
      </c>
      <c r="AD947" s="18" t="b">
        <f t="shared" si="83"/>
        <v>1</v>
      </c>
    </row>
    <row r="948" spans="1:30" ht="15" hidden="1" customHeight="1" x14ac:dyDescent="0.2">
      <c r="A948" s="7" t="s">
        <v>684</v>
      </c>
      <c r="B948" s="7"/>
      <c r="C948" s="2" t="s">
        <v>641</v>
      </c>
      <c r="D948" s="6" t="s">
        <v>650</v>
      </c>
      <c r="E948" s="32" t="s">
        <v>651</v>
      </c>
      <c r="F948" s="7"/>
      <c r="G948" s="7"/>
      <c r="H948" s="7"/>
      <c r="I948" s="7"/>
      <c r="J948" s="7"/>
      <c r="K948" s="7"/>
      <c r="L948" s="7" t="s">
        <v>662</v>
      </c>
      <c r="M948" s="8">
        <v>44317</v>
      </c>
      <c r="N948" s="8">
        <v>44317</v>
      </c>
      <c r="O948" s="13">
        <v>8571.43</v>
      </c>
      <c r="P948" s="13"/>
      <c r="Q948" s="33"/>
      <c r="R948" s="22"/>
      <c r="S948" s="22"/>
      <c r="T948" s="22"/>
      <c r="U948" s="22"/>
      <c r="X948" s="15" t="str">
        <f>IF(B948="",VLOOKUP(A948,items_lookup!A:B,2,FALSE),B948)</f>
        <v>09. Item 09</v>
      </c>
      <c r="Y948" s="15">
        <f t="shared" si="87"/>
        <v>5</v>
      </c>
      <c r="Z948" s="15">
        <f t="shared" si="87"/>
        <v>5</v>
      </c>
      <c r="AA948" s="15">
        <f t="shared" si="84"/>
        <v>2021</v>
      </c>
      <c r="AB948" s="15">
        <f t="shared" si="85"/>
        <v>2021</v>
      </c>
      <c r="AC948" s="15">
        <f t="shared" si="86"/>
        <v>2021</v>
      </c>
      <c r="AD948" s="18" t="b">
        <f t="shared" si="83"/>
        <v>1</v>
      </c>
    </row>
    <row r="949" spans="1:30" ht="15" hidden="1" customHeight="1" x14ac:dyDescent="0.2">
      <c r="A949" s="7" t="s">
        <v>676</v>
      </c>
      <c r="B949" s="7"/>
      <c r="C949" s="2" t="s">
        <v>641</v>
      </c>
      <c r="D949" s="6" t="s">
        <v>650</v>
      </c>
      <c r="E949" s="32" t="s">
        <v>651</v>
      </c>
      <c r="F949" s="7"/>
      <c r="G949" s="7"/>
      <c r="H949" s="7"/>
      <c r="I949" s="7"/>
      <c r="J949" s="7"/>
      <c r="K949" s="7"/>
      <c r="L949" s="7" t="s">
        <v>662</v>
      </c>
      <c r="M949" s="8">
        <v>44317</v>
      </c>
      <c r="N949" s="8">
        <v>44317</v>
      </c>
      <c r="O949" s="13">
        <v>492380.95</v>
      </c>
      <c r="P949" s="13"/>
      <c r="Q949" s="33"/>
      <c r="R949" s="22"/>
      <c r="S949" s="22"/>
      <c r="T949" s="22"/>
      <c r="U949" s="22"/>
      <c r="X949" s="15" t="str">
        <f>IF(B949="",VLOOKUP(A949,items_lookup!A:B,2,FALSE),B949)</f>
        <v>09. Item 09</v>
      </c>
      <c r="Y949" s="15">
        <f t="shared" si="87"/>
        <v>5</v>
      </c>
      <c r="Z949" s="15">
        <f t="shared" si="87"/>
        <v>5</v>
      </c>
      <c r="AA949" s="15">
        <f t="shared" si="84"/>
        <v>2021</v>
      </c>
      <c r="AB949" s="15">
        <f t="shared" si="85"/>
        <v>2021</v>
      </c>
      <c r="AC949" s="15">
        <f t="shared" si="86"/>
        <v>2021</v>
      </c>
      <c r="AD949" s="18" t="b">
        <f t="shared" si="83"/>
        <v>1</v>
      </c>
    </row>
    <row r="950" spans="1:30" ht="15" hidden="1" customHeight="1" x14ac:dyDescent="0.2">
      <c r="A950" s="7" t="s">
        <v>676</v>
      </c>
      <c r="B950" s="7"/>
      <c r="C950" s="2" t="s">
        <v>641</v>
      </c>
      <c r="D950" s="6" t="s">
        <v>650</v>
      </c>
      <c r="E950" s="32" t="s">
        <v>651</v>
      </c>
      <c r="F950" s="7"/>
      <c r="G950" s="7"/>
      <c r="H950" s="7"/>
      <c r="I950" s="7"/>
      <c r="J950" s="7"/>
      <c r="K950" s="7"/>
      <c r="L950" s="7" t="s">
        <v>662</v>
      </c>
      <c r="M950" s="8">
        <v>44348</v>
      </c>
      <c r="N950" s="8">
        <v>44348</v>
      </c>
      <c r="O950" s="13">
        <v>8571.43</v>
      </c>
      <c r="P950" s="13"/>
      <c r="Q950" s="33"/>
      <c r="R950" s="22"/>
      <c r="S950" s="22"/>
      <c r="T950" s="22"/>
      <c r="U950" s="22"/>
      <c r="X950" s="15" t="str">
        <f>IF(B950="",VLOOKUP(A950,items_lookup!A:B,2,FALSE),B950)</f>
        <v>09. Item 09</v>
      </c>
      <c r="Y950" s="15">
        <f t="shared" si="87"/>
        <v>6</v>
      </c>
      <c r="Z950" s="15">
        <f t="shared" si="87"/>
        <v>6</v>
      </c>
      <c r="AA950" s="15">
        <f t="shared" si="84"/>
        <v>2021</v>
      </c>
      <c r="AB950" s="15">
        <f t="shared" si="85"/>
        <v>2021</v>
      </c>
      <c r="AC950" s="15">
        <f t="shared" si="86"/>
        <v>2021</v>
      </c>
      <c r="AD950" s="18" t="b">
        <f t="shared" si="83"/>
        <v>1</v>
      </c>
    </row>
    <row r="951" spans="1:30" ht="15" hidden="1" customHeight="1" x14ac:dyDescent="0.2">
      <c r="A951" s="7" t="s">
        <v>688</v>
      </c>
      <c r="B951" s="7"/>
      <c r="C951" s="2" t="s">
        <v>641</v>
      </c>
      <c r="D951" s="6" t="s">
        <v>650</v>
      </c>
      <c r="E951" s="32" t="s">
        <v>651</v>
      </c>
      <c r="F951" s="7"/>
      <c r="G951" s="7"/>
      <c r="H951" s="7"/>
      <c r="I951" s="7"/>
      <c r="J951" s="7"/>
      <c r="K951" s="7"/>
      <c r="L951" s="7" t="s">
        <v>662</v>
      </c>
      <c r="M951" s="8">
        <v>44348</v>
      </c>
      <c r="N951" s="8">
        <v>44348</v>
      </c>
      <c r="O951" s="13">
        <v>492142.86</v>
      </c>
      <c r="P951" s="13"/>
      <c r="Q951" s="33"/>
      <c r="R951" s="22"/>
      <c r="S951" s="22"/>
      <c r="T951" s="22"/>
      <c r="U951" s="22"/>
      <c r="X951" s="15" t="str">
        <f>IF(B951="",VLOOKUP(A951,items_lookup!A:B,2,FALSE),B951)</f>
        <v>09. Item 09</v>
      </c>
      <c r="Y951" s="15">
        <f t="shared" si="87"/>
        <v>6</v>
      </c>
      <c r="Z951" s="15">
        <f t="shared" si="87"/>
        <v>6</v>
      </c>
      <c r="AA951" s="15">
        <f t="shared" si="84"/>
        <v>2021</v>
      </c>
      <c r="AB951" s="15">
        <f t="shared" si="85"/>
        <v>2021</v>
      </c>
      <c r="AC951" s="15">
        <f t="shared" si="86"/>
        <v>2021</v>
      </c>
      <c r="AD951" s="18" t="b">
        <f t="shared" si="83"/>
        <v>1</v>
      </c>
    </row>
    <row r="952" spans="1:30" ht="15" hidden="1" customHeight="1" x14ac:dyDescent="0.2">
      <c r="A952" s="7" t="s">
        <v>683</v>
      </c>
      <c r="B952" s="7"/>
      <c r="C952" s="2" t="s">
        <v>641</v>
      </c>
      <c r="D952" s="6" t="s">
        <v>650</v>
      </c>
      <c r="E952" s="32" t="s">
        <v>651</v>
      </c>
      <c r="F952" s="7"/>
      <c r="G952" s="7"/>
      <c r="H952" s="7"/>
      <c r="I952" s="7"/>
      <c r="J952" s="7"/>
      <c r="K952" s="7"/>
      <c r="L952" s="7" t="s">
        <v>662</v>
      </c>
      <c r="M952" s="8">
        <v>44197</v>
      </c>
      <c r="N952" s="8">
        <v>44197</v>
      </c>
      <c r="O952" s="13">
        <v>46904.76</v>
      </c>
      <c r="P952" s="13"/>
      <c r="Q952" s="33"/>
      <c r="R952" s="22"/>
      <c r="S952" s="22"/>
      <c r="T952" s="22"/>
      <c r="U952" s="22"/>
      <c r="X952" s="15" t="str">
        <f>IF(B952="",VLOOKUP(A952,items_lookup!A:B,2,FALSE),B952)</f>
        <v>_1. Item _1</v>
      </c>
      <c r="Y952" s="15">
        <f t="shared" si="87"/>
        <v>1</v>
      </c>
      <c r="Z952" s="15">
        <f t="shared" si="87"/>
        <v>1</v>
      </c>
      <c r="AA952" s="15">
        <f t="shared" si="84"/>
        <v>2021</v>
      </c>
      <c r="AB952" s="15">
        <f t="shared" si="85"/>
        <v>2021</v>
      </c>
      <c r="AC952" s="15">
        <f t="shared" si="86"/>
        <v>2021</v>
      </c>
      <c r="AD952" s="18" t="b">
        <f t="shared" si="83"/>
        <v>1</v>
      </c>
    </row>
    <row r="953" spans="1:30" ht="15" hidden="1" customHeight="1" x14ac:dyDescent="0.2">
      <c r="A953" s="7" t="s">
        <v>683</v>
      </c>
      <c r="B953" s="7"/>
      <c r="C953" s="2" t="s">
        <v>641</v>
      </c>
      <c r="D953" s="6" t="s">
        <v>650</v>
      </c>
      <c r="E953" s="32" t="s">
        <v>651</v>
      </c>
      <c r="F953" s="7"/>
      <c r="G953" s="7"/>
      <c r="H953" s="7"/>
      <c r="I953" s="7"/>
      <c r="J953" s="7"/>
      <c r="K953" s="7"/>
      <c r="L953" s="7" t="s">
        <v>662</v>
      </c>
      <c r="M953" s="8">
        <v>44197</v>
      </c>
      <c r="N953" s="8">
        <v>44197</v>
      </c>
      <c r="O953" s="13">
        <v>479047.62</v>
      </c>
      <c r="P953" s="13"/>
      <c r="Q953" s="33"/>
      <c r="R953" s="22"/>
      <c r="S953" s="22"/>
      <c r="T953" s="22"/>
      <c r="U953" s="22"/>
      <c r="X953" s="15" t="str">
        <f>IF(B953="",VLOOKUP(A953,items_lookup!A:B,2,FALSE),B953)</f>
        <v>_1. Item _1</v>
      </c>
      <c r="Y953" s="15">
        <f t="shared" si="87"/>
        <v>1</v>
      </c>
      <c r="Z953" s="15">
        <f t="shared" si="87"/>
        <v>1</v>
      </c>
      <c r="AA953" s="15">
        <f t="shared" si="84"/>
        <v>2021</v>
      </c>
      <c r="AB953" s="15">
        <f t="shared" si="85"/>
        <v>2021</v>
      </c>
      <c r="AC953" s="15">
        <f t="shared" si="86"/>
        <v>2021</v>
      </c>
      <c r="AD953" s="18" t="b">
        <f t="shared" si="83"/>
        <v>1</v>
      </c>
    </row>
    <row r="954" spans="1:30" ht="15" hidden="1" customHeight="1" x14ac:dyDescent="0.2">
      <c r="A954" s="7" t="s">
        <v>688</v>
      </c>
      <c r="B954" s="7"/>
      <c r="C954" s="2" t="s">
        <v>641</v>
      </c>
      <c r="D954" s="6" t="s">
        <v>650</v>
      </c>
      <c r="E954" s="32" t="s">
        <v>651</v>
      </c>
      <c r="F954" s="7"/>
      <c r="G954" s="7"/>
      <c r="H954" s="7"/>
      <c r="I954" s="7"/>
      <c r="J954" s="7"/>
      <c r="K954" s="7"/>
      <c r="L954" s="7" t="s">
        <v>662</v>
      </c>
      <c r="M954" s="8">
        <v>44228</v>
      </c>
      <c r="N954" s="8">
        <v>44228</v>
      </c>
      <c r="O954" s="13">
        <v>55476.19</v>
      </c>
      <c r="P954" s="13"/>
      <c r="Q954" s="33"/>
      <c r="R954" s="22"/>
      <c r="S954" s="22"/>
      <c r="T954" s="22"/>
      <c r="U954" s="22"/>
      <c r="X954" s="15" t="str">
        <f>IF(B954="",VLOOKUP(A954,items_lookup!A:B,2,FALSE),B954)</f>
        <v>09. Item 09</v>
      </c>
      <c r="Y954" s="15">
        <f t="shared" si="87"/>
        <v>2</v>
      </c>
      <c r="Z954" s="15">
        <f t="shared" si="87"/>
        <v>2</v>
      </c>
      <c r="AA954" s="15">
        <f t="shared" si="84"/>
        <v>2021</v>
      </c>
      <c r="AB954" s="15">
        <f t="shared" si="85"/>
        <v>2021</v>
      </c>
      <c r="AC954" s="15">
        <f t="shared" si="86"/>
        <v>2021</v>
      </c>
      <c r="AD954" s="18" t="b">
        <f t="shared" si="83"/>
        <v>1</v>
      </c>
    </row>
    <row r="955" spans="1:30" ht="15" hidden="1" customHeight="1" x14ac:dyDescent="0.2">
      <c r="A955" s="7" t="s">
        <v>675</v>
      </c>
      <c r="B955" s="7"/>
      <c r="C955" s="2" t="s">
        <v>641</v>
      </c>
      <c r="D955" s="6" t="s">
        <v>650</v>
      </c>
      <c r="E955" s="32" t="s">
        <v>651</v>
      </c>
      <c r="F955" s="7"/>
      <c r="G955" s="7"/>
      <c r="H955" s="7"/>
      <c r="I955" s="7"/>
      <c r="J955" s="7"/>
      <c r="K955" s="7"/>
      <c r="L955" s="7" t="s">
        <v>662</v>
      </c>
      <c r="M955" s="8">
        <v>44228</v>
      </c>
      <c r="N955" s="8">
        <v>44228</v>
      </c>
      <c r="O955" s="13">
        <v>455238.1</v>
      </c>
      <c r="P955" s="13"/>
      <c r="Q955" s="33"/>
      <c r="R955" s="22"/>
      <c r="S955" s="22"/>
      <c r="T955" s="22"/>
      <c r="U955" s="22"/>
      <c r="X955" s="15" t="str">
        <f>IF(B955="",VLOOKUP(A955,items_lookup!A:B,2,FALSE),B955)</f>
        <v>09. Item 09</v>
      </c>
      <c r="Y955" s="15">
        <f t="shared" si="87"/>
        <v>2</v>
      </c>
      <c r="Z955" s="15">
        <f t="shared" si="87"/>
        <v>2</v>
      </c>
      <c r="AA955" s="15">
        <f t="shared" si="84"/>
        <v>2021</v>
      </c>
      <c r="AB955" s="15">
        <f t="shared" si="85"/>
        <v>2021</v>
      </c>
      <c r="AC955" s="15">
        <f t="shared" si="86"/>
        <v>2021</v>
      </c>
      <c r="AD955" s="18" t="b">
        <f t="shared" si="83"/>
        <v>1</v>
      </c>
    </row>
    <row r="956" spans="1:30" ht="15" hidden="1" customHeight="1" x14ac:dyDescent="0.2">
      <c r="A956" s="7" t="s">
        <v>675</v>
      </c>
      <c r="B956" s="7"/>
      <c r="C956" s="2" t="s">
        <v>641</v>
      </c>
      <c r="D956" s="6" t="s">
        <v>650</v>
      </c>
      <c r="E956" s="32" t="s">
        <v>651</v>
      </c>
      <c r="F956" s="7"/>
      <c r="G956" s="7"/>
      <c r="H956" s="7"/>
      <c r="I956" s="7"/>
      <c r="J956" s="7"/>
      <c r="K956" s="7"/>
      <c r="L956" s="7" t="s">
        <v>662</v>
      </c>
      <c r="M956" s="8">
        <v>44256</v>
      </c>
      <c r="N956" s="8">
        <v>44256</v>
      </c>
      <c r="O956" s="13">
        <v>50714.29</v>
      </c>
      <c r="P956" s="13"/>
      <c r="Q956" s="33"/>
      <c r="R956" s="22"/>
      <c r="S956" s="22"/>
      <c r="T956" s="22"/>
      <c r="U956" s="22"/>
      <c r="X956" s="15" t="str">
        <f>IF(B956="",VLOOKUP(A956,items_lookup!A:B,2,FALSE),B956)</f>
        <v>09. Item 09</v>
      </c>
      <c r="Y956" s="15">
        <f t="shared" si="87"/>
        <v>3</v>
      </c>
      <c r="Z956" s="15">
        <f t="shared" si="87"/>
        <v>3</v>
      </c>
      <c r="AA956" s="15">
        <f t="shared" si="84"/>
        <v>2021</v>
      </c>
      <c r="AB956" s="15">
        <f t="shared" si="85"/>
        <v>2021</v>
      </c>
      <c r="AC956" s="15">
        <f t="shared" si="86"/>
        <v>2021</v>
      </c>
      <c r="AD956" s="18" t="b">
        <f t="shared" si="83"/>
        <v>1</v>
      </c>
    </row>
    <row r="957" spans="1:30" ht="15" hidden="1" customHeight="1" x14ac:dyDescent="0.2">
      <c r="A957" s="7" t="s">
        <v>675</v>
      </c>
      <c r="B957" s="7"/>
      <c r="C957" s="2" t="s">
        <v>641</v>
      </c>
      <c r="D957" s="6" t="s">
        <v>650</v>
      </c>
      <c r="E957" s="32" t="s">
        <v>651</v>
      </c>
      <c r="F957" s="7"/>
      <c r="G957" s="7"/>
      <c r="H957" s="7"/>
      <c r="I957" s="7"/>
      <c r="J957" s="7"/>
      <c r="K957" s="7"/>
      <c r="L957" s="7" t="s">
        <v>662</v>
      </c>
      <c r="M957" s="8">
        <v>44256</v>
      </c>
      <c r="N957" s="8">
        <v>44256</v>
      </c>
      <c r="O957" s="13">
        <v>455238.1</v>
      </c>
      <c r="P957" s="13"/>
      <c r="Q957" s="33"/>
      <c r="R957" s="22"/>
      <c r="S957" s="22"/>
      <c r="T957" s="22"/>
      <c r="U957" s="22"/>
      <c r="X957" s="15" t="str">
        <f>IF(B957="",VLOOKUP(A957,items_lookup!A:B,2,FALSE),B957)</f>
        <v>09. Item 09</v>
      </c>
      <c r="Y957" s="15">
        <f t="shared" si="87"/>
        <v>3</v>
      </c>
      <c r="Z957" s="15">
        <f t="shared" si="87"/>
        <v>3</v>
      </c>
      <c r="AA957" s="15">
        <f t="shared" si="84"/>
        <v>2021</v>
      </c>
      <c r="AB957" s="15">
        <f t="shared" si="85"/>
        <v>2021</v>
      </c>
      <c r="AC957" s="15">
        <f t="shared" si="86"/>
        <v>2021</v>
      </c>
      <c r="AD957" s="18" t="b">
        <f t="shared" si="83"/>
        <v>1</v>
      </c>
    </row>
    <row r="958" spans="1:30" ht="15" hidden="1" customHeight="1" x14ac:dyDescent="0.2">
      <c r="A958" s="7" t="s">
        <v>706</v>
      </c>
      <c r="B958" s="7"/>
      <c r="C958" s="2" t="s">
        <v>641</v>
      </c>
      <c r="D958" s="6" t="s">
        <v>650</v>
      </c>
      <c r="E958" s="32" t="s">
        <v>651</v>
      </c>
      <c r="F958" s="7"/>
      <c r="G958" s="7"/>
      <c r="H958" s="7"/>
      <c r="I958" s="7"/>
      <c r="J958" s="7"/>
      <c r="K958" s="7"/>
      <c r="L958" s="7" t="s">
        <v>662</v>
      </c>
      <c r="M958" s="8">
        <v>44197</v>
      </c>
      <c r="N958" s="8">
        <v>44197</v>
      </c>
      <c r="O958" s="13">
        <v>83095.240000000005</v>
      </c>
      <c r="P958" s="13"/>
      <c r="Q958" s="33"/>
      <c r="R958" s="22"/>
      <c r="S958" s="22"/>
      <c r="T958" s="22"/>
      <c r="U958" s="22"/>
      <c r="X958" s="15" t="str">
        <f>IF(B958="",VLOOKUP(A958,items_lookup!A:B,2,FALSE),B958)</f>
        <v>03. Item 03</v>
      </c>
      <c r="Y958" s="15">
        <f t="shared" si="87"/>
        <v>1</v>
      </c>
      <c r="Z958" s="15">
        <f t="shared" si="87"/>
        <v>1</v>
      </c>
      <c r="AA958" s="15">
        <f t="shared" si="84"/>
        <v>2021</v>
      </c>
      <c r="AB958" s="15">
        <f t="shared" si="85"/>
        <v>2021</v>
      </c>
      <c r="AC958" s="15">
        <f t="shared" si="86"/>
        <v>2021</v>
      </c>
      <c r="AD958" s="18" t="b">
        <f t="shared" si="83"/>
        <v>1</v>
      </c>
    </row>
    <row r="959" spans="1:30" ht="15" hidden="1" customHeight="1" x14ac:dyDescent="0.2">
      <c r="A959" s="7" t="s">
        <v>706</v>
      </c>
      <c r="B959" s="7"/>
      <c r="C959" s="2" t="s">
        <v>641</v>
      </c>
      <c r="D959" s="6" t="s">
        <v>649</v>
      </c>
      <c r="E959" s="32" t="s">
        <v>651</v>
      </c>
      <c r="F959" s="7"/>
      <c r="G959" s="7"/>
      <c r="H959" s="7"/>
      <c r="I959" s="7"/>
      <c r="J959" s="7"/>
      <c r="K959" s="7"/>
      <c r="L959" s="7" t="s">
        <v>662</v>
      </c>
      <c r="M959" s="8">
        <v>44197</v>
      </c>
      <c r="N959" s="8">
        <v>44197</v>
      </c>
      <c r="O959" s="13">
        <v>39085714.289999999</v>
      </c>
      <c r="P959" s="13"/>
      <c r="Q959" s="33"/>
      <c r="R959" s="22"/>
      <c r="S959" s="22"/>
      <c r="T959" s="22"/>
      <c r="U959" s="22"/>
      <c r="X959" s="15" t="str">
        <f>IF(B959="",VLOOKUP(A959,items_lookup!A:B,2,FALSE),B959)</f>
        <v>03. Item 03</v>
      </c>
      <c r="Y959" s="15">
        <f t="shared" si="87"/>
        <v>1</v>
      </c>
      <c r="Z959" s="15">
        <f t="shared" si="87"/>
        <v>1</v>
      </c>
      <c r="AA959" s="15">
        <f t="shared" si="84"/>
        <v>2021</v>
      </c>
      <c r="AB959" s="15">
        <f t="shared" si="85"/>
        <v>2021</v>
      </c>
      <c r="AC959" s="15">
        <f t="shared" si="86"/>
        <v>2021</v>
      </c>
      <c r="AD959" s="18" t="b">
        <f t="shared" si="83"/>
        <v>1</v>
      </c>
    </row>
    <row r="960" spans="1:30" ht="15" hidden="1" customHeight="1" x14ac:dyDescent="0.2">
      <c r="A960" s="7" t="s">
        <v>675</v>
      </c>
      <c r="B960" s="7"/>
      <c r="C960" s="2" t="s">
        <v>641</v>
      </c>
      <c r="D960" s="6" t="s">
        <v>649</v>
      </c>
      <c r="E960" s="32" t="s">
        <v>651</v>
      </c>
      <c r="F960" s="7"/>
      <c r="G960" s="7"/>
      <c r="H960" s="7"/>
      <c r="I960" s="7"/>
      <c r="J960" s="7"/>
      <c r="K960" s="7"/>
      <c r="L960" s="7" t="s">
        <v>662</v>
      </c>
      <c r="M960" s="8">
        <v>44228</v>
      </c>
      <c r="N960" s="8">
        <v>44228</v>
      </c>
      <c r="O960" s="13">
        <v>34240952.380000003</v>
      </c>
      <c r="P960" s="13"/>
      <c r="Q960" s="33"/>
      <c r="R960" s="22"/>
      <c r="S960" s="22"/>
      <c r="T960" s="22"/>
      <c r="U960" s="22"/>
      <c r="X960" s="15" t="str">
        <f>IF(B960="",VLOOKUP(A960,items_lookup!A:B,2,FALSE),B960)</f>
        <v>09. Item 09</v>
      </c>
      <c r="Y960" s="15">
        <f t="shared" si="87"/>
        <v>2</v>
      </c>
      <c r="Z960" s="15">
        <f t="shared" si="87"/>
        <v>2</v>
      </c>
      <c r="AA960" s="15">
        <f t="shared" si="84"/>
        <v>2021</v>
      </c>
      <c r="AB960" s="15">
        <f t="shared" si="85"/>
        <v>2021</v>
      </c>
      <c r="AC960" s="15">
        <f t="shared" si="86"/>
        <v>2021</v>
      </c>
      <c r="AD960" s="18" t="b">
        <f t="shared" si="83"/>
        <v>1</v>
      </c>
    </row>
    <row r="961" spans="1:30" ht="15" hidden="1" customHeight="1" x14ac:dyDescent="0.2">
      <c r="A961" s="7" t="s">
        <v>675</v>
      </c>
      <c r="B961" s="7"/>
      <c r="C961" s="2" t="s">
        <v>641</v>
      </c>
      <c r="D961" s="6" t="s">
        <v>649</v>
      </c>
      <c r="E961" s="32" t="s">
        <v>651</v>
      </c>
      <c r="F961" s="7"/>
      <c r="G961" s="7"/>
      <c r="H961" s="7"/>
      <c r="I961" s="7"/>
      <c r="J961" s="7"/>
      <c r="K961" s="7"/>
      <c r="L961" s="7" t="s">
        <v>662</v>
      </c>
      <c r="M961" s="8">
        <v>44256</v>
      </c>
      <c r="N961" s="8">
        <v>44256</v>
      </c>
      <c r="O961" s="13">
        <v>33020476.190000001</v>
      </c>
      <c r="P961" s="13"/>
      <c r="Q961" s="33"/>
      <c r="R961" s="22"/>
      <c r="S961" s="22"/>
      <c r="T961" s="22"/>
      <c r="U961" s="22"/>
      <c r="X961" s="15" t="str">
        <f>IF(B961="",VLOOKUP(A961,items_lookup!A:B,2,FALSE),B961)</f>
        <v>09. Item 09</v>
      </c>
      <c r="Y961" s="15">
        <f t="shared" si="87"/>
        <v>3</v>
      </c>
      <c r="Z961" s="15">
        <f t="shared" si="87"/>
        <v>3</v>
      </c>
      <c r="AA961" s="15">
        <f t="shared" si="84"/>
        <v>2021</v>
      </c>
      <c r="AB961" s="15">
        <f t="shared" si="85"/>
        <v>2021</v>
      </c>
      <c r="AC961" s="15">
        <f t="shared" si="86"/>
        <v>2021</v>
      </c>
      <c r="AD961" s="18" t="b">
        <f t="shared" si="83"/>
        <v>1</v>
      </c>
    </row>
    <row r="962" spans="1:30" ht="15" hidden="1" customHeight="1" x14ac:dyDescent="0.2">
      <c r="A962" s="7" t="s">
        <v>675</v>
      </c>
      <c r="B962" s="7"/>
      <c r="C962" s="2" t="s">
        <v>641</v>
      </c>
      <c r="D962" s="6" t="s">
        <v>650</v>
      </c>
      <c r="E962" s="32" t="s">
        <v>651</v>
      </c>
      <c r="F962" s="7"/>
      <c r="G962" s="7"/>
      <c r="H962" s="7"/>
      <c r="I962" s="7"/>
      <c r="J962" s="7"/>
      <c r="K962" s="7"/>
      <c r="L962" s="7" t="s">
        <v>662</v>
      </c>
      <c r="M962" s="8">
        <v>44287</v>
      </c>
      <c r="N962" s="8">
        <v>44287</v>
      </c>
      <c r="O962" s="13">
        <v>510238.1</v>
      </c>
      <c r="P962" s="13"/>
      <c r="Q962" s="33"/>
      <c r="R962" s="9"/>
      <c r="S962" s="9"/>
      <c r="T962" s="9"/>
      <c r="U962" s="9"/>
      <c r="X962" s="15" t="str">
        <f>IF(B962="",VLOOKUP(A962,items_lookup!A:B,2,FALSE),B962)</f>
        <v>09. Item 09</v>
      </c>
      <c r="Y962" s="15">
        <f t="shared" si="87"/>
        <v>4</v>
      </c>
      <c r="Z962" s="15">
        <f t="shared" si="87"/>
        <v>4</v>
      </c>
      <c r="AA962" s="15">
        <f t="shared" si="84"/>
        <v>2021</v>
      </c>
      <c r="AB962" s="15">
        <f t="shared" si="85"/>
        <v>2021</v>
      </c>
      <c r="AC962" s="15">
        <f t="shared" si="86"/>
        <v>2021</v>
      </c>
      <c r="AD962" s="18" t="b">
        <f t="shared" si="83"/>
        <v>1</v>
      </c>
    </row>
    <row r="963" spans="1:30" ht="15" hidden="1" customHeight="1" x14ac:dyDescent="0.2">
      <c r="A963" s="7" t="s">
        <v>682</v>
      </c>
      <c r="B963" s="7"/>
      <c r="C963" s="2" t="s">
        <v>641</v>
      </c>
      <c r="D963" s="6" t="s">
        <v>650</v>
      </c>
      <c r="E963" s="32" t="s">
        <v>651</v>
      </c>
      <c r="F963" s="7"/>
      <c r="G963" s="7"/>
      <c r="H963" s="7"/>
      <c r="I963" s="7"/>
      <c r="J963" s="7"/>
      <c r="K963" s="7"/>
      <c r="L963" s="7" t="s">
        <v>662</v>
      </c>
      <c r="M963" s="8">
        <v>44317</v>
      </c>
      <c r="N963" s="8">
        <v>44317</v>
      </c>
      <c r="O963" s="13">
        <v>500952.38</v>
      </c>
      <c r="P963" s="13"/>
      <c r="Q963" s="33"/>
      <c r="R963" s="9"/>
      <c r="S963" s="9"/>
      <c r="T963" s="9"/>
      <c r="U963" s="9"/>
      <c r="X963" s="15" t="str">
        <f>IF(B963="",VLOOKUP(A963,items_lookup!A:B,2,FALSE),B963)</f>
        <v>06. Item 06</v>
      </c>
      <c r="Y963" s="15">
        <f t="shared" si="87"/>
        <v>5</v>
      </c>
      <c r="Z963" s="15">
        <f t="shared" si="87"/>
        <v>5</v>
      </c>
      <c r="AA963" s="15">
        <f t="shared" si="84"/>
        <v>2021</v>
      </c>
      <c r="AB963" s="15">
        <f t="shared" si="85"/>
        <v>2021</v>
      </c>
      <c r="AC963" s="15">
        <f t="shared" si="86"/>
        <v>2021</v>
      </c>
      <c r="AD963" s="18" t="b">
        <f t="shared" ref="AD963:AD1026" si="88">AND(ROUND(O963,2)=O963,ROUND(P963,2)=P963,OR(AND(O963&lt;&gt;0,L963="p"),AND(P963&lt;&gt;0,L963="f")),_xlfn.ISFORMULA(X963),_xlfn.ISFORMULA(Y963),_xlfn.ISFORMULA(Z963),_xlfn.ISFORMULA(AA963),_xlfn.ISFORMULA(AB963),_xlfn.ISFORMULA(AC963),NOT(_xlfn.ISFORMULA(O963)),NOT(_xlfn.ISFORMULA(P963)),M963&lt;&gt;0,N963&lt;&gt;0)</f>
        <v>1</v>
      </c>
    </row>
    <row r="964" spans="1:30" ht="15" hidden="1" customHeight="1" x14ac:dyDescent="0.2">
      <c r="A964" s="7" t="s">
        <v>697</v>
      </c>
      <c r="B964" s="7"/>
      <c r="C964" s="2" t="s">
        <v>641</v>
      </c>
      <c r="D964" s="6" t="s">
        <v>650</v>
      </c>
      <c r="E964" s="32" t="s">
        <v>651</v>
      </c>
      <c r="F964" s="7"/>
      <c r="G964" s="7"/>
      <c r="H964" s="7"/>
      <c r="I964" s="7"/>
      <c r="J964" s="7"/>
      <c r="K964" s="7"/>
      <c r="L964" s="7" t="s">
        <v>662</v>
      </c>
      <c r="M964" s="8">
        <v>44348</v>
      </c>
      <c r="N964" s="8">
        <v>44348</v>
      </c>
      <c r="O964" s="13">
        <v>500714.29</v>
      </c>
      <c r="P964" s="13"/>
      <c r="Q964" s="33"/>
      <c r="R964" s="9"/>
      <c r="S964" s="9"/>
      <c r="T964" s="9"/>
      <c r="U964" s="9"/>
      <c r="X964" s="15" t="str">
        <f>IF(B964="",VLOOKUP(A964,items_lookup!A:B,2,FALSE),B964)</f>
        <v>10. Item 10</v>
      </c>
      <c r="Y964" s="15">
        <f t="shared" si="87"/>
        <v>6</v>
      </c>
      <c r="Z964" s="15">
        <f t="shared" si="87"/>
        <v>6</v>
      </c>
      <c r="AA964" s="15">
        <f t="shared" si="84"/>
        <v>2021</v>
      </c>
      <c r="AB964" s="15">
        <f t="shared" si="85"/>
        <v>2021</v>
      </c>
      <c r="AC964" s="15">
        <f t="shared" si="86"/>
        <v>2021</v>
      </c>
      <c r="AD964" s="18" t="b">
        <f t="shared" si="88"/>
        <v>1</v>
      </c>
    </row>
    <row r="965" spans="1:30" ht="15" hidden="1" customHeight="1" x14ac:dyDescent="0.2">
      <c r="A965" s="7" t="s">
        <v>670</v>
      </c>
      <c r="B965" s="7"/>
      <c r="C965" s="2" t="s">
        <v>641</v>
      </c>
      <c r="D965" s="6" t="s">
        <v>649</v>
      </c>
      <c r="E965" s="32" t="s">
        <v>651</v>
      </c>
      <c r="F965" s="7"/>
      <c r="G965" s="7"/>
      <c r="H965" s="7"/>
      <c r="I965" s="7"/>
      <c r="J965" s="7"/>
      <c r="K965" s="7"/>
      <c r="L965" s="7" t="s">
        <v>662</v>
      </c>
      <c r="M965" s="8">
        <v>44287</v>
      </c>
      <c r="N965" s="8">
        <v>44287</v>
      </c>
      <c r="O965" s="13">
        <v>8263285.71</v>
      </c>
      <c r="P965" s="13"/>
      <c r="Q965" s="33"/>
      <c r="R965" s="9"/>
      <c r="S965" s="9"/>
      <c r="T965" s="9"/>
      <c r="U965" s="9"/>
      <c r="X965" s="15" t="str">
        <f>IF(B965="",VLOOKUP(A965,items_lookup!A:B,2,FALSE),B965)</f>
        <v>04. Item 04</v>
      </c>
      <c r="Y965" s="15">
        <f t="shared" si="87"/>
        <v>4</v>
      </c>
      <c r="Z965" s="15">
        <f t="shared" si="87"/>
        <v>4</v>
      </c>
      <c r="AA965" s="15">
        <f t="shared" si="84"/>
        <v>2021</v>
      </c>
      <c r="AB965" s="15">
        <f t="shared" si="85"/>
        <v>2021</v>
      </c>
      <c r="AC965" s="15">
        <f t="shared" si="86"/>
        <v>2021</v>
      </c>
      <c r="AD965" s="18" t="b">
        <f t="shared" si="88"/>
        <v>1</v>
      </c>
    </row>
    <row r="966" spans="1:30" ht="15" hidden="1" customHeight="1" x14ac:dyDescent="0.2">
      <c r="A966" s="7" t="s">
        <v>670</v>
      </c>
      <c r="B966" s="7"/>
      <c r="C966" s="2" t="s">
        <v>641</v>
      </c>
      <c r="D966" s="6" t="s">
        <v>649</v>
      </c>
      <c r="E966" s="32" t="s">
        <v>651</v>
      </c>
      <c r="F966" s="7"/>
      <c r="G966" s="7"/>
      <c r="H966" s="7"/>
      <c r="I966" s="7"/>
      <c r="J966" s="7"/>
      <c r="K966" s="7"/>
      <c r="L966" s="7" t="s">
        <v>662</v>
      </c>
      <c r="M966" s="8">
        <v>44317</v>
      </c>
      <c r="N966" s="8">
        <v>44317</v>
      </c>
      <c r="O966" s="13">
        <v>12857142.859999999</v>
      </c>
      <c r="P966" s="13"/>
      <c r="Q966" s="33"/>
      <c r="R966" s="9"/>
      <c r="S966" s="9"/>
      <c r="T966" s="9"/>
      <c r="U966" s="9"/>
      <c r="X966" s="15" t="str">
        <f>IF(B966="",VLOOKUP(A966,items_lookup!A:B,2,FALSE),B966)</f>
        <v>04. Item 04</v>
      </c>
      <c r="Y966" s="15">
        <f t="shared" si="87"/>
        <v>5</v>
      </c>
      <c r="Z966" s="15">
        <f t="shared" si="87"/>
        <v>5</v>
      </c>
      <c r="AA966" s="15">
        <f t="shared" si="84"/>
        <v>2021</v>
      </c>
      <c r="AB966" s="15">
        <f t="shared" si="85"/>
        <v>2021</v>
      </c>
      <c r="AC966" s="15">
        <f t="shared" si="86"/>
        <v>2021</v>
      </c>
      <c r="AD966" s="18" t="b">
        <f t="shared" si="88"/>
        <v>1</v>
      </c>
    </row>
    <row r="967" spans="1:30" ht="15" hidden="1" customHeight="1" x14ac:dyDescent="0.2">
      <c r="A967" s="7" t="s">
        <v>670</v>
      </c>
      <c r="B967" s="7"/>
      <c r="C967" s="2" t="s">
        <v>641</v>
      </c>
      <c r="D967" s="6" t="s">
        <v>649</v>
      </c>
      <c r="E967" s="32" t="s">
        <v>651</v>
      </c>
      <c r="F967" s="7"/>
      <c r="G967" s="7"/>
      <c r="H967" s="7"/>
      <c r="I967" s="7"/>
      <c r="J967" s="7"/>
      <c r="K967" s="7"/>
      <c r="L967" s="7" t="s">
        <v>662</v>
      </c>
      <c r="M967" s="8">
        <v>44348</v>
      </c>
      <c r="N967" s="8">
        <v>44348</v>
      </c>
      <c r="O967" s="13">
        <v>8598095.2400000002</v>
      </c>
      <c r="P967" s="13"/>
      <c r="Q967" s="33"/>
      <c r="R967" s="9"/>
      <c r="S967" s="9"/>
      <c r="T967" s="9"/>
      <c r="U967" s="9"/>
      <c r="X967" s="15" t="str">
        <f>IF(B967="",VLOOKUP(A967,items_lookup!A:B,2,FALSE),B967)</f>
        <v>04. Item 04</v>
      </c>
      <c r="Y967" s="15">
        <f t="shared" si="87"/>
        <v>6</v>
      </c>
      <c r="Z967" s="15">
        <f t="shared" si="87"/>
        <v>6</v>
      </c>
      <c r="AA967" s="15">
        <f t="shared" si="84"/>
        <v>2021</v>
      </c>
      <c r="AB967" s="15">
        <f t="shared" si="85"/>
        <v>2021</v>
      </c>
      <c r="AC967" s="15">
        <f t="shared" si="86"/>
        <v>2021</v>
      </c>
      <c r="AD967" s="18" t="b">
        <f t="shared" si="88"/>
        <v>1</v>
      </c>
    </row>
    <row r="968" spans="1:30" ht="15" hidden="1" customHeight="1" x14ac:dyDescent="0.2">
      <c r="A968" s="7" t="s">
        <v>687</v>
      </c>
      <c r="B968" s="7"/>
      <c r="C968" s="2" t="s">
        <v>641</v>
      </c>
      <c r="D968" s="6" t="s">
        <v>649</v>
      </c>
      <c r="E968" s="32" t="s">
        <v>651</v>
      </c>
      <c r="F968" s="7"/>
      <c r="G968" s="7"/>
      <c r="H968" s="7"/>
      <c r="I968" s="7"/>
      <c r="J968" s="7"/>
      <c r="K968" s="7"/>
      <c r="L968" s="7" t="s">
        <v>662</v>
      </c>
      <c r="M968" s="8">
        <v>44348</v>
      </c>
      <c r="N968" s="8">
        <v>44348</v>
      </c>
      <c r="O968" s="13">
        <v>3833333.33</v>
      </c>
      <c r="P968" s="13"/>
      <c r="Q968" s="33"/>
      <c r="R968" s="9"/>
      <c r="S968" s="9"/>
      <c r="T968" s="9"/>
      <c r="U968" s="9"/>
      <c r="X968" s="15" t="str">
        <f>IF(B968="",VLOOKUP(A968,items_lookup!A:B,2,FALSE),B968)</f>
        <v>14. Item 14</v>
      </c>
      <c r="Y968" s="15">
        <f t="shared" si="87"/>
        <v>6</v>
      </c>
      <c r="Z968" s="15">
        <f t="shared" si="87"/>
        <v>6</v>
      </c>
      <c r="AA968" s="15">
        <f t="shared" ref="AA968:AA1027" si="89">YEAR(N968)</f>
        <v>2021</v>
      </c>
      <c r="AB968" s="15">
        <f t="shared" ref="AB968:AB1027" si="90">YEAR(M968)</f>
        <v>2021</v>
      </c>
      <c r="AC968" s="15">
        <f t="shared" ref="AC968:AC1027" si="91">IF(F968="X",AA968-1,AA968)</f>
        <v>2021</v>
      </c>
      <c r="AD968" s="18" t="b">
        <f t="shared" si="88"/>
        <v>1</v>
      </c>
    </row>
    <row r="969" spans="1:30" ht="15" hidden="1" customHeight="1" x14ac:dyDescent="0.2">
      <c r="A969" s="7" t="s">
        <v>687</v>
      </c>
      <c r="B969" s="7" t="s">
        <v>708</v>
      </c>
      <c r="C969" s="2" t="s">
        <v>641</v>
      </c>
      <c r="D969" s="6" t="s">
        <v>649</v>
      </c>
      <c r="E969" s="32" t="s">
        <v>651</v>
      </c>
      <c r="F969" s="7"/>
      <c r="G969" s="7"/>
      <c r="H969" s="7"/>
      <c r="I969" s="7"/>
      <c r="J969" s="7"/>
      <c r="K969" s="7"/>
      <c r="L969" s="7" t="s">
        <v>662</v>
      </c>
      <c r="M969" s="8">
        <v>44287</v>
      </c>
      <c r="N969" s="8">
        <v>44287</v>
      </c>
      <c r="O969" s="13">
        <v>3298526.98</v>
      </c>
      <c r="P969" s="13"/>
      <c r="Q969" s="33"/>
      <c r="R969" s="9"/>
      <c r="S969" s="9"/>
      <c r="T969" s="9"/>
      <c r="U969" s="9"/>
      <c r="X969" s="15" t="str">
        <f>IF(B969="",VLOOKUP(A969,items_lookup!A:B,2,FALSE),B969)</f>
        <v>03. Item 03</v>
      </c>
      <c r="Y969" s="15">
        <f t="shared" si="87"/>
        <v>4</v>
      </c>
      <c r="Z969" s="15">
        <f t="shared" si="87"/>
        <v>4</v>
      </c>
      <c r="AA969" s="15">
        <f t="shared" si="89"/>
        <v>2021</v>
      </c>
      <c r="AB969" s="15">
        <f t="shared" si="90"/>
        <v>2021</v>
      </c>
      <c r="AC969" s="15">
        <f t="shared" si="91"/>
        <v>2021</v>
      </c>
      <c r="AD969" s="18" t="b">
        <f t="shared" si="88"/>
        <v>1</v>
      </c>
    </row>
    <row r="970" spans="1:30" ht="15" hidden="1" customHeight="1" x14ac:dyDescent="0.2">
      <c r="A970" s="7" t="s">
        <v>671</v>
      </c>
      <c r="B970" s="7" t="s">
        <v>708</v>
      </c>
      <c r="C970" s="2" t="s">
        <v>641</v>
      </c>
      <c r="D970" s="6" t="s">
        <v>649</v>
      </c>
      <c r="E970" s="32" t="s">
        <v>651</v>
      </c>
      <c r="F970" s="7"/>
      <c r="G970" s="7"/>
      <c r="H970" s="7"/>
      <c r="I970" s="7"/>
      <c r="J970" s="7"/>
      <c r="K970" s="7"/>
      <c r="L970" s="7" t="s">
        <v>662</v>
      </c>
      <c r="M970" s="8">
        <v>44317</v>
      </c>
      <c r="N970" s="8">
        <v>44317</v>
      </c>
      <c r="O970" s="13">
        <v>2979761.9</v>
      </c>
      <c r="P970" s="13"/>
      <c r="Q970" s="33"/>
      <c r="R970" s="9"/>
      <c r="S970" s="9"/>
      <c r="T970" s="9"/>
      <c r="U970" s="9"/>
      <c r="X970" s="15" t="str">
        <f>IF(B970="",VLOOKUP(A970,items_lookup!A:B,2,FALSE),B970)</f>
        <v>03. Item 03</v>
      </c>
      <c r="Y970" s="15">
        <f t="shared" si="87"/>
        <v>5</v>
      </c>
      <c r="Z970" s="15">
        <f t="shared" si="87"/>
        <v>5</v>
      </c>
      <c r="AA970" s="15">
        <f t="shared" si="89"/>
        <v>2021</v>
      </c>
      <c r="AB970" s="15">
        <f t="shared" si="90"/>
        <v>2021</v>
      </c>
      <c r="AC970" s="15">
        <f t="shared" si="91"/>
        <v>2021</v>
      </c>
      <c r="AD970" s="18" t="b">
        <f t="shared" si="88"/>
        <v>1</v>
      </c>
    </row>
    <row r="971" spans="1:30" ht="15" hidden="1" customHeight="1" x14ac:dyDescent="0.2">
      <c r="A971" s="7" t="s">
        <v>671</v>
      </c>
      <c r="B971" s="7" t="s">
        <v>708</v>
      </c>
      <c r="C971" s="2" t="s">
        <v>641</v>
      </c>
      <c r="D971" s="6" t="s">
        <v>649</v>
      </c>
      <c r="E971" s="32" t="s">
        <v>651</v>
      </c>
      <c r="F971" s="7"/>
      <c r="G971" s="7"/>
      <c r="H971" s="7"/>
      <c r="I971" s="7"/>
      <c r="J971" s="7"/>
      <c r="K971" s="7"/>
      <c r="L971" s="7" t="s">
        <v>662</v>
      </c>
      <c r="M971" s="8">
        <v>44348</v>
      </c>
      <c r="N971" s="8">
        <v>44348</v>
      </c>
      <c r="O971" s="13">
        <v>2977380.95</v>
      </c>
      <c r="P971" s="13"/>
      <c r="Q971" s="33"/>
      <c r="R971" s="9"/>
      <c r="S971" s="9"/>
      <c r="T971" s="9"/>
      <c r="U971" s="9"/>
      <c r="X971" s="15" t="str">
        <f>IF(B971="",VLOOKUP(A971,items_lookup!A:B,2,FALSE),B971)</f>
        <v>03. Item 03</v>
      </c>
      <c r="Y971" s="15">
        <f t="shared" si="87"/>
        <v>6</v>
      </c>
      <c r="Z971" s="15">
        <f t="shared" si="87"/>
        <v>6</v>
      </c>
      <c r="AA971" s="15">
        <f t="shared" si="89"/>
        <v>2021</v>
      </c>
      <c r="AB971" s="15">
        <f t="shared" si="90"/>
        <v>2021</v>
      </c>
      <c r="AC971" s="15">
        <f t="shared" si="91"/>
        <v>2021</v>
      </c>
      <c r="AD971" s="18" t="b">
        <f t="shared" si="88"/>
        <v>1</v>
      </c>
    </row>
    <row r="972" spans="1:30" ht="15" hidden="1" customHeight="1" x14ac:dyDescent="0.2">
      <c r="A972" s="7" t="s">
        <v>671</v>
      </c>
      <c r="B972" s="7"/>
      <c r="C972" s="2" t="s">
        <v>641</v>
      </c>
      <c r="D972" s="6" t="s">
        <v>649</v>
      </c>
      <c r="E972" s="32" t="s">
        <v>651</v>
      </c>
      <c r="F972" s="7"/>
      <c r="G972" s="7"/>
      <c r="H972" s="7"/>
      <c r="I972" s="7"/>
      <c r="J972" s="7"/>
      <c r="K972" s="7"/>
      <c r="L972" s="7" t="s">
        <v>662</v>
      </c>
      <c r="M972" s="8">
        <v>44287</v>
      </c>
      <c r="N972" s="8">
        <v>44287</v>
      </c>
      <c r="O972" s="13">
        <v>5337214.47</v>
      </c>
      <c r="P972" s="13"/>
      <c r="Q972" s="33"/>
      <c r="R972" s="22"/>
      <c r="S972" s="22"/>
      <c r="T972" s="22"/>
      <c r="U972" s="22"/>
      <c r="X972" s="15" t="str">
        <f>IF(B972="",VLOOKUP(A972,items_lookup!A:B,2,FALSE),B972)</f>
        <v>05. Item 05</v>
      </c>
      <c r="Y972" s="15">
        <f t="shared" si="87"/>
        <v>4</v>
      </c>
      <c r="Z972" s="15">
        <f t="shared" si="87"/>
        <v>4</v>
      </c>
      <c r="AA972" s="15">
        <f t="shared" si="89"/>
        <v>2021</v>
      </c>
      <c r="AB972" s="15">
        <f t="shared" si="90"/>
        <v>2021</v>
      </c>
      <c r="AC972" s="15">
        <f t="shared" si="91"/>
        <v>2021</v>
      </c>
      <c r="AD972" s="18" t="b">
        <f t="shared" si="88"/>
        <v>1</v>
      </c>
    </row>
    <row r="973" spans="1:30" ht="15" hidden="1" customHeight="1" x14ac:dyDescent="0.2">
      <c r="A973" s="7" t="s">
        <v>683</v>
      </c>
      <c r="B973" s="7"/>
      <c r="C973" s="2" t="s">
        <v>641</v>
      </c>
      <c r="D973" s="6" t="s">
        <v>649</v>
      </c>
      <c r="E973" s="32" t="s">
        <v>651</v>
      </c>
      <c r="F973" s="7"/>
      <c r="G973" s="7"/>
      <c r="H973" s="7"/>
      <c r="I973" s="7"/>
      <c r="J973" s="7"/>
      <c r="K973" s="7"/>
      <c r="L973" s="7" t="s">
        <v>662</v>
      </c>
      <c r="M973" s="8">
        <v>44317</v>
      </c>
      <c r="N973" s="8">
        <v>44317</v>
      </c>
      <c r="O973" s="13">
        <v>938072.31</v>
      </c>
      <c r="P973" s="13"/>
      <c r="Q973" s="33"/>
      <c r="R973" s="22"/>
      <c r="S973" s="22"/>
      <c r="T973" s="22"/>
      <c r="U973" s="22"/>
      <c r="X973" s="15" t="str">
        <f>IF(B973="",VLOOKUP(A973,items_lookup!A:B,2,FALSE),B973)</f>
        <v>_1. Item _1</v>
      </c>
      <c r="Y973" s="15">
        <f t="shared" si="87"/>
        <v>5</v>
      </c>
      <c r="Z973" s="15">
        <f t="shared" si="87"/>
        <v>5</v>
      </c>
      <c r="AA973" s="15">
        <f t="shared" si="89"/>
        <v>2021</v>
      </c>
      <c r="AB973" s="15">
        <f t="shared" si="90"/>
        <v>2021</v>
      </c>
      <c r="AC973" s="15">
        <f t="shared" si="91"/>
        <v>2021</v>
      </c>
      <c r="AD973" s="18" t="b">
        <f t="shared" si="88"/>
        <v>1</v>
      </c>
    </row>
    <row r="974" spans="1:30" ht="15" hidden="1" customHeight="1" x14ac:dyDescent="0.2">
      <c r="A974" s="7" t="s">
        <v>703</v>
      </c>
      <c r="B974" s="7"/>
      <c r="C974" s="2" t="s">
        <v>641</v>
      </c>
      <c r="D974" s="6" t="s">
        <v>649</v>
      </c>
      <c r="E974" s="32" t="s">
        <v>651</v>
      </c>
      <c r="F974" s="7"/>
      <c r="G974" s="7"/>
      <c r="H974" s="7"/>
      <c r="I974" s="7"/>
      <c r="J974" s="7"/>
      <c r="K974" s="7"/>
      <c r="L974" s="7" t="s">
        <v>662</v>
      </c>
      <c r="M974" s="8">
        <v>44348</v>
      </c>
      <c r="N974" s="8">
        <v>44348</v>
      </c>
      <c r="O974" s="13">
        <v>1012204.75</v>
      </c>
      <c r="P974" s="13"/>
      <c r="Q974" s="33"/>
      <c r="R974" s="22"/>
      <c r="S974" s="22"/>
      <c r="T974" s="22"/>
      <c r="U974" s="22"/>
      <c r="X974" s="15" t="str">
        <f>IF(B974="",VLOOKUP(A974,items_lookup!A:B,2,FALSE),B974)</f>
        <v>_3. Item _3</v>
      </c>
      <c r="Y974" s="15">
        <f t="shared" si="87"/>
        <v>6</v>
      </c>
      <c r="Z974" s="15">
        <f t="shared" si="87"/>
        <v>6</v>
      </c>
      <c r="AA974" s="15">
        <f t="shared" si="89"/>
        <v>2021</v>
      </c>
      <c r="AB974" s="15">
        <f t="shared" si="90"/>
        <v>2021</v>
      </c>
      <c r="AC974" s="15">
        <f t="shared" si="91"/>
        <v>2021</v>
      </c>
      <c r="AD974" s="18" t="b">
        <f t="shared" si="88"/>
        <v>1</v>
      </c>
    </row>
    <row r="975" spans="1:30" ht="15" hidden="1" customHeight="1" x14ac:dyDescent="0.2">
      <c r="A975" s="7" t="s">
        <v>683</v>
      </c>
      <c r="B975" s="7"/>
      <c r="C975" s="2" t="s">
        <v>641</v>
      </c>
      <c r="D975" s="6" t="s">
        <v>649</v>
      </c>
      <c r="E975" s="32" t="s">
        <v>651</v>
      </c>
      <c r="F975" s="7"/>
      <c r="G975" s="7"/>
      <c r="H975" s="7"/>
      <c r="I975" s="7"/>
      <c r="J975" s="7"/>
      <c r="K975" s="7"/>
      <c r="L975" s="7" t="s">
        <v>662</v>
      </c>
      <c r="M975" s="8">
        <v>44287</v>
      </c>
      <c r="N975" s="8">
        <v>44287</v>
      </c>
      <c r="O975" s="13">
        <v>5547142.8600000003</v>
      </c>
      <c r="P975" s="13"/>
      <c r="Q975" s="33"/>
      <c r="R975" s="9"/>
      <c r="S975" s="9"/>
      <c r="T975" s="9"/>
      <c r="U975" s="9"/>
      <c r="X975" s="15" t="str">
        <f>IF(B975="",VLOOKUP(A975,items_lookup!A:B,2,FALSE),B975)</f>
        <v>_1. Item _1</v>
      </c>
      <c r="Y975" s="15">
        <f t="shared" si="87"/>
        <v>4</v>
      </c>
      <c r="Z975" s="15">
        <f t="shared" si="87"/>
        <v>4</v>
      </c>
      <c r="AA975" s="15">
        <f t="shared" si="89"/>
        <v>2021</v>
      </c>
      <c r="AB975" s="15">
        <f t="shared" si="90"/>
        <v>2021</v>
      </c>
      <c r="AC975" s="15">
        <f t="shared" si="91"/>
        <v>2021</v>
      </c>
      <c r="AD975" s="18" t="b">
        <f t="shared" si="88"/>
        <v>1</v>
      </c>
    </row>
    <row r="976" spans="1:30" ht="15" hidden="1" customHeight="1" x14ac:dyDescent="0.2">
      <c r="A976" s="7" t="s">
        <v>683</v>
      </c>
      <c r="B976" s="7"/>
      <c r="C976" s="2" t="s">
        <v>641</v>
      </c>
      <c r="D976" s="6" t="s">
        <v>649</v>
      </c>
      <c r="E976" s="32" t="s">
        <v>651</v>
      </c>
      <c r="F976" s="7"/>
      <c r="G976" s="7"/>
      <c r="H976" s="7"/>
      <c r="I976" s="7"/>
      <c r="J976" s="7"/>
      <c r="K976" s="7"/>
      <c r="L976" s="7" t="s">
        <v>662</v>
      </c>
      <c r="M976" s="8">
        <v>44317</v>
      </c>
      <c r="N976" s="8">
        <v>44317</v>
      </c>
      <c r="O976" s="13">
        <v>5556428.5700000003</v>
      </c>
      <c r="P976" s="13"/>
      <c r="Q976" s="33"/>
      <c r="R976" s="9"/>
      <c r="S976" s="9"/>
      <c r="T976" s="9"/>
      <c r="U976" s="9"/>
      <c r="X976" s="15" t="str">
        <f>IF(B976="",VLOOKUP(A976,items_lookup!A:B,2,FALSE),B976)</f>
        <v>_1. Item _1</v>
      </c>
      <c r="Y976" s="15">
        <f t="shared" si="87"/>
        <v>5</v>
      </c>
      <c r="Z976" s="15">
        <f t="shared" si="87"/>
        <v>5</v>
      </c>
      <c r="AA976" s="15">
        <f t="shared" si="89"/>
        <v>2021</v>
      </c>
      <c r="AB976" s="15">
        <f t="shared" si="90"/>
        <v>2021</v>
      </c>
      <c r="AC976" s="15">
        <f t="shared" si="91"/>
        <v>2021</v>
      </c>
      <c r="AD976" s="18" t="b">
        <f t="shared" si="88"/>
        <v>1</v>
      </c>
    </row>
    <row r="977" spans="1:30" ht="15" hidden="1" customHeight="1" x14ac:dyDescent="0.2">
      <c r="A977" s="7" t="s">
        <v>683</v>
      </c>
      <c r="B977" s="7"/>
      <c r="C977" s="2" t="s">
        <v>641</v>
      </c>
      <c r="D977" s="6" t="s">
        <v>649</v>
      </c>
      <c r="E977" s="32" t="s">
        <v>651</v>
      </c>
      <c r="F977" s="7"/>
      <c r="G977" s="7"/>
      <c r="H977" s="7"/>
      <c r="I977" s="7"/>
      <c r="J977" s="7"/>
      <c r="K977" s="7"/>
      <c r="L977" s="7" t="s">
        <v>662</v>
      </c>
      <c r="M977" s="8">
        <v>44348</v>
      </c>
      <c r="N977" s="8">
        <v>44348</v>
      </c>
      <c r="O977" s="13">
        <v>9517619.0500000007</v>
      </c>
      <c r="P977" s="13"/>
      <c r="Q977" s="33"/>
      <c r="R977" s="9"/>
      <c r="S977" s="9"/>
      <c r="T977" s="9"/>
      <c r="U977" s="9"/>
      <c r="X977" s="15" t="str">
        <f>IF(B977="",VLOOKUP(A977,items_lookup!A:B,2,FALSE),B977)</f>
        <v>_1. Item _1</v>
      </c>
      <c r="Y977" s="15">
        <f t="shared" si="87"/>
        <v>6</v>
      </c>
      <c r="Z977" s="15">
        <f t="shared" si="87"/>
        <v>6</v>
      </c>
      <c r="AA977" s="15">
        <f t="shared" si="89"/>
        <v>2021</v>
      </c>
      <c r="AB977" s="15">
        <f t="shared" si="90"/>
        <v>2021</v>
      </c>
      <c r="AC977" s="15">
        <f t="shared" si="91"/>
        <v>2021</v>
      </c>
      <c r="AD977" s="18" t="b">
        <f t="shared" si="88"/>
        <v>1</v>
      </c>
    </row>
    <row r="978" spans="1:30" ht="15" hidden="1" customHeight="1" x14ac:dyDescent="0.2">
      <c r="A978" s="7" t="s">
        <v>683</v>
      </c>
      <c r="B978" s="7"/>
      <c r="C978" s="2" t="s">
        <v>641</v>
      </c>
      <c r="D978" s="6" t="s">
        <v>649</v>
      </c>
      <c r="E978" s="32" t="s">
        <v>651</v>
      </c>
      <c r="F978" s="7"/>
      <c r="G978" s="7"/>
      <c r="H978" s="7"/>
      <c r="I978" s="7"/>
      <c r="J978" s="7"/>
      <c r="K978" s="7"/>
      <c r="L978" s="7" t="s">
        <v>662</v>
      </c>
      <c r="M978" s="8">
        <v>44287</v>
      </c>
      <c r="N978" s="8">
        <v>44287</v>
      </c>
      <c r="O978" s="13">
        <v>78571.429999999993</v>
      </c>
      <c r="P978" s="13"/>
      <c r="Q978" s="33"/>
      <c r="R978" s="9"/>
      <c r="S978" s="9"/>
      <c r="T978" s="9"/>
      <c r="U978" s="9"/>
      <c r="X978" s="15" t="str">
        <f>IF(B978="",VLOOKUP(A978,items_lookup!A:B,2,FALSE),B978)</f>
        <v>_1. Item _1</v>
      </c>
      <c r="Y978" s="15">
        <f t="shared" si="87"/>
        <v>4</v>
      </c>
      <c r="Z978" s="15">
        <f t="shared" si="87"/>
        <v>4</v>
      </c>
      <c r="AA978" s="15">
        <f t="shared" si="89"/>
        <v>2021</v>
      </c>
      <c r="AB978" s="15">
        <f t="shared" si="90"/>
        <v>2021</v>
      </c>
      <c r="AC978" s="15">
        <f t="shared" si="91"/>
        <v>2021</v>
      </c>
      <c r="AD978" s="18" t="b">
        <f t="shared" si="88"/>
        <v>1</v>
      </c>
    </row>
    <row r="979" spans="1:30" ht="15" hidden="1" customHeight="1" x14ac:dyDescent="0.2">
      <c r="A979" s="7" t="s">
        <v>683</v>
      </c>
      <c r="B979" s="7"/>
      <c r="C979" s="2" t="s">
        <v>641</v>
      </c>
      <c r="D979" s="6" t="s">
        <v>649</v>
      </c>
      <c r="E979" s="32" t="s">
        <v>651</v>
      </c>
      <c r="F979" s="7"/>
      <c r="G979" s="7"/>
      <c r="H979" s="7"/>
      <c r="I979" s="7"/>
      <c r="J979" s="7"/>
      <c r="K979" s="7"/>
      <c r="L979" s="7" t="s">
        <v>662</v>
      </c>
      <c r="M979" s="8">
        <v>44317</v>
      </c>
      <c r="N979" s="8">
        <v>44317</v>
      </c>
      <c r="O979" s="13">
        <v>52380.95</v>
      </c>
      <c r="P979" s="13"/>
      <c r="Q979" s="33"/>
      <c r="R979" s="9"/>
      <c r="S979" s="9"/>
      <c r="T979" s="9"/>
      <c r="U979" s="9"/>
      <c r="X979" s="15" t="str">
        <f>IF(B979="",VLOOKUP(A979,items_lookup!A:B,2,FALSE),B979)</f>
        <v>_1. Item _1</v>
      </c>
      <c r="Y979" s="15">
        <f t="shared" si="87"/>
        <v>5</v>
      </c>
      <c r="Z979" s="15">
        <f t="shared" si="87"/>
        <v>5</v>
      </c>
      <c r="AA979" s="15">
        <f t="shared" si="89"/>
        <v>2021</v>
      </c>
      <c r="AB979" s="15">
        <f t="shared" si="90"/>
        <v>2021</v>
      </c>
      <c r="AC979" s="15">
        <f t="shared" si="91"/>
        <v>2021</v>
      </c>
      <c r="AD979" s="18" t="b">
        <f t="shared" si="88"/>
        <v>1</v>
      </c>
    </row>
    <row r="980" spans="1:30" ht="15" hidden="1" customHeight="1" x14ac:dyDescent="0.2">
      <c r="A980" s="7" t="s">
        <v>675</v>
      </c>
      <c r="B980" s="7"/>
      <c r="C980" s="2" t="s">
        <v>641</v>
      </c>
      <c r="D980" s="6" t="s">
        <v>649</v>
      </c>
      <c r="E980" s="32" t="s">
        <v>651</v>
      </c>
      <c r="F980" s="7"/>
      <c r="G980" s="7"/>
      <c r="H980" s="7"/>
      <c r="I980" s="7"/>
      <c r="J980" s="7"/>
      <c r="K980" s="7"/>
      <c r="L980" s="7" t="s">
        <v>662</v>
      </c>
      <c r="M980" s="8">
        <v>44348</v>
      </c>
      <c r="N980" s="8">
        <v>44348</v>
      </c>
      <c r="O980" s="13">
        <v>66666.67</v>
      </c>
      <c r="P980" s="13"/>
      <c r="Q980" s="33"/>
      <c r="R980" s="9"/>
      <c r="S980" s="9"/>
      <c r="T980" s="9"/>
      <c r="U980" s="9"/>
      <c r="X980" s="15" t="str">
        <f>IF(B980="",VLOOKUP(A980,items_lookup!A:B,2,FALSE),B980)</f>
        <v>09. Item 09</v>
      </c>
      <c r="Y980" s="15">
        <f t="shared" si="87"/>
        <v>6</v>
      </c>
      <c r="Z980" s="15">
        <f t="shared" si="87"/>
        <v>6</v>
      </c>
      <c r="AA980" s="15">
        <f t="shared" si="89"/>
        <v>2021</v>
      </c>
      <c r="AB980" s="15">
        <f t="shared" si="90"/>
        <v>2021</v>
      </c>
      <c r="AC980" s="15">
        <f t="shared" si="91"/>
        <v>2021</v>
      </c>
      <c r="AD980" s="18" t="b">
        <f t="shared" si="88"/>
        <v>1</v>
      </c>
    </row>
    <row r="981" spans="1:30" ht="15" hidden="1" customHeight="1" x14ac:dyDescent="0.2">
      <c r="A981" s="7" t="s">
        <v>675</v>
      </c>
      <c r="B981" s="7"/>
      <c r="C981" s="2" t="s">
        <v>641</v>
      </c>
      <c r="D981" s="6" t="s">
        <v>649</v>
      </c>
      <c r="E981" s="32" t="s">
        <v>651</v>
      </c>
      <c r="F981" s="7"/>
      <c r="G981" s="7"/>
      <c r="H981" s="7"/>
      <c r="I981" s="7"/>
      <c r="J981" s="7"/>
      <c r="K981" s="7"/>
      <c r="L981" s="7" t="s">
        <v>662</v>
      </c>
      <c r="M981" s="8">
        <v>44287</v>
      </c>
      <c r="N981" s="8">
        <v>44287</v>
      </c>
      <c r="O981" s="13">
        <v>5000000</v>
      </c>
      <c r="P981" s="13"/>
      <c r="Q981" s="33"/>
      <c r="R981" s="9"/>
      <c r="S981" s="9"/>
      <c r="T981" s="9"/>
      <c r="U981" s="9"/>
      <c r="X981" s="15" t="str">
        <f>IF(B981="",VLOOKUP(A981,items_lookup!A:B,2,FALSE),B981)</f>
        <v>09. Item 09</v>
      </c>
      <c r="Y981" s="15">
        <f t="shared" si="87"/>
        <v>4</v>
      </c>
      <c r="Z981" s="15">
        <f t="shared" si="87"/>
        <v>4</v>
      </c>
      <c r="AA981" s="15">
        <f t="shared" si="89"/>
        <v>2021</v>
      </c>
      <c r="AB981" s="15">
        <f t="shared" si="90"/>
        <v>2021</v>
      </c>
      <c r="AC981" s="15">
        <f t="shared" si="91"/>
        <v>2021</v>
      </c>
      <c r="AD981" s="18" t="b">
        <f t="shared" si="88"/>
        <v>1</v>
      </c>
    </row>
    <row r="982" spans="1:30" ht="12" hidden="1" customHeight="1" x14ac:dyDescent="0.2">
      <c r="A982" s="7" t="s">
        <v>673</v>
      </c>
      <c r="B982" s="7"/>
      <c r="C982" s="2" t="s">
        <v>641</v>
      </c>
      <c r="D982" s="6" t="s">
        <v>649</v>
      </c>
      <c r="E982" s="32" t="s">
        <v>651</v>
      </c>
      <c r="F982" s="7"/>
      <c r="G982" s="7"/>
      <c r="H982" s="7"/>
      <c r="I982" s="7"/>
      <c r="J982" s="7"/>
      <c r="K982" s="7"/>
      <c r="L982" s="7" t="s">
        <v>662</v>
      </c>
      <c r="M982" s="8">
        <v>44317</v>
      </c>
      <c r="N982" s="8">
        <v>44317</v>
      </c>
      <c r="O982" s="13">
        <v>4761904.76</v>
      </c>
      <c r="P982" s="13"/>
      <c r="Q982" s="33"/>
      <c r="R982" s="9"/>
      <c r="S982" s="9"/>
      <c r="T982" s="9"/>
      <c r="U982" s="9"/>
      <c r="X982" s="15" t="str">
        <f>IF(B982="",VLOOKUP(A982,items_lookup!A:B,2,FALSE),B982)</f>
        <v>07. Item 07</v>
      </c>
      <c r="Y982" s="15">
        <f t="shared" si="87"/>
        <v>5</v>
      </c>
      <c r="Z982" s="15">
        <f t="shared" si="87"/>
        <v>5</v>
      </c>
      <c r="AA982" s="15">
        <f t="shared" si="89"/>
        <v>2021</v>
      </c>
      <c r="AB982" s="15">
        <f t="shared" si="90"/>
        <v>2021</v>
      </c>
      <c r="AC982" s="15">
        <f t="shared" si="91"/>
        <v>2021</v>
      </c>
      <c r="AD982" s="18" t="b">
        <f t="shared" si="88"/>
        <v>1</v>
      </c>
    </row>
    <row r="983" spans="1:30" ht="14.25" hidden="1" customHeight="1" x14ac:dyDescent="0.2">
      <c r="A983" s="7" t="s">
        <v>689</v>
      </c>
      <c r="B983" s="7"/>
      <c r="C983" s="2" t="s">
        <v>641</v>
      </c>
      <c r="D983" s="6" t="s">
        <v>649</v>
      </c>
      <c r="E983" s="32" t="s">
        <v>651</v>
      </c>
      <c r="F983" s="7"/>
      <c r="G983" s="7"/>
      <c r="H983" s="7"/>
      <c r="I983" s="7"/>
      <c r="J983" s="7"/>
      <c r="K983" s="7"/>
      <c r="L983" s="7" t="s">
        <v>662</v>
      </c>
      <c r="M983" s="8">
        <v>44348</v>
      </c>
      <c r="N983" s="8">
        <v>44348</v>
      </c>
      <c r="O983" s="13">
        <v>4332857.1399999997</v>
      </c>
      <c r="P983" s="13"/>
      <c r="Q983" s="33"/>
      <c r="R983" s="9"/>
      <c r="S983" s="9"/>
      <c r="T983" s="9"/>
      <c r="U983" s="9"/>
      <c r="X983" s="15" t="str">
        <f>IF(B983="",VLOOKUP(A983,items_lookup!A:B,2,FALSE),B983)</f>
        <v>04. Item 04</v>
      </c>
      <c r="Y983" s="15">
        <f t="shared" ref="Y983:Z1043" si="92">MONTH(M983)</f>
        <v>6</v>
      </c>
      <c r="Z983" s="15">
        <f t="shared" si="92"/>
        <v>6</v>
      </c>
      <c r="AA983" s="15">
        <f t="shared" si="89"/>
        <v>2021</v>
      </c>
      <c r="AB983" s="15">
        <f t="shared" si="90"/>
        <v>2021</v>
      </c>
      <c r="AC983" s="15">
        <f t="shared" si="91"/>
        <v>2021</v>
      </c>
      <c r="AD983" s="18" t="b">
        <f t="shared" si="88"/>
        <v>1</v>
      </c>
    </row>
    <row r="984" spans="1:30" ht="11.25" hidden="1" customHeight="1" x14ac:dyDescent="0.2">
      <c r="A984" s="7" t="s">
        <v>689</v>
      </c>
      <c r="B984" s="7"/>
      <c r="C984" s="2" t="s">
        <v>641</v>
      </c>
      <c r="D984" s="6" t="s">
        <v>649</v>
      </c>
      <c r="E984" s="32" t="s">
        <v>651</v>
      </c>
      <c r="F984" s="7"/>
      <c r="G984" s="7"/>
      <c r="H984" s="7"/>
      <c r="I984" s="7"/>
      <c r="J984" s="7"/>
      <c r="K984" s="7"/>
      <c r="L984" s="7" t="s">
        <v>662</v>
      </c>
      <c r="M984" s="8">
        <v>44287</v>
      </c>
      <c r="N984" s="8">
        <v>44287</v>
      </c>
      <c r="O984" s="13">
        <v>8599047.6199999992</v>
      </c>
      <c r="P984" s="13"/>
      <c r="Q984" s="33"/>
      <c r="R984" s="9"/>
      <c r="S984" s="9"/>
      <c r="T984" s="9"/>
      <c r="U984" s="9"/>
      <c r="X984" s="15" t="str">
        <f>IF(B984="",VLOOKUP(A984,items_lookup!A:B,2,FALSE),B984)</f>
        <v>04. Item 04</v>
      </c>
      <c r="Y984" s="15">
        <f t="shared" si="92"/>
        <v>4</v>
      </c>
      <c r="Z984" s="15">
        <f t="shared" si="92"/>
        <v>4</v>
      </c>
      <c r="AA984" s="15">
        <f t="shared" si="89"/>
        <v>2021</v>
      </c>
      <c r="AB984" s="15">
        <f t="shared" si="90"/>
        <v>2021</v>
      </c>
      <c r="AC984" s="15">
        <f t="shared" si="91"/>
        <v>2021</v>
      </c>
      <c r="AD984" s="18" t="b">
        <f t="shared" si="88"/>
        <v>1</v>
      </c>
    </row>
    <row r="985" spans="1:30" ht="15" hidden="1" customHeight="1" x14ac:dyDescent="0.2">
      <c r="A985" s="7" t="s">
        <v>689</v>
      </c>
      <c r="B985" s="7"/>
      <c r="C985" s="2" t="s">
        <v>641</v>
      </c>
      <c r="D985" s="6" t="s">
        <v>649</v>
      </c>
      <c r="E985" s="32" t="s">
        <v>651</v>
      </c>
      <c r="F985" s="7"/>
      <c r="G985" s="7"/>
      <c r="H985" s="7"/>
      <c r="I985" s="7"/>
      <c r="J985" s="7"/>
      <c r="K985" s="7"/>
      <c r="L985" s="7" t="s">
        <v>662</v>
      </c>
      <c r="M985" s="8">
        <v>44317</v>
      </c>
      <c r="N985" s="8">
        <v>44317</v>
      </c>
      <c r="O985" s="13">
        <v>8928571.4299999997</v>
      </c>
      <c r="P985" s="13"/>
      <c r="Q985" s="33"/>
      <c r="R985" s="9"/>
      <c r="S985" s="9"/>
      <c r="T985" s="9"/>
      <c r="U985" s="9"/>
      <c r="X985" s="15" t="str">
        <f>IF(B985="",VLOOKUP(A985,items_lookup!A:B,2,FALSE),B985)</f>
        <v>04. Item 04</v>
      </c>
      <c r="Y985" s="15">
        <f t="shared" si="92"/>
        <v>5</v>
      </c>
      <c r="Z985" s="15">
        <f t="shared" si="92"/>
        <v>5</v>
      </c>
      <c r="AA985" s="15">
        <f t="shared" si="89"/>
        <v>2021</v>
      </c>
      <c r="AB985" s="15">
        <f t="shared" si="90"/>
        <v>2021</v>
      </c>
      <c r="AC985" s="15">
        <f t="shared" si="91"/>
        <v>2021</v>
      </c>
      <c r="AD985" s="18" t="b">
        <f t="shared" si="88"/>
        <v>1</v>
      </c>
    </row>
    <row r="986" spans="1:30" ht="15" hidden="1" customHeight="1" x14ac:dyDescent="0.2">
      <c r="A986" s="7" t="s">
        <v>683</v>
      </c>
      <c r="B986" s="7"/>
      <c r="C986" s="2" t="s">
        <v>641</v>
      </c>
      <c r="D986" s="6" t="s">
        <v>649</v>
      </c>
      <c r="E986" s="32" t="s">
        <v>651</v>
      </c>
      <c r="F986" s="7"/>
      <c r="G986" s="7"/>
      <c r="H986" s="7"/>
      <c r="I986" s="7"/>
      <c r="J986" s="7"/>
      <c r="K986" s="7"/>
      <c r="L986" s="7" t="s">
        <v>662</v>
      </c>
      <c r="M986" s="8">
        <v>44348</v>
      </c>
      <c r="N986" s="8">
        <v>44348</v>
      </c>
      <c r="O986" s="13">
        <v>10000000</v>
      </c>
      <c r="P986" s="13"/>
      <c r="Q986" s="33"/>
      <c r="R986" s="9"/>
      <c r="S986" s="9"/>
      <c r="T986" s="9"/>
      <c r="U986" s="9"/>
      <c r="X986" s="15" t="str">
        <f>IF(B986="",VLOOKUP(A986,items_lookup!A:B,2,FALSE),B986)</f>
        <v>_1. Item _1</v>
      </c>
      <c r="Y986" s="15">
        <f t="shared" si="92"/>
        <v>6</v>
      </c>
      <c r="Z986" s="15">
        <f t="shared" si="92"/>
        <v>6</v>
      </c>
      <c r="AA986" s="15">
        <f t="shared" si="89"/>
        <v>2021</v>
      </c>
      <c r="AB986" s="15">
        <f t="shared" si="90"/>
        <v>2021</v>
      </c>
      <c r="AC986" s="15">
        <f t="shared" si="91"/>
        <v>2021</v>
      </c>
      <c r="AD986" s="18" t="b">
        <f t="shared" si="88"/>
        <v>1</v>
      </c>
    </row>
    <row r="987" spans="1:30" ht="15" hidden="1" customHeight="1" x14ac:dyDescent="0.2">
      <c r="A987" s="7" t="s">
        <v>675</v>
      </c>
      <c r="B987" s="20"/>
      <c r="C987" s="2" t="s">
        <v>641</v>
      </c>
      <c r="D987" s="6" t="s">
        <v>649</v>
      </c>
      <c r="E987" s="32" t="s">
        <v>651</v>
      </c>
      <c r="F987" s="7"/>
      <c r="G987" s="7"/>
      <c r="H987" s="7"/>
      <c r="I987" s="7"/>
      <c r="J987" s="7"/>
      <c r="K987" s="7"/>
      <c r="L987" s="7" t="s">
        <v>662</v>
      </c>
      <c r="M987" s="8">
        <v>44287</v>
      </c>
      <c r="N987" s="8">
        <v>44287</v>
      </c>
      <c r="O987" s="13">
        <v>61904.76</v>
      </c>
      <c r="P987" s="13"/>
      <c r="Q987" s="33"/>
      <c r="R987" s="9"/>
      <c r="S987" s="9"/>
      <c r="T987" s="9"/>
      <c r="U987" s="9"/>
      <c r="X987" s="15" t="str">
        <f>IF(B987="",VLOOKUP(A987,items_lookup!A:B,2,FALSE),B987)</f>
        <v>09. Item 09</v>
      </c>
      <c r="Y987" s="15">
        <f t="shared" si="92"/>
        <v>4</v>
      </c>
      <c r="Z987" s="15">
        <f t="shared" si="92"/>
        <v>4</v>
      </c>
      <c r="AA987" s="15">
        <f t="shared" si="89"/>
        <v>2021</v>
      </c>
      <c r="AB987" s="15">
        <f t="shared" si="90"/>
        <v>2021</v>
      </c>
      <c r="AC987" s="15">
        <f t="shared" si="91"/>
        <v>2021</v>
      </c>
      <c r="AD987" s="18" t="b">
        <f t="shared" si="88"/>
        <v>1</v>
      </c>
    </row>
    <row r="988" spans="1:30" ht="15" hidden="1" customHeight="1" x14ac:dyDescent="0.2">
      <c r="A988" s="7" t="s">
        <v>675</v>
      </c>
      <c r="B988" s="20"/>
      <c r="C988" s="2" t="s">
        <v>641</v>
      </c>
      <c r="D988" s="6" t="s">
        <v>649</v>
      </c>
      <c r="E988" s="32" t="s">
        <v>651</v>
      </c>
      <c r="F988" s="7"/>
      <c r="G988" s="7"/>
      <c r="H988" s="7"/>
      <c r="I988" s="7"/>
      <c r="J988" s="7"/>
      <c r="K988" s="7"/>
      <c r="L988" s="7" t="s">
        <v>662</v>
      </c>
      <c r="M988" s="8">
        <v>44317</v>
      </c>
      <c r="N988" s="8">
        <v>44317</v>
      </c>
      <c r="O988" s="13">
        <v>1309523.81</v>
      </c>
      <c r="P988" s="13"/>
      <c r="Q988" s="33"/>
      <c r="R988" s="9"/>
      <c r="S988" s="9"/>
      <c r="T988" s="9"/>
      <c r="U988" s="9"/>
      <c r="X988" s="15" t="str">
        <f>IF(B988="",VLOOKUP(A988,items_lookup!A:B,2,FALSE),B988)</f>
        <v>09. Item 09</v>
      </c>
      <c r="Y988" s="15">
        <f t="shared" si="92"/>
        <v>5</v>
      </c>
      <c r="Z988" s="15">
        <f t="shared" si="92"/>
        <v>5</v>
      </c>
      <c r="AA988" s="15">
        <f t="shared" si="89"/>
        <v>2021</v>
      </c>
      <c r="AB988" s="15">
        <f t="shared" si="90"/>
        <v>2021</v>
      </c>
      <c r="AC988" s="15">
        <f t="shared" si="91"/>
        <v>2021</v>
      </c>
      <c r="AD988" s="18" t="b">
        <f t="shared" si="88"/>
        <v>1</v>
      </c>
    </row>
    <row r="989" spans="1:30" ht="15" hidden="1" customHeight="1" x14ac:dyDescent="0.2">
      <c r="A989" s="7" t="s">
        <v>683</v>
      </c>
      <c r="B989" s="20"/>
      <c r="C989" s="2" t="s">
        <v>641</v>
      </c>
      <c r="D989" s="6" t="s">
        <v>649</v>
      </c>
      <c r="E989" s="32" t="s">
        <v>651</v>
      </c>
      <c r="F989" s="7"/>
      <c r="G989" s="7"/>
      <c r="H989" s="7"/>
      <c r="I989" s="7"/>
      <c r="J989" s="7"/>
      <c r="K989" s="7"/>
      <c r="L989" s="7" t="s">
        <v>662</v>
      </c>
      <c r="M989" s="8">
        <v>44348</v>
      </c>
      <c r="N989" s="8">
        <v>44348</v>
      </c>
      <c r="O989" s="13">
        <v>2459523.81</v>
      </c>
      <c r="P989" s="13"/>
      <c r="Q989" s="33"/>
      <c r="R989" s="9"/>
      <c r="S989" s="9"/>
      <c r="T989" s="9"/>
      <c r="U989" s="9"/>
      <c r="X989" s="15" t="str">
        <f>IF(B989="",VLOOKUP(A989,items_lookup!A:B,2,FALSE),B989)</f>
        <v>_1. Item _1</v>
      </c>
      <c r="Y989" s="15">
        <f t="shared" si="92"/>
        <v>6</v>
      </c>
      <c r="Z989" s="15">
        <f t="shared" si="92"/>
        <v>6</v>
      </c>
      <c r="AA989" s="15">
        <f t="shared" si="89"/>
        <v>2021</v>
      </c>
      <c r="AB989" s="15">
        <f t="shared" si="90"/>
        <v>2021</v>
      </c>
      <c r="AC989" s="15">
        <f t="shared" si="91"/>
        <v>2021</v>
      </c>
      <c r="AD989" s="18" t="b">
        <f t="shared" si="88"/>
        <v>1</v>
      </c>
    </row>
    <row r="990" spans="1:30" ht="15" hidden="1" customHeight="1" x14ac:dyDescent="0.2">
      <c r="A990" s="7" t="s">
        <v>698</v>
      </c>
      <c r="B990" s="7"/>
      <c r="C990" s="2" t="s">
        <v>641</v>
      </c>
      <c r="D990" s="6" t="s">
        <v>649</v>
      </c>
      <c r="E990" s="32" t="s">
        <v>651</v>
      </c>
      <c r="F990" s="7"/>
      <c r="G990" s="7"/>
      <c r="H990" s="7"/>
      <c r="I990" s="7"/>
      <c r="J990" s="7"/>
      <c r="K990" s="7"/>
      <c r="L990" s="7" t="s">
        <v>662</v>
      </c>
      <c r="M990" s="8">
        <v>44287</v>
      </c>
      <c r="N990" s="8">
        <v>44287</v>
      </c>
      <c r="O990" s="13">
        <v>43095.24</v>
      </c>
      <c r="P990" s="13"/>
      <c r="Q990" s="33"/>
      <c r="R990" s="9"/>
      <c r="S990" s="9"/>
      <c r="T990" s="9"/>
      <c r="U990" s="9"/>
      <c r="X990" s="15" t="str">
        <f>IF(B990="",VLOOKUP(A990,items_lookup!A:B,2,FALSE),B990)</f>
        <v>10. Item 10</v>
      </c>
      <c r="Y990" s="15">
        <f t="shared" si="92"/>
        <v>4</v>
      </c>
      <c r="Z990" s="15">
        <f t="shared" si="92"/>
        <v>4</v>
      </c>
      <c r="AA990" s="15">
        <f t="shared" si="89"/>
        <v>2021</v>
      </c>
      <c r="AB990" s="15">
        <f t="shared" si="90"/>
        <v>2021</v>
      </c>
      <c r="AC990" s="15">
        <f t="shared" si="91"/>
        <v>2021</v>
      </c>
      <c r="AD990" s="18" t="b">
        <f t="shared" si="88"/>
        <v>1</v>
      </c>
    </row>
    <row r="991" spans="1:30" ht="15" hidden="1" customHeight="1" x14ac:dyDescent="0.2">
      <c r="A991" s="7" t="s">
        <v>697</v>
      </c>
      <c r="B991" s="7"/>
      <c r="C991" s="2" t="s">
        <v>641</v>
      </c>
      <c r="D991" s="6" t="s">
        <v>649</v>
      </c>
      <c r="E991" s="32" t="s">
        <v>651</v>
      </c>
      <c r="F991" s="7"/>
      <c r="G991" s="7"/>
      <c r="H991" s="7"/>
      <c r="I991" s="7"/>
      <c r="J991" s="7"/>
      <c r="K991" s="7"/>
      <c r="L991" s="7" t="s">
        <v>662</v>
      </c>
      <c r="M991" s="8">
        <v>44317</v>
      </c>
      <c r="N991" s="8">
        <v>44317</v>
      </c>
      <c r="O991" s="13">
        <v>720476.19</v>
      </c>
      <c r="P991" s="13"/>
      <c r="Q991" s="33"/>
      <c r="R991" s="9"/>
      <c r="S991" s="9"/>
      <c r="T991" s="9"/>
      <c r="U991" s="9"/>
      <c r="X991" s="15" t="str">
        <f>IF(B991="",VLOOKUP(A991,items_lookup!A:B,2,FALSE),B991)</f>
        <v>10. Item 10</v>
      </c>
      <c r="Y991" s="15">
        <f t="shared" si="92"/>
        <v>5</v>
      </c>
      <c r="Z991" s="15">
        <f t="shared" si="92"/>
        <v>5</v>
      </c>
      <c r="AA991" s="15">
        <f t="shared" si="89"/>
        <v>2021</v>
      </c>
      <c r="AB991" s="15">
        <f t="shared" si="90"/>
        <v>2021</v>
      </c>
      <c r="AC991" s="15">
        <f t="shared" si="91"/>
        <v>2021</v>
      </c>
      <c r="AD991" s="18" t="b">
        <f t="shared" si="88"/>
        <v>1</v>
      </c>
    </row>
    <row r="992" spans="1:30" ht="15" hidden="1" customHeight="1" x14ac:dyDescent="0.2">
      <c r="A992" s="7" t="s">
        <v>683</v>
      </c>
      <c r="B992" s="7"/>
      <c r="C992" s="2" t="s">
        <v>641</v>
      </c>
      <c r="D992" s="6" t="s">
        <v>649</v>
      </c>
      <c r="E992" s="32" t="s">
        <v>651</v>
      </c>
      <c r="F992" s="7"/>
      <c r="G992" s="7"/>
      <c r="H992" s="7"/>
      <c r="I992" s="7"/>
      <c r="J992" s="7"/>
      <c r="K992" s="7"/>
      <c r="L992" s="7" t="s">
        <v>662</v>
      </c>
      <c r="M992" s="8">
        <v>44348</v>
      </c>
      <c r="N992" s="8">
        <v>44348</v>
      </c>
      <c r="O992" s="13">
        <v>167857.14</v>
      </c>
      <c r="P992" s="13"/>
      <c r="Q992" s="33"/>
      <c r="R992" s="9"/>
      <c r="S992" s="9"/>
      <c r="T992" s="9"/>
      <c r="U992" s="9"/>
      <c r="X992" s="15" t="str">
        <f>IF(B992="",VLOOKUP(A992,items_lookup!A:B,2,FALSE),B992)</f>
        <v>_1. Item _1</v>
      </c>
      <c r="Y992" s="15">
        <f t="shared" si="92"/>
        <v>6</v>
      </c>
      <c r="Z992" s="15">
        <f t="shared" si="92"/>
        <v>6</v>
      </c>
      <c r="AA992" s="15">
        <f t="shared" si="89"/>
        <v>2021</v>
      </c>
      <c r="AB992" s="15">
        <f t="shared" si="90"/>
        <v>2021</v>
      </c>
      <c r="AC992" s="15">
        <f t="shared" si="91"/>
        <v>2021</v>
      </c>
      <c r="AD992" s="18" t="b">
        <f t="shared" si="88"/>
        <v>1</v>
      </c>
    </row>
    <row r="993" spans="1:30" ht="15" hidden="1" customHeight="1" x14ac:dyDescent="0.2">
      <c r="A993" s="7" t="s">
        <v>683</v>
      </c>
      <c r="B993" s="7"/>
      <c r="C993" s="2" t="s">
        <v>641</v>
      </c>
      <c r="D993" s="6" t="s">
        <v>649</v>
      </c>
      <c r="E993" s="32" t="s">
        <v>651</v>
      </c>
      <c r="F993" s="7"/>
      <c r="G993" s="7"/>
      <c r="H993" s="7"/>
      <c r="I993" s="7"/>
      <c r="J993" s="7"/>
      <c r="K993" s="7"/>
      <c r="L993" s="7" t="s">
        <v>662</v>
      </c>
      <c r="M993" s="8">
        <v>44287</v>
      </c>
      <c r="N993" s="8">
        <v>44287</v>
      </c>
      <c r="O993" s="13">
        <v>945238.1</v>
      </c>
      <c r="P993" s="13"/>
      <c r="Q993" s="33"/>
      <c r="R993" s="9"/>
      <c r="S993" s="9"/>
      <c r="T993" s="9"/>
      <c r="U993" s="9"/>
      <c r="X993" s="15" t="str">
        <f>IF(B993="",VLOOKUP(A993,items_lookup!A:B,2,FALSE),B993)</f>
        <v>_1. Item _1</v>
      </c>
      <c r="Y993" s="15">
        <f t="shared" si="92"/>
        <v>4</v>
      </c>
      <c r="Z993" s="15">
        <f t="shared" si="92"/>
        <v>4</v>
      </c>
      <c r="AA993" s="15">
        <f t="shared" si="89"/>
        <v>2021</v>
      </c>
      <c r="AB993" s="15">
        <f t="shared" si="90"/>
        <v>2021</v>
      </c>
      <c r="AC993" s="15">
        <f t="shared" si="91"/>
        <v>2021</v>
      </c>
      <c r="AD993" s="18" t="b">
        <f t="shared" si="88"/>
        <v>1</v>
      </c>
    </row>
    <row r="994" spans="1:30" ht="15" hidden="1" customHeight="1" x14ac:dyDescent="0.2">
      <c r="A994" s="7" t="s">
        <v>683</v>
      </c>
      <c r="B994" s="7"/>
      <c r="C994" s="2" t="s">
        <v>641</v>
      </c>
      <c r="D994" s="6" t="s">
        <v>649</v>
      </c>
      <c r="E994" s="32" t="s">
        <v>651</v>
      </c>
      <c r="F994" s="7"/>
      <c r="G994" s="7"/>
      <c r="H994" s="7"/>
      <c r="I994" s="7"/>
      <c r="J994" s="7"/>
      <c r="K994" s="7"/>
      <c r="L994" s="7" t="s">
        <v>662</v>
      </c>
      <c r="M994" s="8">
        <v>44317</v>
      </c>
      <c r="N994" s="8">
        <v>44317</v>
      </c>
      <c r="O994" s="13">
        <v>345285.71</v>
      </c>
      <c r="P994" s="13"/>
      <c r="Q994" s="33"/>
      <c r="R994" s="9"/>
      <c r="S994" s="9"/>
      <c r="T994" s="9"/>
      <c r="U994" s="9"/>
      <c r="X994" s="15" t="str">
        <f>IF(B994="",VLOOKUP(A994,items_lookup!A:B,2,FALSE),B994)</f>
        <v>_1. Item _1</v>
      </c>
      <c r="Y994" s="15">
        <f t="shared" si="92"/>
        <v>5</v>
      </c>
      <c r="Z994" s="15">
        <f t="shared" si="92"/>
        <v>5</v>
      </c>
      <c r="AA994" s="15">
        <f t="shared" si="89"/>
        <v>2021</v>
      </c>
      <c r="AB994" s="15">
        <f t="shared" si="90"/>
        <v>2021</v>
      </c>
      <c r="AC994" s="15">
        <f t="shared" si="91"/>
        <v>2021</v>
      </c>
      <c r="AD994" s="18" t="b">
        <f t="shared" si="88"/>
        <v>1</v>
      </c>
    </row>
    <row r="995" spans="1:30" ht="15" hidden="1" customHeight="1" x14ac:dyDescent="0.2">
      <c r="A995" s="7" t="s">
        <v>683</v>
      </c>
      <c r="B995" s="7"/>
      <c r="C995" s="2" t="s">
        <v>641</v>
      </c>
      <c r="D995" s="6" t="s">
        <v>649</v>
      </c>
      <c r="E995" s="32" t="s">
        <v>651</v>
      </c>
      <c r="F995" s="7"/>
      <c r="G995" s="7"/>
      <c r="H995" s="7"/>
      <c r="I995" s="7"/>
      <c r="J995" s="7"/>
      <c r="K995" s="7"/>
      <c r="L995" s="7" t="s">
        <v>662</v>
      </c>
      <c r="M995" s="8">
        <v>44348</v>
      </c>
      <c r="N995" s="8">
        <v>44348</v>
      </c>
      <c r="O995" s="13">
        <v>666666.67000000004</v>
      </c>
      <c r="P995" s="13"/>
      <c r="Q995" s="33"/>
      <c r="R995" s="9"/>
      <c r="S995" s="9"/>
      <c r="T995" s="9"/>
      <c r="U995" s="9"/>
      <c r="X995" s="15" t="str">
        <f>IF(B995="",VLOOKUP(A995,items_lookup!A:B,2,FALSE),B995)</f>
        <v>_1. Item _1</v>
      </c>
      <c r="Y995" s="15">
        <f t="shared" si="92"/>
        <v>6</v>
      </c>
      <c r="Z995" s="15">
        <f t="shared" si="92"/>
        <v>6</v>
      </c>
      <c r="AA995" s="15">
        <f t="shared" si="89"/>
        <v>2021</v>
      </c>
      <c r="AB995" s="15">
        <f t="shared" si="90"/>
        <v>2021</v>
      </c>
      <c r="AC995" s="15">
        <f t="shared" si="91"/>
        <v>2021</v>
      </c>
      <c r="AD995" s="18" t="b">
        <f t="shared" si="88"/>
        <v>1</v>
      </c>
    </row>
    <row r="996" spans="1:30" ht="15" hidden="1" customHeight="1" x14ac:dyDescent="0.2">
      <c r="A996" s="7" t="s">
        <v>686</v>
      </c>
      <c r="B996" s="7"/>
      <c r="C996" s="2" t="s">
        <v>641</v>
      </c>
      <c r="D996" s="6" t="s">
        <v>649</v>
      </c>
      <c r="E996" s="32" t="s">
        <v>651</v>
      </c>
      <c r="F996" s="7"/>
      <c r="G996" s="7"/>
      <c r="H996" s="7"/>
      <c r="I996" s="7"/>
      <c r="J996" s="7"/>
      <c r="K996" s="7"/>
      <c r="L996" s="7" t="s">
        <v>662</v>
      </c>
      <c r="M996" s="8">
        <v>44287</v>
      </c>
      <c r="N996" s="8">
        <v>44287</v>
      </c>
      <c r="O996" s="13">
        <v>202380.95</v>
      </c>
      <c r="P996" s="13"/>
      <c r="Q996" s="33"/>
      <c r="R996" s="9"/>
      <c r="S996" s="9"/>
      <c r="T996" s="9"/>
      <c r="U996" s="9"/>
      <c r="X996" s="15" t="str">
        <f>IF(B996="",VLOOKUP(A996,items_lookup!A:B,2,FALSE),B996)</f>
        <v>_2. Item _2</v>
      </c>
      <c r="Y996" s="15">
        <f t="shared" si="92"/>
        <v>4</v>
      </c>
      <c r="Z996" s="15">
        <f t="shared" si="92"/>
        <v>4</v>
      </c>
      <c r="AA996" s="15">
        <f t="shared" si="89"/>
        <v>2021</v>
      </c>
      <c r="AB996" s="15">
        <f t="shared" si="90"/>
        <v>2021</v>
      </c>
      <c r="AC996" s="15">
        <f t="shared" si="91"/>
        <v>2021</v>
      </c>
      <c r="AD996" s="18" t="b">
        <f t="shared" si="88"/>
        <v>1</v>
      </c>
    </row>
    <row r="997" spans="1:30" ht="15" hidden="1" customHeight="1" x14ac:dyDescent="0.2">
      <c r="A997" s="7" t="s">
        <v>683</v>
      </c>
      <c r="B997" s="7"/>
      <c r="C997" s="2" t="s">
        <v>641</v>
      </c>
      <c r="D997" s="6" t="s">
        <v>649</v>
      </c>
      <c r="E997" s="32" t="s">
        <v>651</v>
      </c>
      <c r="F997" s="7"/>
      <c r="G997" s="7"/>
      <c r="H997" s="7"/>
      <c r="I997" s="7"/>
      <c r="J997" s="7"/>
      <c r="K997" s="7"/>
      <c r="L997" s="7" t="s">
        <v>662</v>
      </c>
      <c r="M997" s="8">
        <v>44317</v>
      </c>
      <c r="N997" s="8">
        <v>44317</v>
      </c>
      <c r="O997" s="13">
        <v>200476.19</v>
      </c>
      <c r="P997" s="13"/>
      <c r="Q997" s="33"/>
      <c r="R997" s="9"/>
      <c r="S997" s="9"/>
      <c r="T997" s="9"/>
      <c r="U997" s="9"/>
      <c r="X997" s="15" t="str">
        <f>IF(B997="",VLOOKUP(A997,items_lookup!A:B,2,FALSE),B997)</f>
        <v>_1. Item _1</v>
      </c>
      <c r="Y997" s="15">
        <f t="shared" si="92"/>
        <v>5</v>
      </c>
      <c r="Z997" s="15">
        <f t="shared" si="92"/>
        <v>5</v>
      </c>
      <c r="AA997" s="15">
        <f t="shared" si="89"/>
        <v>2021</v>
      </c>
      <c r="AB997" s="15">
        <f t="shared" si="90"/>
        <v>2021</v>
      </c>
      <c r="AC997" s="15">
        <f t="shared" si="91"/>
        <v>2021</v>
      </c>
      <c r="AD997" s="18" t="b">
        <f t="shared" si="88"/>
        <v>1</v>
      </c>
    </row>
    <row r="998" spans="1:30" ht="15" hidden="1" customHeight="1" x14ac:dyDescent="0.2">
      <c r="A998" s="7" t="s">
        <v>686</v>
      </c>
      <c r="B998" s="7"/>
      <c r="C998" s="2" t="s">
        <v>641</v>
      </c>
      <c r="D998" s="6" t="s">
        <v>649</v>
      </c>
      <c r="E998" s="32" t="s">
        <v>651</v>
      </c>
      <c r="F998" s="7"/>
      <c r="G998" s="7"/>
      <c r="H998" s="7"/>
      <c r="I998" s="7"/>
      <c r="J998" s="7"/>
      <c r="K998" s="7"/>
      <c r="L998" s="7" t="s">
        <v>662</v>
      </c>
      <c r="M998" s="8">
        <v>44348</v>
      </c>
      <c r="N998" s="8">
        <v>44348</v>
      </c>
      <c r="O998" s="13">
        <v>252380.95</v>
      </c>
      <c r="P998" s="13"/>
      <c r="Q998" s="33"/>
      <c r="R998" s="9"/>
      <c r="S998" s="9"/>
      <c r="T998" s="9"/>
      <c r="U998" s="9"/>
      <c r="X998" s="15" t="str">
        <f>IF(B998="",VLOOKUP(A998,items_lookup!A:B,2,FALSE),B998)</f>
        <v>_2. Item _2</v>
      </c>
      <c r="Y998" s="15">
        <f t="shared" si="92"/>
        <v>6</v>
      </c>
      <c r="Z998" s="15">
        <f t="shared" si="92"/>
        <v>6</v>
      </c>
      <c r="AA998" s="15">
        <f t="shared" si="89"/>
        <v>2021</v>
      </c>
      <c r="AB998" s="15">
        <f t="shared" si="90"/>
        <v>2021</v>
      </c>
      <c r="AC998" s="15">
        <f t="shared" si="91"/>
        <v>2021</v>
      </c>
      <c r="AD998" s="18" t="b">
        <f t="shared" si="88"/>
        <v>1</v>
      </c>
    </row>
    <row r="999" spans="1:30" ht="15" hidden="1" customHeight="1" x14ac:dyDescent="0.2">
      <c r="A999" s="7" t="s">
        <v>683</v>
      </c>
      <c r="B999" s="7"/>
      <c r="C999" s="2" t="s">
        <v>641</v>
      </c>
      <c r="D999" s="6" t="s">
        <v>649</v>
      </c>
      <c r="E999" s="32" t="s">
        <v>651</v>
      </c>
      <c r="F999" s="7"/>
      <c r="G999" s="7"/>
      <c r="H999" s="7"/>
      <c r="I999" s="7"/>
      <c r="J999" s="7"/>
      <c r="K999" s="7"/>
      <c r="L999" s="7" t="s">
        <v>662</v>
      </c>
      <c r="M999" s="8">
        <v>44287</v>
      </c>
      <c r="N999" s="8">
        <v>44287</v>
      </c>
      <c r="O999" s="13">
        <v>3333.33</v>
      </c>
      <c r="P999" s="13"/>
      <c r="Q999" s="33"/>
      <c r="R999" s="22"/>
      <c r="S999" s="22"/>
      <c r="T999" s="22"/>
      <c r="U999" s="22"/>
      <c r="X999" s="15" t="str">
        <f>IF(B999="",VLOOKUP(A999,items_lookup!A:B,2,FALSE),B999)</f>
        <v>_1. Item _1</v>
      </c>
      <c r="Y999" s="15">
        <f t="shared" si="92"/>
        <v>4</v>
      </c>
      <c r="Z999" s="15">
        <f t="shared" si="92"/>
        <v>4</v>
      </c>
      <c r="AA999" s="15">
        <f t="shared" si="89"/>
        <v>2021</v>
      </c>
      <c r="AB999" s="15">
        <f t="shared" si="90"/>
        <v>2021</v>
      </c>
      <c r="AC999" s="15">
        <f t="shared" si="91"/>
        <v>2021</v>
      </c>
      <c r="AD999" s="18" t="b">
        <f t="shared" si="88"/>
        <v>1</v>
      </c>
    </row>
    <row r="1000" spans="1:30" ht="12.6" hidden="1" customHeight="1" x14ac:dyDescent="0.2">
      <c r="A1000" s="7" t="s">
        <v>686</v>
      </c>
      <c r="B1000" s="7"/>
      <c r="C1000" s="2" t="s">
        <v>641</v>
      </c>
      <c r="D1000" s="6" t="s">
        <v>649</v>
      </c>
      <c r="E1000" s="32" t="s">
        <v>651</v>
      </c>
      <c r="F1000" s="7"/>
      <c r="G1000" s="7"/>
      <c r="H1000" s="7"/>
      <c r="I1000" s="7"/>
      <c r="J1000" s="7"/>
      <c r="K1000" s="7"/>
      <c r="L1000" s="7" t="s">
        <v>662</v>
      </c>
      <c r="M1000" s="8">
        <v>44317</v>
      </c>
      <c r="N1000" s="8">
        <v>44317</v>
      </c>
      <c r="O1000" s="13">
        <v>6380.95</v>
      </c>
      <c r="P1000" s="13"/>
      <c r="Q1000" s="33"/>
      <c r="R1000" s="22"/>
      <c r="S1000" s="22"/>
      <c r="T1000" s="22"/>
      <c r="U1000" s="22"/>
      <c r="X1000" s="15" t="str">
        <f>IF(B1000="",VLOOKUP(A1000,items_lookup!A:B,2,FALSE),B1000)</f>
        <v>_2. Item _2</v>
      </c>
      <c r="Y1000" s="15">
        <f t="shared" si="92"/>
        <v>5</v>
      </c>
      <c r="Z1000" s="15">
        <f t="shared" si="92"/>
        <v>5</v>
      </c>
      <c r="AA1000" s="15">
        <f t="shared" si="89"/>
        <v>2021</v>
      </c>
      <c r="AB1000" s="15">
        <f t="shared" si="90"/>
        <v>2021</v>
      </c>
      <c r="AC1000" s="15">
        <f t="shared" si="91"/>
        <v>2021</v>
      </c>
      <c r="AD1000" s="18" t="b">
        <f t="shared" si="88"/>
        <v>1</v>
      </c>
    </row>
    <row r="1001" spans="1:30" ht="12.6" hidden="1" customHeight="1" x14ac:dyDescent="0.2">
      <c r="A1001" s="7" t="s">
        <v>683</v>
      </c>
      <c r="B1001" s="7"/>
      <c r="C1001" s="2" t="s">
        <v>641</v>
      </c>
      <c r="D1001" s="6" t="s">
        <v>649</v>
      </c>
      <c r="E1001" s="32" t="s">
        <v>651</v>
      </c>
      <c r="F1001" s="7"/>
      <c r="G1001" s="7"/>
      <c r="H1001" s="7"/>
      <c r="I1001" s="7"/>
      <c r="J1001" s="7"/>
      <c r="K1001" s="7"/>
      <c r="L1001" s="7" t="s">
        <v>662</v>
      </c>
      <c r="M1001" s="8">
        <v>44287</v>
      </c>
      <c r="N1001" s="8">
        <v>44287</v>
      </c>
      <c r="O1001" s="13">
        <v>51904.76</v>
      </c>
      <c r="P1001" s="13"/>
      <c r="Q1001" s="33"/>
      <c r="R1001" s="22"/>
      <c r="S1001" s="22"/>
      <c r="T1001" s="22"/>
      <c r="U1001" s="22"/>
      <c r="X1001" s="15" t="str">
        <f>IF(B1001="",VLOOKUP(A1001,items_lookup!A:B,2,FALSE),B1001)</f>
        <v>_1. Item _1</v>
      </c>
      <c r="Y1001" s="15">
        <f t="shared" si="92"/>
        <v>4</v>
      </c>
      <c r="Z1001" s="15">
        <f t="shared" si="92"/>
        <v>4</v>
      </c>
      <c r="AA1001" s="15">
        <f t="shared" si="89"/>
        <v>2021</v>
      </c>
      <c r="AB1001" s="15">
        <f t="shared" si="90"/>
        <v>2021</v>
      </c>
      <c r="AC1001" s="15">
        <f t="shared" si="91"/>
        <v>2021</v>
      </c>
      <c r="AD1001" s="18" t="b">
        <f t="shared" si="88"/>
        <v>1</v>
      </c>
    </row>
    <row r="1002" spans="1:30" ht="15" hidden="1" customHeight="1" x14ac:dyDescent="0.2">
      <c r="A1002" s="7" t="s">
        <v>686</v>
      </c>
      <c r="B1002" s="7"/>
      <c r="C1002" s="2" t="s">
        <v>641</v>
      </c>
      <c r="D1002" s="6" t="s">
        <v>649</v>
      </c>
      <c r="E1002" s="32" t="s">
        <v>651</v>
      </c>
      <c r="F1002" s="7"/>
      <c r="G1002" s="7"/>
      <c r="H1002" s="7"/>
      <c r="I1002" s="7"/>
      <c r="J1002" s="7"/>
      <c r="K1002" s="7"/>
      <c r="L1002" s="7" t="s">
        <v>662</v>
      </c>
      <c r="M1002" s="8">
        <v>44317</v>
      </c>
      <c r="N1002" s="8">
        <v>44317</v>
      </c>
      <c r="O1002" s="13">
        <v>41428.57</v>
      </c>
      <c r="P1002" s="13"/>
      <c r="Q1002" s="33"/>
      <c r="R1002" s="22"/>
      <c r="S1002" s="22"/>
      <c r="T1002" s="22"/>
      <c r="U1002" s="22"/>
      <c r="X1002" s="15" t="str">
        <f>IF(B1002="",VLOOKUP(A1002,items_lookup!A:B,2,FALSE),B1002)</f>
        <v>_2. Item _2</v>
      </c>
      <c r="Y1002" s="15">
        <f t="shared" si="92"/>
        <v>5</v>
      </c>
      <c r="Z1002" s="15">
        <f t="shared" si="92"/>
        <v>5</v>
      </c>
      <c r="AA1002" s="15">
        <f t="shared" si="89"/>
        <v>2021</v>
      </c>
      <c r="AB1002" s="15">
        <f t="shared" si="90"/>
        <v>2021</v>
      </c>
      <c r="AC1002" s="15">
        <f t="shared" si="91"/>
        <v>2021</v>
      </c>
      <c r="AD1002" s="18" t="b">
        <f t="shared" si="88"/>
        <v>1</v>
      </c>
    </row>
    <row r="1003" spans="1:30" ht="15" hidden="1" customHeight="1" x14ac:dyDescent="0.2">
      <c r="A1003" s="7" t="s">
        <v>683</v>
      </c>
      <c r="B1003" s="7"/>
      <c r="C1003" s="2" t="s">
        <v>641</v>
      </c>
      <c r="D1003" s="6" t="s">
        <v>649</v>
      </c>
      <c r="E1003" s="32" t="s">
        <v>651</v>
      </c>
      <c r="F1003" s="7"/>
      <c r="G1003" s="7"/>
      <c r="H1003" s="7"/>
      <c r="I1003" s="7"/>
      <c r="J1003" s="7"/>
      <c r="K1003" s="7"/>
      <c r="L1003" s="7" t="s">
        <v>662</v>
      </c>
      <c r="M1003" s="8">
        <v>44348</v>
      </c>
      <c r="N1003" s="8">
        <v>44348</v>
      </c>
      <c r="O1003" s="13">
        <v>42142.86</v>
      </c>
      <c r="P1003" s="13"/>
      <c r="Q1003" s="33"/>
      <c r="R1003" s="22"/>
      <c r="S1003" s="22"/>
      <c r="T1003" s="22"/>
      <c r="U1003" s="22"/>
      <c r="X1003" s="15" t="str">
        <f>IF(B1003="",VLOOKUP(A1003,items_lookup!A:B,2,FALSE),B1003)</f>
        <v>_1. Item _1</v>
      </c>
      <c r="Y1003" s="15">
        <f t="shared" si="92"/>
        <v>6</v>
      </c>
      <c r="Z1003" s="15">
        <f t="shared" si="92"/>
        <v>6</v>
      </c>
      <c r="AA1003" s="15">
        <f t="shared" si="89"/>
        <v>2021</v>
      </c>
      <c r="AB1003" s="15">
        <f t="shared" si="90"/>
        <v>2021</v>
      </c>
      <c r="AC1003" s="15">
        <f t="shared" si="91"/>
        <v>2021</v>
      </c>
      <c r="AD1003" s="18" t="b">
        <f t="shared" si="88"/>
        <v>1</v>
      </c>
    </row>
    <row r="1004" spans="1:30" ht="15" hidden="1" customHeight="1" x14ac:dyDescent="0.2">
      <c r="A1004" s="7" t="s">
        <v>686</v>
      </c>
      <c r="B1004" s="7" t="s">
        <v>712</v>
      </c>
      <c r="C1004" s="2" t="s">
        <v>641</v>
      </c>
      <c r="D1004" s="6" t="s">
        <v>649</v>
      </c>
      <c r="E1004" s="32" t="s">
        <v>651</v>
      </c>
      <c r="F1004" s="7"/>
      <c r="G1004" s="7"/>
      <c r="H1004" s="7"/>
      <c r="I1004" s="7"/>
      <c r="J1004" s="7"/>
      <c r="K1004" s="7"/>
      <c r="L1004" s="7" t="s">
        <v>662</v>
      </c>
      <c r="M1004" s="8">
        <v>44287</v>
      </c>
      <c r="N1004" s="8">
        <v>44287</v>
      </c>
      <c r="O1004" s="13">
        <v>152619.04999999999</v>
      </c>
      <c r="P1004" s="13"/>
      <c r="Q1004" s="33"/>
      <c r="R1004" s="22"/>
      <c r="S1004" s="22"/>
      <c r="T1004" s="22"/>
      <c r="U1004" s="22"/>
      <c r="X1004" s="15" t="str">
        <f>IF(B1004="",VLOOKUP(A1004,items_lookup!A:B,2,FALSE),B1004)</f>
        <v>10. Item 10</v>
      </c>
      <c r="Y1004" s="15">
        <f t="shared" si="92"/>
        <v>4</v>
      </c>
      <c r="Z1004" s="15">
        <f t="shared" si="92"/>
        <v>4</v>
      </c>
      <c r="AA1004" s="15">
        <f t="shared" si="89"/>
        <v>2021</v>
      </c>
      <c r="AB1004" s="15">
        <f t="shared" si="90"/>
        <v>2021</v>
      </c>
      <c r="AC1004" s="15">
        <f t="shared" si="91"/>
        <v>2021</v>
      </c>
      <c r="AD1004" s="18" t="b">
        <f t="shared" si="88"/>
        <v>1</v>
      </c>
    </row>
    <row r="1005" spans="1:30" ht="15" hidden="1" customHeight="1" x14ac:dyDescent="0.2">
      <c r="A1005" s="7" t="s">
        <v>683</v>
      </c>
      <c r="B1005" s="7" t="s">
        <v>712</v>
      </c>
      <c r="C1005" s="2" t="s">
        <v>641</v>
      </c>
      <c r="D1005" s="6" t="s">
        <v>649</v>
      </c>
      <c r="E1005" s="32" t="s">
        <v>651</v>
      </c>
      <c r="F1005" s="7"/>
      <c r="G1005" s="7"/>
      <c r="H1005" s="7"/>
      <c r="I1005" s="7"/>
      <c r="J1005" s="7"/>
      <c r="K1005" s="7"/>
      <c r="L1005" s="7" t="s">
        <v>662</v>
      </c>
      <c r="M1005" s="8">
        <v>44317</v>
      </c>
      <c r="N1005" s="8">
        <v>44317</v>
      </c>
      <c r="O1005" s="13">
        <v>150000</v>
      </c>
      <c r="P1005" s="13"/>
      <c r="Q1005" s="33"/>
      <c r="R1005" s="22"/>
      <c r="S1005" s="22"/>
      <c r="T1005" s="22"/>
      <c r="U1005" s="22"/>
      <c r="X1005" s="15" t="str">
        <f>IF(B1005="",VLOOKUP(A1005,items_lookup!A:B,2,FALSE),B1005)</f>
        <v>10. Item 10</v>
      </c>
      <c r="Y1005" s="15">
        <f t="shared" si="92"/>
        <v>5</v>
      </c>
      <c r="Z1005" s="15">
        <f t="shared" si="92"/>
        <v>5</v>
      </c>
      <c r="AA1005" s="15">
        <f t="shared" si="89"/>
        <v>2021</v>
      </c>
      <c r="AB1005" s="15">
        <f t="shared" si="90"/>
        <v>2021</v>
      </c>
      <c r="AC1005" s="15">
        <f t="shared" si="91"/>
        <v>2021</v>
      </c>
      <c r="AD1005" s="18" t="b">
        <f t="shared" si="88"/>
        <v>1</v>
      </c>
    </row>
    <row r="1006" spans="1:30" ht="15" hidden="1" customHeight="1" x14ac:dyDescent="0.2">
      <c r="A1006" s="7" t="s">
        <v>686</v>
      </c>
      <c r="B1006" s="7" t="s">
        <v>712</v>
      </c>
      <c r="C1006" s="2" t="s">
        <v>641</v>
      </c>
      <c r="D1006" s="6" t="s">
        <v>649</v>
      </c>
      <c r="E1006" s="32" t="s">
        <v>651</v>
      </c>
      <c r="F1006" s="7"/>
      <c r="G1006" s="7"/>
      <c r="H1006" s="7"/>
      <c r="I1006" s="7"/>
      <c r="J1006" s="7"/>
      <c r="K1006" s="7"/>
      <c r="L1006" s="7" t="s">
        <v>662</v>
      </c>
      <c r="M1006" s="8">
        <v>44348</v>
      </c>
      <c r="N1006" s="8">
        <v>44348</v>
      </c>
      <c r="O1006" s="13">
        <v>188095.24</v>
      </c>
      <c r="P1006" s="13"/>
      <c r="Q1006" s="33"/>
      <c r="R1006" s="22"/>
      <c r="S1006" s="22"/>
      <c r="T1006" s="22"/>
      <c r="U1006" s="22"/>
      <c r="X1006" s="15" t="str">
        <f>IF(B1006="",VLOOKUP(A1006,items_lookup!A:B,2,FALSE),B1006)</f>
        <v>10. Item 10</v>
      </c>
      <c r="Y1006" s="15">
        <f t="shared" si="92"/>
        <v>6</v>
      </c>
      <c r="Z1006" s="15">
        <f t="shared" si="92"/>
        <v>6</v>
      </c>
      <c r="AA1006" s="15">
        <f t="shared" si="89"/>
        <v>2021</v>
      </c>
      <c r="AB1006" s="15">
        <f t="shared" si="90"/>
        <v>2021</v>
      </c>
      <c r="AC1006" s="15">
        <f t="shared" si="91"/>
        <v>2021</v>
      </c>
      <c r="AD1006" s="18" t="b">
        <f t="shared" si="88"/>
        <v>1</v>
      </c>
    </row>
    <row r="1007" spans="1:30" ht="15" hidden="1" customHeight="1" x14ac:dyDescent="0.2">
      <c r="A1007" s="7" t="s">
        <v>703</v>
      </c>
      <c r="B1007" s="7" t="s">
        <v>711</v>
      </c>
      <c r="C1007" s="2" t="s">
        <v>641</v>
      </c>
      <c r="D1007" s="6" t="s">
        <v>649</v>
      </c>
      <c r="E1007" s="32" t="s">
        <v>651</v>
      </c>
      <c r="F1007" s="7"/>
      <c r="G1007" s="7"/>
      <c r="H1007" s="7"/>
      <c r="I1007" s="7"/>
      <c r="J1007" s="7"/>
      <c r="K1007" s="7"/>
      <c r="L1007" s="7" t="s">
        <v>662</v>
      </c>
      <c r="M1007" s="8">
        <v>44287</v>
      </c>
      <c r="N1007" s="8">
        <v>44287</v>
      </c>
      <c r="O1007" s="13">
        <v>365476.19</v>
      </c>
      <c r="P1007" s="13"/>
      <c r="Q1007" s="33"/>
      <c r="R1007" s="22"/>
      <c r="S1007" s="22"/>
      <c r="T1007" s="22"/>
      <c r="U1007" s="22"/>
      <c r="X1007" s="15" t="str">
        <f>IF(B1007="",VLOOKUP(A1007,items_lookup!A:B,2,FALSE),B1007)</f>
        <v>12. Item 12</v>
      </c>
      <c r="Y1007" s="15">
        <f t="shared" si="92"/>
        <v>4</v>
      </c>
      <c r="Z1007" s="15">
        <f t="shared" si="92"/>
        <v>4</v>
      </c>
      <c r="AA1007" s="15">
        <f t="shared" si="89"/>
        <v>2021</v>
      </c>
      <c r="AB1007" s="15">
        <f t="shared" si="90"/>
        <v>2021</v>
      </c>
      <c r="AC1007" s="15">
        <f t="shared" si="91"/>
        <v>2021</v>
      </c>
      <c r="AD1007" s="18" t="b">
        <f t="shared" si="88"/>
        <v>1</v>
      </c>
    </row>
    <row r="1008" spans="1:30" ht="15" hidden="1" customHeight="1" x14ac:dyDescent="0.2">
      <c r="A1008" s="7" t="s">
        <v>683</v>
      </c>
      <c r="B1008" s="7" t="s">
        <v>711</v>
      </c>
      <c r="C1008" s="2" t="s">
        <v>641</v>
      </c>
      <c r="D1008" s="6" t="s">
        <v>649</v>
      </c>
      <c r="E1008" s="32" t="s">
        <v>651</v>
      </c>
      <c r="F1008" s="7"/>
      <c r="G1008" s="7"/>
      <c r="H1008" s="7"/>
      <c r="I1008" s="7"/>
      <c r="J1008" s="7"/>
      <c r="K1008" s="7"/>
      <c r="L1008" s="7" t="s">
        <v>662</v>
      </c>
      <c r="M1008" s="8">
        <v>44317</v>
      </c>
      <c r="N1008" s="8">
        <v>44317</v>
      </c>
      <c r="O1008" s="13">
        <v>2234047.62</v>
      </c>
      <c r="P1008" s="13"/>
      <c r="Q1008" s="33"/>
      <c r="R1008" s="22"/>
      <c r="S1008" s="22"/>
      <c r="T1008" s="22"/>
      <c r="U1008" s="22"/>
      <c r="X1008" s="15" t="str">
        <f>IF(B1008="",VLOOKUP(A1008,items_lookup!A:B,2,FALSE),B1008)</f>
        <v>12. Item 12</v>
      </c>
      <c r="Y1008" s="15">
        <f t="shared" si="92"/>
        <v>5</v>
      </c>
      <c r="Z1008" s="15">
        <f t="shared" si="92"/>
        <v>5</v>
      </c>
      <c r="AA1008" s="15">
        <f t="shared" si="89"/>
        <v>2021</v>
      </c>
      <c r="AB1008" s="15">
        <f t="shared" si="90"/>
        <v>2021</v>
      </c>
      <c r="AC1008" s="15">
        <f t="shared" si="91"/>
        <v>2021</v>
      </c>
      <c r="AD1008" s="18" t="b">
        <f t="shared" si="88"/>
        <v>1</v>
      </c>
    </row>
    <row r="1009" spans="1:30" ht="15" hidden="1" customHeight="1" x14ac:dyDescent="0.2">
      <c r="A1009" s="7" t="s">
        <v>683</v>
      </c>
      <c r="B1009" s="7" t="s">
        <v>711</v>
      </c>
      <c r="C1009" s="2" t="s">
        <v>641</v>
      </c>
      <c r="D1009" s="6" t="s">
        <v>649</v>
      </c>
      <c r="E1009" s="32" t="s">
        <v>651</v>
      </c>
      <c r="F1009" s="7"/>
      <c r="G1009" s="7"/>
      <c r="H1009" s="7"/>
      <c r="I1009" s="7"/>
      <c r="J1009" s="7"/>
      <c r="K1009" s="7"/>
      <c r="L1009" s="7" t="s">
        <v>662</v>
      </c>
      <c r="M1009" s="8">
        <v>44348</v>
      </c>
      <c r="N1009" s="8">
        <v>44348</v>
      </c>
      <c r="O1009" s="13">
        <v>427857.14</v>
      </c>
      <c r="P1009" s="13"/>
      <c r="Q1009" s="33"/>
      <c r="R1009" s="22"/>
      <c r="S1009" s="22"/>
      <c r="T1009" s="22"/>
      <c r="U1009" s="22"/>
      <c r="X1009" s="15" t="str">
        <f>IF(B1009="",VLOOKUP(A1009,items_lookup!A:B,2,FALSE),B1009)</f>
        <v>12. Item 12</v>
      </c>
      <c r="Y1009" s="15">
        <f t="shared" si="92"/>
        <v>6</v>
      </c>
      <c r="Z1009" s="15">
        <f t="shared" si="92"/>
        <v>6</v>
      </c>
      <c r="AA1009" s="15">
        <f t="shared" si="89"/>
        <v>2021</v>
      </c>
      <c r="AB1009" s="15">
        <f t="shared" si="90"/>
        <v>2021</v>
      </c>
      <c r="AC1009" s="15">
        <f t="shared" si="91"/>
        <v>2021</v>
      </c>
      <c r="AD1009" s="18" t="b">
        <f t="shared" si="88"/>
        <v>1</v>
      </c>
    </row>
    <row r="1010" spans="1:30" ht="15" hidden="1" customHeight="1" x14ac:dyDescent="0.2">
      <c r="A1010" s="7" t="s">
        <v>683</v>
      </c>
      <c r="B1010" s="7" t="s">
        <v>710</v>
      </c>
      <c r="C1010" s="2" t="s">
        <v>641</v>
      </c>
      <c r="D1010" s="6" t="s">
        <v>649</v>
      </c>
      <c r="E1010" s="32" t="s">
        <v>651</v>
      </c>
      <c r="F1010" s="7"/>
      <c r="G1010" s="7"/>
      <c r="H1010" s="7"/>
      <c r="I1010" s="7"/>
      <c r="J1010" s="7"/>
      <c r="K1010" s="7"/>
      <c r="L1010" s="7" t="s">
        <v>662</v>
      </c>
      <c r="M1010" s="8">
        <v>44287</v>
      </c>
      <c r="N1010" s="8">
        <v>44287</v>
      </c>
      <c r="O1010" s="13">
        <v>1785714.29</v>
      </c>
      <c r="P1010" s="13"/>
      <c r="Q1010" s="33"/>
      <c r="R1010" s="22"/>
      <c r="S1010" s="22"/>
      <c r="T1010" s="22"/>
      <c r="U1010" s="22"/>
      <c r="X1010" s="15" t="str">
        <f>IF(B1010="",VLOOKUP(A1010,items_lookup!A:B,2,FALSE),B1010)</f>
        <v>13. Item 13</v>
      </c>
      <c r="Y1010" s="15">
        <f t="shared" si="92"/>
        <v>4</v>
      </c>
      <c r="Z1010" s="15">
        <f t="shared" si="92"/>
        <v>4</v>
      </c>
      <c r="AA1010" s="15">
        <f t="shared" si="89"/>
        <v>2021</v>
      </c>
      <c r="AB1010" s="15">
        <f t="shared" si="90"/>
        <v>2021</v>
      </c>
      <c r="AC1010" s="15">
        <f t="shared" si="91"/>
        <v>2021</v>
      </c>
      <c r="AD1010" s="18" t="b">
        <f t="shared" si="88"/>
        <v>1</v>
      </c>
    </row>
    <row r="1011" spans="1:30" ht="21.75" hidden="1" customHeight="1" x14ac:dyDescent="0.2">
      <c r="A1011" s="7" t="s">
        <v>671</v>
      </c>
      <c r="B1011" s="7" t="s">
        <v>710</v>
      </c>
      <c r="C1011" s="2" t="s">
        <v>641</v>
      </c>
      <c r="D1011" s="6" t="s">
        <v>649</v>
      </c>
      <c r="E1011" s="32" t="s">
        <v>651</v>
      </c>
      <c r="F1011" s="7"/>
      <c r="G1011" s="7"/>
      <c r="H1011" s="7"/>
      <c r="I1011" s="7"/>
      <c r="J1011" s="7"/>
      <c r="K1011" s="7"/>
      <c r="L1011" s="7" t="s">
        <v>662</v>
      </c>
      <c r="M1011" s="8">
        <v>44317</v>
      </c>
      <c r="N1011" s="8">
        <v>44317</v>
      </c>
      <c r="O1011" s="13">
        <v>1947619.05</v>
      </c>
      <c r="P1011" s="13"/>
      <c r="Q1011" s="33"/>
      <c r="R1011" s="9"/>
      <c r="S1011" s="9"/>
      <c r="T1011" s="9"/>
      <c r="U1011" s="9"/>
      <c r="X1011" s="15" t="str">
        <f>IF(B1011="",VLOOKUP(A1011,items_lookup!A:B,2,FALSE),B1011)</f>
        <v>13. Item 13</v>
      </c>
      <c r="Y1011" s="15">
        <f t="shared" si="92"/>
        <v>5</v>
      </c>
      <c r="Z1011" s="15">
        <f t="shared" si="92"/>
        <v>5</v>
      </c>
      <c r="AA1011" s="15">
        <f t="shared" si="89"/>
        <v>2021</v>
      </c>
      <c r="AB1011" s="15">
        <f t="shared" si="90"/>
        <v>2021</v>
      </c>
      <c r="AC1011" s="15">
        <f t="shared" si="91"/>
        <v>2021</v>
      </c>
      <c r="AD1011" s="18" t="b">
        <f t="shared" si="88"/>
        <v>1</v>
      </c>
    </row>
    <row r="1012" spans="1:30" ht="15" hidden="1" customHeight="1" x14ac:dyDescent="0.2">
      <c r="A1012" s="7" t="s">
        <v>671</v>
      </c>
      <c r="B1012" s="7" t="s">
        <v>710</v>
      </c>
      <c r="C1012" s="2" t="s">
        <v>641</v>
      </c>
      <c r="D1012" s="6" t="s">
        <v>649</v>
      </c>
      <c r="E1012" s="32" t="s">
        <v>651</v>
      </c>
      <c r="F1012" s="7"/>
      <c r="G1012" s="7"/>
      <c r="H1012" s="7"/>
      <c r="I1012" s="7"/>
      <c r="J1012" s="7"/>
      <c r="K1012" s="7"/>
      <c r="L1012" s="7" t="s">
        <v>662</v>
      </c>
      <c r="M1012" s="8">
        <v>44348</v>
      </c>
      <c r="N1012" s="8">
        <v>44348</v>
      </c>
      <c r="O1012" s="13">
        <v>1227857.1399999999</v>
      </c>
      <c r="P1012" s="13"/>
      <c r="Q1012" s="33"/>
      <c r="R1012" s="9"/>
      <c r="S1012" s="9"/>
      <c r="T1012" s="9"/>
      <c r="U1012" s="9"/>
      <c r="X1012" s="15" t="str">
        <f>IF(B1012="",VLOOKUP(A1012,items_lookup!A:B,2,FALSE),B1012)</f>
        <v>13. Item 13</v>
      </c>
      <c r="Y1012" s="15">
        <f t="shared" si="92"/>
        <v>6</v>
      </c>
      <c r="Z1012" s="15">
        <f t="shared" si="92"/>
        <v>6</v>
      </c>
      <c r="AA1012" s="15">
        <f t="shared" si="89"/>
        <v>2021</v>
      </c>
      <c r="AB1012" s="15">
        <f t="shared" si="90"/>
        <v>2021</v>
      </c>
      <c r="AC1012" s="15">
        <f t="shared" si="91"/>
        <v>2021</v>
      </c>
      <c r="AD1012" s="18" t="b">
        <f t="shared" si="88"/>
        <v>1</v>
      </c>
    </row>
    <row r="1013" spans="1:30" ht="15" hidden="1" customHeight="1" x14ac:dyDescent="0.2">
      <c r="A1013" s="7" t="s">
        <v>671</v>
      </c>
      <c r="B1013" s="20"/>
      <c r="C1013" s="2" t="s">
        <v>641</v>
      </c>
      <c r="D1013" s="6" t="s">
        <v>649</v>
      </c>
      <c r="E1013" s="32" t="s">
        <v>651</v>
      </c>
      <c r="F1013" s="7"/>
      <c r="G1013" s="7"/>
      <c r="H1013" s="7"/>
      <c r="I1013" s="7"/>
      <c r="J1013" s="7"/>
      <c r="K1013" s="7"/>
      <c r="L1013" s="7" t="s">
        <v>662</v>
      </c>
      <c r="M1013" s="8">
        <v>44287</v>
      </c>
      <c r="N1013" s="8">
        <v>44287</v>
      </c>
      <c r="O1013" s="13">
        <v>63095.24</v>
      </c>
      <c r="P1013" s="13"/>
      <c r="Q1013" s="33"/>
      <c r="R1013" s="22"/>
      <c r="S1013" s="22"/>
      <c r="T1013" s="22"/>
      <c r="U1013" s="22"/>
      <c r="X1013" s="15" t="str">
        <f>IF(B1013="",VLOOKUP(A1013,items_lookup!A:B,2,FALSE),B1013)</f>
        <v>05. Item 05</v>
      </c>
      <c r="Y1013" s="15">
        <f t="shared" si="92"/>
        <v>4</v>
      </c>
      <c r="Z1013" s="15">
        <f t="shared" si="92"/>
        <v>4</v>
      </c>
      <c r="AA1013" s="15">
        <f t="shared" si="89"/>
        <v>2021</v>
      </c>
      <c r="AB1013" s="15">
        <f t="shared" si="90"/>
        <v>2021</v>
      </c>
      <c r="AC1013" s="15">
        <f t="shared" si="91"/>
        <v>2021</v>
      </c>
      <c r="AD1013" s="18" t="b">
        <f t="shared" si="88"/>
        <v>1</v>
      </c>
    </row>
    <row r="1014" spans="1:30" ht="13.5" hidden="1" customHeight="1" x14ac:dyDescent="0.2">
      <c r="A1014" s="7" t="s">
        <v>668</v>
      </c>
      <c r="B1014" s="20"/>
      <c r="C1014" s="2" t="s">
        <v>641</v>
      </c>
      <c r="D1014" s="6" t="s">
        <v>649</v>
      </c>
      <c r="E1014" s="32" t="s">
        <v>651</v>
      </c>
      <c r="F1014" s="7"/>
      <c r="G1014" s="7"/>
      <c r="H1014" s="7"/>
      <c r="I1014" s="7"/>
      <c r="J1014" s="7"/>
      <c r="K1014" s="7"/>
      <c r="L1014" s="7" t="s">
        <v>662</v>
      </c>
      <c r="M1014" s="8">
        <v>44317</v>
      </c>
      <c r="N1014" s="8">
        <v>44317</v>
      </c>
      <c r="O1014" s="13">
        <v>62857.14</v>
      </c>
      <c r="P1014" s="13"/>
      <c r="Q1014" s="33"/>
      <c r="R1014" s="22"/>
      <c r="S1014" s="22"/>
      <c r="T1014" s="22"/>
      <c r="U1014" s="22"/>
      <c r="X1014" s="15" t="str">
        <f>IF(B1014="",VLOOKUP(A1014,items_lookup!A:B,2,FALSE),B1014)</f>
        <v>01. Item 01</v>
      </c>
      <c r="Y1014" s="15">
        <f t="shared" si="92"/>
        <v>5</v>
      </c>
      <c r="Z1014" s="15">
        <f t="shared" si="92"/>
        <v>5</v>
      </c>
      <c r="AA1014" s="15">
        <f t="shared" si="89"/>
        <v>2021</v>
      </c>
      <c r="AB1014" s="15">
        <f t="shared" si="90"/>
        <v>2021</v>
      </c>
      <c r="AC1014" s="15">
        <f t="shared" si="91"/>
        <v>2021</v>
      </c>
      <c r="AD1014" s="18" t="b">
        <f t="shared" si="88"/>
        <v>1</v>
      </c>
    </row>
    <row r="1015" spans="1:30" ht="13.5" hidden="1" customHeight="1" x14ac:dyDescent="0.2">
      <c r="A1015" s="7" t="s">
        <v>668</v>
      </c>
      <c r="B1015" s="20"/>
      <c r="C1015" s="2" t="s">
        <v>641</v>
      </c>
      <c r="D1015" s="6" t="s">
        <v>649</v>
      </c>
      <c r="E1015" s="32" t="s">
        <v>651</v>
      </c>
      <c r="F1015" s="7"/>
      <c r="G1015" s="7"/>
      <c r="H1015" s="7"/>
      <c r="I1015" s="7"/>
      <c r="J1015" s="7"/>
      <c r="K1015" s="7"/>
      <c r="L1015" s="7" t="s">
        <v>662</v>
      </c>
      <c r="M1015" s="8">
        <v>44348</v>
      </c>
      <c r="N1015" s="8">
        <v>44348</v>
      </c>
      <c r="O1015" s="13">
        <v>62380.95</v>
      </c>
      <c r="P1015" s="13"/>
      <c r="Q1015" s="33"/>
      <c r="R1015" s="22"/>
      <c r="S1015" s="22"/>
      <c r="T1015" s="22"/>
      <c r="U1015" s="22"/>
      <c r="X1015" s="15" t="str">
        <f>IF(B1015="",VLOOKUP(A1015,items_lookup!A:B,2,FALSE),B1015)</f>
        <v>01. Item 01</v>
      </c>
      <c r="Y1015" s="15">
        <f t="shared" si="92"/>
        <v>6</v>
      </c>
      <c r="Z1015" s="15">
        <f t="shared" si="92"/>
        <v>6</v>
      </c>
      <c r="AA1015" s="15">
        <f t="shared" si="89"/>
        <v>2021</v>
      </c>
      <c r="AB1015" s="15">
        <f t="shared" si="90"/>
        <v>2021</v>
      </c>
      <c r="AC1015" s="15">
        <f t="shared" si="91"/>
        <v>2021</v>
      </c>
      <c r="AD1015" s="18" t="b">
        <f t="shared" si="88"/>
        <v>1</v>
      </c>
    </row>
    <row r="1016" spans="1:30" ht="13.5" hidden="1" customHeight="1" x14ac:dyDescent="0.2">
      <c r="A1016" s="7" t="s">
        <v>668</v>
      </c>
      <c r="B1016" s="7"/>
      <c r="C1016" s="2" t="s">
        <v>641</v>
      </c>
      <c r="D1016" s="6" t="s">
        <v>649</v>
      </c>
      <c r="E1016" s="32" t="s">
        <v>651</v>
      </c>
      <c r="F1016" s="7"/>
      <c r="G1016" s="7"/>
      <c r="H1016" s="7"/>
      <c r="I1016" s="7"/>
      <c r="J1016" s="7"/>
      <c r="K1016" s="7"/>
      <c r="L1016" s="7" t="s">
        <v>662</v>
      </c>
      <c r="M1016" s="8">
        <v>44287</v>
      </c>
      <c r="N1016" s="8">
        <v>44287</v>
      </c>
      <c r="O1016" s="13">
        <v>766575.43</v>
      </c>
      <c r="P1016" s="13"/>
      <c r="Q1016" s="33"/>
      <c r="R1016" s="22"/>
      <c r="S1016" s="22"/>
      <c r="T1016" s="22"/>
      <c r="U1016" s="22"/>
      <c r="X1016" s="15" t="str">
        <f>IF(B1016="",VLOOKUP(A1016,items_lookup!A:B,2,FALSE),B1016)</f>
        <v>01. Item 01</v>
      </c>
      <c r="Y1016" s="15">
        <f t="shared" si="92"/>
        <v>4</v>
      </c>
      <c r="Z1016" s="15">
        <f t="shared" si="92"/>
        <v>4</v>
      </c>
      <c r="AA1016" s="15">
        <f t="shared" si="89"/>
        <v>2021</v>
      </c>
      <c r="AB1016" s="15">
        <f t="shared" si="90"/>
        <v>2021</v>
      </c>
      <c r="AC1016" s="15">
        <f t="shared" si="91"/>
        <v>2021</v>
      </c>
      <c r="AD1016" s="18" t="b">
        <f t="shared" si="88"/>
        <v>1</v>
      </c>
    </row>
    <row r="1017" spans="1:30" ht="15" hidden="1" customHeight="1" x14ac:dyDescent="0.2">
      <c r="A1017" s="7" t="s">
        <v>669</v>
      </c>
      <c r="B1017" s="7"/>
      <c r="C1017" s="2" t="s">
        <v>641</v>
      </c>
      <c r="D1017" s="6" t="s">
        <v>649</v>
      </c>
      <c r="E1017" s="32" t="s">
        <v>651</v>
      </c>
      <c r="F1017" s="7"/>
      <c r="G1017" s="7"/>
      <c r="H1017" s="7"/>
      <c r="I1017" s="7"/>
      <c r="J1017" s="7"/>
      <c r="K1017" s="7"/>
      <c r="L1017" s="7" t="s">
        <v>662</v>
      </c>
      <c r="M1017" s="8">
        <v>44317</v>
      </c>
      <c r="N1017" s="8">
        <v>44317</v>
      </c>
      <c r="O1017" s="13">
        <v>945526.07</v>
      </c>
      <c r="P1017" s="13"/>
      <c r="Q1017" s="33"/>
      <c r="R1017" s="22"/>
      <c r="S1017" s="22"/>
      <c r="T1017" s="22"/>
      <c r="U1017" s="22"/>
      <c r="X1017" s="15" t="str">
        <f>IF(B1017="",VLOOKUP(A1017,items_lookup!A:B,2,FALSE),B1017)</f>
        <v>02. Item 02</v>
      </c>
      <c r="Y1017" s="15">
        <f t="shared" si="92"/>
        <v>5</v>
      </c>
      <c r="Z1017" s="15">
        <f t="shared" si="92"/>
        <v>5</v>
      </c>
      <c r="AA1017" s="15">
        <f t="shared" si="89"/>
        <v>2021</v>
      </c>
      <c r="AB1017" s="15">
        <f t="shared" si="90"/>
        <v>2021</v>
      </c>
      <c r="AC1017" s="15">
        <f t="shared" si="91"/>
        <v>2021</v>
      </c>
      <c r="AD1017" s="18" t="b">
        <f t="shared" si="88"/>
        <v>1</v>
      </c>
    </row>
    <row r="1018" spans="1:30" ht="15" hidden="1" customHeight="1" x14ac:dyDescent="0.2">
      <c r="A1018" s="7" t="s">
        <v>669</v>
      </c>
      <c r="B1018" s="7"/>
      <c r="C1018" s="2" t="s">
        <v>641</v>
      </c>
      <c r="D1018" s="6" t="s">
        <v>649</v>
      </c>
      <c r="E1018" s="32" t="s">
        <v>651</v>
      </c>
      <c r="F1018" s="7"/>
      <c r="G1018" s="7"/>
      <c r="H1018" s="7"/>
      <c r="I1018" s="7"/>
      <c r="J1018" s="7"/>
      <c r="K1018" s="7"/>
      <c r="L1018" s="7" t="s">
        <v>662</v>
      </c>
      <c r="M1018" s="8">
        <v>44348</v>
      </c>
      <c r="N1018" s="8">
        <v>44348</v>
      </c>
      <c r="O1018" s="13">
        <v>945526.07</v>
      </c>
      <c r="P1018" s="13"/>
      <c r="Q1018" s="33"/>
      <c r="R1018" s="22"/>
      <c r="S1018" s="22"/>
      <c r="T1018" s="22"/>
      <c r="U1018" s="22"/>
      <c r="X1018" s="15" t="str">
        <f>IF(B1018="",VLOOKUP(A1018,items_lookup!A:B,2,FALSE),B1018)</f>
        <v>02. Item 02</v>
      </c>
      <c r="Y1018" s="15">
        <f t="shared" si="92"/>
        <v>6</v>
      </c>
      <c r="Z1018" s="15">
        <f t="shared" si="92"/>
        <v>6</v>
      </c>
      <c r="AA1018" s="15">
        <f t="shared" si="89"/>
        <v>2021</v>
      </c>
      <c r="AB1018" s="15">
        <f t="shared" si="90"/>
        <v>2021</v>
      </c>
      <c r="AC1018" s="15">
        <f t="shared" si="91"/>
        <v>2021</v>
      </c>
      <c r="AD1018" s="18" t="b">
        <f t="shared" si="88"/>
        <v>1</v>
      </c>
    </row>
    <row r="1019" spans="1:30" ht="15" hidden="1" customHeight="1" x14ac:dyDescent="0.2">
      <c r="A1019" s="7" t="s">
        <v>669</v>
      </c>
      <c r="B1019" s="7"/>
      <c r="C1019" s="2" t="s">
        <v>641</v>
      </c>
      <c r="D1019" s="6" t="s">
        <v>649</v>
      </c>
      <c r="E1019" s="32" t="s">
        <v>651</v>
      </c>
      <c r="F1019" s="7"/>
      <c r="G1019" s="7"/>
      <c r="H1019" s="7"/>
      <c r="I1019" s="7"/>
      <c r="J1019" s="7"/>
      <c r="K1019" s="7"/>
      <c r="L1019" s="7" t="s">
        <v>662</v>
      </c>
      <c r="M1019" s="8">
        <v>44287</v>
      </c>
      <c r="N1019" s="8">
        <v>44287</v>
      </c>
      <c r="O1019" s="13">
        <v>2380.9499999999998</v>
      </c>
      <c r="P1019" s="13"/>
      <c r="Q1019" s="33"/>
      <c r="R1019" s="22"/>
      <c r="S1019" s="22"/>
      <c r="T1019" s="22"/>
      <c r="U1019" s="22"/>
      <c r="X1019" s="15" t="str">
        <f>IF(B1019="",VLOOKUP(A1019,items_lookup!A:B,2,FALSE),B1019)</f>
        <v>02. Item 02</v>
      </c>
      <c r="Y1019" s="15">
        <f t="shared" si="92"/>
        <v>4</v>
      </c>
      <c r="Z1019" s="15">
        <f t="shared" si="92"/>
        <v>4</v>
      </c>
      <c r="AA1019" s="15">
        <f t="shared" si="89"/>
        <v>2021</v>
      </c>
      <c r="AB1019" s="15">
        <f t="shared" si="90"/>
        <v>2021</v>
      </c>
      <c r="AC1019" s="15">
        <f t="shared" si="91"/>
        <v>2021</v>
      </c>
      <c r="AD1019" s="18" t="b">
        <f t="shared" si="88"/>
        <v>1</v>
      </c>
    </row>
    <row r="1020" spans="1:30" ht="15" hidden="1" customHeight="1" x14ac:dyDescent="0.2">
      <c r="A1020" s="7" t="s">
        <v>689</v>
      </c>
      <c r="B1020" s="7"/>
      <c r="C1020" s="2" t="s">
        <v>641</v>
      </c>
      <c r="D1020" s="6" t="s">
        <v>649</v>
      </c>
      <c r="E1020" s="32" t="s">
        <v>651</v>
      </c>
      <c r="F1020" s="7"/>
      <c r="G1020" s="7"/>
      <c r="H1020" s="7"/>
      <c r="I1020" s="7"/>
      <c r="J1020" s="7"/>
      <c r="K1020" s="7" t="s">
        <v>660</v>
      </c>
      <c r="L1020" s="7" t="s">
        <v>663</v>
      </c>
      <c r="M1020" s="8">
        <v>44291</v>
      </c>
      <c r="N1020" s="8">
        <v>44291</v>
      </c>
      <c r="O1020" s="13"/>
      <c r="P1020" s="13">
        <v>11241.25</v>
      </c>
      <c r="Q1020" s="33"/>
      <c r="R1020" s="22"/>
      <c r="S1020" s="22"/>
      <c r="T1020" s="22"/>
      <c r="U1020" s="22"/>
      <c r="X1020" s="15" t="str">
        <f>IF(B1020="",VLOOKUP(A1020,items_lookup!A:B,2,FALSE),B1020)</f>
        <v>04. Item 04</v>
      </c>
      <c r="Y1020" s="15">
        <f t="shared" si="92"/>
        <v>4</v>
      </c>
      <c r="Z1020" s="15">
        <f t="shared" si="92"/>
        <v>4</v>
      </c>
      <c r="AA1020" s="15">
        <f t="shared" si="89"/>
        <v>2021</v>
      </c>
      <c r="AB1020" s="15">
        <f t="shared" si="90"/>
        <v>2021</v>
      </c>
      <c r="AC1020" s="15">
        <f t="shared" si="91"/>
        <v>2021</v>
      </c>
      <c r="AD1020" s="18" t="b">
        <f t="shared" si="88"/>
        <v>1</v>
      </c>
    </row>
    <row r="1021" spans="1:30" ht="15" hidden="1" customHeight="1" x14ac:dyDescent="0.2">
      <c r="A1021" s="7" t="s">
        <v>689</v>
      </c>
      <c r="B1021" s="7"/>
      <c r="C1021" s="2" t="s">
        <v>641</v>
      </c>
      <c r="D1021" s="6" t="s">
        <v>649</v>
      </c>
      <c r="E1021" s="32" t="s">
        <v>651</v>
      </c>
      <c r="F1021" s="7"/>
      <c r="G1021" s="7"/>
      <c r="H1021" s="7"/>
      <c r="I1021" s="7" t="s">
        <v>20</v>
      </c>
      <c r="J1021" s="7">
        <v>2</v>
      </c>
      <c r="K1021" s="7" t="s">
        <v>660</v>
      </c>
      <c r="L1021" s="7" t="s">
        <v>663</v>
      </c>
      <c r="M1021" s="8">
        <v>44293</v>
      </c>
      <c r="N1021" s="8">
        <v>44307</v>
      </c>
      <c r="O1021" s="13"/>
      <c r="P1021" s="13">
        <v>357142.86</v>
      </c>
      <c r="Q1021" s="33"/>
      <c r="R1021" s="22"/>
      <c r="S1021" s="22"/>
      <c r="T1021" s="22"/>
      <c r="U1021" s="22"/>
      <c r="X1021" s="15" t="str">
        <f>IF(B1021="",VLOOKUP(A1021,items_lookup!A:B,2,FALSE),B1021)</f>
        <v>04. Item 04</v>
      </c>
      <c r="Y1021" s="15">
        <f t="shared" si="92"/>
        <v>4</v>
      </c>
      <c r="Z1021" s="15">
        <f t="shared" si="92"/>
        <v>4</v>
      </c>
      <c r="AA1021" s="15">
        <f t="shared" si="89"/>
        <v>2021</v>
      </c>
      <c r="AB1021" s="15">
        <f t="shared" si="90"/>
        <v>2021</v>
      </c>
      <c r="AC1021" s="15">
        <f t="shared" si="91"/>
        <v>2021</v>
      </c>
      <c r="AD1021" s="18" t="b">
        <f t="shared" si="88"/>
        <v>1</v>
      </c>
    </row>
    <row r="1022" spans="1:30" ht="15" hidden="1" customHeight="1" x14ac:dyDescent="0.2">
      <c r="A1022" s="7" t="s">
        <v>689</v>
      </c>
      <c r="B1022" s="7"/>
      <c r="C1022" s="2" t="s">
        <v>641</v>
      </c>
      <c r="D1022" s="6" t="s">
        <v>649</v>
      </c>
      <c r="E1022" s="32" t="s">
        <v>651</v>
      </c>
      <c r="F1022" s="7"/>
      <c r="G1022" s="7"/>
      <c r="H1022" s="7"/>
      <c r="I1022" s="7"/>
      <c r="J1022" s="7"/>
      <c r="K1022" s="7" t="s">
        <v>660</v>
      </c>
      <c r="L1022" s="7" t="s">
        <v>663</v>
      </c>
      <c r="M1022" s="8">
        <v>44293</v>
      </c>
      <c r="N1022" s="8">
        <v>44293</v>
      </c>
      <c r="O1022" s="13"/>
      <c r="P1022" s="13">
        <v>11297.52</v>
      </c>
      <c r="Q1022" s="33"/>
      <c r="R1022" s="22"/>
      <c r="S1022" s="22"/>
      <c r="T1022" s="22"/>
      <c r="U1022" s="22"/>
      <c r="X1022" s="15" t="str">
        <f>IF(B1022="",VLOOKUP(A1022,items_lookup!A:B,2,FALSE),B1022)</f>
        <v>04. Item 04</v>
      </c>
      <c r="Y1022" s="15">
        <f t="shared" si="92"/>
        <v>4</v>
      </c>
      <c r="Z1022" s="15">
        <f t="shared" si="92"/>
        <v>4</v>
      </c>
      <c r="AA1022" s="15">
        <f t="shared" si="89"/>
        <v>2021</v>
      </c>
      <c r="AB1022" s="15">
        <f t="shared" si="90"/>
        <v>2021</v>
      </c>
      <c r="AC1022" s="15">
        <f t="shared" si="91"/>
        <v>2021</v>
      </c>
      <c r="AD1022" s="18" t="b">
        <f t="shared" si="88"/>
        <v>1</v>
      </c>
    </row>
    <row r="1023" spans="1:30" ht="15" hidden="1" customHeight="1" x14ac:dyDescent="0.2">
      <c r="A1023" s="7" t="s">
        <v>671</v>
      </c>
      <c r="B1023" s="7"/>
      <c r="C1023" s="2" t="s">
        <v>641</v>
      </c>
      <c r="D1023" s="6" t="s">
        <v>649</v>
      </c>
      <c r="E1023" s="32" t="s">
        <v>651</v>
      </c>
      <c r="F1023" s="7"/>
      <c r="G1023" s="7"/>
      <c r="H1023" s="7"/>
      <c r="I1023" s="7"/>
      <c r="J1023" s="7"/>
      <c r="K1023" s="7" t="s">
        <v>660</v>
      </c>
      <c r="L1023" s="7" t="s">
        <v>663</v>
      </c>
      <c r="M1023" s="8">
        <v>44294</v>
      </c>
      <c r="N1023" s="8">
        <v>44294</v>
      </c>
      <c r="O1023" s="13"/>
      <c r="P1023" s="13">
        <v>41022.04</v>
      </c>
      <c r="Q1023" s="33"/>
      <c r="R1023" s="22"/>
      <c r="S1023" s="22"/>
      <c r="T1023" s="22"/>
      <c r="U1023" s="22"/>
      <c r="X1023" s="15" t="str">
        <f>IF(B1023="",VLOOKUP(A1023,items_lookup!A:B,2,FALSE),B1023)</f>
        <v>05. Item 05</v>
      </c>
      <c r="Y1023" s="15">
        <f t="shared" si="92"/>
        <v>4</v>
      </c>
      <c r="Z1023" s="15">
        <f t="shared" si="92"/>
        <v>4</v>
      </c>
      <c r="AA1023" s="15">
        <f t="shared" si="89"/>
        <v>2021</v>
      </c>
      <c r="AB1023" s="15">
        <f t="shared" si="90"/>
        <v>2021</v>
      </c>
      <c r="AC1023" s="15">
        <f t="shared" si="91"/>
        <v>2021</v>
      </c>
      <c r="AD1023" s="18" t="b">
        <f t="shared" si="88"/>
        <v>1</v>
      </c>
    </row>
    <row r="1024" spans="1:30" ht="15" hidden="1" customHeight="1" x14ac:dyDescent="0.2">
      <c r="A1024" s="7" t="s">
        <v>671</v>
      </c>
      <c r="B1024" s="7"/>
      <c r="C1024" s="2" t="s">
        <v>641</v>
      </c>
      <c r="D1024" s="6" t="s">
        <v>650</v>
      </c>
      <c r="E1024" s="32" t="s">
        <v>651</v>
      </c>
      <c r="F1024" s="7"/>
      <c r="G1024" s="7"/>
      <c r="H1024" s="7"/>
      <c r="I1024" s="7"/>
      <c r="J1024" s="7">
        <v>4</v>
      </c>
      <c r="K1024" s="7" t="s">
        <v>660</v>
      </c>
      <c r="L1024" s="7" t="s">
        <v>663</v>
      </c>
      <c r="M1024" s="8">
        <v>44284</v>
      </c>
      <c r="N1024" s="8">
        <v>44294</v>
      </c>
      <c r="O1024" s="13"/>
      <c r="P1024" s="13">
        <v>13971.74</v>
      </c>
      <c r="Q1024" s="33"/>
      <c r="R1024" s="22"/>
      <c r="S1024" s="22"/>
      <c r="T1024" s="22"/>
      <c r="U1024" s="22"/>
      <c r="X1024" s="15" t="str">
        <f>IF(B1024="",VLOOKUP(A1024,items_lookup!A:B,2,FALSE),B1024)</f>
        <v>05. Item 05</v>
      </c>
      <c r="Y1024" s="15">
        <f t="shared" si="92"/>
        <v>3</v>
      </c>
      <c r="Z1024" s="15">
        <f t="shared" si="92"/>
        <v>4</v>
      </c>
      <c r="AA1024" s="15">
        <f t="shared" si="89"/>
        <v>2021</v>
      </c>
      <c r="AB1024" s="15">
        <f t="shared" si="90"/>
        <v>2021</v>
      </c>
      <c r="AC1024" s="15">
        <f t="shared" si="91"/>
        <v>2021</v>
      </c>
      <c r="AD1024" s="18" t="b">
        <f t="shared" si="88"/>
        <v>1</v>
      </c>
    </row>
    <row r="1025" spans="1:30" ht="12.6" hidden="1" customHeight="1" x14ac:dyDescent="0.2">
      <c r="A1025" s="7" t="s">
        <v>671</v>
      </c>
      <c r="B1025" s="7"/>
      <c r="C1025" s="2" t="s">
        <v>641</v>
      </c>
      <c r="D1025" s="6" t="s">
        <v>649</v>
      </c>
      <c r="E1025" s="32" t="s">
        <v>651</v>
      </c>
      <c r="F1025" s="7"/>
      <c r="G1025" s="7"/>
      <c r="H1025" s="7"/>
      <c r="I1025" s="7"/>
      <c r="J1025" s="7"/>
      <c r="K1025" s="7" t="s">
        <v>660</v>
      </c>
      <c r="L1025" s="7" t="s">
        <v>663</v>
      </c>
      <c r="M1025" s="8">
        <v>44294</v>
      </c>
      <c r="N1025" s="8">
        <v>44294</v>
      </c>
      <c r="O1025" s="13"/>
      <c r="P1025" s="13">
        <v>13971.74</v>
      </c>
      <c r="Q1025" s="33"/>
      <c r="R1025" s="22"/>
      <c r="S1025" s="22"/>
      <c r="T1025" s="22"/>
      <c r="U1025" s="22"/>
      <c r="X1025" s="15" t="str">
        <f>IF(B1025="",VLOOKUP(A1025,items_lookup!A:B,2,FALSE),B1025)</f>
        <v>05. Item 05</v>
      </c>
      <c r="Y1025" s="15">
        <f t="shared" si="92"/>
        <v>4</v>
      </c>
      <c r="Z1025" s="15">
        <f t="shared" si="92"/>
        <v>4</v>
      </c>
      <c r="AA1025" s="15">
        <f t="shared" si="89"/>
        <v>2021</v>
      </c>
      <c r="AB1025" s="15">
        <f t="shared" si="90"/>
        <v>2021</v>
      </c>
      <c r="AC1025" s="15">
        <f t="shared" si="91"/>
        <v>2021</v>
      </c>
      <c r="AD1025" s="18" t="b">
        <f t="shared" si="88"/>
        <v>1</v>
      </c>
    </row>
    <row r="1026" spans="1:30" ht="15" hidden="1" customHeight="1" x14ac:dyDescent="0.2">
      <c r="A1026" s="7" t="s">
        <v>672</v>
      </c>
      <c r="B1026" s="20"/>
      <c r="C1026" s="2" t="s">
        <v>641</v>
      </c>
      <c r="D1026" s="6" t="s">
        <v>649</v>
      </c>
      <c r="E1026" s="32" t="s">
        <v>651</v>
      </c>
      <c r="F1026" s="7"/>
      <c r="G1026" s="7"/>
      <c r="H1026" s="7"/>
      <c r="I1026" s="7" t="s">
        <v>20</v>
      </c>
      <c r="J1026" s="7">
        <v>1</v>
      </c>
      <c r="K1026" s="7" t="s">
        <v>660</v>
      </c>
      <c r="L1026" s="7" t="s">
        <v>663</v>
      </c>
      <c r="M1026" s="8">
        <v>44288</v>
      </c>
      <c r="N1026" s="8">
        <v>44302</v>
      </c>
      <c r="O1026" s="13"/>
      <c r="P1026" s="13">
        <v>24430.12</v>
      </c>
      <c r="Q1026" s="33"/>
      <c r="R1026" s="9"/>
      <c r="S1026" s="9"/>
      <c r="T1026" s="9"/>
      <c r="U1026" s="9"/>
      <c r="X1026" s="15" t="str">
        <f>IF(B1026="",VLOOKUP(A1026,items_lookup!A:B,2,FALSE),B1026)</f>
        <v>05. Item 05</v>
      </c>
      <c r="Y1026" s="15">
        <f t="shared" si="92"/>
        <v>4</v>
      </c>
      <c r="Z1026" s="15">
        <f t="shared" si="92"/>
        <v>4</v>
      </c>
      <c r="AA1026" s="15">
        <f t="shared" si="89"/>
        <v>2021</v>
      </c>
      <c r="AB1026" s="15">
        <f t="shared" si="90"/>
        <v>2021</v>
      </c>
      <c r="AC1026" s="15">
        <f t="shared" si="91"/>
        <v>2021</v>
      </c>
      <c r="AD1026" s="18" t="b">
        <f t="shared" si="88"/>
        <v>1</v>
      </c>
    </row>
    <row r="1027" spans="1:30" ht="15" hidden="1" customHeight="1" x14ac:dyDescent="0.2">
      <c r="A1027" s="7" t="s">
        <v>672</v>
      </c>
      <c r="B1027" s="20"/>
      <c r="C1027" s="2" t="s">
        <v>641</v>
      </c>
      <c r="D1027" s="6" t="s">
        <v>649</v>
      </c>
      <c r="E1027" s="32" t="s">
        <v>651</v>
      </c>
      <c r="F1027" s="7"/>
      <c r="G1027" s="7"/>
      <c r="H1027" s="7"/>
      <c r="I1027" s="7"/>
      <c r="J1027" s="7">
        <v>1</v>
      </c>
      <c r="K1027" s="7" t="s">
        <v>660</v>
      </c>
      <c r="L1027" s="7" t="s">
        <v>663</v>
      </c>
      <c r="M1027" s="8">
        <v>44288</v>
      </c>
      <c r="N1027" s="8">
        <v>44302</v>
      </c>
      <c r="O1027" s="13"/>
      <c r="P1027" s="13">
        <v>1189.6400000000001</v>
      </c>
      <c r="Q1027" s="33"/>
      <c r="R1027" s="9"/>
      <c r="S1027" s="9"/>
      <c r="T1027" s="9"/>
      <c r="U1027" s="9"/>
      <c r="X1027" s="15" t="str">
        <f>IF(B1027="",VLOOKUP(A1027,items_lookup!A:B,2,FALSE),B1027)</f>
        <v>05. Item 05</v>
      </c>
      <c r="Y1027" s="15">
        <f t="shared" si="92"/>
        <v>4</v>
      </c>
      <c r="Z1027" s="15">
        <f t="shared" si="92"/>
        <v>4</v>
      </c>
      <c r="AA1027" s="15">
        <f t="shared" si="89"/>
        <v>2021</v>
      </c>
      <c r="AB1027" s="15">
        <f t="shared" si="90"/>
        <v>2021</v>
      </c>
      <c r="AC1027" s="15">
        <f t="shared" si="91"/>
        <v>2021</v>
      </c>
      <c r="AD1027" s="18" t="b">
        <f t="shared" ref="AD1027:AD1090" si="93">AND(ROUND(O1027,2)=O1027,ROUND(P1027,2)=P1027,OR(AND(O1027&lt;&gt;0,L1027="p"),AND(P1027&lt;&gt;0,L1027="f")),_xlfn.ISFORMULA(X1027),_xlfn.ISFORMULA(Y1027),_xlfn.ISFORMULA(Z1027),_xlfn.ISFORMULA(AA1027),_xlfn.ISFORMULA(AB1027),_xlfn.ISFORMULA(AC1027),NOT(_xlfn.ISFORMULA(O1027)),NOT(_xlfn.ISFORMULA(P1027)),M1027&lt;&gt;0,N1027&lt;&gt;0)</f>
        <v>1</v>
      </c>
    </row>
    <row r="1028" spans="1:30" ht="15" hidden="1" customHeight="1" x14ac:dyDescent="0.2">
      <c r="A1028" s="7" t="s">
        <v>672</v>
      </c>
      <c r="B1028" s="7"/>
      <c r="C1028" s="2" t="s">
        <v>641</v>
      </c>
      <c r="D1028" s="6" t="s">
        <v>649</v>
      </c>
      <c r="E1028" s="32" t="s">
        <v>651</v>
      </c>
      <c r="F1028" s="7"/>
      <c r="G1028" s="7"/>
      <c r="H1028" s="7"/>
      <c r="I1028" s="7" t="s">
        <v>20</v>
      </c>
      <c r="J1028" s="7">
        <v>1</v>
      </c>
      <c r="K1028" s="7" t="s">
        <v>660</v>
      </c>
      <c r="L1028" s="7" t="s">
        <v>663</v>
      </c>
      <c r="M1028" s="8">
        <v>44288</v>
      </c>
      <c r="N1028" s="8">
        <v>44302</v>
      </c>
      <c r="O1028" s="13"/>
      <c r="P1028" s="13">
        <v>3087712.19</v>
      </c>
      <c r="Q1028" s="33"/>
      <c r="R1028" s="22"/>
      <c r="S1028" s="22"/>
      <c r="T1028" s="22"/>
      <c r="U1028" s="22"/>
      <c r="X1028" s="15" t="str">
        <f>IF(B1028="",VLOOKUP(A1028,items_lookup!A:B,2,FALSE),B1028)</f>
        <v>05. Item 05</v>
      </c>
      <c r="Y1028" s="15">
        <f t="shared" si="92"/>
        <v>4</v>
      </c>
      <c r="Z1028" s="15">
        <f t="shared" si="92"/>
        <v>4</v>
      </c>
      <c r="AA1028" s="15">
        <f t="shared" ref="AA1028:AA1082" si="94">YEAR(N1028)</f>
        <v>2021</v>
      </c>
      <c r="AB1028" s="15">
        <f t="shared" ref="AB1028:AB1082" si="95">YEAR(M1028)</f>
        <v>2021</v>
      </c>
      <c r="AC1028" s="15">
        <f t="shared" ref="AC1028:AC1082" si="96">IF(F1028="X",AA1028-1,AA1028)</f>
        <v>2021</v>
      </c>
      <c r="AD1028" s="18" t="b">
        <f t="shared" si="93"/>
        <v>1</v>
      </c>
    </row>
    <row r="1029" spans="1:30" ht="15" hidden="1" customHeight="1" x14ac:dyDescent="0.2">
      <c r="A1029" s="7" t="s">
        <v>682</v>
      </c>
      <c r="B1029" s="20"/>
      <c r="C1029" s="2" t="s">
        <v>641</v>
      </c>
      <c r="D1029" s="6" t="s">
        <v>649</v>
      </c>
      <c r="E1029" s="32" t="s">
        <v>651</v>
      </c>
      <c r="F1029" s="7"/>
      <c r="G1029" s="7"/>
      <c r="H1029" s="7"/>
      <c r="I1029" s="7"/>
      <c r="J1029" s="7">
        <v>1</v>
      </c>
      <c r="K1029" s="7" t="s">
        <v>660</v>
      </c>
      <c r="L1029" s="7" t="s">
        <v>663</v>
      </c>
      <c r="M1029" s="8">
        <v>44288</v>
      </c>
      <c r="N1029" s="8">
        <v>44300</v>
      </c>
      <c r="O1029" s="13"/>
      <c r="P1029" s="13">
        <v>13497.36</v>
      </c>
      <c r="Q1029" s="33"/>
      <c r="R1029" s="9"/>
      <c r="S1029" s="9"/>
      <c r="T1029" s="9"/>
      <c r="U1029" s="9"/>
      <c r="X1029" s="15" t="str">
        <f>IF(B1029="",VLOOKUP(A1029,items_lookup!A:B,2,FALSE),B1029)</f>
        <v>06. Item 06</v>
      </c>
      <c r="Y1029" s="15">
        <f t="shared" si="92"/>
        <v>4</v>
      </c>
      <c r="Z1029" s="15">
        <f t="shared" si="92"/>
        <v>4</v>
      </c>
      <c r="AA1029" s="15">
        <f t="shared" si="94"/>
        <v>2021</v>
      </c>
      <c r="AB1029" s="15">
        <f t="shared" si="95"/>
        <v>2021</v>
      </c>
      <c r="AC1029" s="15">
        <f t="shared" si="96"/>
        <v>2021</v>
      </c>
      <c r="AD1029" s="18" t="b">
        <f t="shared" si="93"/>
        <v>1</v>
      </c>
    </row>
    <row r="1030" spans="1:30" ht="15" hidden="1" customHeight="1" x14ac:dyDescent="0.2">
      <c r="A1030" s="7" t="s">
        <v>682</v>
      </c>
      <c r="B1030" s="7"/>
      <c r="C1030" s="2" t="s">
        <v>641</v>
      </c>
      <c r="D1030" s="6" t="s">
        <v>649</v>
      </c>
      <c r="E1030" s="32" t="s">
        <v>651</v>
      </c>
      <c r="F1030" s="7"/>
      <c r="G1030" s="7"/>
      <c r="H1030" s="7"/>
      <c r="I1030" s="7" t="s">
        <v>20</v>
      </c>
      <c r="J1030" s="7">
        <v>1</v>
      </c>
      <c r="K1030" s="7" t="s">
        <v>660</v>
      </c>
      <c r="L1030" s="7" t="s">
        <v>663</v>
      </c>
      <c r="M1030" s="8">
        <v>44288</v>
      </c>
      <c r="N1030" s="8">
        <v>44300</v>
      </c>
      <c r="O1030" s="13"/>
      <c r="P1030" s="13">
        <v>2380952.38</v>
      </c>
      <c r="Q1030" s="33"/>
      <c r="R1030" s="22"/>
      <c r="S1030" s="22"/>
      <c r="T1030" s="22"/>
      <c r="U1030" s="22"/>
      <c r="X1030" s="15" t="str">
        <f>IF(B1030="",VLOOKUP(A1030,items_lookup!A:B,2,FALSE),B1030)</f>
        <v>06. Item 06</v>
      </c>
      <c r="Y1030" s="15">
        <f t="shared" si="92"/>
        <v>4</v>
      </c>
      <c r="Z1030" s="15">
        <f t="shared" si="92"/>
        <v>4</v>
      </c>
      <c r="AA1030" s="15">
        <f t="shared" si="94"/>
        <v>2021</v>
      </c>
      <c r="AB1030" s="15">
        <f t="shared" si="95"/>
        <v>2021</v>
      </c>
      <c r="AC1030" s="15">
        <f t="shared" si="96"/>
        <v>2021</v>
      </c>
      <c r="AD1030" s="18" t="b">
        <f t="shared" si="93"/>
        <v>1</v>
      </c>
    </row>
    <row r="1031" spans="1:30" ht="15" hidden="1" customHeight="1" x14ac:dyDescent="0.2">
      <c r="A1031" s="7" t="s">
        <v>682</v>
      </c>
      <c r="B1031" s="20"/>
      <c r="C1031" s="2" t="s">
        <v>641</v>
      </c>
      <c r="D1031" s="6" t="s">
        <v>649</v>
      </c>
      <c r="E1031" s="32" t="s">
        <v>651</v>
      </c>
      <c r="F1031" s="7"/>
      <c r="G1031" s="7"/>
      <c r="H1031" s="7"/>
      <c r="I1031" s="7"/>
      <c r="J1031" s="7">
        <v>3</v>
      </c>
      <c r="K1031" s="7" t="s">
        <v>660</v>
      </c>
      <c r="L1031" s="7" t="s">
        <v>663</v>
      </c>
      <c r="M1031" s="8">
        <v>44287</v>
      </c>
      <c r="N1031" s="8">
        <v>44295</v>
      </c>
      <c r="O1031" s="13"/>
      <c r="P1031" s="13">
        <v>10500.65</v>
      </c>
      <c r="Q1031" s="33"/>
      <c r="R1031" s="22"/>
      <c r="S1031" s="22"/>
      <c r="T1031" s="22"/>
      <c r="U1031" s="22"/>
      <c r="X1031" s="15" t="str">
        <f>IF(B1031="",VLOOKUP(A1031,items_lookup!A:B,2,FALSE),B1031)</f>
        <v>06. Item 06</v>
      </c>
      <c r="Y1031" s="15">
        <f t="shared" si="92"/>
        <v>4</v>
      </c>
      <c r="Z1031" s="15">
        <f t="shared" si="92"/>
        <v>4</v>
      </c>
      <c r="AA1031" s="15">
        <f t="shared" si="94"/>
        <v>2021</v>
      </c>
      <c r="AB1031" s="15">
        <f t="shared" si="95"/>
        <v>2021</v>
      </c>
      <c r="AC1031" s="15">
        <f t="shared" si="96"/>
        <v>2021</v>
      </c>
      <c r="AD1031" s="18" t="b">
        <f t="shared" si="93"/>
        <v>1</v>
      </c>
    </row>
    <row r="1032" spans="1:30" ht="15.75" hidden="1" customHeight="1" x14ac:dyDescent="0.2">
      <c r="A1032" s="7" t="s">
        <v>673</v>
      </c>
      <c r="B1032" s="20"/>
      <c r="C1032" s="2" t="s">
        <v>641</v>
      </c>
      <c r="D1032" s="6" t="s">
        <v>649</v>
      </c>
      <c r="E1032" s="32" t="s">
        <v>651</v>
      </c>
      <c r="F1032" s="7"/>
      <c r="G1032" s="7"/>
      <c r="H1032" s="7"/>
      <c r="I1032" s="7"/>
      <c r="J1032" s="7">
        <v>1</v>
      </c>
      <c r="K1032" s="7" t="s">
        <v>660</v>
      </c>
      <c r="L1032" s="7" t="s">
        <v>663</v>
      </c>
      <c r="M1032" s="8">
        <v>44288</v>
      </c>
      <c r="N1032" s="8">
        <v>44300</v>
      </c>
      <c r="O1032" s="13"/>
      <c r="P1032" s="13">
        <v>70640.039999999994</v>
      </c>
      <c r="Q1032" s="33"/>
      <c r="R1032" s="22"/>
      <c r="S1032" s="22"/>
      <c r="T1032" s="22"/>
      <c r="U1032" s="22"/>
      <c r="X1032" s="15" t="str">
        <f>IF(B1032="",VLOOKUP(A1032,items_lookup!A:B,2,FALSE),B1032)</f>
        <v>07. Item 07</v>
      </c>
      <c r="Y1032" s="15">
        <f t="shared" si="92"/>
        <v>4</v>
      </c>
      <c r="Z1032" s="15">
        <f t="shared" si="92"/>
        <v>4</v>
      </c>
      <c r="AA1032" s="15">
        <f t="shared" si="94"/>
        <v>2021</v>
      </c>
      <c r="AB1032" s="15">
        <f t="shared" si="95"/>
        <v>2021</v>
      </c>
      <c r="AC1032" s="15">
        <f t="shared" si="96"/>
        <v>2021</v>
      </c>
      <c r="AD1032" s="18" t="b">
        <f t="shared" si="93"/>
        <v>1</v>
      </c>
    </row>
    <row r="1033" spans="1:30" ht="15.75" hidden="1" customHeight="1" x14ac:dyDescent="0.2">
      <c r="A1033" s="7" t="s">
        <v>673</v>
      </c>
      <c r="B1033" s="7"/>
      <c r="C1033" s="2" t="s">
        <v>641</v>
      </c>
      <c r="D1033" s="6" t="s">
        <v>649</v>
      </c>
      <c r="E1033" s="32" t="s">
        <v>651</v>
      </c>
      <c r="F1033" s="7"/>
      <c r="G1033" s="7"/>
      <c r="H1033" s="7"/>
      <c r="I1033" s="7" t="s">
        <v>20</v>
      </c>
      <c r="J1033" s="7">
        <v>1</v>
      </c>
      <c r="K1033" s="7" t="s">
        <v>660</v>
      </c>
      <c r="L1033" s="7" t="s">
        <v>663</v>
      </c>
      <c r="M1033" s="8">
        <v>44288</v>
      </c>
      <c r="N1033" s="8">
        <v>44301</v>
      </c>
      <c r="O1033" s="13"/>
      <c r="P1033" s="13">
        <v>3172.62</v>
      </c>
      <c r="Q1033" s="33"/>
      <c r="R1033" s="22"/>
      <c r="S1033" s="22"/>
      <c r="T1033" s="22"/>
      <c r="U1033" s="22"/>
      <c r="X1033" s="15" t="str">
        <f>IF(B1033="",VLOOKUP(A1033,items_lookup!A:B,2,FALSE),B1033)</f>
        <v>07. Item 07</v>
      </c>
      <c r="Y1033" s="15">
        <f t="shared" si="92"/>
        <v>4</v>
      </c>
      <c r="Z1033" s="15">
        <f t="shared" si="92"/>
        <v>4</v>
      </c>
      <c r="AA1033" s="15">
        <f t="shared" si="94"/>
        <v>2021</v>
      </c>
      <c r="AB1033" s="15">
        <f t="shared" si="95"/>
        <v>2021</v>
      </c>
      <c r="AC1033" s="15">
        <f t="shared" si="96"/>
        <v>2021</v>
      </c>
      <c r="AD1033" s="18" t="b">
        <f t="shared" si="93"/>
        <v>1</v>
      </c>
    </row>
    <row r="1034" spans="1:30" ht="15" hidden="1" customHeight="1" x14ac:dyDescent="0.2">
      <c r="A1034" s="7" t="s">
        <v>673</v>
      </c>
      <c r="B1034" s="20"/>
      <c r="C1034" s="2" t="s">
        <v>641</v>
      </c>
      <c r="D1034" s="6" t="s">
        <v>649</v>
      </c>
      <c r="E1034" s="32" t="s">
        <v>651</v>
      </c>
      <c r="F1034" s="7"/>
      <c r="G1034" s="7"/>
      <c r="H1034" s="7"/>
      <c r="I1034" s="7"/>
      <c r="J1034" s="7">
        <v>1</v>
      </c>
      <c r="K1034" s="7" t="s">
        <v>660</v>
      </c>
      <c r="L1034" s="7" t="s">
        <v>663</v>
      </c>
      <c r="M1034" s="8">
        <v>44288</v>
      </c>
      <c r="N1034" s="8">
        <v>44300</v>
      </c>
      <c r="O1034" s="13"/>
      <c r="P1034" s="13">
        <v>292.05</v>
      </c>
      <c r="Q1034" s="33"/>
      <c r="R1034" s="22"/>
      <c r="S1034" s="22"/>
      <c r="T1034" s="22"/>
      <c r="U1034" s="22"/>
      <c r="X1034" s="15" t="str">
        <f>IF(B1034="",VLOOKUP(A1034,items_lookup!A:B,2,FALSE),B1034)</f>
        <v>07. Item 07</v>
      </c>
      <c r="Y1034" s="15">
        <f t="shared" si="92"/>
        <v>4</v>
      </c>
      <c r="Z1034" s="15">
        <f t="shared" si="92"/>
        <v>4</v>
      </c>
      <c r="AA1034" s="15">
        <f t="shared" si="94"/>
        <v>2021</v>
      </c>
      <c r="AB1034" s="15">
        <f t="shared" si="95"/>
        <v>2021</v>
      </c>
      <c r="AC1034" s="15">
        <f t="shared" si="96"/>
        <v>2021</v>
      </c>
      <c r="AD1034" s="18" t="b">
        <f t="shared" si="93"/>
        <v>1</v>
      </c>
    </row>
    <row r="1035" spans="1:30" ht="15.75" hidden="1" customHeight="1" x14ac:dyDescent="0.2">
      <c r="A1035" s="7" t="s">
        <v>688</v>
      </c>
      <c r="B1035" s="7"/>
      <c r="C1035" s="2" t="s">
        <v>641</v>
      </c>
      <c r="D1035" s="6" t="s">
        <v>649</v>
      </c>
      <c r="E1035" s="32" t="s">
        <v>651</v>
      </c>
      <c r="F1035" s="7"/>
      <c r="G1035" s="7"/>
      <c r="H1035" s="7"/>
      <c r="I1035" s="7" t="s">
        <v>20</v>
      </c>
      <c r="J1035" s="7">
        <v>1</v>
      </c>
      <c r="K1035" s="7" t="s">
        <v>660</v>
      </c>
      <c r="L1035" s="7" t="s">
        <v>663</v>
      </c>
      <c r="M1035" s="8">
        <v>44288</v>
      </c>
      <c r="N1035" s="8">
        <v>44301</v>
      </c>
      <c r="O1035" s="13"/>
      <c r="P1035" s="13">
        <v>8939.2999999999993</v>
      </c>
      <c r="Q1035" s="33"/>
      <c r="R1035" s="22"/>
      <c r="S1035" s="22"/>
      <c r="T1035" s="22"/>
      <c r="U1035" s="22"/>
      <c r="X1035" s="15" t="str">
        <f>IF(B1035="",VLOOKUP(A1035,items_lookup!A:B,2,FALSE),B1035)</f>
        <v>09. Item 09</v>
      </c>
      <c r="Y1035" s="15">
        <f t="shared" si="92"/>
        <v>4</v>
      </c>
      <c r="Z1035" s="15">
        <f t="shared" si="92"/>
        <v>4</v>
      </c>
      <c r="AA1035" s="15">
        <f t="shared" si="94"/>
        <v>2021</v>
      </c>
      <c r="AB1035" s="15">
        <f t="shared" si="95"/>
        <v>2021</v>
      </c>
      <c r="AC1035" s="15">
        <f t="shared" si="96"/>
        <v>2021</v>
      </c>
      <c r="AD1035" s="18" t="b">
        <f t="shared" si="93"/>
        <v>1</v>
      </c>
    </row>
    <row r="1036" spans="1:30" ht="15" hidden="1" customHeight="1" x14ac:dyDescent="0.2">
      <c r="A1036" s="7" t="s">
        <v>688</v>
      </c>
      <c r="B1036" s="7"/>
      <c r="C1036" s="2" t="s">
        <v>641</v>
      </c>
      <c r="D1036" s="6" t="s">
        <v>649</v>
      </c>
      <c r="E1036" s="32" t="s">
        <v>651</v>
      </c>
      <c r="F1036" s="7"/>
      <c r="G1036" s="7"/>
      <c r="H1036" s="7"/>
      <c r="I1036" s="7"/>
      <c r="J1036" s="7">
        <v>1</v>
      </c>
      <c r="K1036" s="7" t="s">
        <v>660</v>
      </c>
      <c r="L1036" s="7" t="s">
        <v>663</v>
      </c>
      <c r="M1036" s="8">
        <v>44288</v>
      </c>
      <c r="N1036" s="8">
        <v>44299</v>
      </c>
      <c r="O1036" s="13"/>
      <c r="P1036" s="13">
        <v>38753.56</v>
      </c>
      <c r="Q1036" s="33"/>
      <c r="R1036" s="22"/>
      <c r="S1036" s="22"/>
      <c r="T1036" s="22"/>
      <c r="U1036" s="22"/>
      <c r="X1036" s="15" t="str">
        <f>IF(B1036="",VLOOKUP(A1036,items_lookup!A:B,2,FALSE),B1036)</f>
        <v>09. Item 09</v>
      </c>
      <c r="Y1036" s="15">
        <f t="shared" si="92"/>
        <v>4</v>
      </c>
      <c r="Z1036" s="15">
        <f t="shared" si="92"/>
        <v>4</v>
      </c>
      <c r="AA1036" s="15">
        <f t="shared" si="94"/>
        <v>2021</v>
      </c>
      <c r="AB1036" s="15">
        <f t="shared" si="95"/>
        <v>2021</v>
      </c>
      <c r="AC1036" s="15">
        <f t="shared" si="96"/>
        <v>2021</v>
      </c>
      <c r="AD1036" s="18" t="b">
        <f t="shared" si="93"/>
        <v>1</v>
      </c>
    </row>
    <row r="1037" spans="1:30" ht="15" hidden="1" customHeight="1" x14ac:dyDescent="0.2">
      <c r="A1037" s="7" t="s">
        <v>688</v>
      </c>
      <c r="B1037" s="7"/>
      <c r="C1037" s="2" t="s">
        <v>641</v>
      </c>
      <c r="D1037" s="6" t="s">
        <v>649</v>
      </c>
      <c r="E1037" s="32" t="s">
        <v>651</v>
      </c>
      <c r="F1037" s="7"/>
      <c r="G1037" s="7"/>
      <c r="H1037" s="7"/>
      <c r="I1037" s="7" t="s">
        <v>20</v>
      </c>
      <c r="J1037" s="7">
        <v>1</v>
      </c>
      <c r="K1037" s="7" t="s">
        <v>660</v>
      </c>
      <c r="L1037" s="7" t="s">
        <v>663</v>
      </c>
      <c r="M1037" s="8">
        <v>44288</v>
      </c>
      <c r="N1037" s="8">
        <v>44299</v>
      </c>
      <c r="O1037" s="13"/>
      <c r="P1037" s="13">
        <v>475.97</v>
      </c>
      <c r="Q1037" s="33"/>
      <c r="R1037" s="22"/>
      <c r="S1037" s="22"/>
      <c r="T1037" s="22"/>
      <c r="U1037" s="22"/>
      <c r="X1037" s="15" t="str">
        <f>IF(B1037="",VLOOKUP(A1037,items_lookup!A:B,2,FALSE),B1037)</f>
        <v>09. Item 09</v>
      </c>
      <c r="Y1037" s="15">
        <f t="shared" si="92"/>
        <v>4</v>
      </c>
      <c r="Z1037" s="15">
        <f t="shared" si="92"/>
        <v>4</v>
      </c>
      <c r="AA1037" s="15">
        <f t="shared" si="94"/>
        <v>2021</v>
      </c>
      <c r="AB1037" s="15">
        <f t="shared" si="95"/>
        <v>2021</v>
      </c>
      <c r="AC1037" s="15">
        <f t="shared" si="96"/>
        <v>2021</v>
      </c>
      <c r="AD1037" s="18" t="b">
        <f t="shared" si="93"/>
        <v>1</v>
      </c>
    </row>
    <row r="1038" spans="1:30" ht="12.6" hidden="1" customHeight="1" x14ac:dyDescent="0.2">
      <c r="A1038" s="7" t="s">
        <v>674</v>
      </c>
      <c r="B1038" s="7"/>
      <c r="C1038" s="2" t="s">
        <v>641</v>
      </c>
      <c r="D1038" s="6" t="s">
        <v>649</v>
      </c>
      <c r="E1038" s="32" t="s">
        <v>651</v>
      </c>
      <c r="F1038" s="7"/>
      <c r="G1038" s="7"/>
      <c r="H1038" s="7"/>
      <c r="I1038" s="7"/>
      <c r="J1038" s="7">
        <v>1</v>
      </c>
      <c r="K1038" s="7" t="s">
        <v>660</v>
      </c>
      <c r="L1038" s="7" t="s">
        <v>663</v>
      </c>
      <c r="M1038" s="8">
        <v>44288</v>
      </c>
      <c r="N1038" s="8">
        <v>44299</v>
      </c>
      <c r="O1038" s="13"/>
      <c r="P1038" s="13">
        <v>40918.129999999997</v>
      </c>
      <c r="Q1038" s="33"/>
      <c r="R1038" s="22"/>
      <c r="S1038" s="22"/>
      <c r="T1038" s="22"/>
      <c r="U1038" s="22"/>
      <c r="X1038" s="15" t="str">
        <f>IF(B1038="",VLOOKUP(A1038,items_lookup!A:B,2,FALSE),B1038)</f>
        <v>08. Item 08</v>
      </c>
      <c r="Y1038" s="15">
        <f t="shared" si="92"/>
        <v>4</v>
      </c>
      <c r="Z1038" s="15">
        <f t="shared" si="92"/>
        <v>4</v>
      </c>
      <c r="AA1038" s="15">
        <f t="shared" si="94"/>
        <v>2021</v>
      </c>
      <c r="AB1038" s="15">
        <f t="shared" si="95"/>
        <v>2021</v>
      </c>
      <c r="AC1038" s="15">
        <f t="shared" si="96"/>
        <v>2021</v>
      </c>
      <c r="AD1038" s="18" t="b">
        <f t="shared" si="93"/>
        <v>1</v>
      </c>
    </row>
    <row r="1039" spans="1:30" ht="12.6" hidden="1" customHeight="1" x14ac:dyDescent="0.2">
      <c r="A1039" s="7" t="s">
        <v>674</v>
      </c>
      <c r="B1039" s="7"/>
      <c r="C1039" s="2" t="s">
        <v>641</v>
      </c>
      <c r="D1039" s="6" t="s">
        <v>649</v>
      </c>
      <c r="E1039" s="32" t="s">
        <v>651</v>
      </c>
      <c r="F1039" s="7"/>
      <c r="G1039" s="7"/>
      <c r="H1039" s="7"/>
      <c r="I1039" s="7" t="s">
        <v>20</v>
      </c>
      <c r="J1039" s="7">
        <v>1</v>
      </c>
      <c r="K1039" s="7" t="s">
        <v>660</v>
      </c>
      <c r="L1039" s="7" t="s">
        <v>663</v>
      </c>
      <c r="M1039" s="8">
        <v>44288</v>
      </c>
      <c r="N1039" s="8">
        <v>44300</v>
      </c>
      <c r="O1039" s="13"/>
      <c r="P1039" s="13">
        <v>35945.53</v>
      </c>
      <c r="Q1039" s="33"/>
      <c r="R1039" s="22"/>
      <c r="S1039" s="22"/>
      <c r="T1039" s="22"/>
      <c r="U1039" s="22"/>
      <c r="X1039" s="15" t="str">
        <f>IF(B1039="",VLOOKUP(A1039,items_lookup!A:B,2,FALSE),B1039)</f>
        <v>08. Item 08</v>
      </c>
      <c r="Y1039" s="15">
        <f t="shared" si="92"/>
        <v>4</v>
      </c>
      <c r="Z1039" s="15">
        <f t="shared" si="92"/>
        <v>4</v>
      </c>
      <c r="AA1039" s="15">
        <f t="shared" si="94"/>
        <v>2021</v>
      </c>
      <c r="AB1039" s="15">
        <f t="shared" si="95"/>
        <v>2021</v>
      </c>
      <c r="AC1039" s="15">
        <f t="shared" si="96"/>
        <v>2021</v>
      </c>
      <c r="AD1039" s="18" t="b">
        <f t="shared" si="93"/>
        <v>1</v>
      </c>
    </row>
    <row r="1040" spans="1:30" ht="12.6" hidden="1" customHeight="1" x14ac:dyDescent="0.2">
      <c r="A1040" s="7" t="s">
        <v>674</v>
      </c>
      <c r="B1040" s="7"/>
      <c r="C1040" s="2" t="s">
        <v>641</v>
      </c>
      <c r="D1040" s="6" t="s">
        <v>649</v>
      </c>
      <c r="E1040" s="32" t="s">
        <v>651</v>
      </c>
      <c r="F1040" s="7"/>
      <c r="G1040" s="7"/>
      <c r="H1040" s="7"/>
      <c r="I1040" s="7"/>
      <c r="J1040" s="7">
        <v>1</v>
      </c>
      <c r="K1040" s="7" t="s">
        <v>660</v>
      </c>
      <c r="L1040" s="7" t="s">
        <v>663</v>
      </c>
      <c r="M1040" s="8">
        <v>44288</v>
      </c>
      <c r="N1040" s="8">
        <v>44300</v>
      </c>
      <c r="O1040" s="13"/>
      <c r="P1040" s="13">
        <v>41143.160000000003</v>
      </c>
      <c r="Q1040" s="33"/>
      <c r="R1040" s="22"/>
      <c r="S1040" s="22"/>
      <c r="T1040" s="22"/>
      <c r="U1040" s="22"/>
      <c r="X1040" s="15" t="str">
        <f>IF(B1040="",VLOOKUP(A1040,items_lookup!A:B,2,FALSE),B1040)</f>
        <v>08. Item 08</v>
      </c>
      <c r="Y1040" s="15">
        <f t="shared" si="92"/>
        <v>4</v>
      </c>
      <c r="Z1040" s="15">
        <f t="shared" si="92"/>
        <v>4</v>
      </c>
      <c r="AA1040" s="15">
        <f t="shared" si="94"/>
        <v>2021</v>
      </c>
      <c r="AB1040" s="15">
        <f t="shared" si="95"/>
        <v>2021</v>
      </c>
      <c r="AC1040" s="15">
        <f t="shared" si="96"/>
        <v>2021</v>
      </c>
      <c r="AD1040" s="18" t="b">
        <f t="shared" si="93"/>
        <v>1</v>
      </c>
    </row>
    <row r="1041" spans="1:30" ht="12.6" hidden="1" customHeight="1" x14ac:dyDescent="0.2">
      <c r="A1041" s="7" t="s">
        <v>675</v>
      </c>
      <c r="B1041" s="7"/>
      <c r="C1041" s="2" t="s">
        <v>641</v>
      </c>
      <c r="D1041" s="6" t="s">
        <v>649</v>
      </c>
      <c r="E1041" s="32" t="s">
        <v>651</v>
      </c>
      <c r="F1041" s="7"/>
      <c r="G1041" s="7"/>
      <c r="H1041" s="7"/>
      <c r="I1041" s="7" t="s">
        <v>20</v>
      </c>
      <c r="J1041" s="7">
        <v>1</v>
      </c>
      <c r="K1041" s="7" t="s">
        <v>660</v>
      </c>
      <c r="L1041" s="7" t="s">
        <v>663</v>
      </c>
      <c r="M1041" s="8">
        <v>44294</v>
      </c>
      <c r="N1041" s="8">
        <v>44302</v>
      </c>
      <c r="O1041" s="13"/>
      <c r="P1041" s="13">
        <v>383333.33</v>
      </c>
      <c r="Q1041" s="33"/>
      <c r="R1041" s="22"/>
      <c r="S1041" s="22"/>
      <c r="T1041" s="22"/>
      <c r="U1041" s="22"/>
      <c r="X1041" s="15" t="str">
        <f>IF(B1041="",VLOOKUP(A1041,items_lookup!A:B,2,FALSE),B1041)</f>
        <v>09. Item 09</v>
      </c>
      <c r="Y1041" s="15">
        <f t="shared" si="92"/>
        <v>4</v>
      </c>
      <c r="Z1041" s="15">
        <f t="shared" si="92"/>
        <v>4</v>
      </c>
      <c r="AA1041" s="15">
        <f t="shared" si="94"/>
        <v>2021</v>
      </c>
      <c r="AB1041" s="15">
        <f t="shared" si="95"/>
        <v>2021</v>
      </c>
      <c r="AC1041" s="15">
        <f t="shared" si="96"/>
        <v>2021</v>
      </c>
      <c r="AD1041" s="18" t="b">
        <f t="shared" si="93"/>
        <v>1</v>
      </c>
    </row>
    <row r="1042" spans="1:30" ht="12.6" hidden="1" customHeight="1" x14ac:dyDescent="0.2">
      <c r="A1042" s="7" t="s">
        <v>675</v>
      </c>
      <c r="B1042" s="7"/>
      <c r="C1042" s="2" t="s">
        <v>641</v>
      </c>
      <c r="D1042" s="6" t="s">
        <v>649</v>
      </c>
      <c r="E1042" s="32" t="s">
        <v>651</v>
      </c>
      <c r="F1042" s="7"/>
      <c r="G1042" s="7"/>
      <c r="H1042" s="7"/>
      <c r="I1042" s="7"/>
      <c r="J1042" s="7"/>
      <c r="K1042" s="7" t="s">
        <v>660</v>
      </c>
      <c r="L1042" s="7" t="s">
        <v>663</v>
      </c>
      <c r="M1042" s="8">
        <v>44295</v>
      </c>
      <c r="N1042" s="8">
        <v>44295</v>
      </c>
      <c r="O1042" s="13"/>
      <c r="P1042" s="13">
        <v>10500.65</v>
      </c>
      <c r="Q1042" s="33"/>
      <c r="R1042" s="22"/>
      <c r="S1042" s="22"/>
      <c r="T1042" s="22"/>
      <c r="U1042" s="22"/>
      <c r="X1042" s="15" t="str">
        <f>IF(B1042="",VLOOKUP(A1042,items_lookup!A:B,2,FALSE),B1042)</f>
        <v>09. Item 09</v>
      </c>
      <c r="Y1042" s="15">
        <f t="shared" si="92"/>
        <v>4</v>
      </c>
      <c r="Z1042" s="15">
        <f t="shared" si="92"/>
        <v>4</v>
      </c>
      <c r="AA1042" s="15">
        <f t="shared" si="94"/>
        <v>2021</v>
      </c>
      <c r="AB1042" s="15">
        <f t="shared" si="95"/>
        <v>2021</v>
      </c>
      <c r="AC1042" s="15">
        <f t="shared" si="96"/>
        <v>2021</v>
      </c>
      <c r="AD1042" s="18" t="b">
        <f t="shared" si="93"/>
        <v>1</v>
      </c>
    </row>
    <row r="1043" spans="1:30" ht="15" hidden="1" customHeight="1" x14ac:dyDescent="0.2">
      <c r="A1043" s="7" t="s">
        <v>675</v>
      </c>
      <c r="B1043" s="7"/>
      <c r="C1043" s="2" t="s">
        <v>648</v>
      </c>
      <c r="D1043" s="6" t="s">
        <v>649</v>
      </c>
      <c r="E1043" s="32" t="s">
        <v>651</v>
      </c>
      <c r="F1043" s="7"/>
      <c r="G1043" s="7"/>
      <c r="H1043" s="7"/>
      <c r="I1043" s="7"/>
      <c r="J1043" s="7"/>
      <c r="K1043" s="7"/>
      <c r="L1043" s="7" t="s">
        <v>663</v>
      </c>
      <c r="M1043" s="8">
        <v>44286</v>
      </c>
      <c r="N1043" s="8">
        <v>44286</v>
      </c>
      <c r="O1043" s="13"/>
      <c r="P1043" s="13">
        <v>42401945.479999997</v>
      </c>
      <c r="Q1043" s="33"/>
      <c r="R1043" s="22"/>
      <c r="S1043" s="22"/>
      <c r="T1043" s="22"/>
      <c r="U1043" s="22"/>
      <c r="X1043" s="15" t="str">
        <f>IF(B1043="",VLOOKUP(A1043,items_lookup!A:B,2,FALSE),B1043)</f>
        <v>09. Item 09</v>
      </c>
      <c r="Y1043" s="15">
        <f t="shared" si="92"/>
        <v>3</v>
      </c>
      <c r="Z1043" s="15">
        <f t="shared" si="92"/>
        <v>3</v>
      </c>
      <c r="AA1043" s="15">
        <f t="shared" si="94"/>
        <v>2021</v>
      </c>
      <c r="AB1043" s="15">
        <f t="shared" si="95"/>
        <v>2021</v>
      </c>
      <c r="AC1043" s="15">
        <f t="shared" si="96"/>
        <v>2021</v>
      </c>
      <c r="AD1043" s="18" t="b">
        <f t="shared" si="93"/>
        <v>1</v>
      </c>
    </row>
    <row r="1044" spans="1:30" ht="15" hidden="1" customHeight="1" x14ac:dyDescent="0.2">
      <c r="A1044" s="7" t="s">
        <v>676</v>
      </c>
      <c r="B1044" s="7"/>
      <c r="C1044" s="2" t="s">
        <v>641</v>
      </c>
      <c r="D1044" s="6" t="s">
        <v>649</v>
      </c>
      <c r="E1044" s="32" t="s">
        <v>651</v>
      </c>
      <c r="F1044" s="7"/>
      <c r="G1044" s="7"/>
      <c r="H1044" s="7"/>
      <c r="I1044" s="7"/>
      <c r="J1044" s="7"/>
      <c r="K1044" s="7" t="s">
        <v>660</v>
      </c>
      <c r="L1044" s="7" t="s">
        <v>663</v>
      </c>
      <c r="M1044" s="8">
        <v>44299</v>
      </c>
      <c r="N1044" s="8">
        <v>44299</v>
      </c>
      <c r="O1044" s="13"/>
      <c r="P1044" s="13">
        <v>80147.66</v>
      </c>
      <c r="Q1044" s="33"/>
      <c r="R1044" s="22"/>
      <c r="S1044" s="22"/>
      <c r="T1044" s="22"/>
      <c r="U1044" s="22"/>
      <c r="X1044" s="15" t="str">
        <f>IF(B1044="",VLOOKUP(A1044,items_lookup!A:B,2,FALSE),B1044)</f>
        <v>09. Item 09</v>
      </c>
      <c r="Y1044" s="15">
        <f t="shared" ref="Y1044:Z1098" si="97">MONTH(M1044)</f>
        <v>4</v>
      </c>
      <c r="Z1044" s="15">
        <f t="shared" si="97"/>
        <v>4</v>
      </c>
      <c r="AA1044" s="15">
        <f t="shared" si="94"/>
        <v>2021</v>
      </c>
      <c r="AB1044" s="15">
        <f t="shared" si="95"/>
        <v>2021</v>
      </c>
      <c r="AC1044" s="15">
        <f t="shared" si="96"/>
        <v>2021</v>
      </c>
      <c r="AD1044" s="18" t="b">
        <f t="shared" si="93"/>
        <v>1</v>
      </c>
    </row>
    <row r="1045" spans="1:30" ht="15" hidden="1" customHeight="1" x14ac:dyDescent="0.2">
      <c r="A1045" s="7" t="s">
        <v>676</v>
      </c>
      <c r="B1045" s="7"/>
      <c r="C1045" s="2" t="s">
        <v>648</v>
      </c>
      <c r="D1045" s="6" t="s">
        <v>649</v>
      </c>
      <c r="E1045" s="32" t="s">
        <v>651</v>
      </c>
      <c r="F1045" s="7"/>
      <c r="G1045" s="7"/>
      <c r="H1045" s="7"/>
      <c r="I1045" s="7"/>
      <c r="J1045" s="7"/>
      <c r="K1045" s="7"/>
      <c r="L1045" s="7" t="s">
        <v>663</v>
      </c>
      <c r="M1045" s="8">
        <v>44287</v>
      </c>
      <c r="N1045" s="8">
        <v>44287</v>
      </c>
      <c r="O1045" s="13"/>
      <c r="P1045" s="13">
        <v>21118.87</v>
      </c>
      <c r="Q1045" s="33"/>
      <c r="R1045" s="22"/>
      <c r="S1045" s="22"/>
      <c r="T1045" s="22"/>
      <c r="U1045" s="22"/>
      <c r="X1045" s="15" t="str">
        <f>IF(B1045="",VLOOKUP(A1045,items_lookup!A:B,2,FALSE),B1045)</f>
        <v>09. Item 09</v>
      </c>
      <c r="Y1045" s="15">
        <f t="shared" si="97"/>
        <v>4</v>
      </c>
      <c r="Z1045" s="15">
        <f t="shared" si="97"/>
        <v>4</v>
      </c>
      <c r="AA1045" s="15">
        <f t="shared" si="94"/>
        <v>2021</v>
      </c>
      <c r="AB1045" s="15">
        <f t="shared" si="95"/>
        <v>2021</v>
      </c>
      <c r="AC1045" s="15">
        <f t="shared" si="96"/>
        <v>2021</v>
      </c>
      <c r="AD1045" s="18" t="b">
        <f t="shared" si="93"/>
        <v>1</v>
      </c>
    </row>
    <row r="1046" spans="1:30" ht="15" hidden="1" customHeight="1" x14ac:dyDescent="0.2">
      <c r="A1046" s="7" t="s">
        <v>676</v>
      </c>
      <c r="B1046" s="7"/>
      <c r="C1046" s="2" t="s">
        <v>648</v>
      </c>
      <c r="D1046" s="6" t="s">
        <v>649</v>
      </c>
      <c r="E1046" s="32" t="s">
        <v>651</v>
      </c>
      <c r="F1046" s="7"/>
      <c r="G1046" s="7"/>
      <c r="H1046" s="7"/>
      <c r="I1046" s="7"/>
      <c r="J1046" s="7"/>
      <c r="K1046" s="7"/>
      <c r="L1046" s="7" t="s">
        <v>663</v>
      </c>
      <c r="M1046" s="8">
        <v>44287</v>
      </c>
      <c r="N1046" s="8">
        <v>44287</v>
      </c>
      <c r="O1046" s="13"/>
      <c r="P1046" s="13">
        <v>2251909.37</v>
      </c>
      <c r="Q1046" s="33"/>
      <c r="R1046" s="22"/>
      <c r="S1046" s="22"/>
      <c r="T1046" s="22"/>
      <c r="U1046" s="22"/>
      <c r="X1046" s="15" t="str">
        <f>IF(B1046="",VLOOKUP(A1046,items_lookup!A:B,2,FALSE),B1046)</f>
        <v>09. Item 09</v>
      </c>
      <c r="Y1046" s="15">
        <f t="shared" si="97"/>
        <v>4</v>
      </c>
      <c r="Z1046" s="15">
        <f t="shared" si="97"/>
        <v>4</v>
      </c>
      <c r="AA1046" s="15">
        <f t="shared" si="94"/>
        <v>2021</v>
      </c>
      <c r="AB1046" s="15">
        <f t="shared" si="95"/>
        <v>2021</v>
      </c>
      <c r="AC1046" s="15">
        <f t="shared" si="96"/>
        <v>2021</v>
      </c>
      <c r="AD1046" s="18" t="b">
        <f t="shared" si="93"/>
        <v>1</v>
      </c>
    </row>
    <row r="1047" spans="1:30" ht="15" hidden="1" customHeight="1" x14ac:dyDescent="0.2">
      <c r="A1047" s="7" t="s">
        <v>684</v>
      </c>
      <c r="B1047" s="7"/>
      <c r="C1047" s="2" t="s">
        <v>648</v>
      </c>
      <c r="D1047" s="6" t="s">
        <v>649</v>
      </c>
      <c r="E1047" s="32" t="s">
        <v>651</v>
      </c>
      <c r="F1047" s="7"/>
      <c r="G1047" s="7"/>
      <c r="H1047" s="7"/>
      <c r="I1047" s="7"/>
      <c r="J1047" s="7"/>
      <c r="K1047" s="7"/>
      <c r="L1047" s="7" t="s">
        <v>663</v>
      </c>
      <c r="M1047" s="8">
        <v>44287</v>
      </c>
      <c r="N1047" s="8">
        <v>44287</v>
      </c>
      <c r="O1047" s="13"/>
      <c r="P1047" s="13">
        <v>6057310.1100000003</v>
      </c>
      <c r="Q1047" s="33"/>
      <c r="R1047" s="22"/>
      <c r="S1047" s="22"/>
      <c r="T1047" s="22"/>
      <c r="U1047" s="22"/>
      <c r="X1047" s="15" t="str">
        <f>IF(B1047="",VLOOKUP(A1047,items_lookup!A:B,2,FALSE),B1047)</f>
        <v>09. Item 09</v>
      </c>
      <c r="Y1047" s="15">
        <f t="shared" si="97"/>
        <v>4</v>
      </c>
      <c r="Z1047" s="15">
        <f t="shared" si="97"/>
        <v>4</v>
      </c>
      <c r="AA1047" s="15">
        <f t="shared" si="94"/>
        <v>2021</v>
      </c>
      <c r="AB1047" s="15">
        <f t="shared" si="95"/>
        <v>2021</v>
      </c>
      <c r="AC1047" s="15">
        <f t="shared" si="96"/>
        <v>2021</v>
      </c>
      <c r="AD1047" s="18" t="b">
        <f t="shared" si="93"/>
        <v>1</v>
      </c>
    </row>
    <row r="1048" spans="1:30" ht="15" hidden="1" customHeight="1" x14ac:dyDescent="0.2">
      <c r="A1048" s="7" t="s">
        <v>684</v>
      </c>
      <c r="B1048" s="7"/>
      <c r="C1048" s="2" t="s">
        <v>648</v>
      </c>
      <c r="D1048" s="6" t="s">
        <v>649</v>
      </c>
      <c r="E1048" s="32" t="s">
        <v>651</v>
      </c>
      <c r="F1048" s="7"/>
      <c r="G1048" s="7"/>
      <c r="H1048" s="7"/>
      <c r="I1048" s="7"/>
      <c r="J1048" s="7"/>
      <c r="K1048" s="7"/>
      <c r="L1048" s="7" t="s">
        <v>663</v>
      </c>
      <c r="M1048" s="8">
        <v>44287</v>
      </c>
      <c r="N1048" s="8">
        <v>44287</v>
      </c>
      <c r="O1048" s="13"/>
      <c r="P1048" s="13">
        <v>55997.94</v>
      </c>
      <c r="Q1048" s="33"/>
      <c r="R1048" s="22"/>
      <c r="S1048" s="22"/>
      <c r="T1048" s="22"/>
      <c r="U1048" s="22"/>
      <c r="X1048" s="15" t="str">
        <f>IF(B1048="",VLOOKUP(A1048,items_lookup!A:B,2,FALSE),B1048)</f>
        <v>09. Item 09</v>
      </c>
      <c r="Y1048" s="15">
        <f t="shared" si="97"/>
        <v>4</v>
      </c>
      <c r="Z1048" s="15">
        <f t="shared" si="97"/>
        <v>4</v>
      </c>
      <c r="AA1048" s="15">
        <f t="shared" si="94"/>
        <v>2021</v>
      </c>
      <c r="AB1048" s="15">
        <f t="shared" si="95"/>
        <v>2021</v>
      </c>
      <c r="AC1048" s="15">
        <f t="shared" si="96"/>
        <v>2021</v>
      </c>
      <c r="AD1048" s="18" t="b">
        <f t="shared" si="93"/>
        <v>1</v>
      </c>
    </row>
    <row r="1049" spans="1:30" ht="15" hidden="1" customHeight="1" x14ac:dyDescent="0.2">
      <c r="A1049" s="7" t="s">
        <v>677</v>
      </c>
      <c r="B1049" s="7"/>
      <c r="C1049" s="2" t="s">
        <v>648</v>
      </c>
      <c r="D1049" s="6" t="s">
        <v>649</v>
      </c>
      <c r="E1049" s="32" t="s">
        <v>651</v>
      </c>
      <c r="F1049" s="7"/>
      <c r="G1049" s="7"/>
      <c r="H1049" s="7"/>
      <c r="I1049" s="7"/>
      <c r="J1049" s="7"/>
      <c r="K1049" s="7"/>
      <c r="L1049" s="7" t="s">
        <v>663</v>
      </c>
      <c r="M1049" s="8">
        <v>44287</v>
      </c>
      <c r="N1049" s="8">
        <v>44287</v>
      </c>
      <c r="O1049" s="13"/>
      <c r="P1049" s="13">
        <v>108476.61</v>
      </c>
      <c r="Q1049" s="33"/>
      <c r="R1049" s="22"/>
      <c r="S1049" s="22"/>
      <c r="T1049" s="22"/>
      <c r="U1049" s="22"/>
      <c r="X1049" s="15" t="str">
        <f>IF(B1049="",VLOOKUP(A1049,items_lookup!A:B,2,FALSE),B1049)</f>
        <v>11. Item 11</v>
      </c>
      <c r="Y1049" s="15">
        <f t="shared" si="97"/>
        <v>4</v>
      </c>
      <c r="Z1049" s="15">
        <f t="shared" si="97"/>
        <v>4</v>
      </c>
      <c r="AA1049" s="15">
        <f t="shared" si="94"/>
        <v>2021</v>
      </c>
      <c r="AB1049" s="15">
        <f t="shared" si="95"/>
        <v>2021</v>
      </c>
      <c r="AC1049" s="15">
        <f t="shared" si="96"/>
        <v>2021</v>
      </c>
      <c r="AD1049" s="18" t="b">
        <f t="shared" si="93"/>
        <v>1</v>
      </c>
    </row>
    <row r="1050" spans="1:30" ht="15" hidden="1" customHeight="1" x14ac:dyDescent="0.2">
      <c r="A1050" s="7" t="s">
        <v>677</v>
      </c>
      <c r="B1050" s="7"/>
      <c r="C1050" s="2" t="s">
        <v>648</v>
      </c>
      <c r="D1050" s="6" t="s">
        <v>649</v>
      </c>
      <c r="E1050" s="32" t="s">
        <v>651</v>
      </c>
      <c r="F1050" s="7"/>
      <c r="G1050" s="7"/>
      <c r="H1050" s="7"/>
      <c r="I1050" s="7"/>
      <c r="J1050" s="7"/>
      <c r="K1050" s="7"/>
      <c r="L1050" s="7" t="s">
        <v>663</v>
      </c>
      <c r="M1050" s="8">
        <v>44287</v>
      </c>
      <c r="N1050" s="8">
        <v>44287</v>
      </c>
      <c r="O1050" s="13"/>
      <c r="P1050" s="13">
        <v>8597492.0899999999</v>
      </c>
      <c r="Q1050" s="33"/>
      <c r="R1050" s="22"/>
      <c r="S1050" s="22"/>
      <c r="T1050" s="22"/>
      <c r="U1050" s="22"/>
      <c r="X1050" s="15" t="str">
        <f>IF(B1050="",VLOOKUP(A1050,items_lookup!A:B,2,FALSE),B1050)</f>
        <v>11. Item 11</v>
      </c>
      <c r="Y1050" s="15">
        <f t="shared" si="97"/>
        <v>4</v>
      </c>
      <c r="Z1050" s="15">
        <f t="shared" si="97"/>
        <v>4</v>
      </c>
      <c r="AA1050" s="15">
        <f t="shared" si="94"/>
        <v>2021</v>
      </c>
      <c r="AB1050" s="15">
        <f t="shared" si="95"/>
        <v>2021</v>
      </c>
      <c r="AC1050" s="15">
        <f t="shared" si="96"/>
        <v>2021</v>
      </c>
      <c r="AD1050" s="18" t="b">
        <f t="shared" si="93"/>
        <v>1</v>
      </c>
    </row>
    <row r="1051" spans="1:30" ht="15" hidden="1" customHeight="1" x14ac:dyDescent="0.2">
      <c r="A1051" s="7" t="s">
        <v>677</v>
      </c>
      <c r="B1051" s="7"/>
      <c r="C1051" s="2" t="s">
        <v>648</v>
      </c>
      <c r="D1051" s="6" t="s">
        <v>649</v>
      </c>
      <c r="E1051" s="32" t="s">
        <v>651</v>
      </c>
      <c r="F1051" s="7"/>
      <c r="G1051" s="7"/>
      <c r="H1051" s="7"/>
      <c r="I1051" s="7"/>
      <c r="J1051" s="7"/>
      <c r="K1051" s="7"/>
      <c r="L1051" s="7" t="s">
        <v>663</v>
      </c>
      <c r="M1051" s="8">
        <v>44287</v>
      </c>
      <c r="N1051" s="8">
        <v>44287</v>
      </c>
      <c r="O1051" s="13"/>
      <c r="P1051" s="13">
        <v>42944.05</v>
      </c>
      <c r="Q1051" s="33"/>
      <c r="R1051" s="22"/>
      <c r="S1051" s="22"/>
      <c r="T1051" s="22"/>
      <c r="U1051" s="22"/>
      <c r="X1051" s="15" t="str">
        <f>IF(B1051="",VLOOKUP(A1051,items_lookup!A:B,2,FALSE),B1051)</f>
        <v>11. Item 11</v>
      </c>
      <c r="Y1051" s="15">
        <f t="shared" si="97"/>
        <v>4</v>
      </c>
      <c r="Z1051" s="15">
        <f t="shared" si="97"/>
        <v>4</v>
      </c>
      <c r="AA1051" s="15">
        <f t="shared" si="94"/>
        <v>2021</v>
      </c>
      <c r="AB1051" s="15">
        <f t="shared" si="95"/>
        <v>2021</v>
      </c>
      <c r="AC1051" s="15">
        <f t="shared" si="96"/>
        <v>2021</v>
      </c>
      <c r="AD1051" s="18" t="b">
        <f t="shared" si="93"/>
        <v>1</v>
      </c>
    </row>
    <row r="1052" spans="1:30" ht="15" hidden="1" customHeight="1" x14ac:dyDescent="0.2">
      <c r="A1052" s="7" t="s">
        <v>690</v>
      </c>
      <c r="B1052" s="7"/>
      <c r="C1052" s="2" t="s">
        <v>648</v>
      </c>
      <c r="D1052" s="6" t="s">
        <v>649</v>
      </c>
      <c r="E1052" s="32" t="s">
        <v>651</v>
      </c>
      <c r="F1052" s="7"/>
      <c r="G1052" s="7"/>
      <c r="H1052" s="7"/>
      <c r="I1052" s="7"/>
      <c r="J1052" s="7"/>
      <c r="K1052" s="7"/>
      <c r="L1052" s="7" t="s">
        <v>663</v>
      </c>
      <c r="M1052" s="8">
        <v>44287</v>
      </c>
      <c r="N1052" s="8">
        <v>44287</v>
      </c>
      <c r="O1052" s="13"/>
      <c r="P1052" s="13">
        <v>15897.62</v>
      </c>
      <c r="Q1052" s="33"/>
      <c r="R1052" s="22"/>
      <c r="S1052" s="22"/>
      <c r="T1052" s="22"/>
      <c r="U1052" s="22"/>
      <c r="X1052" s="15" t="str">
        <f>IF(B1052="",VLOOKUP(A1052,items_lookup!A:B,2,FALSE),B1052)</f>
        <v>21. Item 21</v>
      </c>
      <c r="Y1052" s="15">
        <f t="shared" si="97"/>
        <v>4</v>
      </c>
      <c r="Z1052" s="15">
        <f t="shared" si="97"/>
        <v>4</v>
      </c>
      <c r="AA1052" s="15">
        <f t="shared" si="94"/>
        <v>2021</v>
      </c>
      <c r="AB1052" s="15">
        <f t="shared" si="95"/>
        <v>2021</v>
      </c>
      <c r="AC1052" s="15">
        <f t="shared" si="96"/>
        <v>2021</v>
      </c>
      <c r="AD1052" s="18" t="b">
        <f t="shared" si="93"/>
        <v>1</v>
      </c>
    </row>
    <row r="1053" spans="1:30" ht="25.5" hidden="1" customHeight="1" x14ac:dyDescent="0.2">
      <c r="A1053" s="7" t="s">
        <v>690</v>
      </c>
      <c r="B1053" s="7"/>
      <c r="C1053" s="2" t="s">
        <v>648</v>
      </c>
      <c r="D1053" s="6" t="s">
        <v>649</v>
      </c>
      <c r="E1053" s="32" t="s">
        <v>651</v>
      </c>
      <c r="F1053" s="7"/>
      <c r="G1053" s="7"/>
      <c r="H1053" s="7"/>
      <c r="I1053" s="7"/>
      <c r="J1053" s="7"/>
      <c r="K1053" s="7"/>
      <c r="L1053" s="7" t="s">
        <v>663</v>
      </c>
      <c r="M1053" s="8">
        <v>44287</v>
      </c>
      <c r="N1053" s="8">
        <v>44287</v>
      </c>
      <c r="O1053" s="13"/>
      <c r="P1053" s="13">
        <v>704181.69</v>
      </c>
      <c r="Q1053" s="33"/>
      <c r="R1053" s="22"/>
      <c r="S1053" s="22"/>
      <c r="T1053" s="22"/>
      <c r="U1053" s="22"/>
      <c r="X1053" s="15" t="str">
        <f>IF(B1053="",VLOOKUP(A1053,items_lookup!A:B,2,FALSE),B1053)</f>
        <v>21. Item 21</v>
      </c>
      <c r="Y1053" s="15">
        <f t="shared" si="97"/>
        <v>4</v>
      </c>
      <c r="Z1053" s="15">
        <f t="shared" si="97"/>
        <v>4</v>
      </c>
      <c r="AA1053" s="15">
        <f t="shared" si="94"/>
        <v>2021</v>
      </c>
      <c r="AB1053" s="15">
        <f t="shared" si="95"/>
        <v>2021</v>
      </c>
      <c r="AC1053" s="15">
        <f t="shared" si="96"/>
        <v>2021</v>
      </c>
      <c r="AD1053" s="18" t="b">
        <f t="shared" si="93"/>
        <v>1</v>
      </c>
    </row>
    <row r="1054" spans="1:30" ht="15" hidden="1" customHeight="1" x14ac:dyDescent="0.2">
      <c r="A1054" s="7" t="s">
        <v>690</v>
      </c>
      <c r="B1054" s="7"/>
      <c r="C1054" s="2" t="s">
        <v>648</v>
      </c>
      <c r="D1054" s="6" t="s">
        <v>649</v>
      </c>
      <c r="E1054" s="32" t="s">
        <v>651</v>
      </c>
      <c r="F1054" s="7"/>
      <c r="G1054" s="7"/>
      <c r="H1054" s="7"/>
      <c r="I1054" s="7"/>
      <c r="J1054" s="7"/>
      <c r="K1054" s="7"/>
      <c r="L1054" s="7" t="s">
        <v>663</v>
      </c>
      <c r="M1054" s="8">
        <v>44287</v>
      </c>
      <c r="N1054" s="8">
        <v>44287</v>
      </c>
      <c r="O1054" s="13"/>
      <c r="P1054" s="13">
        <v>30859.43</v>
      </c>
      <c r="Q1054" s="33"/>
      <c r="R1054" s="22"/>
      <c r="S1054" s="22"/>
      <c r="T1054" s="22"/>
      <c r="U1054" s="22"/>
      <c r="X1054" s="15" t="str">
        <f>IF(B1054="",VLOOKUP(A1054,items_lookup!A:B,2,FALSE),B1054)</f>
        <v>21. Item 21</v>
      </c>
      <c r="Y1054" s="15">
        <f t="shared" si="97"/>
        <v>4</v>
      </c>
      <c r="Z1054" s="15">
        <f t="shared" si="97"/>
        <v>4</v>
      </c>
      <c r="AA1054" s="15">
        <f t="shared" si="94"/>
        <v>2021</v>
      </c>
      <c r="AB1054" s="15">
        <f t="shared" si="95"/>
        <v>2021</v>
      </c>
      <c r="AC1054" s="15">
        <f t="shared" si="96"/>
        <v>2021</v>
      </c>
      <c r="AD1054" s="18" t="b">
        <f t="shared" si="93"/>
        <v>1</v>
      </c>
    </row>
    <row r="1055" spans="1:30" ht="15" hidden="1" customHeight="1" x14ac:dyDescent="0.2">
      <c r="A1055" s="7" t="s">
        <v>681</v>
      </c>
      <c r="B1055" s="7"/>
      <c r="C1055" s="2" t="s">
        <v>641</v>
      </c>
      <c r="D1055" s="6" t="s">
        <v>649</v>
      </c>
      <c r="E1055" s="32" t="s">
        <v>651</v>
      </c>
      <c r="F1055" s="7"/>
      <c r="G1055" s="7"/>
      <c r="H1055" s="7"/>
      <c r="I1055" s="7"/>
      <c r="J1055" s="7">
        <v>4</v>
      </c>
      <c r="K1055" s="7" t="s">
        <v>660</v>
      </c>
      <c r="L1055" s="7" t="s">
        <v>663</v>
      </c>
      <c r="M1055" s="8">
        <v>44298</v>
      </c>
      <c r="N1055" s="8">
        <v>44313</v>
      </c>
      <c r="O1055" s="13"/>
      <c r="P1055" s="13">
        <v>3120.02</v>
      </c>
      <c r="Q1055" s="33"/>
      <c r="R1055" s="22"/>
      <c r="S1055" s="22"/>
      <c r="T1055" s="22"/>
      <c r="U1055" s="22"/>
      <c r="X1055" s="15" t="str">
        <f>IF(B1055="",VLOOKUP(A1055,items_lookup!A:B,2,FALSE),B1055)</f>
        <v>19. Item 19</v>
      </c>
      <c r="Y1055" s="15">
        <f t="shared" si="97"/>
        <v>4</v>
      </c>
      <c r="Z1055" s="15">
        <f t="shared" si="97"/>
        <v>4</v>
      </c>
      <c r="AA1055" s="15">
        <f t="shared" si="94"/>
        <v>2021</v>
      </c>
      <c r="AB1055" s="15">
        <f t="shared" si="95"/>
        <v>2021</v>
      </c>
      <c r="AC1055" s="15">
        <f t="shared" si="96"/>
        <v>2021</v>
      </c>
      <c r="AD1055" s="18" t="b">
        <f t="shared" si="93"/>
        <v>1</v>
      </c>
    </row>
    <row r="1056" spans="1:30" ht="15" hidden="1" customHeight="1" x14ac:dyDescent="0.2">
      <c r="A1056" s="7" t="s">
        <v>681</v>
      </c>
      <c r="B1056" s="7"/>
      <c r="C1056" s="2" t="s">
        <v>641</v>
      </c>
      <c r="D1056" s="6" t="s">
        <v>649</v>
      </c>
      <c r="E1056" s="32" t="s">
        <v>651</v>
      </c>
      <c r="F1056" s="7"/>
      <c r="G1056" s="7"/>
      <c r="H1056" s="7"/>
      <c r="I1056" s="7"/>
      <c r="J1056" s="7">
        <v>3</v>
      </c>
      <c r="K1056" s="7" t="s">
        <v>660</v>
      </c>
      <c r="L1056" s="7" t="s">
        <v>663</v>
      </c>
      <c r="M1056" s="8">
        <v>44301</v>
      </c>
      <c r="N1056" s="8">
        <v>44312</v>
      </c>
      <c r="O1056" s="13"/>
      <c r="P1056" s="13">
        <v>15897.62</v>
      </c>
      <c r="Q1056" s="33"/>
      <c r="R1056" s="22"/>
      <c r="S1056" s="22"/>
      <c r="T1056" s="22"/>
      <c r="U1056" s="22"/>
      <c r="X1056" s="15" t="str">
        <f>IF(B1056="",VLOOKUP(A1056,items_lookup!A:B,2,FALSE),B1056)</f>
        <v>19. Item 19</v>
      </c>
      <c r="Y1056" s="15">
        <f t="shared" si="97"/>
        <v>4</v>
      </c>
      <c r="Z1056" s="15">
        <f t="shared" si="97"/>
        <v>4</v>
      </c>
      <c r="AA1056" s="15">
        <f t="shared" si="94"/>
        <v>2021</v>
      </c>
      <c r="AB1056" s="15">
        <f t="shared" si="95"/>
        <v>2021</v>
      </c>
      <c r="AC1056" s="15">
        <f t="shared" si="96"/>
        <v>2021</v>
      </c>
      <c r="AD1056" s="18" t="b">
        <f t="shared" si="93"/>
        <v>1</v>
      </c>
    </row>
    <row r="1057" spans="1:30" ht="12.6" hidden="1" customHeight="1" x14ac:dyDescent="0.2">
      <c r="A1057" s="7" t="s">
        <v>681</v>
      </c>
      <c r="B1057" s="7"/>
      <c r="C1057" s="2" t="s">
        <v>641</v>
      </c>
      <c r="D1057" s="6" t="s">
        <v>649</v>
      </c>
      <c r="E1057" s="32" t="s">
        <v>651</v>
      </c>
      <c r="F1057" s="7"/>
      <c r="G1057" s="7"/>
      <c r="H1057" s="7"/>
      <c r="I1057" s="7"/>
      <c r="J1057" s="7">
        <v>3</v>
      </c>
      <c r="K1057" s="7" t="s">
        <v>660</v>
      </c>
      <c r="L1057" s="7" t="s">
        <v>663</v>
      </c>
      <c r="M1057" s="8">
        <v>44301</v>
      </c>
      <c r="N1057" s="8">
        <v>44312</v>
      </c>
      <c r="O1057" s="13"/>
      <c r="P1057" s="13">
        <v>461485.83</v>
      </c>
      <c r="Q1057" s="33"/>
      <c r="R1057" s="22"/>
      <c r="S1057" s="22"/>
      <c r="T1057" s="22"/>
      <c r="U1057" s="22"/>
      <c r="X1057" s="15" t="str">
        <f>IF(B1057="",VLOOKUP(A1057,items_lookup!A:B,2,FALSE),B1057)</f>
        <v>19. Item 19</v>
      </c>
      <c r="Y1057" s="15">
        <f t="shared" si="97"/>
        <v>4</v>
      </c>
      <c r="Z1057" s="15">
        <f t="shared" si="97"/>
        <v>4</v>
      </c>
      <c r="AA1057" s="15">
        <f t="shared" si="94"/>
        <v>2021</v>
      </c>
      <c r="AB1057" s="15">
        <f t="shared" si="95"/>
        <v>2021</v>
      </c>
      <c r="AC1057" s="15">
        <f t="shared" si="96"/>
        <v>2021</v>
      </c>
      <c r="AD1057" s="18" t="b">
        <f t="shared" si="93"/>
        <v>1</v>
      </c>
    </row>
    <row r="1058" spans="1:30" ht="12.6" hidden="1" customHeight="1" x14ac:dyDescent="0.2">
      <c r="A1058" s="7" t="s">
        <v>687</v>
      </c>
      <c r="B1058" s="7"/>
      <c r="C1058" s="2" t="s">
        <v>641</v>
      </c>
      <c r="D1058" s="6" t="s">
        <v>649</v>
      </c>
      <c r="E1058" s="32" t="s">
        <v>651</v>
      </c>
      <c r="F1058" s="7"/>
      <c r="G1058" s="7"/>
      <c r="H1058" s="7"/>
      <c r="I1058" s="7"/>
      <c r="J1058" s="7">
        <v>3</v>
      </c>
      <c r="K1058" s="7" t="s">
        <v>660</v>
      </c>
      <c r="L1058" s="7" t="s">
        <v>663</v>
      </c>
      <c r="M1058" s="8">
        <v>44301</v>
      </c>
      <c r="N1058" s="8">
        <v>44312</v>
      </c>
      <c r="O1058" s="13"/>
      <c r="P1058" s="13">
        <v>41756.99</v>
      </c>
      <c r="Q1058" s="33"/>
      <c r="R1058" s="22"/>
      <c r="S1058" s="22"/>
      <c r="T1058" s="22"/>
      <c r="U1058" s="22"/>
      <c r="X1058" s="15" t="str">
        <f>IF(B1058="",VLOOKUP(A1058,items_lookup!A:B,2,FALSE),B1058)</f>
        <v>14. Item 14</v>
      </c>
      <c r="Y1058" s="15">
        <f t="shared" si="97"/>
        <v>4</v>
      </c>
      <c r="Z1058" s="15">
        <f t="shared" si="97"/>
        <v>4</v>
      </c>
      <c r="AA1058" s="15">
        <f t="shared" si="94"/>
        <v>2021</v>
      </c>
      <c r="AB1058" s="15">
        <f t="shared" si="95"/>
        <v>2021</v>
      </c>
      <c r="AC1058" s="15">
        <f t="shared" si="96"/>
        <v>2021</v>
      </c>
      <c r="AD1058" s="18" t="b">
        <f t="shared" si="93"/>
        <v>1</v>
      </c>
    </row>
    <row r="1059" spans="1:30" ht="15" hidden="1" customHeight="1" x14ac:dyDescent="0.2">
      <c r="A1059" s="7" t="s">
        <v>687</v>
      </c>
      <c r="B1059" s="20"/>
      <c r="C1059" s="2" t="s">
        <v>641</v>
      </c>
      <c r="D1059" s="6" t="s">
        <v>649</v>
      </c>
      <c r="E1059" s="32" t="s">
        <v>651</v>
      </c>
      <c r="F1059" s="7"/>
      <c r="G1059" s="7"/>
      <c r="H1059" s="7"/>
      <c r="I1059" s="7"/>
      <c r="J1059" s="7">
        <v>3</v>
      </c>
      <c r="K1059" s="7" t="s">
        <v>660</v>
      </c>
      <c r="L1059" s="7" t="s">
        <v>663</v>
      </c>
      <c r="M1059" s="8">
        <v>44301</v>
      </c>
      <c r="N1059" s="8">
        <v>44313</v>
      </c>
      <c r="O1059" s="13"/>
      <c r="P1059" s="13">
        <v>51870.74</v>
      </c>
      <c r="Q1059" s="33"/>
      <c r="R1059" s="9"/>
      <c r="S1059" s="9"/>
      <c r="T1059" s="9"/>
      <c r="U1059" s="9"/>
      <c r="X1059" s="15" t="str">
        <f>IF(B1059="",VLOOKUP(A1059,items_lookup!A:B,2,FALSE),B1059)</f>
        <v>14. Item 14</v>
      </c>
      <c r="Y1059" s="15">
        <f t="shared" si="97"/>
        <v>4</v>
      </c>
      <c r="Z1059" s="15">
        <f t="shared" si="97"/>
        <v>4</v>
      </c>
      <c r="AA1059" s="15">
        <f t="shared" si="94"/>
        <v>2021</v>
      </c>
      <c r="AB1059" s="15">
        <f t="shared" si="95"/>
        <v>2021</v>
      </c>
      <c r="AC1059" s="15">
        <f t="shared" si="96"/>
        <v>2021</v>
      </c>
      <c r="AD1059" s="18" t="b">
        <f t="shared" si="93"/>
        <v>1</v>
      </c>
    </row>
    <row r="1060" spans="1:30" ht="15" hidden="1" customHeight="1" x14ac:dyDescent="0.2">
      <c r="A1060" s="7" t="s">
        <v>687</v>
      </c>
      <c r="B1060" s="20"/>
      <c r="C1060" s="2" t="s">
        <v>641</v>
      </c>
      <c r="D1060" s="6" t="s">
        <v>649</v>
      </c>
      <c r="E1060" s="32" t="s">
        <v>651</v>
      </c>
      <c r="F1060" s="7"/>
      <c r="G1060" s="7"/>
      <c r="H1060" s="7"/>
      <c r="I1060" s="7" t="s">
        <v>20</v>
      </c>
      <c r="J1060" s="7">
        <v>3</v>
      </c>
      <c r="K1060" s="7" t="s">
        <v>660</v>
      </c>
      <c r="L1060" s="7" t="s">
        <v>663</v>
      </c>
      <c r="M1060" s="8">
        <v>44301</v>
      </c>
      <c r="N1060" s="8">
        <v>44313</v>
      </c>
      <c r="O1060" s="13"/>
      <c r="P1060" s="13">
        <v>3.88</v>
      </c>
      <c r="Q1060" s="33"/>
      <c r="R1060" s="9"/>
      <c r="S1060" s="9"/>
      <c r="T1060" s="9"/>
      <c r="U1060" s="9"/>
      <c r="X1060" s="15" t="str">
        <f>IF(B1060="",VLOOKUP(A1060,items_lookup!A:B,2,FALSE),B1060)</f>
        <v>14. Item 14</v>
      </c>
      <c r="Y1060" s="15">
        <f t="shared" si="97"/>
        <v>4</v>
      </c>
      <c r="Z1060" s="15">
        <f t="shared" si="97"/>
        <v>4</v>
      </c>
      <c r="AA1060" s="15">
        <f t="shared" si="94"/>
        <v>2021</v>
      </c>
      <c r="AB1060" s="15">
        <f t="shared" si="95"/>
        <v>2021</v>
      </c>
      <c r="AC1060" s="15">
        <f t="shared" si="96"/>
        <v>2021</v>
      </c>
      <c r="AD1060" s="18" t="b">
        <f t="shared" si="93"/>
        <v>1</v>
      </c>
    </row>
    <row r="1061" spans="1:30" ht="15" hidden="1" customHeight="1" x14ac:dyDescent="0.2">
      <c r="A1061" s="7" t="s">
        <v>690</v>
      </c>
      <c r="B1061" s="7"/>
      <c r="C1061" s="2" t="s">
        <v>641</v>
      </c>
      <c r="D1061" s="6" t="s">
        <v>649</v>
      </c>
      <c r="E1061" s="32" t="s">
        <v>651</v>
      </c>
      <c r="F1061" s="7"/>
      <c r="G1061" s="7"/>
      <c r="H1061" s="7"/>
      <c r="I1061" s="7"/>
      <c r="J1061" s="7"/>
      <c r="K1061" s="7" t="s">
        <v>660</v>
      </c>
      <c r="L1061" s="7" t="s">
        <v>663</v>
      </c>
      <c r="M1061" s="8">
        <v>44300</v>
      </c>
      <c r="N1061" s="8">
        <v>44300</v>
      </c>
      <c r="O1061" s="13"/>
      <c r="P1061" s="13">
        <v>2542470.5299999998</v>
      </c>
      <c r="Q1061" s="33"/>
      <c r="R1061" s="22"/>
      <c r="S1061" s="22"/>
      <c r="T1061" s="22"/>
      <c r="U1061" s="22"/>
      <c r="X1061" s="15" t="str">
        <f>IF(B1061="",VLOOKUP(A1061,items_lookup!A:B,2,FALSE),B1061)</f>
        <v>21. Item 21</v>
      </c>
      <c r="Y1061" s="15">
        <f t="shared" si="97"/>
        <v>4</v>
      </c>
      <c r="Z1061" s="15">
        <f t="shared" si="97"/>
        <v>4</v>
      </c>
      <c r="AA1061" s="15">
        <f t="shared" si="94"/>
        <v>2021</v>
      </c>
      <c r="AB1061" s="15">
        <f t="shared" si="95"/>
        <v>2021</v>
      </c>
      <c r="AC1061" s="15">
        <f t="shared" si="96"/>
        <v>2021</v>
      </c>
      <c r="AD1061" s="18" t="b">
        <f t="shared" si="93"/>
        <v>1</v>
      </c>
    </row>
    <row r="1062" spans="1:30" ht="15" hidden="1" customHeight="1" x14ac:dyDescent="0.2">
      <c r="A1062" s="7" t="s">
        <v>683</v>
      </c>
      <c r="B1062" s="20"/>
      <c r="C1062" s="2" t="s">
        <v>641</v>
      </c>
      <c r="D1062" s="6" t="s">
        <v>649</v>
      </c>
      <c r="E1062" s="32" t="s">
        <v>651</v>
      </c>
      <c r="F1062" s="7"/>
      <c r="G1062" s="7"/>
      <c r="H1062" s="7"/>
      <c r="I1062" s="7"/>
      <c r="J1062" s="7">
        <v>1</v>
      </c>
      <c r="K1062" s="7" t="s">
        <v>660</v>
      </c>
      <c r="L1062" s="7" t="s">
        <v>663</v>
      </c>
      <c r="M1062" s="8">
        <v>44288</v>
      </c>
      <c r="N1062" s="8">
        <v>44306</v>
      </c>
      <c r="O1062" s="13"/>
      <c r="P1062" s="13">
        <v>7621.5</v>
      </c>
      <c r="Q1062" s="33"/>
      <c r="R1062" s="9"/>
      <c r="S1062" s="9"/>
      <c r="T1062" s="9"/>
      <c r="U1062" s="9"/>
      <c r="X1062" s="15" t="str">
        <f>IF(B1062="",VLOOKUP(A1062,items_lookup!A:B,2,FALSE),B1062)</f>
        <v>_1. Item _1</v>
      </c>
      <c r="Y1062" s="15">
        <f t="shared" si="97"/>
        <v>4</v>
      </c>
      <c r="Z1062" s="15">
        <f t="shared" si="97"/>
        <v>4</v>
      </c>
      <c r="AA1062" s="15">
        <f t="shared" si="94"/>
        <v>2021</v>
      </c>
      <c r="AB1062" s="15">
        <f t="shared" si="95"/>
        <v>2021</v>
      </c>
      <c r="AC1062" s="15">
        <f t="shared" si="96"/>
        <v>2021</v>
      </c>
      <c r="AD1062" s="18" t="b">
        <f t="shared" si="93"/>
        <v>1</v>
      </c>
    </row>
    <row r="1063" spans="1:30" ht="15" hidden="1" customHeight="1" x14ac:dyDescent="0.2">
      <c r="A1063" s="7" t="s">
        <v>699</v>
      </c>
      <c r="B1063" s="7"/>
      <c r="C1063" s="2" t="s">
        <v>641</v>
      </c>
      <c r="D1063" s="6" t="s">
        <v>649</v>
      </c>
      <c r="E1063" s="32" t="s">
        <v>651</v>
      </c>
      <c r="F1063" s="7"/>
      <c r="G1063" s="7"/>
      <c r="H1063" s="7"/>
      <c r="I1063" s="7"/>
      <c r="J1063" s="7"/>
      <c r="K1063" s="7" t="s">
        <v>660</v>
      </c>
      <c r="L1063" s="7" t="s">
        <v>663</v>
      </c>
      <c r="M1063" s="8">
        <v>44301</v>
      </c>
      <c r="N1063" s="8">
        <v>44301</v>
      </c>
      <c r="O1063" s="13"/>
      <c r="P1063" s="13">
        <v>126082.18</v>
      </c>
      <c r="Q1063" s="33"/>
      <c r="R1063" s="22"/>
      <c r="S1063" s="22"/>
      <c r="T1063" s="22"/>
      <c r="U1063" s="22"/>
      <c r="X1063" s="15" t="str">
        <f>IF(B1063="",VLOOKUP(A1063,items_lookup!A:B,2,FALSE),B1063)</f>
        <v>12. Item 12</v>
      </c>
      <c r="Y1063" s="15">
        <f t="shared" si="97"/>
        <v>4</v>
      </c>
      <c r="Z1063" s="15">
        <f t="shared" si="97"/>
        <v>4</v>
      </c>
      <c r="AA1063" s="15">
        <f t="shared" si="94"/>
        <v>2021</v>
      </c>
      <c r="AB1063" s="15">
        <f t="shared" si="95"/>
        <v>2021</v>
      </c>
      <c r="AC1063" s="15">
        <f t="shared" si="96"/>
        <v>2021</v>
      </c>
      <c r="AD1063" s="18" t="b">
        <f t="shared" si="93"/>
        <v>1</v>
      </c>
    </row>
    <row r="1064" spans="1:30" ht="15" hidden="1" customHeight="1" x14ac:dyDescent="0.2">
      <c r="A1064" s="7" t="s">
        <v>683</v>
      </c>
      <c r="B1064" s="7"/>
      <c r="C1064" s="2" t="s">
        <v>641</v>
      </c>
      <c r="D1064" s="6" t="s">
        <v>649</v>
      </c>
      <c r="E1064" s="32" t="s">
        <v>651</v>
      </c>
      <c r="F1064" s="7"/>
      <c r="G1064" s="7"/>
      <c r="H1064" s="7"/>
      <c r="I1064" s="7"/>
      <c r="J1064" s="7">
        <v>3</v>
      </c>
      <c r="K1064" s="7" t="s">
        <v>660</v>
      </c>
      <c r="L1064" s="7" t="s">
        <v>663</v>
      </c>
      <c r="M1064" s="8">
        <v>44301</v>
      </c>
      <c r="N1064" s="8">
        <v>44312</v>
      </c>
      <c r="O1064" s="13"/>
      <c r="P1064" s="13">
        <v>2249502.2799999998</v>
      </c>
      <c r="Q1064" s="33"/>
      <c r="R1064" s="22"/>
      <c r="S1064" s="22"/>
      <c r="T1064" s="22"/>
      <c r="U1064" s="22"/>
      <c r="X1064" s="15" t="str">
        <f>IF(B1064="",VLOOKUP(A1064,items_lookup!A:B,2,FALSE),B1064)</f>
        <v>_1. Item _1</v>
      </c>
      <c r="Y1064" s="15">
        <f t="shared" si="97"/>
        <v>4</v>
      </c>
      <c r="Z1064" s="15">
        <f t="shared" si="97"/>
        <v>4</v>
      </c>
      <c r="AA1064" s="15">
        <f t="shared" si="94"/>
        <v>2021</v>
      </c>
      <c r="AB1064" s="15">
        <f t="shared" si="95"/>
        <v>2021</v>
      </c>
      <c r="AC1064" s="15">
        <f t="shared" si="96"/>
        <v>2021</v>
      </c>
      <c r="AD1064" s="18" t="b">
        <f t="shared" si="93"/>
        <v>1</v>
      </c>
    </row>
    <row r="1065" spans="1:30" ht="15" hidden="1" customHeight="1" x14ac:dyDescent="0.2">
      <c r="A1065" s="7" t="s">
        <v>683</v>
      </c>
      <c r="B1065" s="7"/>
      <c r="C1065" s="2" t="s">
        <v>641</v>
      </c>
      <c r="D1065" s="6" t="s">
        <v>649</v>
      </c>
      <c r="E1065" s="32" t="s">
        <v>651</v>
      </c>
      <c r="F1065" s="7"/>
      <c r="G1065" s="7"/>
      <c r="H1065" s="7"/>
      <c r="I1065" s="7"/>
      <c r="J1065" s="7">
        <v>3</v>
      </c>
      <c r="K1065" s="7" t="s">
        <v>660</v>
      </c>
      <c r="L1065" s="7" t="s">
        <v>663</v>
      </c>
      <c r="M1065" s="8">
        <v>44301</v>
      </c>
      <c r="N1065" s="8">
        <v>44316</v>
      </c>
      <c r="O1065" s="13"/>
      <c r="P1065" s="13">
        <v>5547072.0199999996</v>
      </c>
      <c r="Q1065" s="33"/>
      <c r="R1065" s="22"/>
      <c r="S1065" s="22"/>
      <c r="T1065" s="22"/>
      <c r="U1065" s="22"/>
      <c r="X1065" s="15" t="str">
        <f>IF(B1065="",VLOOKUP(A1065,items_lookup!A:B,2,FALSE),B1065)</f>
        <v>_1. Item _1</v>
      </c>
      <c r="Y1065" s="15">
        <f t="shared" si="97"/>
        <v>4</v>
      </c>
      <c r="Z1065" s="15">
        <f t="shared" si="97"/>
        <v>4</v>
      </c>
      <c r="AA1065" s="15">
        <f t="shared" si="94"/>
        <v>2021</v>
      </c>
      <c r="AB1065" s="15">
        <f t="shared" si="95"/>
        <v>2021</v>
      </c>
      <c r="AC1065" s="15">
        <f t="shared" si="96"/>
        <v>2021</v>
      </c>
      <c r="AD1065" s="18" t="b">
        <f t="shared" si="93"/>
        <v>1</v>
      </c>
    </row>
    <row r="1066" spans="1:30" ht="12.6" hidden="1" customHeight="1" x14ac:dyDescent="0.2">
      <c r="A1066" s="7" t="s">
        <v>702</v>
      </c>
      <c r="B1066" s="7"/>
      <c r="C1066" s="2" t="s">
        <v>641</v>
      </c>
      <c r="D1066" s="6" t="s">
        <v>649</v>
      </c>
      <c r="E1066" s="32" t="s">
        <v>651</v>
      </c>
      <c r="F1066" s="7"/>
      <c r="G1066" s="7"/>
      <c r="H1066" s="7"/>
      <c r="I1066" s="7"/>
      <c r="J1066" s="7">
        <v>3</v>
      </c>
      <c r="K1066" s="7" t="s">
        <v>660</v>
      </c>
      <c r="L1066" s="7" t="s">
        <v>663</v>
      </c>
      <c r="M1066" s="8">
        <v>44301</v>
      </c>
      <c r="N1066" s="8">
        <v>44316</v>
      </c>
      <c r="O1066" s="13"/>
      <c r="P1066" s="13">
        <v>8597492.0899999999</v>
      </c>
      <c r="Q1066" s="33"/>
      <c r="R1066" s="22"/>
      <c r="S1066" s="22"/>
      <c r="T1066" s="22"/>
      <c r="U1066" s="22"/>
      <c r="X1066" s="15" t="str">
        <f>IF(B1066="",VLOOKUP(A1066,items_lookup!A:B,2,FALSE),B1066)</f>
        <v>17. Item 17</v>
      </c>
      <c r="Y1066" s="15">
        <f t="shared" si="97"/>
        <v>4</v>
      </c>
      <c r="Z1066" s="15">
        <f t="shared" si="97"/>
        <v>4</v>
      </c>
      <c r="AA1066" s="15">
        <f t="shared" si="94"/>
        <v>2021</v>
      </c>
      <c r="AB1066" s="15">
        <f t="shared" si="95"/>
        <v>2021</v>
      </c>
      <c r="AC1066" s="15">
        <f t="shared" si="96"/>
        <v>2021</v>
      </c>
      <c r="AD1066" s="18" t="b">
        <f t="shared" si="93"/>
        <v>1</v>
      </c>
    </row>
    <row r="1067" spans="1:30" ht="15" hidden="1" customHeight="1" x14ac:dyDescent="0.2">
      <c r="A1067" s="7" t="s">
        <v>703</v>
      </c>
      <c r="B1067" s="7"/>
      <c r="C1067" s="2" t="s">
        <v>641</v>
      </c>
      <c r="D1067" s="6" t="s">
        <v>649</v>
      </c>
      <c r="E1067" s="32" t="s">
        <v>651</v>
      </c>
      <c r="F1067" s="7"/>
      <c r="G1067" s="7"/>
      <c r="H1067" s="7"/>
      <c r="I1067" s="7"/>
      <c r="J1067" s="7">
        <v>3</v>
      </c>
      <c r="K1067" s="7" t="s">
        <v>660</v>
      </c>
      <c r="L1067" s="7" t="s">
        <v>663</v>
      </c>
      <c r="M1067" s="8">
        <v>44301</v>
      </c>
      <c r="N1067" s="8">
        <v>44312</v>
      </c>
      <c r="O1067" s="13"/>
      <c r="P1067" s="13">
        <v>42944.05</v>
      </c>
      <c r="Q1067" s="33"/>
      <c r="R1067" s="22"/>
      <c r="S1067" s="22"/>
      <c r="T1067" s="22"/>
      <c r="U1067" s="22"/>
      <c r="X1067" s="15" t="str">
        <f>IF(B1067="",VLOOKUP(A1067,items_lookup!A:B,2,FALSE),B1067)</f>
        <v>_3. Item _3</v>
      </c>
      <c r="Y1067" s="15">
        <f t="shared" si="97"/>
        <v>4</v>
      </c>
      <c r="Z1067" s="15">
        <f t="shared" si="97"/>
        <v>4</v>
      </c>
      <c r="AA1067" s="15">
        <f t="shared" si="94"/>
        <v>2021</v>
      </c>
      <c r="AB1067" s="15">
        <f t="shared" si="95"/>
        <v>2021</v>
      </c>
      <c r="AC1067" s="15">
        <f t="shared" si="96"/>
        <v>2021</v>
      </c>
      <c r="AD1067" s="18" t="b">
        <f t="shared" si="93"/>
        <v>1</v>
      </c>
    </row>
    <row r="1068" spans="1:30" ht="15" hidden="1" customHeight="1" x14ac:dyDescent="0.2">
      <c r="A1068" s="7" t="s">
        <v>672</v>
      </c>
      <c r="B1068" s="20"/>
      <c r="C1068" s="2" t="s">
        <v>641</v>
      </c>
      <c r="D1068" s="6" t="s">
        <v>649</v>
      </c>
      <c r="E1068" s="32" t="s">
        <v>651</v>
      </c>
      <c r="F1068" s="7"/>
      <c r="G1068" s="7"/>
      <c r="H1068" s="7"/>
      <c r="I1068" s="7"/>
      <c r="J1068" s="7">
        <v>3</v>
      </c>
      <c r="K1068" s="7" t="s">
        <v>660</v>
      </c>
      <c r="L1068" s="7" t="s">
        <v>663</v>
      </c>
      <c r="M1068" s="8">
        <v>44301</v>
      </c>
      <c r="N1068" s="8">
        <v>44316</v>
      </c>
      <c r="O1068" s="13"/>
      <c r="P1068" s="13">
        <v>30925.71</v>
      </c>
      <c r="Q1068" s="33"/>
      <c r="R1068" s="22"/>
      <c r="S1068" s="22"/>
      <c r="T1068" s="22"/>
      <c r="U1068" s="22"/>
      <c r="X1068" s="15" t="str">
        <f>IF(B1068="",VLOOKUP(A1068,items_lookup!A:B,2,FALSE),B1068)</f>
        <v>05. Item 05</v>
      </c>
      <c r="Y1068" s="15">
        <f t="shared" si="97"/>
        <v>4</v>
      </c>
      <c r="Z1068" s="15">
        <f t="shared" si="97"/>
        <v>4</v>
      </c>
      <c r="AA1068" s="15">
        <f t="shared" si="94"/>
        <v>2021</v>
      </c>
      <c r="AB1068" s="15">
        <f t="shared" si="95"/>
        <v>2021</v>
      </c>
      <c r="AC1068" s="15">
        <f t="shared" si="96"/>
        <v>2021</v>
      </c>
      <c r="AD1068" s="18" t="b">
        <f t="shared" si="93"/>
        <v>1</v>
      </c>
    </row>
    <row r="1069" spans="1:30" ht="15" hidden="1" customHeight="1" x14ac:dyDescent="0.2">
      <c r="A1069" s="7" t="s">
        <v>672</v>
      </c>
      <c r="B1069" s="20"/>
      <c r="C1069" s="2" t="s">
        <v>641</v>
      </c>
      <c r="D1069" s="6" t="s">
        <v>649</v>
      </c>
      <c r="E1069" s="32" t="s">
        <v>651</v>
      </c>
      <c r="F1069" s="7"/>
      <c r="G1069" s="7"/>
      <c r="H1069" s="7"/>
      <c r="I1069" s="7"/>
      <c r="J1069" s="7">
        <v>3</v>
      </c>
      <c r="K1069" s="7" t="s">
        <v>660</v>
      </c>
      <c r="L1069" s="7" t="s">
        <v>663</v>
      </c>
      <c r="M1069" s="8">
        <v>44295</v>
      </c>
      <c r="N1069" s="8">
        <v>44306</v>
      </c>
      <c r="O1069" s="13"/>
      <c r="P1069" s="13">
        <v>672373.21</v>
      </c>
      <c r="Q1069" s="33"/>
      <c r="R1069" s="22"/>
      <c r="S1069" s="22"/>
      <c r="T1069" s="22"/>
      <c r="U1069" s="22"/>
      <c r="X1069" s="15" t="str">
        <f>IF(B1069="",VLOOKUP(A1069,items_lookup!A:B,2,FALSE),B1069)</f>
        <v>05. Item 05</v>
      </c>
      <c r="Y1069" s="15">
        <f t="shared" si="97"/>
        <v>4</v>
      </c>
      <c r="Z1069" s="15">
        <f t="shared" si="97"/>
        <v>4</v>
      </c>
      <c r="AA1069" s="15">
        <f t="shared" si="94"/>
        <v>2021</v>
      </c>
      <c r="AB1069" s="15">
        <f t="shared" si="95"/>
        <v>2021</v>
      </c>
      <c r="AC1069" s="15">
        <f t="shared" si="96"/>
        <v>2021</v>
      </c>
      <c r="AD1069" s="18" t="b">
        <f t="shared" si="93"/>
        <v>1</v>
      </c>
    </row>
    <row r="1070" spans="1:30" ht="15.75" hidden="1" customHeight="1" x14ac:dyDescent="0.2">
      <c r="A1070" s="7" t="s">
        <v>689</v>
      </c>
      <c r="B1070" s="20"/>
      <c r="C1070" s="2" t="s">
        <v>641</v>
      </c>
      <c r="D1070" s="6" t="s">
        <v>649</v>
      </c>
      <c r="E1070" s="32" t="s">
        <v>651</v>
      </c>
      <c r="F1070" s="7"/>
      <c r="G1070" s="7"/>
      <c r="H1070" s="7"/>
      <c r="I1070" s="7"/>
      <c r="J1070" s="7">
        <v>3</v>
      </c>
      <c r="K1070" s="7" t="s">
        <v>660</v>
      </c>
      <c r="L1070" s="7" t="s">
        <v>663</v>
      </c>
      <c r="M1070" s="8">
        <v>44302</v>
      </c>
      <c r="N1070" s="8">
        <v>44312</v>
      </c>
      <c r="O1070" s="13"/>
      <c r="P1070" s="13">
        <v>2081.5</v>
      </c>
      <c r="Q1070" s="33"/>
      <c r="R1070" s="22"/>
      <c r="S1070" s="22"/>
      <c r="T1070" s="22"/>
      <c r="U1070" s="22"/>
      <c r="X1070" s="15" t="str">
        <f>IF(B1070="",VLOOKUP(A1070,items_lookup!A:B,2,FALSE),B1070)</f>
        <v>04. Item 04</v>
      </c>
      <c r="Y1070" s="15">
        <f t="shared" si="97"/>
        <v>4</v>
      </c>
      <c r="Z1070" s="15">
        <f t="shared" si="97"/>
        <v>4</v>
      </c>
      <c r="AA1070" s="15">
        <f t="shared" si="94"/>
        <v>2021</v>
      </c>
      <c r="AB1070" s="15">
        <f t="shared" si="95"/>
        <v>2021</v>
      </c>
      <c r="AC1070" s="15">
        <f t="shared" si="96"/>
        <v>2021</v>
      </c>
      <c r="AD1070" s="18" t="b">
        <f t="shared" si="93"/>
        <v>1</v>
      </c>
    </row>
    <row r="1071" spans="1:30" ht="15.75" hidden="1" customHeight="1" x14ac:dyDescent="0.2">
      <c r="A1071" s="7" t="s">
        <v>670</v>
      </c>
      <c r="B1071" s="7"/>
      <c r="C1071" s="2" t="s">
        <v>641</v>
      </c>
      <c r="D1071" s="6" t="s">
        <v>649</v>
      </c>
      <c r="E1071" s="32" t="s">
        <v>651</v>
      </c>
      <c r="F1071" s="7"/>
      <c r="G1071" s="7"/>
      <c r="H1071" s="7"/>
      <c r="I1071" s="7"/>
      <c r="J1071" s="7">
        <v>3</v>
      </c>
      <c r="K1071" s="7" t="s">
        <v>660</v>
      </c>
      <c r="L1071" s="7" t="s">
        <v>663</v>
      </c>
      <c r="M1071" s="8">
        <v>44301</v>
      </c>
      <c r="N1071" s="8">
        <v>44312</v>
      </c>
      <c r="O1071" s="13"/>
      <c r="P1071" s="13">
        <v>180056.57</v>
      </c>
      <c r="Q1071" s="33"/>
      <c r="R1071" s="22"/>
      <c r="S1071" s="22"/>
      <c r="T1071" s="22"/>
      <c r="U1071" s="22"/>
      <c r="X1071" s="15" t="str">
        <f>IF(B1071="",VLOOKUP(A1071,items_lookup!A:B,2,FALSE),B1071)</f>
        <v>04. Item 04</v>
      </c>
      <c r="Y1071" s="15">
        <f t="shared" si="97"/>
        <v>4</v>
      </c>
      <c r="Z1071" s="15">
        <f t="shared" si="97"/>
        <v>4</v>
      </c>
      <c r="AA1071" s="15">
        <f t="shared" si="94"/>
        <v>2021</v>
      </c>
      <c r="AB1071" s="15">
        <f t="shared" si="95"/>
        <v>2021</v>
      </c>
      <c r="AC1071" s="15">
        <f t="shared" si="96"/>
        <v>2021</v>
      </c>
      <c r="AD1071" s="18" t="b">
        <f t="shared" si="93"/>
        <v>1</v>
      </c>
    </row>
    <row r="1072" spans="1:30" ht="15" hidden="1" customHeight="1" x14ac:dyDescent="0.2">
      <c r="A1072" s="7" t="s">
        <v>682</v>
      </c>
      <c r="B1072" s="7"/>
      <c r="C1072" s="2" t="s">
        <v>641</v>
      </c>
      <c r="D1072" s="6" t="s">
        <v>649</v>
      </c>
      <c r="E1072" s="32" t="s">
        <v>651</v>
      </c>
      <c r="F1072" s="7"/>
      <c r="G1072" s="7"/>
      <c r="H1072" s="7"/>
      <c r="I1072" s="7"/>
      <c r="J1072" s="7">
        <v>3</v>
      </c>
      <c r="K1072" s="7" t="s">
        <v>660</v>
      </c>
      <c r="L1072" s="7" t="s">
        <v>663</v>
      </c>
      <c r="M1072" s="8">
        <v>44301</v>
      </c>
      <c r="N1072" s="8">
        <v>44312</v>
      </c>
      <c r="O1072" s="13"/>
      <c r="P1072" s="13">
        <v>319557.21000000002</v>
      </c>
      <c r="Q1072" s="33"/>
      <c r="R1072" s="22"/>
      <c r="S1072" s="22"/>
      <c r="T1072" s="22"/>
      <c r="U1072" s="22"/>
      <c r="X1072" s="15" t="str">
        <f>IF(B1072="",VLOOKUP(A1072,items_lookup!A:B,2,FALSE),B1072)</f>
        <v>06. Item 06</v>
      </c>
      <c r="Y1072" s="15">
        <f t="shared" si="97"/>
        <v>4</v>
      </c>
      <c r="Z1072" s="15">
        <f t="shared" si="97"/>
        <v>4</v>
      </c>
      <c r="AA1072" s="15">
        <f t="shared" si="94"/>
        <v>2021</v>
      </c>
      <c r="AB1072" s="15">
        <f t="shared" si="95"/>
        <v>2021</v>
      </c>
      <c r="AC1072" s="15">
        <f t="shared" si="96"/>
        <v>2021</v>
      </c>
      <c r="AD1072" s="18" t="b">
        <f t="shared" si="93"/>
        <v>1</v>
      </c>
    </row>
    <row r="1073" spans="1:30" ht="15" hidden="1" customHeight="1" x14ac:dyDescent="0.2">
      <c r="A1073" s="7" t="s">
        <v>675</v>
      </c>
      <c r="B1073" s="7"/>
      <c r="C1073" s="2" t="s">
        <v>641</v>
      </c>
      <c r="D1073" s="6" t="s">
        <v>649</v>
      </c>
      <c r="E1073" s="32" t="s">
        <v>651</v>
      </c>
      <c r="F1073" s="7"/>
      <c r="G1073" s="7"/>
      <c r="H1073" s="7"/>
      <c r="I1073" s="7"/>
      <c r="J1073" s="7">
        <v>3</v>
      </c>
      <c r="K1073" s="7" t="s">
        <v>660</v>
      </c>
      <c r="L1073" s="7" t="s">
        <v>663</v>
      </c>
      <c r="M1073" s="8">
        <v>44301</v>
      </c>
      <c r="N1073" s="8">
        <v>44312</v>
      </c>
      <c r="O1073" s="13"/>
      <c r="P1073" s="13">
        <v>106622.22</v>
      </c>
      <c r="Q1073" s="33"/>
      <c r="R1073" s="22"/>
      <c r="S1073" s="22"/>
      <c r="T1073" s="22"/>
      <c r="U1073" s="22"/>
      <c r="X1073" s="15" t="str">
        <f>IF(B1073="",VLOOKUP(A1073,items_lookup!A:B,2,FALSE),B1073)</f>
        <v>09. Item 09</v>
      </c>
      <c r="Y1073" s="15">
        <f t="shared" si="97"/>
        <v>4</v>
      </c>
      <c r="Z1073" s="15">
        <f t="shared" si="97"/>
        <v>4</v>
      </c>
      <c r="AA1073" s="15">
        <f t="shared" si="94"/>
        <v>2021</v>
      </c>
      <c r="AB1073" s="15">
        <f t="shared" si="95"/>
        <v>2021</v>
      </c>
      <c r="AC1073" s="15">
        <f t="shared" si="96"/>
        <v>2021</v>
      </c>
      <c r="AD1073" s="18" t="b">
        <f t="shared" si="93"/>
        <v>1</v>
      </c>
    </row>
    <row r="1074" spans="1:30" ht="15" hidden="1" customHeight="1" x14ac:dyDescent="0.2">
      <c r="A1074" s="7" t="s">
        <v>675</v>
      </c>
      <c r="B1074" s="7"/>
      <c r="C1074" s="2" t="s">
        <v>641</v>
      </c>
      <c r="D1074" s="6" t="s">
        <v>649</v>
      </c>
      <c r="E1074" s="32" t="s">
        <v>651</v>
      </c>
      <c r="F1074" s="7"/>
      <c r="G1074" s="7"/>
      <c r="H1074" s="7"/>
      <c r="I1074" s="7" t="s">
        <v>20</v>
      </c>
      <c r="J1074" s="7">
        <v>3</v>
      </c>
      <c r="K1074" s="7" t="s">
        <v>660</v>
      </c>
      <c r="L1074" s="7" t="s">
        <v>663</v>
      </c>
      <c r="M1074" s="8">
        <v>44302</v>
      </c>
      <c r="N1074" s="8">
        <v>44312</v>
      </c>
      <c r="O1074" s="13"/>
      <c r="P1074" s="13">
        <v>2448231.9</v>
      </c>
      <c r="Q1074" s="33"/>
      <c r="R1074" s="22"/>
      <c r="S1074" s="22"/>
      <c r="T1074" s="22"/>
      <c r="U1074" s="22"/>
      <c r="X1074" s="15" t="str">
        <f>IF(B1074="",VLOOKUP(A1074,items_lookup!A:B,2,FALSE),B1074)</f>
        <v>09. Item 09</v>
      </c>
      <c r="Y1074" s="15">
        <f t="shared" si="97"/>
        <v>4</v>
      </c>
      <c r="Z1074" s="15">
        <f t="shared" si="97"/>
        <v>4</v>
      </c>
      <c r="AA1074" s="15">
        <f t="shared" si="94"/>
        <v>2021</v>
      </c>
      <c r="AB1074" s="15">
        <f t="shared" si="95"/>
        <v>2021</v>
      </c>
      <c r="AC1074" s="15">
        <f t="shared" si="96"/>
        <v>2021</v>
      </c>
      <c r="AD1074" s="18" t="b">
        <f t="shared" si="93"/>
        <v>1</v>
      </c>
    </row>
    <row r="1075" spans="1:30" ht="15" hidden="1" customHeight="1" x14ac:dyDescent="0.2">
      <c r="A1075" s="7" t="s">
        <v>684</v>
      </c>
      <c r="B1075" s="7"/>
      <c r="C1075" s="2" t="s">
        <v>641</v>
      </c>
      <c r="D1075" s="6" t="s">
        <v>649</v>
      </c>
      <c r="E1075" s="32" t="s">
        <v>651</v>
      </c>
      <c r="F1075" s="7"/>
      <c r="G1075" s="7"/>
      <c r="H1075" s="7"/>
      <c r="I1075" s="7"/>
      <c r="J1075" s="7">
        <v>3</v>
      </c>
      <c r="K1075" s="7" t="s">
        <v>660</v>
      </c>
      <c r="L1075" s="7" t="s">
        <v>663</v>
      </c>
      <c r="M1075" s="8">
        <v>44302</v>
      </c>
      <c r="N1075" s="8">
        <v>44312</v>
      </c>
      <c r="O1075" s="13"/>
      <c r="P1075" s="13">
        <v>89595.19</v>
      </c>
      <c r="Q1075" s="33"/>
      <c r="R1075" s="22"/>
      <c r="S1075" s="22"/>
      <c r="T1075" s="22"/>
      <c r="U1075" s="22"/>
      <c r="X1075" s="15" t="str">
        <f>IF(B1075="",VLOOKUP(A1075,items_lookup!A:B,2,FALSE),B1075)</f>
        <v>09. Item 09</v>
      </c>
      <c r="Y1075" s="15">
        <f t="shared" si="97"/>
        <v>4</v>
      </c>
      <c r="Z1075" s="15">
        <f t="shared" si="97"/>
        <v>4</v>
      </c>
      <c r="AA1075" s="15">
        <f t="shared" si="94"/>
        <v>2021</v>
      </c>
      <c r="AB1075" s="15">
        <f t="shared" si="95"/>
        <v>2021</v>
      </c>
      <c r="AC1075" s="15">
        <f t="shared" si="96"/>
        <v>2021</v>
      </c>
      <c r="AD1075" s="18" t="b">
        <f t="shared" si="93"/>
        <v>1</v>
      </c>
    </row>
    <row r="1076" spans="1:30" ht="15" hidden="1" customHeight="1" x14ac:dyDescent="0.2">
      <c r="A1076" s="7" t="s">
        <v>688</v>
      </c>
      <c r="B1076" s="7"/>
      <c r="C1076" s="2" t="s">
        <v>641</v>
      </c>
      <c r="D1076" s="6" t="s">
        <v>649</v>
      </c>
      <c r="E1076" s="32" t="s">
        <v>651</v>
      </c>
      <c r="F1076" s="7"/>
      <c r="G1076" s="7"/>
      <c r="H1076" s="7"/>
      <c r="I1076" s="7"/>
      <c r="J1076" s="7"/>
      <c r="K1076" s="7" t="s">
        <v>660</v>
      </c>
      <c r="L1076" s="7" t="s">
        <v>663</v>
      </c>
      <c r="M1076" s="8">
        <v>44302</v>
      </c>
      <c r="N1076" s="8">
        <v>44302</v>
      </c>
      <c r="O1076" s="13"/>
      <c r="P1076" s="13">
        <v>3496665.29</v>
      </c>
      <c r="Q1076" s="33"/>
      <c r="R1076" s="22"/>
      <c r="S1076" s="22"/>
      <c r="T1076" s="22"/>
      <c r="U1076" s="22"/>
      <c r="X1076" s="15" t="str">
        <f>IF(B1076="",VLOOKUP(A1076,items_lookup!A:B,2,FALSE),B1076)</f>
        <v>09. Item 09</v>
      </c>
      <c r="Y1076" s="15">
        <f t="shared" si="97"/>
        <v>4</v>
      </c>
      <c r="Z1076" s="15">
        <f t="shared" si="97"/>
        <v>4</v>
      </c>
      <c r="AA1076" s="15">
        <f t="shared" si="94"/>
        <v>2021</v>
      </c>
      <c r="AB1076" s="15">
        <f t="shared" si="95"/>
        <v>2021</v>
      </c>
      <c r="AC1076" s="15">
        <f t="shared" si="96"/>
        <v>2021</v>
      </c>
      <c r="AD1076" s="18" t="b">
        <f t="shared" si="93"/>
        <v>1</v>
      </c>
    </row>
    <row r="1077" spans="1:30" ht="15" hidden="1" customHeight="1" x14ac:dyDescent="0.2">
      <c r="A1077" s="7" t="s">
        <v>677</v>
      </c>
      <c r="B1077" s="7"/>
      <c r="C1077" s="2" t="s">
        <v>641</v>
      </c>
      <c r="D1077" s="6" t="s">
        <v>649</v>
      </c>
      <c r="E1077" s="32" t="s">
        <v>651</v>
      </c>
      <c r="F1077" s="7"/>
      <c r="G1077" s="7"/>
      <c r="H1077" s="7"/>
      <c r="I1077" s="7"/>
      <c r="J1077" s="7"/>
      <c r="K1077" s="7" t="s">
        <v>660</v>
      </c>
      <c r="L1077" s="7" t="s">
        <v>663</v>
      </c>
      <c r="M1077" s="8">
        <v>44305</v>
      </c>
      <c r="N1077" s="8">
        <v>44305</v>
      </c>
      <c r="O1077" s="13"/>
      <c r="P1077" s="13">
        <v>97.62</v>
      </c>
      <c r="Q1077" s="33"/>
      <c r="R1077" s="22"/>
      <c r="S1077" s="22"/>
      <c r="T1077" s="22"/>
      <c r="U1077" s="22"/>
      <c r="X1077" s="15" t="str">
        <f>IF(B1077="",VLOOKUP(A1077,items_lookup!A:B,2,FALSE),B1077)</f>
        <v>11. Item 11</v>
      </c>
      <c r="Y1077" s="15">
        <f t="shared" si="97"/>
        <v>4</v>
      </c>
      <c r="Z1077" s="15">
        <f t="shared" si="97"/>
        <v>4</v>
      </c>
      <c r="AA1077" s="15">
        <f t="shared" si="94"/>
        <v>2021</v>
      </c>
      <c r="AB1077" s="15">
        <f t="shared" si="95"/>
        <v>2021</v>
      </c>
      <c r="AC1077" s="15">
        <f t="shared" si="96"/>
        <v>2021</v>
      </c>
      <c r="AD1077" s="18" t="b">
        <f t="shared" si="93"/>
        <v>1</v>
      </c>
    </row>
    <row r="1078" spans="1:30" ht="15" hidden="1" customHeight="1" x14ac:dyDescent="0.2">
      <c r="A1078" s="7" t="s">
        <v>678</v>
      </c>
      <c r="B1078" s="7"/>
      <c r="C1078" s="2" t="s">
        <v>641</v>
      </c>
      <c r="D1078" s="6" t="s">
        <v>649</v>
      </c>
      <c r="E1078" s="32" t="s">
        <v>651</v>
      </c>
      <c r="F1078" s="7"/>
      <c r="G1078" s="7"/>
      <c r="H1078" s="7"/>
      <c r="I1078" s="7"/>
      <c r="J1078" s="7">
        <v>4</v>
      </c>
      <c r="K1078" s="7" t="s">
        <v>660</v>
      </c>
      <c r="L1078" s="7" t="s">
        <v>663</v>
      </c>
      <c r="M1078" s="8">
        <v>44306</v>
      </c>
      <c r="N1078" s="8">
        <v>44305</v>
      </c>
      <c r="O1078" s="13"/>
      <c r="P1078" s="13">
        <v>97.62</v>
      </c>
      <c r="Q1078" s="33"/>
      <c r="R1078" s="22"/>
      <c r="S1078" s="22"/>
      <c r="T1078" s="22"/>
      <c r="U1078" s="22"/>
      <c r="X1078" s="15" t="str">
        <f>IF(B1078="",VLOOKUP(A1078,items_lookup!A:B,2,FALSE),B1078)</f>
        <v>13. Item 13</v>
      </c>
      <c r="Y1078" s="15">
        <f t="shared" si="97"/>
        <v>4</v>
      </c>
      <c r="Z1078" s="15">
        <f t="shared" si="97"/>
        <v>4</v>
      </c>
      <c r="AA1078" s="15">
        <f t="shared" si="94"/>
        <v>2021</v>
      </c>
      <c r="AB1078" s="15">
        <f t="shared" si="95"/>
        <v>2021</v>
      </c>
      <c r="AC1078" s="15">
        <f t="shared" si="96"/>
        <v>2021</v>
      </c>
      <c r="AD1078" s="18" t="b">
        <f t="shared" si="93"/>
        <v>1</v>
      </c>
    </row>
    <row r="1079" spans="1:30" ht="12.6" hidden="1" customHeight="1" x14ac:dyDescent="0.2">
      <c r="A1079" s="7" t="s">
        <v>680</v>
      </c>
      <c r="B1079" s="7"/>
      <c r="C1079" s="2" t="s">
        <v>641</v>
      </c>
      <c r="D1079" s="6" t="s">
        <v>649</v>
      </c>
      <c r="E1079" s="32" t="s">
        <v>651</v>
      </c>
      <c r="F1079" s="7"/>
      <c r="G1079" s="7"/>
      <c r="H1079" s="7"/>
      <c r="I1079" s="7"/>
      <c r="J1079" s="7"/>
      <c r="K1079" s="7" t="s">
        <v>660</v>
      </c>
      <c r="L1079" s="7" t="s">
        <v>663</v>
      </c>
      <c r="M1079" s="8">
        <v>44306</v>
      </c>
      <c r="N1079" s="8">
        <v>44306</v>
      </c>
      <c r="O1079" s="13"/>
      <c r="P1079" s="13">
        <v>748245.55</v>
      </c>
      <c r="Q1079" s="33"/>
      <c r="R1079" s="22"/>
      <c r="S1079" s="22"/>
      <c r="T1079" s="22"/>
      <c r="U1079" s="22"/>
      <c r="X1079" s="15" t="str">
        <f>IF(B1079="",VLOOKUP(A1079,items_lookup!A:B,2,FALSE),B1079)</f>
        <v>13. Item 13</v>
      </c>
      <c r="Y1079" s="15">
        <f t="shared" si="97"/>
        <v>4</v>
      </c>
      <c r="Z1079" s="15">
        <f t="shared" si="97"/>
        <v>4</v>
      </c>
      <c r="AA1079" s="15">
        <f t="shared" si="94"/>
        <v>2021</v>
      </c>
      <c r="AB1079" s="15">
        <f t="shared" si="95"/>
        <v>2021</v>
      </c>
      <c r="AC1079" s="15">
        <f t="shared" si="96"/>
        <v>2021</v>
      </c>
      <c r="AD1079" s="18" t="b">
        <f t="shared" si="93"/>
        <v>1</v>
      </c>
    </row>
    <row r="1080" spans="1:30" ht="15" hidden="1" customHeight="1" x14ac:dyDescent="0.2">
      <c r="A1080" s="7" t="s">
        <v>680</v>
      </c>
      <c r="B1080" s="20"/>
      <c r="C1080" s="2" t="s">
        <v>641</v>
      </c>
      <c r="D1080" s="6" t="s">
        <v>649</v>
      </c>
      <c r="E1080" s="32" t="s">
        <v>651</v>
      </c>
      <c r="F1080" s="7"/>
      <c r="G1080" s="7"/>
      <c r="H1080" s="7"/>
      <c r="I1080" s="7"/>
      <c r="J1080" s="7">
        <v>3</v>
      </c>
      <c r="K1080" s="7" t="s">
        <v>660</v>
      </c>
      <c r="L1080" s="7" t="s">
        <v>663</v>
      </c>
      <c r="M1080" s="8">
        <v>44298</v>
      </c>
      <c r="N1080" s="8">
        <v>44306</v>
      </c>
      <c r="O1080" s="13"/>
      <c r="P1080" s="13">
        <v>225.36</v>
      </c>
      <c r="Q1080" s="33"/>
      <c r="R1080" s="22"/>
      <c r="S1080" s="22"/>
      <c r="T1080" s="22"/>
      <c r="U1080" s="22"/>
      <c r="X1080" s="15" t="str">
        <f>IF(B1080="",VLOOKUP(A1080,items_lookup!A:B,2,FALSE),B1080)</f>
        <v>13. Item 13</v>
      </c>
      <c r="Y1080" s="15">
        <f t="shared" si="97"/>
        <v>4</v>
      </c>
      <c r="Z1080" s="15">
        <f t="shared" si="97"/>
        <v>4</v>
      </c>
      <c r="AA1080" s="15">
        <f t="shared" si="94"/>
        <v>2021</v>
      </c>
      <c r="AB1080" s="15">
        <f t="shared" si="95"/>
        <v>2021</v>
      </c>
      <c r="AC1080" s="15">
        <f t="shared" si="96"/>
        <v>2021</v>
      </c>
      <c r="AD1080" s="18" t="b">
        <f t="shared" si="93"/>
        <v>1</v>
      </c>
    </row>
    <row r="1081" spans="1:30" ht="15.75" hidden="1" customHeight="1" x14ac:dyDescent="0.2">
      <c r="A1081" s="7" t="s">
        <v>680</v>
      </c>
      <c r="B1081" s="20"/>
      <c r="C1081" s="2" t="s">
        <v>641</v>
      </c>
      <c r="D1081" s="6" t="s">
        <v>649</v>
      </c>
      <c r="E1081" s="32" t="s">
        <v>651</v>
      </c>
      <c r="F1081" s="7"/>
      <c r="G1081" s="7"/>
      <c r="H1081" s="7"/>
      <c r="I1081" s="7"/>
      <c r="J1081" s="7">
        <v>3</v>
      </c>
      <c r="K1081" s="7" t="s">
        <v>660</v>
      </c>
      <c r="L1081" s="7" t="s">
        <v>663</v>
      </c>
      <c r="M1081" s="8">
        <v>44298</v>
      </c>
      <c r="N1081" s="8">
        <v>44306</v>
      </c>
      <c r="O1081" s="13"/>
      <c r="P1081" s="13">
        <v>5054.1000000000004</v>
      </c>
      <c r="Q1081" s="33"/>
      <c r="R1081" s="22"/>
      <c r="S1081" s="22"/>
      <c r="T1081" s="22"/>
      <c r="U1081" s="22"/>
      <c r="X1081" s="15" t="str">
        <f>IF(B1081="",VLOOKUP(A1081,items_lookup!A:B,2,FALSE),B1081)</f>
        <v>13. Item 13</v>
      </c>
      <c r="Y1081" s="15">
        <f t="shared" si="97"/>
        <v>4</v>
      </c>
      <c r="Z1081" s="15">
        <f t="shared" si="97"/>
        <v>4</v>
      </c>
      <c r="AA1081" s="15">
        <f t="shared" si="94"/>
        <v>2021</v>
      </c>
      <c r="AB1081" s="15">
        <f t="shared" si="95"/>
        <v>2021</v>
      </c>
      <c r="AC1081" s="15">
        <f t="shared" si="96"/>
        <v>2021</v>
      </c>
      <c r="AD1081" s="18" t="b">
        <f t="shared" si="93"/>
        <v>1</v>
      </c>
    </row>
    <row r="1082" spans="1:30" ht="15.75" hidden="1" customHeight="1" x14ac:dyDescent="0.2">
      <c r="A1082" s="7" t="s">
        <v>680</v>
      </c>
      <c r="B1082" s="7"/>
      <c r="C1082" s="2" t="s">
        <v>641</v>
      </c>
      <c r="D1082" s="6" t="s">
        <v>649</v>
      </c>
      <c r="E1082" s="32" t="s">
        <v>651</v>
      </c>
      <c r="F1082" s="7"/>
      <c r="G1082" s="7"/>
      <c r="H1082" s="7"/>
      <c r="I1082" s="7"/>
      <c r="J1082" s="7"/>
      <c r="K1082" s="7" t="s">
        <v>660</v>
      </c>
      <c r="L1082" s="7" t="s">
        <v>663</v>
      </c>
      <c r="M1082" s="8">
        <v>44307</v>
      </c>
      <c r="N1082" s="8">
        <v>44307</v>
      </c>
      <c r="O1082" s="13"/>
      <c r="P1082" s="13">
        <v>360745.33</v>
      </c>
      <c r="Q1082" s="33"/>
      <c r="R1082" s="22"/>
      <c r="S1082" s="22"/>
      <c r="T1082" s="22"/>
      <c r="U1082" s="22"/>
      <c r="X1082" s="15" t="str">
        <f>IF(B1082="",VLOOKUP(A1082,items_lookup!A:B,2,FALSE),B1082)</f>
        <v>13. Item 13</v>
      </c>
      <c r="Y1082" s="15">
        <f t="shared" si="97"/>
        <v>4</v>
      </c>
      <c r="Z1082" s="15">
        <f t="shared" si="97"/>
        <v>4</v>
      </c>
      <c r="AA1082" s="15">
        <f t="shared" si="94"/>
        <v>2021</v>
      </c>
      <c r="AB1082" s="15">
        <f t="shared" si="95"/>
        <v>2021</v>
      </c>
      <c r="AC1082" s="15">
        <f t="shared" si="96"/>
        <v>2021</v>
      </c>
      <c r="AD1082" s="18" t="b">
        <f t="shared" si="93"/>
        <v>1</v>
      </c>
    </row>
    <row r="1083" spans="1:30" ht="15" hidden="1" customHeight="1" x14ac:dyDescent="0.2">
      <c r="A1083" s="7" t="s">
        <v>680</v>
      </c>
      <c r="B1083" s="7"/>
      <c r="C1083" s="2" t="s">
        <v>641</v>
      </c>
      <c r="D1083" s="6" t="s">
        <v>649</v>
      </c>
      <c r="E1083" s="32" t="s">
        <v>651</v>
      </c>
      <c r="F1083" s="7"/>
      <c r="G1083" s="7"/>
      <c r="H1083" s="7"/>
      <c r="I1083" s="7"/>
      <c r="J1083" s="7">
        <v>3</v>
      </c>
      <c r="K1083" s="7" t="s">
        <v>660</v>
      </c>
      <c r="L1083" s="7" t="s">
        <v>663</v>
      </c>
      <c r="M1083" s="8">
        <v>44301</v>
      </c>
      <c r="N1083" s="8">
        <v>44307</v>
      </c>
      <c r="O1083" s="13"/>
      <c r="P1083" s="13">
        <v>3602.47</v>
      </c>
      <c r="Q1083" s="33"/>
      <c r="R1083" s="22"/>
      <c r="S1083" s="22"/>
      <c r="T1083" s="22"/>
      <c r="U1083" s="22"/>
      <c r="X1083" s="15" t="str">
        <f>IF(B1083="",VLOOKUP(A1083,items_lookup!A:B,2,FALSE),B1083)</f>
        <v>13. Item 13</v>
      </c>
      <c r="Y1083" s="15">
        <f t="shared" si="97"/>
        <v>4</v>
      </c>
      <c r="Z1083" s="15">
        <f t="shared" si="97"/>
        <v>4</v>
      </c>
      <c r="AA1083" s="15">
        <f t="shared" ref="AA1083:AA1146" si="98">YEAR(N1083)</f>
        <v>2021</v>
      </c>
      <c r="AB1083" s="15">
        <f t="shared" ref="AB1083:AB1146" si="99">YEAR(M1083)</f>
        <v>2021</v>
      </c>
      <c r="AC1083" s="15">
        <f t="shared" ref="AC1083:AC1146" si="100">IF(F1083="X",AA1083-1,AA1083)</f>
        <v>2021</v>
      </c>
      <c r="AD1083" s="18" t="b">
        <f t="shared" si="93"/>
        <v>1</v>
      </c>
    </row>
    <row r="1084" spans="1:30" ht="12.6" hidden="1" customHeight="1" x14ac:dyDescent="0.2">
      <c r="A1084" s="7" t="s">
        <v>683</v>
      </c>
      <c r="B1084" s="7"/>
      <c r="C1084" s="2" t="s">
        <v>641</v>
      </c>
      <c r="D1084" s="6" t="s">
        <v>649</v>
      </c>
      <c r="E1084" s="32" t="s">
        <v>651</v>
      </c>
      <c r="F1084" s="7"/>
      <c r="G1084" s="7"/>
      <c r="H1084" s="7"/>
      <c r="I1084" s="7"/>
      <c r="J1084" s="7"/>
      <c r="K1084" s="7" t="s">
        <v>660</v>
      </c>
      <c r="L1084" s="7" t="s">
        <v>663</v>
      </c>
      <c r="M1084" s="8">
        <v>44308</v>
      </c>
      <c r="N1084" s="8">
        <v>44308</v>
      </c>
      <c r="O1084" s="13"/>
      <c r="P1084" s="13">
        <v>136134.38</v>
      </c>
      <c r="Q1084" s="33"/>
      <c r="R1084" s="22"/>
      <c r="S1084" s="22"/>
      <c r="T1084" s="22"/>
      <c r="U1084" s="22"/>
      <c r="X1084" s="15" t="str">
        <f>IF(B1084="",VLOOKUP(A1084,items_lookup!A:B,2,FALSE),B1084)</f>
        <v>_1. Item _1</v>
      </c>
      <c r="Y1084" s="15">
        <f t="shared" si="97"/>
        <v>4</v>
      </c>
      <c r="Z1084" s="15">
        <f t="shared" si="97"/>
        <v>4</v>
      </c>
      <c r="AA1084" s="15">
        <f t="shared" si="98"/>
        <v>2021</v>
      </c>
      <c r="AB1084" s="15">
        <f t="shared" si="99"/>
        <v>2021</v>
      </c>
      <c r="AC1084" s="15">
        <f t="shared" si="100"/>
        <v>2021</v>
      </c>
      <c r="AD1084" s="18" t="b">
        <f t="shared" si="93"/>
        <v>1</v>
      </c>
    </row>
    <row r="1085" spans="1:30" ht="15" hidden="1" customHeight="1" x14ac:dyDescent="0.2">
      <c r="A1085" s="7" t="s">
        <v>683</v>
      </c>
      <c r="B1085" s="7"/>
      <c r="C1085" s="2" t="s">
        <v>641</v>
      </c>
      <c r="D1085" s="6" t="s">
        <v>649</v>
      </c>
      <c r="E1085" s="32" t="s">
        <v>651</v>
      </c>
      <c r="F1085" s="7"/>
      <c r="G1085" s="7"/>
      <c r="H1085" s="7"/>
      <c r="I1085" s="7"/>
      <c r="J1085" s="7">
        <v>3</v>
      </c>
      <c r="K1085" s="7" t="s">
        <v>660</v>
      </c>
      <c r="L1085" s="7" t="s">
        <v>663</v>
      </c>
      <c r="M1085" s="8">
        <v>44301</v>
      </c>
      <c r="N1085" s="8">
        <v>44308</v>
      </c>
      <c r="O1085" s="13"/>
      <c r="P1085" s="13">
        <v>136134.38</v>
      </c>
      <c r="Q1085" s="33"/>
      <c r="R1085" s="22"/>
      <c r="S1085" s="22"/>
      <c r="T1085" s="22"/>
      <c r="U1085" s="22"/>
      <c r="X1085" s="15" t="str">
        <f>IF(B1085="",VLOOKUP(A1085,items_lookup!A:B,2,FALSE),B1085)</f>
        <v>_1. Item _1</v>
      </c>
      <c r="Y1085" s="15">
        <f t="shared" si="97"/>
        <v>4</v>
      </c>
      <c r="Z1085" s="15">
        <f t="shared" si="97"/>
        <v>4</v>
      </c>
      <c r="AA1085" s="15">
        <f t="shared" si="98"/>
        <v>2021</v>
      </c>
      <c r="AB1085" s="15">
        <f t="shared" si="99"/>
        <v>2021</v>
      </c>
      <c r="AC1085" s="15">
        <f t="shared" si="100"/>
        <v>2021</v>
      </c>
      <c r="AD1085" s="18" t="b">
        <f t="shared" si="93"/>
        <v>1</v>
      </c>
    </row>
    <row r="1086" spans="1:30" ht="12.6" hidden="1" customHeight="1" x14ac:dyDescent="0.2">
      <c r="A1086" s="7" t="s">
        <v>683</v>
      </c>
      <c r="B1086" s="7"/>
      <c r="C1086" s="2" t="s">
        <v>641</v>
      </c>
      <c r="D1086" s="6" t="s">
        <v>649</v>
      </c>
      <c r="E1086" s="32" t="s">
        <v>651</v>
      </c>
      <c r="F1086" s="7"/>
      <c r="G1086" s="7"/>
      <c r="H1086" s="7"/>
      <c r="I1086" s="7"/>
      <c r="J1086" s="7"/>
      <c r="K1086" s="7" t="s">
        <v>660</v>
      </c>
      <c r="L1086" s="7" t="s">
        <v>663</v>
      </c>
      <c r="M1086" s="8">
        <v>44309</v>
      </c>
      <c r="N1086" s="8">
        <v>44309</v>
      </c>
      <c r="O1086" s="13"/>
      <c r="P1086" s="13">
        <v>2553.67</v>
      </c>
      <c r="Q1086" s="33"/>
      <c r="R1086" s="22"/>
      <c r="S1086" s="22"/>
      <c r="T1086" s="22"/>
      <c r="U1086" s="22"/>
      <c r="X1086" s="15" t="str">
        <f>IF(B1086="",VLOOKUP(A1086,items_lookup!A:B,2,FALSE),B1086)</f>
        <v>_1. Item _1</v>
      </c>
      <c r="Y1086" s="15">
        <f t="shared" si="97"/>
        <v>4</v>
      </c>
      <c r="Z1086" s="15">
        <f t="shared" si="97"/>
        <v>4</v>
      </c>
      <c r="AA1086" s="15">
        <f t="shared" si="98"/>
        <v>2021</v>
      </c>
      <c r="AB1086" s="15">
        <f t="shared" si="99"/>
        <v>2021</v>
      </c>
      <c r="AC1086" s="15">
        <f t="shared" si="100"/>
        <v>2021</v>
      </c>
      <c r="AD1086" s="18" t="b">
        <f t="shared" si="93"/>
        <v>1</v>
      </c>
    </row>
    <row r="1087" spans="1:30" ht="15" hidden="1" customHeight="1" x14ac:dyDescent="0.2">
      <c r="A1087" s="7" t="s">
        <v>670</v>
      </c>
      <c r="B1087" s="7"/>
      <c r="C1087" s="2" t="s">
        <v>641</v>
      </c>
      <c r="D1087" s="6" t="s">
        <v>649</v>
      </c>
      <c r="E1087" s="32" t="s">
        <v>651</v>
      </c>
      <c r="F1087" s="7"/>
      <c r="G1087" s="7"/>
      <c r="H1087" s="7"/>
      <c r="I1087" s="7"/>
      <c r="J1087" s="7">
        <v>3</v>
      </c>
      <c r="K1087" s="7" t="s">
        <v>660</v>
      </c>
      <c r="L1087" s="7" t="s">
        <v>663</v>
      </c>
      <c r="M1087" s="8">
        <v>44301</v>
      </c>
      <c r="N1087" s="8">
        <v>44309</v>
      </c>
      <c r="O1087" s="13"/>
      <c r="P1087" s="13">
        <v>2553.67</v>
      </c>
      <c r="Q1087" s="33"/>
      <c r="R1087" s="22"/>
      <c r="S1087" s="22"/>
      <c r="T1087" s="22"/>
      <c r="U1087" s="22"/>
      <c r="X1087" s="15" t="str">
        <f>IF(B1087="",VLOOKUP(A1087,items_lookup!A:B,2,FALSE),B1087)</f>
        <v>04. Item 04</v>
      </c>
      <c r="Y1087" s="15">
        <f t="shared" si="97"/>
        <v>4</v>
      </c>
      <c r="Z1087" s="15">
        <f t="shared" si="97"/>
        <v>4</v>
      </c>
      <c r="AA1087" s="15">
        <f t="shared" si="98"/>
        <v>2021</v>
      </c>
      <c r="AB1087" s="15">
        <f t="shared" si="99"/>
        <v>2021</v>
      </c>
      <c r="AC1087" s="15">
        <f t="shared" si="100"/>
        <v>2021</v>
      </c>
      <c r="AD1087" s="18" t="b">
        <f t="shared" si="93"/>
        <v>1</v>
      </c>
    </row>
    <row r="1088" spans="1:30" ht="12.6" hidden="1" customHeight="1" x14ac:dyDescent="0.2">
      <c r="A1088" s="7" t="s">
        <v>689</v>
      </c>
      <c r="B1088" s="7"/>
      <c r="C1088" s="2" t="s">
        <v>641</v>
      </c>
      <c r="D1088" s="6" t="s">
        <v>649</v>
      </c>
      <c r="E1088" s="32" t="s">
        <v>651</v>
      </c>
      <c r="F1088" s="7"/>
      <c r="G1088" s="7"/>
      <c r="H1088" s="7"/>
      <c r="I1088" s="7"/>
      <c r="J1088" s="7">
        <v>3</v>
      </c>
      <c r="K1088" s="7" t="s">
        <v>660</v>
      </c>
      <c r="L1088" s="7" t="s">
        <v>663</v>
      </c>
      <c r="M1088" s="8">
        <v>44306</v>
      </c>
      <c r="N1088" s="8">
        <v>44312</v>
      </c>
      <c r="O1088" s="13"/>
      <c r="P1088" s="13">
        <v>2928571.43</v>
      </c>
      <c r="Q1088" s="33"/>
      <c r="R1088" s="22"/>
      <c r="S1088" s="22"/>
      <c r="T1088" s="22"/>
      <c r="U1088" s="22"/>
      <c r="X1088" s="15" t="str">
        <f>IF(B1088="",VLOOKUP(A1088,items_lookup!A:B,2,FALSE),B1088)</f>
        <v>04. Item 04</v>
      </c>
      <c r="Y1088" s="15">
        <f t="shared" si="97"/>
        <v>4</v>
      </c>
      <c r="Z1088" s="15">
        <f t="shared" si="97"/>
        <v>4</v>
      </c>
      <c r="AA1088" s="15">
        <f t="shared" si="98"/>
        <v>2021</v>
      </c>
      <c r="AB1088" s="15">
        <f t="shared" si="99"/>
        <v>2021</v>
      </c>
      <c r="AC1088" s="15">
        <f t="shared" si="100"/>
        <v>2021</v>
      </c>
      <c r="AD1088" s="18" t="b">
        <f t="shared" si="93"/>
        <v>1</v>
      </c>
    </row>
    <row r="1089" spans="1:30" ht="15" hidden="1" customHeight="1" x14ac:dyDescent="0.2">
      <c r="A1089" s="7" t="s">
        <v>671</v>
      </c>
      <c r="B1089" s="20"/>
      <c r="C1089" s="2" t="s">
        <v>641</v>
      </c>
      <c r="D1089" s="6" t="s">
        <v>649</v>
      </c>
      <c r="E1089" s="32" t="s">
        <v>651</v>
      </c>
      <c r="F1089" s="7"/>
      <c r="G1089" s="7"/>
      <c r="H1089" s="7"/>
      <c r="I1089" s="7"/>
      <c r="J1089" s="7">
        <v>3</v>
      </c>
      <c r="K1089" s="7" t="s">
        <v>660</v>
      </c>
      <c r="L1089" s="7" t="s">
        <v>663</v>
      </c>
      <c r="M1089" s="8">
        <v>44302</v>
      </c>
      <c r="N1089" s="8">
        <v>44316</v>
      </c>
      <c r="O1089" s="13"/>
      <c r="P1089" s="13">
        <v>61399.25</v>
      </c>
      <c r="Q1089" s="33"/>
      <c r="R1089" s="22"/>
      <c r="S1089" s="22"/>
      <c r="T1089" s="22"/>
      <c r="U1089" s="22"/>
      <c r="X1089" s="15" t="str">
        <f>IF(B1089="",VLOOKUP(A1089,items_lookup!A:B,2,FALSE),B1089)</f>
        <v>05. Item 05</v>
      </c>
      <c r="Y1089" s="15">
        <f t="shared" si="97"/>
        <v>4</v>
      </c>
      <c r="Z1089" s="15">
        <f t="shared" si="97"/>
        <v>4</v>
      </c>
      <c r="AA1089" s="15">
        <f t="shared" si="98"/>
        <v>2021</v>
      </c>
      <c r="AB1089" s="15">
        <f t="shared" si="99"/>
        <v>2021</v>
      </c>
      <c r="AC1089" s="15">
        <f t="shared" si="100"/>
        <v>2021</v>
      </c>
      <c r="AD1089" s="18" t="b">
        <f t="shared" si="93"/>
        <v>1</v>
      </c>
    </row>
    <row r="1090" spans="1:30" ht="15.75" hidden="1" customHeight="1" x14ac:dyDescent="0.2">
      <c r="A1090" s="7" t="s">
        <v>672</v>
      </c>
      <c r="B1090" s="7"/>
      <c r="C1090" s="2" t="s">
        <v>641</v>
      </c>
      <c r="D1090" s="6" t="s">
        <v>649</v>
      </c>
      <c r="E1090" s="32" t="s">
        <v>651</v>
      </c>
      <c r="F1090" s="7"/>
      <c r="G1090" s="7"/>
      <c r="H1090" s="7"/>
      <c r="I1090" s="7"/>
      <c r="J1090" s="7">
        <v>3</v>
      </c>
      <c r="K1090" s="7" t="s">
        <v>660</v>
      </c>
      <c r="L1090" s="7" t="s">
        <v>663</v>
      </c>
      <c r="M1090" s="8">
        <v>44301</v>
      </c>
      <c r="N1090" s="8">
        <v>44313</v>
      </c>
      <c r="O1090" s="13"/>
      <c r="P1090" s="13">
        <v>12489.81</v>
      </c>
      <c r="Q1090" s="33"/>
      <c r="R1090" s="22"/>
      <c r="S1090" s="22"/>
      <c r="T1090" s="22"/>
      <c r="U1090" s="22"/>
      <c r="X1090" s="15" t="str">
        <f>IF(B1090="",VLOOKUP(A1090,items_lookup!A:B,2,FALSE),B1090)</f>
        <v>05. Item 05</v>
      </c>
      <c r="Y1090" s="15">
        <f t="shared" si="97"/>
        <v>4</v>
      </c>
      <c r="Z1090" s="15">
        <f t="shared" si="97"/>
        <v>4</v>
      </c>
      <c r="AA1090" s="15">
        <f t="shared" si="98"/>
        <v>2021</v>
      </c>
      <c r="AB1090" s="15">
        <f t="shared" si="99"/>
        <v>2021</v>
      </c>
      <c r="AC1090" s="15">
        <f t="shared" si="100"/>
        <v>2021</v>
      </c>
      <c r="AD1090" s="18" t="b">
        <f t="shared" si="93"/>
        <v>1</v>
      </c>
    </row>
    <row r="1091" spans="1:30" ht="15" hidden="1" customHeight="1" x14ac:dyDescent="0.2">
      <c r="A1091" s="7" t="s">
        <v>682</v>
      </c>
      <c r="B1091" s="7"/>
      <c r="C1091" s="2" t="s">
        <v>641</v>
      </c>
      <c r="D1091" s="6" t="s">
        <v>649</v>
      </c>
      <c r="E1091" s="32" t="s">
        <v>651</v>
      </c>
      <c r="F1091" s="7"/>
      <c r="G1091" s="7"/>
      <c r="H1091" s="7"/>
      <c r="I1091" s="7"/>
      <c r="J1091" s="7">
        <v>3</v>
      </c>
      <c r="K1091" s="7" t="s">
        <v>660</v>
      </c>
      <c r="L1091" s="7" t="s">
        <v>663</v>
      </c>
      <c r="M1091" s="8">
        <v>44302</v>
      </c>
      <c r="N1091" s="8">
        <v>44313</v>
      </c>
      <c r="O1091" s="13"/>
      <c r="P1091" s="13">
        <v>268.14999999999998</v>
      </c>
      <c r="Q1091" s="33"/>
      <c r="R1091" s="22"/>
      <c r="S1091" s="22"/>
      <c r="T1091" s="22"/>
      <c r="U1091" s="22"/>
      <c r="X1091" s="15" t="str">
        <f>IF(B1091="",VLOOKUP(A1091,items_lookup!A:B,2,FALSE),B1091)</f>
        <v>06. Item 06</v>
      </c>
      <c r="Y1091" s="15">
        <f t="shared" si="97"/>
        <v>4</v>
      </c>
      <c r="Z1091" s="15">
        <f t="shared" si="97"/>
        <v>4</v>
      </c>
      <c r="AA1091" s="15">
        <f t="shared" si="98"/>
        <v>2021</v>
      </c>
      <c r="AB1091" s="15">
        <f t="shared" si="99"/>
        <v>2021</v>
      </c>
      <c r="AC1091" s="15">
        <f t="shared" si="100"/>
        <v>2021</v>
      </c>
      <c r="AD1091" s="18" t="b">
        <f t="shared" ref="AD1091:AD1154" si="101">AND(ROUND(O1091,2)=O1091,ROUND(P1091,2)=P1091,OR(AND(O1091&lt;&gt;0,L1091="p"),AND(P1091&lt;&gt;0,L1091="f")),_xlfn.ISFORMULA(X1091),_xlfn.ISFORMULA(Y1091),_xlfn.ISFORMULA(Z1091),_xlfn.ISFORMULA(AA1091),_xlfn.ISFORMULA(AB1091),_xlfn.ISFORMULA(AC1091),NOT(_xlfn.ISFORMULA(O1091)),NOT(_xlfn.ISFORMULA(P1091)),M1091&lt;&gt;0,N1091&lt;&gt;0)</f>
        <v>1</v>
      </c>
    </row>
    <row r="1092" spans="1:30" ht="15" hidden="1" customHeight="1" x14ac:dyDescent="0.2">
      <c r="A1092" s="7" t="s">
        <v>673</v>
      </c>
      <c r="B1092" s="7"/>
      <c r="C1092" s="2" t="s">
        <v>641</v>
      </c>
      <c r="D1092" s="6" t="s">
        <v>649</v>
      </c>
      <c r="E1092" s="32" t="s">
        <v>651</v>
      </c>
      <c r="F1092" s="7"/>
      <c r="G1092" s="7"/>
      <c r="H1092" s="7"/>
      <c r="I1092" s="7"/>
      <c r="J1092" s="7">
        <v>4</v>
      </c>
      <c r="K1092" s="7" t="s">
        <v>660</v>
      </c>
      <c r="L1092" s="7" t="s">
        <v>663</v>
      </c>
      <c r="M1092" s="8">
        <v>44305</v>
      </c>
      <c r="N1092" s="8">
        <v>44314</v>
      </c>
      <c r="O1092" s="13"/>
      <c r="P1092" s="13">
        <v>192.31</v>
      </c>
      <c r="Q1092" s="33"/>
      <c r="R1092" s="22"/>
      <c r="S1092" s="22"/>
      <c r="T1092" s="22"/>
      <c r="U1092" s="22"/>
      <c r="X1092" s="15" t="str">
        <f>IF(B1092="",VLOOKUP(A1092,items_lookup!A:B,2,FALSE),B1092)</f>
        <v>07. Item 07</v>
      </c>
      <c r="Y1092" s="15">
        <f t="shared" si="97"/>
        <v>4</v>
      </c>
      <c r="Z1092" s="15">
        <f t="shared" si="97"/>
        <v>4</v>
      </c>
      <c r="AA1092" s="15">
        <f t="shared" si="98"/>
        <v>2021</v>
      </c>
      <c r="AB1092" s="15">
        <f t="shared" si="99"/>
        <v>2021</v>
      </c>
      <c r="AC1092" s="15">
        <f t="shared" si="100"/>
        <v>2021</v>
      </c>
      <c r="AD1092" s="18" t="b">
        <f t="shared" si="101"/>
        <v>1</v>
      </c>
    </row>
    <row r="1093" spans="1:30" ht="15" hidden="1" customHeight="1" x14ac:dyDescent="0.2">
      <c r="A1093" s="7" t="s">
        <v>674</v>
      </c>
      <c r="B1093" s="7"/>
      <c r="C1093" s="2" t="s">
        <v>641</v>
      </c>
      <c r="D1093" s="6" t="s">
        <v>649</v>
      </c>
      <c r="E1093" s="32" t="s">
        <v>651</v>
      </c>
      <c r="F1093" s="7"/>
      <c r="G1093" s="7"/>
      <c r="H1093" s="7"/>
      <c r="I1093" s="7"/>
      <c r="J1093" s="7">
        <v>4</v>
      </c>
      <c r="K1093" s="7" t="s">
        <v>660</v>
      </c>
      <c r="L1093" s="7" t="s">
        <v>663</v>
      </c>
      <c r="M1093" s="8">
        <v>44305</v>
      </c>
      <c r="N1093" s="8">
        <v>44316</v>
      </c>
      <c r="O1093" s="13"/>
      <c r="P1093" s="13">
        <v>305670.05</v>
      </c>
      <c r="Q1093" s="33"/>
      <c r="R1093" s="22"/>
      <c r="S1093" s="22"/>
      <c r="T1093" s="22"/>
      <c r="U1093" s="22"/>
      <c r="X1093" s="15" t="str">
        <f>IF(B1093="",VLOOKUP(A1093,items_lookup!A:B,2,FALSE),B1093)</f>
        <v>08. Item 08</v>
      </c>
      <c r="Y1093" s="15">
        <f t="shared" si="97"/>
        <v>4</v>
      </c>
      <c r="Z1093" s="15">
        <f t="shared" si="97"/>
        <v>4</v>
      </c>
      <c r="AA1093" s="15">
        <f t="shared" si="98"/>
        <v>2021</v>
      </c>
      <c r="AB1093" s="15">
        <f t="shared" si="99"/>
        <v>2021</v>
      </c>
      <c r="AC1093" s="15">
        <f t="shared" si="100"/>
        <v>2021</v>
      </c>
      <c r="AD1093" s="18" t="b">
        <f t="shared" si="101"/>
        <v>1</v>
      </c>
    </row>
    <row r="1094" spans="1:30" ht="15" hidden="1" customHeight="1" x14ac:dyDescent="0.2">
      <c r="A1094" s="7" t="s">
        <v>688</v>
      </c>
      <c r="B1094" s="7"/>
      <c r="C1094" s="2" t="s">
        <v>641</v>
      </c>
      <c r="D1094" s="6" t="s">
        <v>649</v>
      </c>
      <c r="E1094" s="32" t="s">
        <v>651</v>
      </c>
      <c r="F1094" s="7"/>
      <c r="G1094" s="7"/>
      <c r="H1094" s="7"/>
      <c r="I1094" s="7"/>
      <c r="J1094" s="7">
        <v>4</v>
      </c>
      <c r="K1094" s="7" t="s">
        <v>660</v>
      </c>
      <c r="L1094" s="7" t="s">
        <v>663</v>
      </c>
      <c r="M1094" s="8">
        <v>44306</v>
      </c>
      <c r="N1094" s="8">
        <v>44314</v>
      </c>
      <c r="O1094" s="13"/>
      <c r="P1094" s="13">
        <v>766575.43</v>
      </c>
      <c r="Q1094" s="33"/>
      <c r="R1094" s="22"/>
      <c r="S1094" s="22"/>
      <c r="T1094" s="22"/>
      <c r="U1094" s="22"/>
      <c r="X1094" s="15" t="str">
        <f>IF(B1094="",VLOOKUP(A1094,items_lookup!A:B,2,FALSE),B1094)</f>
        <v>09. Item 09</v>
      </c>
      <c r="Y1094" s="15">
        <f t="shared" si="97"/>
        <v>4</v>
      </c>
      <c r="Z1094" s="15">
        <f t="shared" si="97"/>
        <v>4</v>
      </c>
      <c r="AA1094" s="15">
        <f t="shared" si="98"/>
        <v>2021</v>
      </c>
      <c r="AB1094" s="15">
        <f t="shared" si="99"/>
        <v>2021</v>
      </c>
      <c r="AC1094" s="15">
        <f t="shared" si="100"/>
        <v>2021</v>
      </c>
      <c r="AD1094" s="18" t="b">
        <f t="shared" si="101"/>
        <v>1</v>
      </c>
    </row>
    <row r="1095" spans="1:30" ht="13.5" hidden="1" customHeight="1" x14ac:dyDescent="0.2">
      <c r="A1095" s="7" t="s">
        <v>676</v>
      </c>
      <c r="B1095" s="7"/>
      <c r="C1095" s="2" t="s">
        <v>641</v>
      </c>
      <c r="D1095" s="6" t="s">
        <v>649</v>
      </c>
      <c r="E1095" s="32" t="s">
        <v>651</v>
      </c>
      <c r="F1095" s="7"/>
      <c r="G1095" s="7"/>
      <c r="H1095" s="7"/>
      <c r="I1095" s="7"/>
      <c r="J1095" s="7">
        <v>3</v>
      </c>
      <c r="K1095" s="7" t="s">
        <v>660</v>
      </c>
      <c r="L1095" s="7" t="s">
        <v>663</v>
      </c>
      <c r="M1095" s="8">
        <v>44306</v>
      </c>
      <c r="N1095" s="8">
        <v>44316</v>
      </c>
      <c r="O1095" s="13"/>
      <c r="P1095" s="13">
        <v>19324.88</v>
      </c>
      <c r="Q1095" s="33"/>
      <c r="R1095" s="22"/>
      <c r="S1095" s="22"/>
      <c r="T1095" s="22"/>
      <c r="U1095" s="22"/>
      <c r="X1095" s="15" t="str">
        <f>IF(B1095="",VLOOKUP(A1095,items_lookup!A:B,2,FALSE),B1095)</f>
        <v>09. Item 09</v>
      </c>
      <c r="Y1095" s="15">
        <f t="shared" si="97"/>
        <v>4</v>
      </c>
      <c r="Z1095" s="15">
        <f t="shared" si="97"/>
        <v>4</v>
      </c>
      <c r="AA1095" s="15">
        <f t="shared" si="98"/>
        <v>2021</v>
      </c>
      <c r="AB1095" s="15">
        <f t="shared" si="99"/>
        <v>2021</v>
      </c>
      <c r="AC1095" s="15">
        <f t="shared" si="100"/>
        <v>2021</v>
      </c>
      <c r="AD1095" s="18" t="b">
        <f t="shared" si="101"/>
        <v>1</v>
      </c>
    </row>
    <row r="1096" spans="1:30" ht="15" hidden="1" customHeight="1" x14ac:dyDescent="0.2">
      <c r="A1096" s="7" t="s">
        <v>675</v>
      </c>
      <c r="B1096" s="7"/>
      <c r="C1096" s="2" t="s">
        <v>641</v>
      </c>
      <c r="D1096" s="6" t="s">
        <v>649</v>
      </c>
      <c r="E1096" s="32" t="s">
        <v>651</v>
      </c>
      <c r="F1096" s="7"/>
      <c r="G1096" s="7"/>
      <c r="H1096" s="7"/>
      <c r="I1096" s="7"/>
      <c r="J1096" s="7">
        <v>3</v>
      </c>
      <c r="K1096" s="7" t="s">
        <v>660</v>
      </c>
      <c r="L1096" s="7" t="s">
        <v>663</v>
      </c>
      <c r="M1096" s="8">
        <v>44306</v>
      </c>
      <c r="N1096" s="8">
        <v>44316</v>
      </c>
      <c r="O1096" s="13"/>
      <c r="P1096" s="13">
        <v>38298.379999999997</v>
      </c>
      <c r="Q1096" s="33"/>
      <c r="R1096" s="22"/>
      <c r="S1096" s="22"/>
      <c r="T1096" s="22"/>
      <c r="U1096" s="22"/>
      <c r="X1096" s="15" t="str">
        <f>IF(B1096="",VLOOKUP(A1096,items_lookup!A:B,2,FALSE),B1096)</f>
        <v>09. Item 09</v>
      </c>
      <c r="Y1096" s="15">
        <f t="shared" si="97"/>
        <v>4</v>
      </c>
      <c r="Z1096" s="15">
        <f t="shared" si="97"/>
        <v>4</v>
      </c>
      <c r="AA1096" s="15">
        <f t="shared" si="98"/>
        <v>2021</v>
      </c>
      <c r="AB1096" s="15">
        <f t="shared" si="99"/>
        <v>2021</v>
      </c>
      <c r="AC1096" s="15">
        <f t="shared" si="100"/>
        <v>2021</v>
      </c>
      <c r="AD1096" s="18" t="b">
        <f t="shared" si="101"/>
        <v>1</v>
      </c>
    </row>
    <row r="1097" spans="1:30" ht="15" hidden="1" customHeight="1" x14ac:dyDescent="0.2">
      <c r="A1097" s="7" t="s">
        <v>697</v>
      </c>
      <c r="B1097" s="7"/>
      <c r="C1097" s="2" t="s">
        <v>641</v>
      </c>
      <c r="D1097" s="6" t="s">
        <v>649</v>
      </c>
      <c r="E1097" s="32" t="s">
        <v>651</v>
      </c>
      <c r="F1097" s="7"/>
      <c r="G1097" s="7"/>
      <c r="H1097" s="7"/>
      <c r="I1097" s="7"/>
      <c r="J1097" s="7"/>
      <c r="K1097" s="7"/>
      <c r="L1097" s="7" t="s">
        <v>662</v>
      </c>
      <c r="M1097" s="8">
        <v>44287</v>
      </c>
      <c r="N1097" s="8">
        <v>44287</v>
      </c>
      <c r="O1097" s="13">
        <v>21118.87</v>
      </c>
      <c r="P1097" s="13"/>
      <c r="Q1097" s="33"/>
      <c r="R1097" s="22"/>
      <c r="S1097" s="22"/>
      <c r="T1097" s="22"/>
      <c r="U1097" s="22"/>
      <c r="X1097" s="15" t="str">
        <f>IF(B1097="",VLOOKUP(A1097,items_lookup!A:B,2,FALSE),B1097)</f>
        <v>10. Item 10</v>
      </c>
      <c r="Y1097" s="15">
        <f t="shared" si="97"/>
        <v>4</v>
      </c>
      <c r="Z1097" s="15">
        <f t="shared" si="97"/>
        <v>4</v>
      </c>
      <c r="AA1097" s="15">
        <f t="shared" si="98"/>
        <v>2021</v>
      </c>
      <c r="AB1097" s="15">
        <f t="shared" si="99"/>
        <v>2021</v>
      </c>
      <c r="AC1097" s="15">
        <f t="shared" si="100"/>
        <v>2021</v>
      </c>
      <c r="AD1097" s="18" t="b">
        <f t="shared" si="101"/>
        <v>1</v>
      </c>
    </row>
    <row r="1098" spans="1:30" ht="15" hidden="1" customHeight="1" x14ac:dyDescent="0.2">
      <c r="A1098" s="7" t="s">
        <v>677</v>
      </c>
      <c r="B1098" s="7"/>
      <c r="C1098" s="2" t="s">
        <v>641</v>
      </c>
      <c r="D1098" s="6" t="s">
        <v>649</v>
      </c>
      <c r="E1098" s="32" t="s">
        <v>651</v>
      </c>
      <c r="F1098" s="7"/>
      <c r="G1098" s="7"/>
      <c r="H1098" s="7"/>
      <c r="I1098" s="7"/>
      <c r="J1098" s="7"/>
      <c r="K1098" s="7" t="s">
        <v>660</v>
      </c>
      <c r="L1098" s="7" t="s">
        <v>663</v>
      </c>
      <c r="M1098" s="8">
        <v>44312</v>
      </c>
      <c r="N1098" s="8">
        <v>44312</v>
      </c>
      <c r="O1098" s="13"/>
      <c r="P1098" s="13">
        <v>8886302.7799999993</v>
      </c>
      <c r="Q1098" s="33"/>
      <c r="R1098" s="22"/>
      <c r="S1098" s="22"/>
      <c r="T1098" s="22"/>
      <c r="U1098" s="22"/>
      <c r="X1098" s="15" t="str">
        <f>IF(B1098="",VLOOKUP(A1098,items_lookup!A:B,2,FALSE),B1098)</f>
        <v>11. Item 11</v>
      </c>
      <c r="Y1098" s="15">
        <f t="shared" si="97"/>
        <v>4</v>
      </c>
      <c r="Z1098" s="15">
        <f t="shared" si="97"/>
        <v>4</v>
      </c>
      <c r="AA1098" s="15">
        <f t="shared" si="98"/>
        <v>2021</v>
      </c>
      <c r="AB1098" s="15">
        <f t="shared" si="99"/>
        <v>2021</v>
      </c>
      <c r="AC1098" s="15">
        <f t="shared" si="100"/>
        <v>2021</v>
      </c>
      <c r="AD1098" s="18" t="b">
        <f t="shared" si="101"/>
        <v>1</v>
      </c>
    </row>
    <row r="1099" spans="1:30" ht="15" hidden="1" customHeight="1" x14ac:dyDescent="0.2">
      <c r="A1099" s="7" t="s">
        <v>699</v>
      </c>
      <c r="B1099" s="7"/>
      <c r="C1099" s="2" t="s">
        <v>641</v>
      </c>
      <c r="D1099" s="6" t="s">
        <v>650</v>
      </c>
      <c r="E1099" s="32" t="s">
        <v>651</v>
      </c>
      <c r="F1099" s="7"/>
      <c r="G1099" s="7"/>
      <c r="H1099" s="7"/>
      <c r="I1099" s="7"/>
      <c r="J1099" s="7">
        <v>4</v>
      </c>
      <c r="K1099" s="7" t="s">
        <v>660</v>
      </c>
      <c r="L1099" s="7" t="s">
        <v>663</v>
      </c>
      <c r="M1099" s="8">
        <v>44305</v>
      </c>
      <c r="N1099" s="8">
        <v>44314</v>
      </c>
      <c r="O1099" s="13"/>
      <c r="P1099" s="13">
        <v>27244.11</v>
      </c>
      <c r="Q1099" s="33"/>
      <c r="R1099" s="22"/>
      <c r="S1099" s="22"/>
      <c r="T1099" s="22"/>
      <c r="U1099" s="22"/>
      <c r="X1099" s="15" t="str">
        <f>IF(B1099="",VLOOKUP(A1099,items_lookup!A:B,2,FALSE),B1099)</f>
        <v>12. Item 12</v>
      </c>
      <c r="Y1099" s="15">
        <f t="shared" ref="Y1099:Z1162" si="102">MONTH(M1099)</f>
        <v>4</v>
      </c>
      <c r="Z1099" s="15">
        <f t="shared" si="102"/>
        <v>4</v>
      </c>
      <c r="AA1099" s="15">
        <f t="shared" si="98"/>
        <v>2021</v>
      </c>
      <c r="AB1099" s="15">
        <f t="shared" si="99"/>
        <v>2021</v>
      </c>
      <c r="AC1099" s="15">
        <f t="shared" si="100"/>
        <v>2021</v>
      </c>
      <c r="AD1099" s="18" t="b">
        <f t="shared" si="101"/>
        <v>1</v>
      </c>
    </row>
    <row r="1100" spans="1:30" ht="12.6" hidden="1" customHeight="1" x14ac:dyDescent="0.2">
      <c r="A1100" s="7" t="s">
        <v>696</v>
      </c>
      <c r="B1100" s="7"/>
      <c r="C1100" s="2" t="s">
        <v>641</v>
      </c>
      <c r="D1100" s="6" t="s">
        <v>650</v>
      </c>
      <c r="E1100" s="32" t="s">
        <v>651</v>
      </c>
      <c r="F1100" s="7"/>
      <c r="G1100" s="7"/>
      <c r="H1100" s="7"/>
      <c r="I1100" s="7"/>
      <c r="J1100" s="7"/>
      <c r="K1100" s="7"/>
      <c r="L1100" s="7" t="s">
        <v>662</v>
      </c>
      <c r="M1100" s="8">
        <v>44287</v>
      </c>
      <c r="N1100" s="8">
        <v>44316</v>
      </c>
      <c r="O1100" s="13">
        <v>13148.11</v>
      </c>
      <c r="P1100" s="13"/>
      <c r="Q1100" s="33"/>
      <c r="R1100" s="9"/>
      <c r="S1100" s="9"/>
      <c r="T1100" s="9"/>
      <c r="U1100" s="9"/>
      <c r="X1100" s="15" t="str">
        <f>IF(B1100="",VLOOKUP(A1100,items_lookup!A:B,2,FALSE),B1100)</f>
        <v>13. Item 13</v>
      </c>
      <c r="Y1100" s="15">
        <f t="shared" si="102"/>
        <v>4</v>
      </c>
      <c r="Z1100" s="15">
        <f t="shared" si="102"/>
        <v>4</v>
      </c>
      <c r="AA1100" s="15">
        <f t="shared" si="98"/>
        <v>2021</v>
      </c>
      <c r="AB1100" s="15">
        <f t="shared" si="99"/>
        <v>2021</v>
      </c>
      <c r="AC1100" s="15">
        <f t="shared" si="100"/>
        <v>2021</v>
      </c>
      <c r="AD1100" s="18" t="b">
        <f t="shared" si="101"/>
        <v>1</v>
      </c>
    </row>
    <row r="1101" spans="1:30" ht="15" hidden="1" customHeight="1" x14ac:dyDescent="0.2">
      <c r="A1101" s="7" t="s">
        <v>678</v>
      </c>
      <c r="B1101" s="7"/>
      <c r="C1101" s="2" t="s">
        <v>641</v>
      </c>
      <c r="D1101" s="6" t="s">
        <v>649</v>
      </c>
      <c r="E1101" s="32" t="s">
        <v>651</v>
      </c>
      <c r="F1101" s="7"/>
      <c r="G1101" s="7"/>
      <c r="H1101" s="7"/>
      <c r="I1101" s="7"/>
      <c r="J1101" s="7"/>
      <c r="K1101" s="7" t="s">
        <v>660</v>
      </c>
      <c r="L1101" s="7" t="s">
        <v>663</v>
      </c>
      <c r="M1101" s="8">
        <v>44313</v>
      </c>
      <c r="N1101" s="8">
        <v>44313</v>
      </c>
      <c r="O1101" s="13"/>
      <c r="P1101" s="13">
        <v>67752.59</v>
      </c>
      <c r="Q1101" s="33"/>
      <c r="R1101" s="22"/>
      <c r="S1101" s="22"/>
      <c r="T1101" s="22"/>
      <c r="U1101" s="22"/>
      <c r="X1101" s="15" t="str">
        <f>IF(B1101="",VLOOKUP(A1101,items_lookup!A:B,2,FALSE),B1101)</f>
        <v>13. Item 13</v>
      </c>
      <c r="Y1101" s="15">
        <f t="shared" si="102"/>
        <v>4</v>
      </c>
      <c r="Z1101" s="15">
        <f t="shared" si="102"/>
        <v>4</v>
      </c>
      <c r="AA1101" s="15">
        <f t="shared" si="98"/>
        <v>2021</v>
      </c>
      <c r="AB1101" s="15">
        <f t="shared" si="99"/>
        <v>2021</v>
      </c>
      <c r="AC1101" s="15">
        <f t="shared" si="100"/>
        <v>2021</v>
      </c>
      <c r="AD1101" s="18" t="b">
        <f t="shared" si="101"/>
        <v>1</v>
      </c>
    </row>
    <row r="1102" spans="1:30" ht="15" hidden="1" customHeight="1" x14ac:dyDescent="0.2">
      <c r="A1102" s="7" t="s">
        <v>700</v>
      </c>
      <c r="B1102" s="7"/>
      <c r="C1102" s="2" t="s">
        <v>641</v>
      </c>
      <c r="D1102" s="6" t="s">
        <v>649</v>
      </c>
      <c r="E1102" s="32" t="s">
        <v>651</v>
      </c>
      <c r="F1102" s="7"/>
      <c r="G1102" s="7"/>
      <c r="H1102" s="7"/>
      <c r="I1102" s="7"/>
      <c r="J1102" s="7"/>
      <c r="K1102" s="7" t="s">
        <v>660</v>
      </c>
      <c r="L1102" s="7" t="s">
        <v>663</v>
      </c>
      <c r="M1102" s="8">
        <v>44314</v>
      </c>
      <c r="N1102" s="8">
        <v>44314</v>
      </c>
      <c r="O1102" s="13"/>
      <c r="P1102" s="13">
        <v>766767.74</v>
      </c>
      <c r="Q1102" s="33"/>
      <c r="R1102" s="22"/>
      <c r="S1102" s="22"/>
      <c r="T1102" s="22"/>
      <c r="U1102" s="22"/>
      <c r="X1102" s="15" t="str">
        <f>IF(B1102="",VLOOKUP(A1102,items_lookup!A:B,2,FALSE),B1102)</f>
        <v>13. Item 13</v>
      </c>
      <c r="Y1102" s="15">
        <f t="shared" si="102"/>
        <v>4</v>
      </c>
      <c r="Z1102" s="15">
        <f t="shared" si="102"/>
        <v>4</v>
      </c>
      <c r="AA1102" s="15">
        <f t="shared" si="98"/>
        <v>2021</v>
      </c>
      <c r="AB1102" s="15">
        <f t="shared" si="99"/>
        <v>2021</v>
      </c>
      <c r="AC1102" s="15">
        <f t="shared" si="100"/>
        <v>2021</v>
      </c>
      <c r="AD1102" s="18" t="b">
        <f t="shared" si="101"/>
        <v>1</v>
      </c>
    </row>
    <row r="1103" spans="1:30" ht="15" hidden="1" customHeight="1" x14ac:dyDescent="0.2">
      <c r="A1103" s="7" t="s">
        <v>701</v>
      </c>
      <c r="B1103" s="7"/>
      <c r="C1103" s="2" t="s">
        <v>641</v>
      </c>
      <c r="D1103" s="6" t="s">
        <v>649</v>
      </c>
      <c r="E1103" s="32" t="s">
        <v>651</v>
      </c>
      <c r="F1103" s="7"/>
      <c r="G1103" s="7"/>
      <c r="H1103" s="7"/>
      <c r="I1103" s="7"/>
      <c r="J1103" s="7"/>
      <c r="K1103" s="7" t="s">
        <v>660</v>
      </c>
      <c r="L1103" s="7" t="s">
        <v>663</v>
      </c>
      <c r="M1103" s="8">
        <v>44314</v>
      </c>
      <c r="N1103" s="8">
        <v>44314</v>
      </c>
      <c r="O1103" s="13"/>
      <c r="P1103" s="13">
        <v>27244.11</v>
      </c>
      <c r="Q1103" s="33"/>
      <c r="R1103" s="22"/>
      <c r="S1103" s="22"/>
      <c r="T1103" s="22"/>
      <c r="U1103" s="22"/>
      <c r="X1103" s="15" t="str">
        <f>IF(B1103="",VLOOKUP(A1103,items_lookup!A:B,2,FALSE),B1103)</f>
        <v>13. Item 13</v>
      </c>
      <c r="Y1103" s="15">
        <f t="shared" si="102"/>
        <v>4</v>
      </c>
      <c r="Z1103" s="15">
        <f t="shared" si="102"/>
        <v>4</v>
      </c>
      <c r="AA1103" s="15">
        <f t="shared" si="98"/>
        <v>2021</v>
      </c>
      <c r="AB1103" s="15">
        <f t="shared" si="99"/>
        <v>2021</v>
      </c>
      <c r="AC1103" s="15">
        <f t="shared" si="100"/>
        <v>2021</v>
      </c>
      <c r="AD1103" s="18" t="b">
        <f t="shared" si="101"/>
        <v>1</v>
      </c>
    </row>
    <row r="1104" spans="1:30" ht="15" hidden="1" customHeight="1" x14ac:dyDescent="0.2">
      <c r="A1104" s="7" t="s">
        <v>680</v>
      </c>
      <c r="B1104" s="7"/>
      <c r="C1104" s="2" t="s">
        <v>641</v>
      </c>
      <c r="D1104" s="6" t="s">
        <v>649</v>
      </c>
      <c r="E1104" s="32" t="s">
        <v>651</v>
      </c>
      <c r="F1104" s="7"/>
      <c r="G1104" s="7"/>
      <c r="H1104" s="7"/>
      <c r="I1104" s="7" t="s">
        <v>20</v>
      </c>
      <c r="J1104" s="7">
        <v>1</v>
      </c>
      <c r="K1104" s="7" t="s">
        <v>660</v>
      </c>
      <c r="L1104" s="7" t="s">
        <v>663</v>
      </c>
      <c r="M1104" s="8">
        <v>44329</v>
      </c>
      <c r="N1104" s="8">
        <v>44341</v>
      </c>
      <c r="O1104" s="13"/>
      <c r="P1104" s="13">
        <v>3848.19</v>
      </c>
      <c r="Q1104" s="33"/>
      <c r="R1104" s="22"/>
      <c r="S1104" s="22"/>
      <c r="T1104" s="22"/>
      <c r="U1104" s="22"/>
      <c r="X1104" s="15" t="str">
        <f>IF(B1104="",VLOOKUP(A1104,items_lookup!A:B,2,FALSE),B1104)</f>
        <v>13. Item 13</v>
      </c>
      <c r="Y1104" s="15">
        <f t="shared" si="102"/>
        <v>5</v>
      </c>
      <c r="Z1104" s="15">
        <f t="shared" si="102"/>
        <v>5</v>
      </c>
      <c r="AA1104" s="15">
        <f t="shared" si="98"/>
        <v>2021</v>
      </c>
      <c r="AB1104" s="15">
        <f t="shared" si="99"/>
        <v>2021</v>
      </c>
      <c r="AC1104" s="15">
        <f t="shared" si="100"/>
        <v>2021</v>
      </c>
      <c r="AD1104" s="18" t="b">
        <f t="shared" si="101"/>
        <v>1</v>
      </c>
    </row>
    <row r="1105" spans="1:30" ht="15" hidden="1" customHeight="1" x14ac:dyDescent="0.2">
      <c r="A1105" s="7" t="s">
        <v>702</v>
      </c>
      <c r="B1105" s="7"/>
      <c r="C1105" s="2" t="s">
        <v>641</v>
      </c>
      <c r="D1105" s="6" t="s">
        <v>649</v>
      </c>
      <c r="E1105" s="32" t="s">
        <v>651</v>
      </c>
      <c r="F1105" s="7"/>
      <c r="G1105" s="7"/>
      <c r="H1105" s="7"/>
      <c r="I1105" s="7"/>
      <c r="J1105" s="7">
        <v>1</v>
      </c>
      <c r="K1105" s="7" t="s">
        <v>660</v>
      </c>
      <c r="L1105" s="7" t="s">
        <v>663</v>
      </c>
      <c r="M1105" s="8">
        <v>44329</v>
      </c>
      <c r="N1105" s="8">
        <v>44341</v>
      </c>
      <c r="O1105" s="13"/>
      <c r="P1105" s="13">
        <v>353294.67</v>
      </c>
      <c r="Q1105" s="33"/>
      <c r="R1105" s="22"/>
      <c r="S1105" s="22"/>
      <c r="T1105" s="22"/>
      <c r="U1105" s="22"/>
      <c r="X1105" s="15" t="str">
        <f>IF(B1105="",VLOOKUP(A1105,items_lookup!A:B,2,FALSE),B1105)</f>
        <v>17. Item 17</v>
      </c>
      <c r="Y1105" s="15">
        <f t="shared" si="102"/>
        <v>5</v>
      </c>
      <c r="Z1105" s="15">
        <f t="shared" si="102"/>
        <v>5</v>
      </c>
      <c r="AA1105" s="15">
        <f t="shared" si="98"/>
        <v>2021</v>
      </c>
      <c r="AB1105" s="15">
        <f t="shared" si="99"/>
        <v>2021</v>
      </c>
      <c r="AC1105" s="15">
        <f t="shared" si="100"/>
        <v>2021</v>
      </c>
      <c r="AD1105" s="18" t="b">
        <f t="shared" si="101"/>
        <v>1</v>
      </c>
    </row>
    <row r="1106" spans="1:30" ht="15" hidden="1" customHeight="1" x14ac:dyDescent="0.2">
      <c r="A1106" s="7" t="s">
        <v>697</v>
      </c>
      <c r="B1106" s="7"/>
      <c r="C1106" s="2" t="s">
        <v>641</v>
      </c>
      <c r="D1106" s="6" t="s">
        <v>649</v>
      </c>
      <c r="E1106" s="32" t="s">
        <v>651</v>
      </c>
      <c r="F1106" s="7"/>
      <c r="G1106" s="7"/>
      <c r="H1106" s="7"/>
      <c r="I1106" s="7" t="s">
        <v>20</v>
      </c>
      <c r="J1106" s="7">
        <v>1</v>
      </c>
      <c r="K1106" s="7" t="s">
        <v>660</v>
      </c>
      <c r="L1106" s="7" t="s">
        <v>663</v>
      </c>
      <c r="M1106" s="8">
        <v>44329</v>
      </c>
      <c r="N1106" s="8">
        <v>44342</v>
      </c>
      <c r="O1106" s="13"/>
      <c r="P1106" s="13">
        <v>98512.46</v>
      </c>
      <c r="Q1106" s="33"/>
      <c r="R1106" s="22"/>
      <c r="S1106" s="22"/>
      <c r="T1106" s="22"/>
      <c r="U1106" s="22"/>
      <c r="X1106" s="15" t="str">
        <f>IF(B1106="",VLOOKUP(A1106,items_lookup!A:B,2,FALSE),B1106)</f>
        <v>10. Item 10</v>
      </c>
      <c r="Y1106" s="15">
        <f t="shared" si="102"/>
        <v>5</v>
      </c>
      <c r="Z1106" s="15">
        <f t="shared" si="102"/>
        <v>5</v>
      </c>
      <c r="AA1106" s="15">
        <f t="shared" si="98"/>
        <v>2021</v>
      </c>
      <c r="AB1106" s="15">
        <f t="shared" si="99"/>
        <v>2021</v>
      </c>
      <c r="AC1106" s="15">
        <f t="shared" si="100"/>
        <v>2021</v>
      </c>
      <c r="AD1106" s="18" t="b">
        <f t="shared" si="101"/>
        <v>1</v>
      </c>
    </row>
    <row r="1107" spans="1:30" ht="15" hidden="1" customHeight="1" x14ac:dyDescent="0.2">
      <c r="A1107" s="7" t="s">
        <v>701</v>
      </c>
      <c r="B1107" s="7"/>
      <c r="C1107" s="2" t="s">
        <v>641</v>
      </c>
      <c r="D1107" s="6" t="s">
        <v>649</v>
      </c>
      <c r="E1107" s="32" t="s">
        <v>651</v>
      </c>
      <c r="F1107" s="7"/>
      <c r="G1107" s="7"/>
      <c r="H1107" s="7"/>
      <c r="I1107" s="7"/>
      <c r="J1107" s="7"/>
      <c r="K1107" s="7" t="s">
        <v>660</v>
      </c>
      <c r="L1107" s="7" t="s">
        <v>663</v>
      </c>
      <c r="M1107" s="8">
        <v>44316</v>
      </c>
      <c r="N1107" s="8">
        <v>44316</v>
      </c>
      <c r="O1107" s="13"/>
      <c r="P1107" s="13">
        <v>14600182.380000001</v>
      </c>
      <c r="Q1107" s="33"/>
      <c r="R1107" s="22"/>
      <c r="S1107" s="22"/>
      <c r="T1107" s="22"/>
      <c r="U1107" s="22"/>
      <c r="X1107" s="15" t="str">
        <f>IF(B1107="",VLOOKUP(A1107,items_lookup!A:B,2,FALSE),B1107)</f>
        <v>13. Item 13</v>
      </c>
      <c r="Y1107" s="15">
        <f t="shared" si="102"/>
        <v>4</v>
      </c>
      <c r="Z1107" s="15">
        <f t="shared" si="102"/>
        <v>4</v>
      </c>
      <c r="AA1107" s="15">
        <f t="shared" si="98"/>
        <v>2021</v>
      </c>
      <c r="AB1107" s="15">
        <f t="shared" si="99"/>
        <v>2021</v>
      </c>
      <c r="AC1107" s="15">
        <f t="shared" si="100"/>
        <v>2021</v>
      </c>
      <c r="AD1107" s="18" t="b">
        <f t="shared" si="101"/>
        <v>1</v>
      </c>
    </row>
    <row r="1108" spans="1:30" ht="15" hidden="1" customHeight="1" x14ac:dyDescent="0.2">
      <c r="A1108" s="7" t="s">
        <v>680</v>
      </c>
      <c r="B1108" s="7"/>
      <c r="C1108" s="2" t="s">
        <v>641</v>
      </c>
      <c r="D1108" s="6" t="s">
        <v>649</v>
      </c>
      <c r="E1108" s="32" t="s">
        <v>651</v>
      </c>
      <c r="F1108" s="7"/>
      <c r="G1108" s="7"/>
      <c r="H1108" s="7"/>
      <c r="I1108" s="7" t="s">
        <v>20</v>
      </c>
      <c r="J1108" s="7">
        <v>1</v>
      </c>
      <c r="K1108" s="7" t="s">
        <v>660</v>
      </c>
      <c r="L1108" s="7" t="s">
        <v>663</v>
      </c>
      <c r="M1108" s="8">
        <v>44327</v>
      </c>
      <c r="N1108" s="8">
        <v>44337</v>
      </c>
      <c r="O1108" s="13"/>
      <c r="P1108" s="13">
        <v>62832.17</v>
      </c>
      <c r="Q1108" s="33"/>
      <c r="R1108" s="9"/>
      <c r="S1108" s="9"/>
      <c r="T1108" s="9"/>
      <c r="U1108" s="9"/>
      <c r="X1108" s="15" t="str">
        <f>IF(B1108="",VLOOKUP(A1108,items_lookup!A:B,2,FALSE),B1108)</f>
        <v>13. Item 13</v>
      </c>
      <c r="Y1108" s="15">
        <f t="shared" si="102"/>
        <v>5</v>
      </c>
      <c r="Z1108" s="15">
        <f t="shared" si="102"/>
        <v>5</v>
      </c>
      <c r="AA1108" s="15">
        <f t="shared" si="98"/>
        <v>2021</v>
      </c>
      <c r="AB1108" s="15">
        <f t="shared" si="99"/>
        <v>2021</v>
      </c>
      <c r="AC1108" s="15">
        <f t="shared" si="100"/>
        <v>2021</v>
      </c>
      <c r="AD1108" s="18" t="b">
        <f t="shared" si="101"/>
        <v>1</v>
      </c>
    </row>
    <row r="1109" spans="1:30" ht="15" hidden="1" customHeight="1" x14ac:dyDescent="0.2">
      <c r="A1109" s="7" t="s">
        <v>677</v>
      </c>
      <c r="B1109" s="7"/>
      <c r="C1109" s="2" t="s">
        <v>641</v>
      </c>
      <c r="D1109" s="6" t="s">
        <v>649</v>
      </c>
      <c r="E1109" s="32" t="s">
        <v>651</v>
      </c>
      <c r="F1109" s="7"/>
      <c r="G1109" s="7"/>
      <c r="H1109" s="7"/>
      <c r="I1109" s="7"/>
      <c r="J1109" s="7"/>
      <c r="K1109" s="7" t="s">
        <v>660</v>
      </c>
      <c r="L1109" s="7" t="s">
        <v>663</v>
      </c>
      <c r="M1109" s="8">
        <v>44327</v>
      </c>
      <c r="N1109" s="8">
        <v>44327</v>
      </c>
      <c r="O1109" s="13"/>
      <c r="P1109" s="13">
        <v>18943.11</v>
      </c>
      <c r="Q1109" s="33"/>
      <c r="R1109" s="22"/>
      <c r="S1109" s="22"/>
      <c r="T1109" s="22"/>
      <c r="U1109" s="22"/>
      <c r="X1109" s="15" t="str">
        <f>IF(B1109="",VLOOKUP(A1109,items_lookup!A:B,2,FALSE),B1109)</f>
        <v>11. Item 11</v>
      </c>
      <c r="Y1109" s="15">
        <f t="shared" si="102"/>
        <v>5</v>
      </c>
      <c r="Z1109" s="15">
        <f t="shared" si="102"/>
        <v>5</v>
      </c>
      <c r="AA1109" s="15">
        <f t="shared" si="98"/>
        <v>2021</v>
      </c>
      <c r="AB1109" s="15">
        <f t="shared" si="99"/>
        <v>2021</v>
      </c>
      <c r="AC1109" s="15">
        <f t="shared" si="100"/>
        <v>2021</v>
      </c>
      <c r="AD1109" s="18" t="b">
        <f t="shared" si="101"/>
        <v>1</v>
      </c>
    </row>
    <row r="1110" spans="1:30" ht="15" hidden="1" customHeight="1" x14ac:dyDescent="0.2">
      <c r="A1110" s="7" t="s">
        <v>672</v>
      </c>
      <c r="B1110" s="7"/>
      <c r="C1110" s="2" t="s">
        <v>641</v>
      </c>
      <c r="D1110" s="6" t="s">
        <v>650</v>
      </c>
      <c r="E1110" s="32" t="s">
        <v>651</v>
      </c>
      <c r="F1110" s="7"/>
      <c r="G1110" s="7"/>
      <c r="H1110" s="7"/>
      <c r="I1110" s="7"/>
      <c r="J1110" s="7">
        <v>4</v>
      </c>
      <c r="K1110" s="7" t="s">
        <v>660</v>
      </c>
      <c r="L1110" s="7" t="s">
        <v>663</v>
      </c>
      <c r="M1110" s="8">
        <v>44314</v>
      </c>
      <c r="N1110" s="8">
        <v>44327</v>
      </c>
      <c r="O1110" s="13"/>
      <c r="P1110" s="13">
        <v>18943.11</v>
      </c>
      <c r="Q1110" s="33"/>
      <c r="R1110" s="22"/>
      <c r="S1110" s="22"/>
      <c r="T1110" s="22"/>
      <c r="U1110" s="22"/>
      <c r="X1110" s="15" t="str">
        <f>IF(B1110="",VLOOKUP(A1110,items_lookup!A:B,2,FALSE),B1110)</f>
        <v>05. Item 05</v>
      </c>
      <c r="Y1110" s="15">
        <f t="shared" si="102"/>
        <v>4</v>
      </c>
      <c r="Z1110" s="15">
        <f t="shared" si="102"/>
        <v>5</v>
      </c>
      <c r="AA1110" s="15">
        <f t="shared" si="98"/>
        <v>2021</v>
      </c>
      <c r="AB1110" s="15">
        <f t="shared" si="99"/>
        <v>2021</v>
      </c>
      <c r="AC1110" s="15">
        <f t="shared" si="100"/>
        <v>2021</v>
      </c>
      <c r="AD1110" s="18" t="b">
        <f t="shared" si="101"/>
        <v>1</v>
      </c>
    </row>
    <row r="1111" spans="1:30" ht="12.6" hidden="1" customHeight="1" x14ac:dyDescent="0.2">
      <c r="A1111" s="7" t="s">
        <v>672</v>
      </c>
      <c r="B1111" s="7"/>
      <c r="C1111" s="2" t="s">
        <v>641</v>
      </c>
      <c r="D1111" s="6" t="s">
        <v>649</v>
      </c>
      <c r="E1111" s="32" t="s">
        <v>651</v>
      </c>
      <c r="F1111" s="7"/>
      <c r="G1111" s="7"/>
      <c r="H1111" s="7"/>
      <c r="I1111" s="7"/>
      <c r="J1111" s="7">
        <v>1</v>
      </c>
      <c r="K1111" s="7" t="s">
        <v>660</v>
      </c>
      <c r="L1111" s="7" t="s">
        <v>663</v>
      </c>
      <c r="M1111" s="8">
        <v>44328</v>
      </c>
      <c r="N1111" s="8">
        <v>44342</v>
      </c>
      <c r="O1111" s="13"/>
      <c r="P1111" s="13">
        <v>3741.53</v>
      </c>
      <c r="Q1111" s="33"/>
      <c r="R1111" s="22"/>
      <c r="S1111" s="22"/>
      <c r="T1111" s="22"/>
      <c r="U1111" s="22"/>
      <c r="X1111" s="15" t="str">
        <f>IF(B1111="",VLOOKUP(A1111,items_lookup!A:B,2,FALSE),B1111)</f>
        <v>05. Item 05</v>
      </c>
      <c r="Y1111" s="15">
        <f t="shared" si="102"/>
        <v>5</v>
      </c>
      <c r="Z1111" s="15">
        <f t="shared" si="102"/>
        <v>5</v>
      </c>
      <c r="AA1111" s="15">
        <f t="shared" si="98"/>
        <v>2021</v>
      </c>
      <c r="AB1111" s="15">
        <f t="shared" si="99"/>
        <v>2021</v>
      </c>
      <c r="AC1111" s="15">
        <f t="shared" si="100"/>
        <v>2021</v>
      </c>
      <c r="AD1111" s="18" t="b">
        <f t="shared" si="101"/>
        <v>1</v>
      </c>
    </row>
    <row r="1112" spans="1:30" ht="15" hidden="1" customHeight="1" x14ac:dyDescent="0.2">
      <c r="A1112" s="7" t="s">
        <v>683</v>
      </c>
      <c r="B1112" s="7"/>
      <c r="C1112" s="2" t="s">
        <v>641</v>
      </c>
      <c r="D1112" s="6" t="s">
        <v>649</v>
      </c>
      <c r="E1112" s="32" t="s">
        <v>651</v>
      </c>
      <c r="F1112" s="7"/>
      <c r="G1112" s="7"/>
      <c r="H1112" s="7"/>
      <c r="I1112" s="7"/>
      <c r="J1112" s="7">
        <v>1</v>
      </c>
      <c r="K1112" s="7" t="s">
        <v>660</v>
      </c>
      <c r="L1112" s="7" t="s">
        <v>663</v>
      </c>
      <c r="M1112" s="8">
        <v>44329</v>
      </c>
      <c r="N1112" s="8">
        <v>44342</v>
      </c>
      <c r="O1112" s="13"/>
      <c r="P1112" s="13">
        <v>78820.210000000006</v>
      </c>
      <c r="Q1112" s="33"/>
      <c r="R1112" s="22"/>
      <c r="S1112" s="22"/>
      <c r="T1112" s="22"/>
      <c r="U1112" s="22"/>
      <c r="X1112" s="15" t="str">
        <f>IF(B1112="",VLOOKUP(A1112,items_lookup!A:B,2,FALSE),B1112)</f>
        <v>_1. Item _1</v>
      </c>
      <c r="Y1112" s="15">
        <f t="shared" si="102"/>
        <v>5</v>
      </c>
      <c r="Z1112" s="15">
        <f t="shared" si="102"/>
        <v>5</v>
      </c>
      <c r="AA1112" s="15">
        <f t="shared" si="98"/>
        <v>2021</v>
      </c>
      <c r="AB1112" s="15">
        <f t="shared" si="99"/>
        <v>2021</v>
      </c>
      <c r="AC1112" s="15">
        <f t="shared" si="100"/>
        <v>2021</v>
      </c>
      <c r="AD1112" s="18" t="b">
        <f t="shared" si="101"/>
        <v>1</v>
      </c>
    </row>
    <row r="1113" spans="1:30" ht="15" hidden="1" customHeight="1" x14ac:dyDescent="0.2">
      <c r="A1113" s="7" t="s">
        <v>670</v>
      </c>
      <c r="B1113" s="7"/>
      <c r="C1113" s="2" t="s">
        <v>641</v>
      </c>
      <c r="D1113" s="6" t="s">
        <v>649</v>
      </c>
      <c r="E1113" s="32" t="s">
        <v>651</v>
      </c>
      <c r="F1113" s="7"/>
      <c r="G1113" s="7"/>
      <c r="H1113" s="7"/>
      <c r="I1113" s="7"/>
      <c r="J1113" s="7">
        <v>1</v>
      </c>
      <c r="K1113" s="7" t="s">
        <v>660</v>
      </c>
      <c r="L1113" s="7" t="s">
        <v>663</v>
      </c>
      <c r="M1113" s="8">
        <v>44329</v>
      </c>
      <c r="N1113" s="8">
        <v>44337</v>
      </c>
      <c r="O1113" s="13"/>
      <c r="P1113" s="13">
        <v>1867590.86</v>
      </c>
      <c r="Q1113" s="33"/>
      <c r="R1113" s="22"/>
      <c r="S1113" s="22"/>
      <c r="T1113" s="22"/>
      <c r="U1113" s="22"/>
      <c r="X1113" s="15" t="str">
        <f>IF(B1113="",VLOOKUP(A1113,items_lookup!A:B,2,FALSE),B1113)</f>
        <v>04. Item 04</v>
      </c>
      <c r="Y1113" s="15">
        <f t="shared" si="102"/>
        <v>5</v>
      </c>
      <c r="Z1113" s="15">
        <f t="shared" si="102"/>
        <v>5</v>
      </c>
      <c r="AA1113" s="15">
        <f t="shared" si="98"/>
        <v>2021</v>
      </c>
      <c r="AB1113" s="15">
        <f t="shared" si="99"/>
        <v>2021</v>
      </c>
      <c r="AC1113" s="15">
        <f t="shared" si="100"/>
        <v>2021</v>
      </c>
      <c r="AD1113" s="18" t="b">
        <f t="shared" si="101"/>
        <v>1</v>
      </c>
    </row>
    <row r="1114" spans="1:30" ht="12.6" hidden="1" customHeight="1" x14ac:dyDescent="0.2">
      <c r="A1114" s="7" t="s">
        <v>683</v>
      </c>
      <c r="B1114" s="7"/>
      <c r="C1114" s="2" t="s">
        <v>641</v>
      </c>
      <c r="D1114" s="6" t="s">
        <v>649</v>
      </c>
      <c r="E1114" s="32" t="s">
        <v>651</v>
      </c>
      <c r="F1114" s="7"/>
      <c r="G1114" s="7"/>
      <c r="H1114" s="7"/>
      <c r="I1114" s="7"/>
      <c r="J1114" s="7"/>
      <c r="K1114" s="7"/>
      <c r="L1114" s="7" t="s">
        <v>662</v>
      </c>
      <c r="M1114" s="8">
        <v>44317</v>
      </c>
      <c r="N1114" s="8">
        <v>44317</v>
      </c>
      <c r="O1114" s="13">
        <v>570499.12</v>
      </c>
      <c r="P1114" s="13"/>
      <c r="Q1114" s="33"/>
      <c r="R1114" s="22"/>
      <c r="S1114" s="22"/>
      <c r="T1114" s="22"/>
      <c r="U1114" s="22"/>
      <c r="X1114" s="15" t="str">
        <f>IF(B1114="",VLOOKUP(A1114,items_lookup!A:B,2,FALSE),B1114)</f>
        <v>_1. Item _1</v>
      </c>
      <c r="Y1114" s="15">
        <f t="shared" si="102"/>
        <v>5</v>
      </c>
      <c r="Z1114" s="15">
        <f t="shared" si="102"/>
        <v>5</v>
      </c>
      <c r="AA1114" s="15">
        <f t="shared" si="98"/>
        <v>2021</v>
      </c>
      <c r="AB1114" s="15">
        <f t="shared" si="99"/>
        <v>2021</v>
      </c>
      <c r="AC1114" s="15">
        <f t="shared" si="100"/>
        <v>2021</v>
      </c>
      <c r="AD1114" s="18" t="b">
        <f t="shared" si="101"/>
        <v>1</v>
      </c>
    </row>
    <row r="1115" spans="1:30" ht="15" hidden="1" customHeight="1" x14ac:dyDescent="0.2">
      <c r="A1115" s="7" t="s">
        <v>689</v>
      </c>
      <c r="B1115" s="7"/>
      <c r="C1115" s="2" t="s">
        <v>641</v>
      </c>
      <c r="D1115" s="6" t="s">
        <v>649</v>
      </c>
      <c r="E1115" s="32" t="s">
        <v>651</v>
      </c>
      <c r="F1115" s="7"/>
      <c r="G1115" s="7"/>
      <c r="H1115" s="7"/>
      <c r="I1115" s="7"/>
      <c r="J1115" s="7">
        <v>4</v>
      </c>
      <c r="K1115" s="7" t="s">
        <v>660</v>
      </c>
      <c r="L1115" s="7" t="s">
        <v>663</v>
      </c>
      <c r="M1115" s="8">
        <v>44306</v>
      </c>
      <c r="N1115" s="8">
        <v>44337</v>
      </c>
      <c r="O1115" s="13"/>
      <c r="P1115" s="13">
        <v>8272.86</v>
      </c>
      <c r="Q1115" s="33"/>
      <c r="R1115" s="22"/>
      <c r="S1115" s="22"/>
      <c r="T1115" s="22"/>
      <c r="U1115" s="22"/>
      <c r="X1115" s="15" t="str">
        <f>IF(B1115="",VLOOKUP(A1115,items_lookup!A:B,2,FALSE),B1115)</f>
        <v>04. Item 04</v>
      </c>
      <c r="Y1115" s="15">
        <f t="shared" si="102"/>
        <v>4</v>
      </c>
      <c r="Z1115" s="15">
        <f t="shared" si="102"/>
        <v>5</v>
      </c>
      <c r="AA1115" s="15">
        <f t="shared" si="98"/>
        <v>2021</v>
      </c>
      <c r="AB1115" s="15">
        <f t="shared" si="99"/>
        <v>2021</v>
      </c>
      <c r="AC1115" s="15">
        <f t="shared" si="100"/>
        <v>2021</v>
      </c>
      <c r="AD1115" s="18" t="b">
        <f t="shared" si="101"/>
        <v>1</v>
      </c>
    </row>
    <row r="1116" spans="1:30" ht="12.6" hidden="1" customHeight="1" x14ac:dyDescent="0.2">
      <c r="A1116" s="7" t="s">
        <v>671</v>
      </c>
      <c r="B1116" s="7"/>
      <c r="C1116" s="2" t="s">
        <v>641</v>
      </c>
      <c r="D1116" s="6" t="s">
        <v>649</v>
      </c>
      <c r="E1116" s="32" t="s">
        <v>651</v>
      </c>
      <c r="F1116" s="7"/>
      <c r="G1116" s="7"/>
      <c r="H1116" s="7"/>
      <c r="I1116" s="7" t="s">
        <v>20</v>
      </c>
      <c r="J1116" s="7">
        <v>3</v>
      </c>
      <c r="K1116" s="7" t="s">
        <v>660</v>
      </c>
      <c r="L1116" s="7" t="s">
        <v>663</v>
      </c>
      <c r="M1116" s="8">
        <v>44330</v>
      </c>
      <c r="N1116" s="8">
        <v>44344</v>
      </c>
      <c r="O1116" s="13"/>
      <c r="P1116" s="13">
        <v>545908.92000000004</v>
      </c>
      <c r="Q1116" s="33"/>
      <c r="R1116" s="22"/>
      <c r="S1116" s="22"/>
      <c r="T1116" s="22"/>
      <c r="U1116" s="22"/>
      <c r="X1116" s="15" t="str">
        <f>IF(B1116="",VLOOKUP(A1116,items_lookup!A:B,2,FALSE),B1116)</f>
        <v>05. Item 05</v>
      </c>
      <c r="Y1116" s="15">
        <f t="shared" si="102"/>
        <v>5</v>
      </c>
      <c r="Z1116" s="15">
        <f t="shared" si="102"/>
        <v>5</v>
      </c>
      <c r="AA1116" s="15">
        <f t="shared" si="98"/>
        <v>2021</v>
      </c>
      <c r="AB1116" s="15">
        <f t="shared" si="99"/>
        <v>2021</v>
      </c>
      <c r="AC1116" s="15">
        <f t="shared" si="100"/>
        <v>2021</v>
      </c>
      <c r="AD1116" s="18" t="b">
        <f t="shared" si="101"/>
        <v>1</v>
      </c>
    </row>
    <row r="1117" spans="1:30" ht="15" hidden="1" customHeight="1" x14ac:dyDescent="0.2">
      <c r="A1117" s="7" t="s">
        <v>673</v>
      </c>
      <c r="B1117" s="7"/>
      <c r="C1117" s="2" t="s">
        <v>641</v>
      </c>
      <c r="D1117" s="6" t="s">
        <v>649</v>
      </c>
      <c r="E1117" s="32" t="s">
        <v>651</v>
      </c>
      <c r="F1117" s="7"/>
      <c r="G1117" s="7"/>
      <c r="H1117" s="7"/>
      <c r="I1117" s="7"/>
      <c r="J1117" s="7">
        <v>3</v>
      </c>
      <c r="K1117" s="7" t="s">
        <v>660</v>
      </c>
      <c r="L1117" s="7" t="s">
        <v>663</v>
      </c>
      <c r="M1117" s="8">
        <v>44330</v>
      </c>
      <c r="N1117" s="8">
        <v>44343</v>
      </c>
      <c r="O1117" s="13"/>
      <c r="P1117" s="13">
        <v>389135.23</v>
      </c>
      <c r="Q1117" s="33"/>
      <c r="R1117" s="22"/>
      <c r="S1117" s="22"/>
      <c r="T1117" s="22"/>
      <c r="U1117" s="22"/>
      <c r="X1117" s="15" t="str">
        <f>IF(B1117="",VLOOKUP(A1117,items_lookup!A:B,2,FALSE),B1117)</f>
        <v>07. Item 07</v>
      </c>
      <c r="Y1117" s="15">
        <f t="shared" si="102"/>
        <v>5</v>
      </c>
      <c r="Z1117" s="15">
        <f t="shared" si="102"/>
        <v>5</v>
      </c>
      <c r="AA1117" s="15">
        <f t="shared" si="98"/>
        <v>2021</v>
      </c>
      <c r="AB1117" s="15">
        <f t="shared" si="99"/>
        <v>2021</v>
      </c>
      <c r="AC1117" s="15">
        <f t="shared" si="100"/>
        <v>2021</v>
      </c>
      <c r="AD1117" s="18" t="b">
        <f t="shared" si="101"/>
        <v>1</v>
      </c>
    </row>
    <row r="1118" spans="1:30" ht="15" hidden="1" customHeight="1" x14ac:dyDescent="0.2">
      <c r="A1118" s="7" t="s">
        <v>674</v>
      </c>
      <c r="B1118" s="7"/>
      <c r="C1118" s="2" t="s">
        <v>641</v>
      </c>
      <c r="D1118" s="6" t="s">
        <v>649</v>
      </c>
      <c r="E1118" s="32" t="s">
        <v>651</v>
      </c>
      <c r="F1118" s="7"/>
      <c r="G1118" s="7"/>
      <c r="H1118" s="7"/>
      <c r="I1118" s="7"/>
      <c r="J1118" s="7">
        <v>3</v>
      </c>
      <c r="K1118" s="7" t="s">
        <v>660</v>
      </c>
      <c r="L1118" s="7" t="s">
        <v>663</v>
      </c>
      <c r="M1118" s="8">
        <v>44330</v>
      </c>
      <c r="N1118" s="8">
        <v>44337</v>
      </c>
      <c r="O1118" s="13"/>
      <c r="P1118" s="13">
        <v>48466.61</v>
      </c>
      <c r="Q1118" s="33"/>
      <c r="R1118" s="22"/>
      <c r="S1118" s="22"/>
      <c r="T1118" s="22"/>
      <c r="U1118" s="22"/>
      <c r="X1118" s="15" t="str">
        <f>IF(B1118="",VLOOKUP(A1118,items_lookup!A:B,2,FALSE),B1118)</f>
        <v>08. Item 08</v>
      </c>
      <c r="Y1118" s="15">
        <f t="shared" si="102"/>
        <v>5</v>
      </c>
      <c r="Z1118" s="15">
        <f t="shared" si="102"/>
        <v>5</v>
      </c>
      <c r="AA1118" s="15">
        <f t="shared" si="98"/>
        <v>2021</v>
      </c>
      <c r="AB1118" s="15">
        <f t="shared" si="99"/>
        <v>2021</v>
      </c>
      <c r="AC1118" s="15">
        <f t="shared" si="100"/>
        <v>2021</v>
      </c>
      <c r="AD1118" s="18" t="b">
        <f t="shared" si="101"/>
        <v>1</v>
      </c>
    </row>
    <row r="1119" spans="1:30" ht="15" hidden="1" customHeight="1" x14ac:dyDescent="0.2">
      <c r="A1119" s="7" t="s">
        <v>688</v>
      </c>
      <c r="B1119" s="7"/>
      <c r="C1119" s="2" t="s">
        <v>641</v>
      </c>
      <c r="D1119" s="6" t="s">
        <v>649</v>
      </c>
      <c r="E1119" s="32" t="s">
        <v>651</v>
      </c>
      <c r="F1119" s="7"/>
      <c r="G1119" s="7"/>
      <c r="H1119" s="7"/>
      <c r="I1119" s="7"/>
      <c r="J1119" s="7">
        <v>3</v>
      </c>
      <c r="K1119" s="7" t="s">
        <v>660</v>
      </c>
      <c r="L1119" s="7" t="s">
        <v>663</v>
      </c>
      <c r="M1119" s="8">
        <v>44330</v>
      </c>
      <c r="N1119" s="8">
        <v>44341</v>
      </c>
      <c r="O1119" s="13"/>
      <c r="P1119" s="13">
        <v>131990.78</v>
      </c>
      <c r="Q1119" s="33"/>
      <c r="R1119" s="22"/>
      <c r="S1119" s="22"/>
      <c r="T1119" s="22"/>
      <c r="U1119" s="22"/>
      <c r="X1119" s="15" t="str">
        <f>IF(B1119="",VLOOKUP(A1119,items_lookup!A:B,2,FALSE),B1119)</f>
        <v>09. Item 09</v>
      </c>
      <c r="Y1119" s="15">
        <f t="shared" si="102"/>
        <v>5</v>
      </c>
      <c r="Z1119" s="15">
        <f t="shared" si="102"/>
        <v>5</v>
      </c>
      <c r="AA1119" s="15">
        <f t="shared" si="98"/>
        <v>2021</v>
      </c>
      <c r="AB1119" s="15">
        <f t="shared" si="99"/>
        <v>2021</v>
      </c>
      <c r="AC1119" s="15">
        <f t="shared" si="100"/>
        <v>2021</v>
      </c>
      <c r="AD1119" s="18" t="b">
        <f t="shared" si="101"/>
        <v>1</v>
      </c>
    </row>
    <row r="1120" spans="1:30" ht="15" hidden="1" customHeight="1" x14ac:dyDescent="0.2">
      <c r="A1120" s="7" t="s">
        <v>675</v>
      </c>
      <c r="B1120" s="7"/>
      <c r="C1120" s="2" t="s">
        <v>641</v>
      </c>
      <c r="D1120" s="6" t="s">
        <v>649</v>
      </c>
      <c r="E1120" s="32" t="s">
        <v>651</v>
      </c>
      <c r="F1120" s="7"/>
      <c r="G1120" s="7"/>
      <c r="H1120" s="7"/>
      <c r="I1120" s="7"/>
      <c r="J1120" s="7">
        <v>3</v>
      </c>
      <c r="K1120" s="7" t="s">
        <v>660</v>
      </c>
      <c r="L1120" s="7" t="s">
        <v>663</v>
      </c>
      <c r="M1120" s="8">
        <v>44330</v>
      </c>
      <c r="N1120" s="8">
        <v>44340</v>
      </c>
      <c r="O1120" s="13"/>
      <c r="P1120" s="13">
        <v>19004.66</v>
      </c>
      <c r="Q1120" s="33"/>
      <c r="R1120" s="22"/>
      <c r="S1120" s="22"/>
      <c r="T1120" s="22"/>
      <c r="U1120" s="22"/>
      <c r="X1120" s="15" t="str">
        <f>IF(B1120="",VLOOKUP(A1120,items_lookup!A:B,2,FALSE),B1120)</f>
        <v>09. Item 09</v>
      </c>
      <c r="Y1120" s="15">
        <f t="shared" si="102"/>
        <v>5</v>
      </c>
      <c r="Z1120" s="15">
        <f t="shared" si="102"/>
        <v>5</v>
      </c>
      <c r="AA1120" s="15">
        <f t="shared" si="98"/>
        <v>2021</v>
      </c>
      <c r="AB1120" s="15">
        <f t="shared" si="99"/>
        <v>2021</v>
      </c>
      <c r="AC1120" s="15">
        <f t="shared" si="100"/>
        <v>2021</v>
      </c>
      <c r="AD1120" s="18" t="b">
        <f t="shared" si="101"/>
        <v>1</v>
      </c>
    </row>
    <row r="1121" spans="1:30" ht="15" hidden="1" customHeight="1" x14ac:dyDescent="0.2">
      <c r="A1121" s="7" t="s">
        <v>675</v>
      </c>
      <c r="B1121" s="7"/>
      <c r="C1121" s="2" t="s">
        <v>641</v>
      </c>
      <c r="D1121" s="6" t="s">
        <v>649</v>
      </c>
      <c r="E1121" s="32" t="s">
        <v>651</v>
      </c>
      <c r="F1121" s="7"/>
      <c r="G1121" s="7"/>
      <c r="H1121" s="7"/>
      <c r="I1121" s="7" t="s">
        <v>20</v>
      </c>
      <c r="J1121" s="7">
        <v>3</v>
      </c>
      <c r="K1121" s="7" t="s">
        <v>660</v>
      </c>
      <c r="L1121" s="7" t="s">
        <v>663</v>
      </c>
      <c r="M1121" s="8">
        <v>44330</v>
      </c>
      <c r="N1121" s="8">
        <v>44344</v>
      </c>
      <c r="O1121" s="13"/>
      <c r="P1121" s="13">
        <v>153364.75</v>
      </c>
      <c r="Q1121" s="33"/>
      <c r="R1121" s="22"/>
      <c r="S1121" s="22"/>
      <c r="T1121" s="22"/>
      <c r="U1121" s="22"/>
      <c r="X1121" s="15" t="str">
        <f>IF(B1121="",VLOOKUP(A1121,items_lookup!A:B,2,FALSE),B1121)</f>
        <v>09. Item 09</v>
      </c>
      <c r="Y1121" s="15">
        <f t="shared" si="102"/>
        <v>5</v>
      </c>
      <c r="Z1121" s="15">
        <f t="shared" si="102"/>
        <v>5</v>
      </c>
      <c r="AA1121" s="15">
        <f t="shared" si="98"/>
        <v>2021</v>
      </c>
      <c r="AB1121" s="15">
        <f t="shared" si="99"/>
        <v>2021</v>
      </c>
      <c r="AC1121" s="15">
        <f t="shared" si="100"/>
        <v>2021</v>
      </c>
      <c r="AD1121" s="18" t="b">
        <f t="shared" si="101"/>
        <v>1</v>
      </c>
    </row>
    <row r="1122" spans="1:30" ht="15" hidden="1" customHeight="1" x14ac:dyDescent="0.2">
      <c r="A1122" s="7" t="s">
        <v>676</v>
      </c>
      <c r="B1122" s="7"/>
      <c r="C1122" s="2" t="s">
        <v>641</v>
      </c>
      <c r="D1122" s="6" t="s">
        <v>649</v>
      </c>
      <c r="E1122" s="32" t="s">
        <v>651</v>
      </c>
      <c r="F1122" s="7"/>
      <c r="G1122" s="7"/>
      <c r="H1122" s="7"/>
      <c r="I1122" s="7" t="s">
        <v>20</v>
      </c>
      <c r="J1122" s="7">
        <v>3</v>
      </c>
      <c r="K1122" s="7" t="s">
        <v>660</v>
      </c>
      <c r="L1122" s="7" t="s">
        <v>663</v>
      </c>
      <c r="M1122" s="8">
        <v>44330</v>
      </c>
      <c r="N1122" s="8">
        <v>44337</v>
      </c>
      <c r="O1122" s="13"/>
      <c r="P1122" s="13">
        <v>2142857.14</v>
      </c>
      <c r="Q1122" s="33"/>
      <c r="R1122" s="22"/>
      <c r="S1122" s="22"/>
      <c r="T1122" s="22"/>
      <c r="U1122" s="22"/>
      <c r="X1122" s="15" t="str">
        <f>IF(B1122="",VLOOKUP(A1122,items_lookup!A:B,2,FALSE),B1122)</f>
        <v>09. Item 09</v>
      </c>
      <c r="Y1122" s="15">
        <f t="shared" si="102"/>
        <v>5</v>
      </c>
      <c r="Z1122" s="15">
        <f t="shared" si="102"/>
        <v>5</v>
      </c>
      <c r="AA1122" s="15">
        <f t="shared" si="98"/>
        <v>2021</v>
      </c>
      <c r="AB1122" s="15">
        <f t="shared" si="99"/>
        <v>2021</v>
      </c>
      <c r="AC1122" s="15">
        <f t="shared" si="100"/>
        <v>2021</v>
      </c>
      <c r="AD1122" s="18" t="b">
        <f t="shared" si="101"/>
        <v>1</v>
      </c>
    </row>
    <row r="1123" spans="1:30" ht="15" hidden="1" customHeight="1" x14ac:dyDescent="0.2">
      <c r="A1123" s="7" t="s">
        <v>696</v>
      </c>
      <c r="B1123" s="7"/>
      <c r="C1123" s="2" t="s">
        <v>641</v>
      </c>
      <c r="D1123" s="6" t="s">
        <v>649</v>
      </c>
      <c r="E1123" s="32" t="s">
        <v>651</v>
      </c>
      <c r="F1123" s="7"/>
      <c r="G1123" s="7"/>
      <c r="H1123" s="7"/>
      <c r="I1123" s="7" t="s">
        <v>20</v>
      </c>
      <c r="J1123" s="7">
        <v>3</v>
      </c>
      <c r="K1123" s="7" t="s">
        <v>660</v>
      </c>
      <c r="L1123" s="7" t="s">
        <v>663</v>
      </c>
      <c r="M1123" s="8">
        <v>44330</v>
      </c>
      <c r="N1123" s="8">
        <v>44341</v>
      </c>
      <c r="O1123" s="13"/>
      <c r="P1123" s="13">
        <v>2559523.81</v>
      </c>
      <c r="Q1123" s="33"/>
      <c r="R1123" s="22"/>
      <c r="S1123" s="22"/>
      <c r="T1123" s="22"/>
      <c r="U1123" s="22"/>
      <c r="X1123" s="15" t="str">
        <f>IF(B1123="",VLOOKUP(A1123,items_lookup!A:B,2,FALSE),B1123)</f>
        <v>13. Item 13</v>
      </c>
      <c r="Y1123" s="15">
        <f t="shared" si="102"/>
        <v>5</v>
      </c>
      <c r="Z1123" s="15">
        <f t="shared" si="102"/>
        <v>5</v>
      </c>
      <c r="AA1123" s="15">
        <f t="shared" si="98"/>
        <v>2021</v>
      </c>
      <c r="AB1123" s="15">
        <f t="shared" si="99"/>
        <v>2021</v>
      </c>
      <c r="AC1123" s="15">
        <f t="shared" si="100"/>
        <v>2021</v>
      </c>
      <c r="AD1123" s="18" t="b">
        <f t="shared" si="101"/>
        <v>1</v>
      </c>
    </row>
    <row r="1124" spans="1:30" ht="15" hidden="1" customHeight="1" x14ac:dyDescent="0.2">
      <c r="A1124" s="7" t="s">
        <v>678</v>
      </c>
      <c r="B1124" s="7"/>
      <c r="C1124" s="2" t="s">
        <v>641</v>
      </c>
      <c r="D1124" s="6" t="s">
        <v>649</v>
      </c>
      <c r="E1124" s="32" t="s">
        <v>651</v>
      </c>
      <c r="F1124" s="7"/>
      <c r="G1124" s="7"/>
      <c r="H1124" s="7"/>
      <c r="I1124" s="7"/>
      <c r="J1124" s="7">
        <v>3</v>
      </c>
      <c r="K1124" s="7" t="s">
        <v>660</v>
      </c>
      <c r="L1124" s="7" t="s">
        <v>663</v>
      </c>
      <c r="M1124" s="8">
        <v>44330</v>
      </c>
      <c r="N1124" s="8">
        <v>44343</v>
      </c>
      <c r="O1124" s="13"/>
      <c r="P1124" s="13">
        <v>720501.55</v>
      </c>
      <c r="Q1124" s="33"/>
      <c r="R1124" s="22"/>
      <c r="S1124" s="22"/>
      <c r="T1124" s="22"/>
      <c r="U1124" s="22"/>
      <c r="X1124" s="15" t="str">
        <f>IF(B1124="",VLOOKUP(A1124,items_lookup!A:B,2,FALSE),B1124)</f>
        <v>13. Item 13</v>
      </c>
      <c r="Y1124" s="15">
        <f t="shared" si="102"/>
        <v>5</v>
      </c>
      <c r="Z1124" s="15">
        <f t="shared" si="102"/>
        <v>5</v>
      </c>
      <c r="AA1124" s="15">
        <f t="shared" si="98"/>
        <v>2021</v>
      </c>
      <c r="AB1124" s="15">
        <f t="shared" si="99"/>
        <v>2021</v>
      </c>
      <c r="AC1124" s="15">
        <f t="shared" si="100"/>
        <v>2021</v>
      </c>
      <c r="AD1124" s="18" t="b">
        <f t="shared" si="101"/>
        <v>1</v>
      </c>
    </row>
    <row r="1125" spans="1:30" ht="15" hidden="1" customHeight="1" x14ac:dyDescent="0.2">
      <c r="A1125" s="7" t="s">
        <v>682</v>
      </c>
      <c r="B1125" s="7"/>
      <c r="C1125" s="2" t="s">
        <v>641</v>
      </c>
      <c r="D1125" s="6" t="s">
        <v>649</v>
      </c>
      <c r="E1125" s="32" t="s">
        <v>651</v>
      </c>
      <c r="F1125" s="7"/>
      <c r="G1125" s="7"/>
      <c r="H1125" s="7"/>
      <c r="I1125" s="7"/>
      <c r="J1125" s="7">
        <v>3</v>
      </c>
      <c r="K1125" s="7" t="s">
        <v>660</v>
      </c>
      <c r="L1125" s="7" t="s">
        <v>663</v>
      </c>
      <c r="M1125" s="8">
        <v>44330</v>
      </c>
      <c r="N1125" s="8">
        <v>44347</v>
      </c>
      <c r="O1125" s="13"/>
      <c r="P1125" s="13">
        <v>8908976.9700000007</v>
      </c>
      <c r="Q1125" s="33"/>
      <c r="R1125" s="22"/>
      <c r="S1125" s="22"/>
      <c r="T1125" s="22"/>
      <c r="U1125" s="22"/>
      <c r="X1125" s="15" t="str">
        <f>IF(B1125="",VLOOKUP(A1125,items_lookup!A:B,2,FALSE),B1125)</f>
        <v>06. Item 06</v>
      </c>
      <c r="Y1125" s="15">
        <f t="shared" si="102"/>
        <v>5</v>
      </c>
      <c r="Z1125" s="15">
        <f t="shared" si="102"/>
        <v>5</v>
      </c>
      <c r="AA1125" s="15">
        <f t="shared" si="98"/>
        <v>2021</v>
      </c>
      <c r="AB1125" s="15">
        <f t="shared" si="99"/>
        <v>2021</v>
      </c>
      <c r="AC1125" s="15">
        <f t="shared" si="100"/>
        <v>2021</v>
      </c>
      <c r="AD1125" s="18" t="b">
        <f t="shared" si="101"/>
        <v>1</v>
      </c>
    </row>
    <row r="1126" spans="1:30" ht="15" hidden="1" customHeight="1" x14ac:dyDescent="0.2">
      <c r="A1126" s="7" t="s">
        <v>682</v>
      </c>
      <c r="B1126" s="7"/>
      <c r="C1126" s="2" t="s">
        <v>641</v>
      </c>
      <c r="D1126" s="6" t="s">
        <v>649</v>
      </c>
      <c r="E1126" s="32" t="s">
        <v>651</v>
      </c>
      <c r="F1126" s="7"/>
      <c r="G1126" s="7"/>
      <c r="H1126" s="7"/>
      <c r="I1126" s="7"/>
      <c r="J1126" s="7">
        <v>3</v>
      </c>
      <c r="K1126" s="7" t="s">
        <v>660</v>
      </c>
      <c r="L1126" s="7" t="s">
        <v>663</v>
      </c>
      <c r="M1126" s="8">
        <v>44330</v>
      </c>
      <c r="N1126" s="8">
        <v>44347</v>
      </c>
      <c r="O1126" s="13"/>
      <c r="P1126" s="13">
        <v>5556357.7300000004</v>
      </c>
      <c r="Q1126" s="33"/>
      <c r="R1126" s="22"/>
      <c r="S1126" s="22"/>
      <c r="T1126" s="22"/>
      <c r="U1126" s="22"/>
      <c r="X1126" s="15" t="str">
        <f>IF(B1126="",VLOOKUP(A1126,items_lookup!A:B,2,FALSE),B1126)</f>
        <v>06. Item 06</v>
      </c>
      <c r="Y1126" s="15">
        <f t="shared" si="102"/>
        <v>5</v>
      </c>
      <c r="Z1126" s="15">
        <f t="shared" si="102"/>
        <v>5</v>
      </c>
      <c r="AA1126" s="15">
        <f t="shared" si="98"/>
        <v>2021</v>
      </c>
      <c r="AB1126" s="15">
        <f t="shared" si="99"/>
        <v>2021</v>
      </c>
      <c r="AC1126" s="15">
        <f t="shared" si="100"/>
        <v>2021</v>
      </c>
      <c r="AD1126" s="18" t="b">
        <f t="shared" si="101"/>
        <v>1</v>
      </c>
    </row>
    <row r="1127" spans="1:30" ht="12.6" hidden="1" customHeight="1" x14ac:dyDescent="0.2">
      <c r="A1127" s="7" t="s">
        <v>683</v>
      </c>
      <c r="B1127" s="7"/>
      <c r="C1127" s="2" t="s">
        <v>641</v>
      </c>
      <c r="D1127" s="6" t="s">
        <v>649</v>
      </c>
      <c r="E1127" s="32" t="s">
        <v>651</v>
      </c>
      <c r="F1127" s="7"/>
      <c r="G1127" s="7"/>
      <c r="H1127" s="7"/>
      <c r="I1127" s="7" t="s">
        <v>20</v>
      </c>
      <c r="J1127" s="7">
        <v>1</v>
      </c>
      <c r="K1127" s="7" t="s">
        <v>660</v>
      </c>
      <c r="L1127" s="7" t="s">
        <v>663</v>
      </c>
      <c r="M1127" s="8">
        <v>44327</v>
      </c>
      <c r="N1127" s="8">
        <v>44337</v>
      </c>
      <c r="O1127" s="13"/>
      <c r="P1127" s="13">
        <v>6345.23</v>
      </c>
      <c r="Q1127" s="33"/>
      <c r="R1127" s="22"/>
      <c r="S1127" s="22"/>
      <c r="T1127" s="22"/>
      <c r="U1127" s="22"/>
      <c r="X1127" s="15" t="str">
        <f>IF(B1127="",VLOOKUP(A1127,items_lookup!A:B,2,FALSE),B1127)</f>
        <v>_1. Item _1</v>
      </c>
      <c r="Y1127" s="15">
        <f t="shared" si="102"/>
        <v>5</v>
      </c>
      <c r="Z1127" s="15">
        <f t="shared" si="102"/>
        <v>5</v>
      </c>
      <c r="AA1127" s="15">
        <f t="shared" si="98"/>
        <v>2021</v>
      </c>
      <c r="AB1127" s="15">
        <f t="shared" si="99"/>
        <v>2021</v>
      </c>
      <c r="AC1127" s="15">
        <f t="shared" si="100"/>
        <v>2021</v>
      </c>
      <c r="AD1127" s="18" t="b">
        <f t="shared" si="101"/>
        <v>1</v>
      </c>
    </row>
    <row r="1128" spans="1:30" ht="15" hidden="1" customHeight="1" x14ac:dyDescent="0.2">
      <c r="A1128" s="7" t="s">
        <v>683</v>
      </c>
      <c r="B1128" s="20"/>
      <c r="C1128" s="2" t="s">
        <v>641</v>
      </c>
      <c r="D1128" s="6" t="s">
        <v>649</v>
      </c>
      <c r="E1128" s="32" t="s">
        <v>651</v>
      </c>
      <c r="F1128" s="7"/>
      <c r="G1128" s="7"/>
      <c r="H1128" s="7"/>
      <c r="I1128" s="7" t="s">
        <v>20</v>
      </c>
      <c r="J1128" s="7">
        <v>3</v>
      </c>
      <c r="K1128" s="7" t="s">
        <v>660</v>
      </c>
      <c r="L1128" s="7" t="s">
        <v>663</v>
      </c>
      <c r="M1128" s="8">
        <v>44330</v>
      </c>
      <c r="N1128" s="8">
        <v>44340</v>
      </c>
      <c r="O1128" s="13"/>
      <c r="P1128" s="13">
        <v>166386.78</v>
      </c>
      <c r="Q1128" s="33"/>
      <c r="R1128" s="9"/>
      <c r="S1128" s="9"/>
      <c r="T1128" s="9"/>
      <c r="U1128" s="9"/>
      <c r="X1128" s="15" t="str">
        <f>IF(B1128="",VLOOKUP(A1128,items_lookup!A:B,2,FALSE),B1128)</f>
        <v>_1. Item _1</v>
      </c>
      <c r="Y1128" s="15">
        <f t="shared" si="102"/>
        <v>5</v>
      </c>
      <c r="Z1128" s="15">
        <f t="shared" si="102"/>
        <v>5</v>
      </c>
      <c r="AA1128" s="15">
        <f t="shared" si="98"/>
        <v>2021</v>
      </c>
      <c r="AB1128" s="15">
        <f t="shared" si="99"/>
        <v>2021</v>
      </c>
      <c r="AC1128" s="15">
        <f t="shared" si="100"/>
        <v>2021</v>
      </c>
      <c r="AD1128" s="18" t="b">
        <f t="shared" si="101"/>
        <v>1</v>
      </c>
    </row>
    <row r="1129" spans="1:30" ht="15" hidden="1" customHeight="1" x14ac:dyDescent="0.2">
      <c r="A1129" s="7" t="s">
        <v>687</v>
      </c>
      <c r="B1129" s="20"/>
      <c r="C1129" s="2" t="s">
        <v>641</v>
      </c>
      <c r="D1129" s="6" t="s">
        <v>649</v>
      </c>
      <c r="E1129" s="32" t="s">
        <v>651</v>
      </c>
      <c r="F1129" s="7"/>
      <c r="G1129" s="7"/>
      <c r="H1129" s="7"/>
      <c r="I1129" s="7"/>
      <c r="J1129" s="7">
        <v>3</v>
      </c>
      <c r="K1129" s="7" t="s">
        <v>660</v>
      </c>
      <c r="L1129" s="7" t="s">
        <v>663</v>
      </c>
      <c r="M1129" s="8">
        <v>44330</v>
      </c>
      <c r="N1129" s="8">
        <v>44337</v>
      </c>
      <c r="O1129" s="13"/>
      <c r="P1129" s="13">
        <v>297149.58</v>
      </c>
      <c r="Q1129" s="33"/>
      <c r="R1129" s="9"/>
      <c r="S1129" s="9"/>
      <c r="T1129" s="9"/>
      <c r="U1129" s="9"/>
      <c r="X1129" s="15" t="str">
        <f>IF(B1129="",VLOOKUP(A1129,items_lookup!A:B,2,FALSE),B1129)</f>
        <v>14. Item 14</v>
      </c>
      <c r="Y1129" s="15">
        <f t="shared" si="102"/>
        <v>5</v>
      </c>
      <c r="Z1129" s="15">
        <f t="shared" si="102"/>
        <v>5</v>
      </c>
      <c r="AA1129" s="15">
        <f t="shared" si="98"/>
        <v>2021</v>
      </c>
      <c r="AB1129" s="15">
        <f t="shared" si="99"/>
        <v>2021</v>
      </c>
      <c r="AC1129" s="15">
        <f t="shared" si="100"/>
        <v>2021</v>
      </c>
      <c r="AD1129" s="18" t="b">
        <f t="shared" si="101"/>
        <v>1</v>
      </c>
    </row>
    <row r="1130" spans="1:30" ht="15" hidden="1" customHeight="1" x14ac:dyDescent="0.2">
      <c r="A1130" s="7" t="s">
        <v>683</v>
      </c>
      <c r="B1130" s="20"/>
      <c r="C1130" s="2" t="s">
        <v>641</v>
      </c>
      <c r="D1130" s="6" t="s">
        <v>649</v>
      </c>
      <c r="E1130" s="32" t="s">
        <v>651</v>
      </c>
      <c r="F1130" s="7"/>
      <c r="G1130" s="7"/>
      <c r="H1130" s="7"/>
      <c r="I1130" s="7" t="s">
        <v>20</v>
      </c>
      <c r="J1130" s="7">
        <v>3</v>
      </c>
      <c r="K1130" s="7" t="s">
        <v>660</v>
      </c>
      <c r="L1130" s="7" t="s">
        <v>663</v>
      </c>
      <c r="M1130" s="8">
        <v>44330</v>
      </c>
      <c r="N1130" s="8">
        <v>44342</v>
      </c>
      <c r="O1130" s="13"/>
      <c r="P1130" s="13">
        <v>11887.24</v>
      </c>
      <c r="Q1130" s="33"/>
      <c r="R1130" s="9"/>
      <c r="S1130" s="9"/>
      <c r="T1130" s="9"/>
      <c r="U1130" s="9"/>
      <c r="X1130" s="15" t="str">
        <f>IF(B1130="",VLOOKUP(A1130,items_lookup!A:B,2,FALSE),B1130)</f>
        <v>_1. Item _1</v>
      </c>
      <c r="Y1130" s="15">
        <f t="shared" si="102"/>
        <v>5</v>
      </c>
      <c r="Z1130" s="15">
        <f t="shared" si="102"/>
        <v>5</v>
      </c>
      <c r="AA1130" s="15">
        <f t="shared" si="98"/>
        <v>2021</v>
      </c>
      <c r="AB1130" s="15">
        <f t="shared" si="99"/>
        <v>2021</v>
      </c>
      <c r="AC1130" s="15">
        <f t="shared" si="100"/>
        <v>2021</v>
      </c>
      <c r="AD1130" s="18" t="b">
        <f t="shared" si="101"/>
        <v>1</v>
      </c>
    </row>
    <row r="1131" spans="1:30" ht="15" hidden="1" customHeight="1" x14ac:dyDescent="0.2">
      <c r="A1131" s="7" t="s">
        <v>691</v>
      </c>
      <c r="B1131" s="20"/>
      <c r="C1131" s="2" t="s">
        <v>641</v>
      </c>
      <c r="D1131" s="6" t="s">
        <v>649</v>
      </c>
      <c r="E1131" s="32" t="s">
        <v>651</v>
      </c>
      <c r="F1131" s="7"/>
      <c r="G1131" s="7"/>
      <c r="H1131" s="7"/>
      <c r="I1131" s="7"/>
      <c r="J1131" s="7">
        <v>3</v>
      </c>
      <c r="K1131" s="7" t="s">
        <v>660</v>
      </c>
      <c r="L1131" s="7" t="s">
        <v>663</v>
      </c>
      <c r="M1131" s="8">
        <v>44330</v>
      </c>
      <c r="N1131" s="8">
        <v>44342</v>
      </c>
      <c r="O1131" s="13"/>
      <c r="P1131" s="13">
        <v>40255.879999999997</v>
      </c>
      <c r="Q1131" s="33"/>
      <c r="R1131" s="9"/>
      <c r="S1131" s="9"/>
      <c r="T1131" s="9"/>
      <c r="U1131" s="9"/>
      <c r="X1131" s="15" t="str">
        <f>IF(B1131="",VLOOKUP(A1131,items_lookup!A:B,2,FALSE),B1131)</f>
        <v>03. Item 03</v>
      </c>
      <c r="Y1131" s="15">
        <f t="shared" si="102"/>
        <v>5</v>
      </c>
      <c r="Z1131" s="15">
        <f t="shared" si="102"/>
        <v>5</v>
      </c>
      <c r="AA1131" s="15">
        <f t="shared" si="98"/>
        <v>2021</v>
      </c>
      <c r="AB1131" s="15">
        <f t="shared" si="99"/>
        <v>2021</v>
      </c>
      <c r="AC1131" s="15">
        <f t="shared" si="100"/>
        <v>2021</v>
      </c>
      <c r="AD1131" s="18" t="b">
        <f t="shared" si="101"/>
        <v>1</v>
      </c>
    </row>
    <row r="1132" spans="1:30" ht="15" hidden="1" customHeight="1" x14ac:dyDescent="0.2">
      <c r="A1132" s="7" t="s">
        <v>695</v>
      </c>
      <c r="B1132" s="7"/>
      <c r="C1132" s="2" t="s">
        <v>641</v>
      </c>
      <c r="D1132" s="6" t="s">
        <v>649</v>
      </c>
      <c r="E1132" s="32" t="s">
        <v>651</v>
      </c>
      <c r="F1132" s="7"/>
      <c r="G1132" s="7"/>
      <c r="H1132" s="7"/>
      <c r="I1132" s="7" t="s">
        <v>20</v>
      </c>
      <c r="J1132" s="7">
        <v>3</v>
      </c>
      <c r="K1132" s="7" t="s">
        <v>660</v>
      </c>
      <c r="L1132" s="7" t="s">
        <v>663</v>
      </c>
      <c r="M1132" s="8">
        <v>44331</v>
      </c>
      <c r="N1132" s="8">
        <v>44341</v>
      </c>
      <c r="O1132" s="13"/>
      <c r="P1132" s="13">
        <v>8582.16</v>
      </c>
      <c r="Q1132" s="33"/>
      <c r="R1132" s="22"/>
      <c r="S1132" s="22"/>
      <c r="T1132" s="22"/>
      <c r="U1132" s="22"/>
      <c r="X1132" s="15" t="str">
        <f>IF(B1132="",VLOOKUP(A1132,items_lookup!A:B,2,FALSE),B1132)</f>
        <v>03. Item 03</v>
      </c>
      <c r="Y1132" s="15">
        <f t="shared" si="102"/>
        <v>5</v>
      </c>
      <c r="Z1132" s="15">
        <f t="shared" si="102"/>
        <v>5</v>
      </c>
      <c r="AA1132" s="15">
        <f t="shared" si="98"/>
        <v>2021</v>
      </c>
      <c r="AB1132" s="15">
        <f t="shared" si="99"/>
        <v>2021</v>
      </c>
      <c r="AC1132" s="15">
        <f t="shared" si="100"/>
        <v>2021</v>
      </c>
      <c r="AD1132" s="18" t="b">
        <f t="shared" si="101"/>
        <v>1</v>
      </c>
    </row>
    <row r="1133" spans="1:30" ht="15" hidden="1" customHeight="1" x14ac:dyDescent="0.2">
      <c r="A1133" s="7" t="s">
        <v>683</v>
      </c>
      <c r="B1133" s="7"/>
      <c r="C1133" s="2" t="s">
        <v>641</v>
      </c>
      <c r="D1133" s="6" t="s">
        <v>649</v>
      </c>
      <c r="E1133" s="32" t="s">
        <v>651</v>
      </c>
      <c r="F1133" s="7"/>
      <c r="G1133" s="7"/>
      <c r="H1133" s="7"/>
      <c r="I1133" s="7"/>
      <c r="J1133" s="7">
        <v>3</v>
      </c>
      <c r="K1133" s="7" t="s">
        <v>660</v>
      </c>
      <c r="L1133" s="7" t="s">
        <v>663</v>
      </c>
      <c r="M1133" s="8">
        <v>44331</v>
      </c>
      <c r="N1133" s="8">
        <v>44341</v>
      </c>
      <c r="O1133" s="13"/>
      <c r="P1133" s="13">
        <v>32700.75</v>
      </c>
      <c r="Q1133" s="33"/>
      <c r="R1133" s="22"/>
      <c r="S1133" s="22"/>
      <c r="T1133" s="22"/>
      <c r="U1133" s="22"/>
      <c r="X1133" s="15" t="str">
        <f>IF(B1133="",VLOOKUP(A1133,items_lookup!A:B,2,FALSE),B1133)</f>
        <v>_1. Item _1</v>
      </c>
      <c r="Y1133" s="15">
        <f t="shared" si="102"/>
        <v>5</v>
      </c>
      <c r="Z1133" s="15">
        <f t="shared" si="102"/>
        <v>5</v>
      </c>
      <c r="AA1133" s="15">
        <f t="shared" si="98"/>
        <v>2021</v>
      </c>
      <c r="AB1133" s="15">
        <f t="shared" si="99"/>
        <v>2021</v>
      </c>
      <c r="AC1133" s="15">
        <f t="shared" si="100"/>
        <v>2021</v>
      </c>
      <c r="AD1133" s="18" t="b">
        <f t="shared" si="101"/>
        <v>1</v>
      </c>
    </row>
    <row r="1134" spans="1:30" ht="15" hidden="1" customHeight="1" x14ac:dyDescent="0.2">
      <c r="A1134" s="7" t="s">
        <v>680</v>
      </c>
      <c r="B1134" s="7"/>
      <c r="C1134" s="2" t="s">
        <v>641</v>
      </c>
      <c r="D1134" s="6" t="s">
        <v>649</v>
      </c>
      <c r="E1134" s="32" t="s">
        <v>651</v>
      </c>
      <c r="F1134" s="7"/>
      <c r="G1134" s="7"/>
      <c r="H1134" s="7"/>
      <c r="I1134" s="7"/>
      <c r="J1134" s="7">
        <v>3</v>
      </c>
      <c r="K1134" s="7" t="s">
        <v>660</v>
      </c>
      <c r="L1134" s="7" t="s">
        <v>663</v>
      </c>
      <c r="M1134" s="8">
        <v>44330</v>
      </c>
      <c r="N1134" s="8">
        <v>44337</v>
      </c>
      <c r="O1134" s="13"/>
      <c r="P1134" s="13">
        <v>132582.15</v>
      </c>
      <c r="Q1134" s="33"/>
      <c r="R1134" s="22"/>
      <c r="S1134" s="22"/>
      <c r="T1134" s="22"/>
      <c r="U1134" s="22"/>
      <c r="X1134" s="15" t="str">
        <f>IF(B1134="",VLOOKUP(A1134,items_lookup!A:B,2,FALSE),B1134)</f>
        <v>13. Item 13</v>
      </c>
      <c r="Y1134" s="15">
        <f t="shared" si="102"/>
        <v>5</v>
      </c>
      <c r="Z1134" s="15">
        <f t="shared" si="102"/>
        <v>5</v>
      </c>
      <c r="AA1134" s="15">
        <f t="shared" si="98"/>
        <v>2021</v>
      </c>
      <c r="AB1134" s="15">
        <f t="shared" si="99"/>
        <v>2021</v>
      </c>
      <c r="AC1134" s="15">
        <f t="shared" si="100"/>
        <v>2021</v>
      </c>
      <c r="AD1134" s="18" t="b">
        <f t="shared" si="101"/>
        <v>1</v>
      </c>
    </row>
    <row r="1135" spans="1:30" ht="15" hidden="1" customHeight="1" x14ac:dyDescent="0.2">
      <c r="A1135" s="7" t="s">
        <v>683</v>
      </c>
      <c r="B1135" s="20"/>
      <c r="C1135" s="2" t="s">
        <v>641</v>
      </c>
      <c r="D1135" s="6" t="s">
        <v>649</v>
      </c>
      <c r="E1135" s="32" t="s">
        <v>651</v>
      </c>
      <c r="F1135" s="7"/>
      <c r="G1135" s="7"/>
      <c r="H1135" s="7"/>
      <c r="I1135" s="7"/>
      <c r="J1135" s="7">
        <v>3</v>
      </c>
      <c r="K1135" s="7" t="s">
        <v>660</v>
      </c>
      <c r="L1135" s="7" t="s">
        <v>663</v>
      </c>
      <c r="M1135" s="8">
        <v>44330</v>
      </c>
      <c r="N1135" s="8">
        <v>44342</v>
      </c>
      <c r="O1135" s="13"/>
      <c r="P1135" s="13">
        <v>969529.93</v>
      </c>
      <c r="Q1135" s="33"/>
      <c r="R1135" s="22"/>
      <c r="S1135" s="22"/>
      <c r="T1135" s="22"/>
      <c r="U1135" s="22"/>
      <c r="X1135" s="15" t="str">
        <f>IF(B1135="",VLOOKUP(A1135,items_lookup!A:B,2,FALSE),B1135)</f>
        <v>_1. Item _1</v>
      </c>
      <c r="Y1135" s="15">
        <f t="shared" si="102"/>
        <v>5</v>
      </c>
      <c r="Z1135" s="15">
        <f t="shared" si="102"/>
        <v>5</v>
      </c>
      <c r="AA1135" s="15">
        <f t="shared" si="98"/>
        <v>2021</v>
      </c>
      <c r="AB1135" s="15">
        <f t="shared" si="99"/>
        <v>2021</v>
      </c>
      <c r="AC1135" s="15">
        <f t="shared" si="100"/>
        <v>2021</v>
      </c>
      <c r="AD1135" s="18" t="b">
        <f t="shared" si="101"/>
        <v>1</v>
      </c>
    </row>
    <row r="1136" spans="1:30" ht="15.75" hidden="1" customHeight="1" x14ac:dyDescent="0.2">
      <c r="A1136" s="7" t="s">
        <v>680</v>
      </c>
      <c r="B1136" s="20"/>
      <c r="C1136" s="2" t="s">
        <v>641</v>
      </c>
      <c r="D1136" s="6" t="s">
        <v>649</v>
      </c>
      <c r="E1136" s="32" t="s">
        <v>651</v>
      </c>
      <c r="F1136" s="7"/>
      <c r="G1136" s="7"/>
      <c r="H1136" s="7"/>
      <c r="I1136" s="7"/>
      <c r="J1136" s="7">
        <v>3</v>
      </c>
      <c r="K1136" s="7" t="s">
        <v>660</v>
      </c>
      <c r="L1136" s="7" t="s">
        <v>663</v>
      </c>
      <c r="M1136" s="8">
        <v>44330</v>
      </c>
      <c r="N1136" s="8">
        <v>44336</v>
      </c>
      <c r="O1136" s="13"/>
      <c r="P1136" s="13">
        <v>82919.34</v>
      </c>
      <c r="Q1136" s="33"/>
      <c r="R1136" s="22"/>
      <c r="S1136" s="22"/>
      <c r="T1136" s="22"/>
      <c r="U1136" s="22"/>
      <c r="X1136" s="15" t="str">
        <f>IF(B1136="",VLOOKUP(A1136,items_lookup!A:B,2,FALSE),B1136)</f>
        <v>13. Item 13</v>
      </c>
      <c r="Y1136" s="15">
        <f t="shared" si="102"/>
        <v>5</v>
      </c>
      <c r="Z1136" s="15">
        <f t="shared" si="102"/>
        <v>5</v>
      </c>
      <c r="AA1136" s="15">
        <f t="shared" si="98"/>
        <v>2021</v>
      </c>
      <c r="AB1136" s="15">
        <f t="shared" si="99"/>
        <v>2021</v>
      </c>
      <c r="AC1136" s="15">
        <f t="shared" si="100"/>
        <v>2021</v>
      </c>
      <c r="AD1136" s="18" t="b">
        <f t="shared" si="101"/>
        <v>1</v>
      </c>
    </row>
    <row r="1137" spans="1:30" ht="15.75" hidden="1" customHeight="1" x14ac:dyDescent="0.2">
      <c r="A1137" s="7" t="s">
        <v>683</v>
      </c>
      <c r="B1137" s="20"/>
      <c r="C1137" s="2" t="s">
        <v>641</v>
      </c>
      <c r="D1137" s="6" t="s">
        <v>649</v>
      </c>
      <c r="E1137" s="32" t="s">
        <v>651</v>
      </c>
      <c r="F1137" s="7"/>
      <c r="G1137" s="7"/>
      <c r="H1137" s="7"/>
      <c r="I1137" s="7"/>
      <c r="J1137" s="7">
        <v>3</v>
      </c>
      <c r="K1137" s="7" t="s">
        <v>660</v>
      </c>
      <c r="L1137" s="7" t="s">
        <v>663</v>
      </c>
      <c r="M1137" s="8">
        <v>44330</v>
      </c>
      <c r="N1137" s="8">
        <v>44340</v>
      </c>
      <c r="O1137" s="13"/>
      <c r="P1137" s="13">
        <v>90954.36</v>
      </c>
      <c r="Q1137" s="33"/>
      <c r="R1137" s="22"/>
      <c r="S1137" s="22"/>
      <c r="T1137" s="22"/>
      <c r="U1137" s="22"/>
      <c r="X1137" s="15" t="str">
        <f>IF(B1137="",VLOOKUP(A1137,items_lookup!A:B,2,FALSE),B1137)</f>
        <v>_1. Item _1</v>
      </c>
      <c r="Y1137" s="15">
        <f t="shared" si="102"/>
        <v>5</v>
      </c>
      <c r="Z1137" s="15">
        <f t="shared" si="102"/>
        <v>5</v>
      </c>
      <c r="AA1137" s="15">
        <f t="shared" si="98"/>
        <v>2021</v>
      </c>
      <c r="AB1137" s="15">
        <f t="shared" si="99"/>
        <v>2021</v>
      </c>
      <c r="AC1137" s="15">
        <f t="shared" si="100"/>
        <v>2021</v>
      </c>
      <c r="AD1137" s="18" t="b">
        <f t="shared" si="101"/>
        <v>1</v>
      </c>
    </row>
    <row r="1138" spans="1:30" ht="15.75" hidden="1" customHeight="1" x14ac:dyDescent="0.2">
      <c r="A1138" s="7" t="s">
        <v>680</v>
      </c>
      <c r="B1138" s="20"/>
      <c r="C1138" s="2" t="s">
        <v>641</v>
      </c>
      <c r="D1138" s="6" t="s">
        <v>649</v>
      </c>
      <c r="E1138" s="32" t="s">
        <v>651</v>
      </c>
      <c r="F1138" s="7"/>
      <c r="G1138" s="7"/>
      <c r="H1138" s="7"/>
      <c r="I1138" s="7"/>
      <c r="J1138" s="7">
        <v>3</v>
      </c>
      <c r="K1138" s="7" t="s">
        <v>660</v>
      </c>
      <c r="L1138" s="7" t="s">
        <v>663</v>
      </c>
      <c r="M1138" s="8">
        <v>44330</v>
      </c>
      <c r="N1138" s="8">
        <v>44342</v>
      </c>
      <c r="O1138" s="13"/>
      <c r="P1138" s="13">
        <v>37709.35</v>
      </c>
      <c r="Q1138" s="33"/>
      <c r="R1138" s="22"/>
      <c r="S1138" s="22"/>
      <c r="T1138" s="22"/>
      <c r="U1138" s="22"/>
      <c r="X1138" s="15" t="str">
        <f>IF(B1138="",VLOOKUP(A1138,items_lookup!A:B,2,FALSE),B1138)</f>
        <v>13. Item 13</v>
      </c>
      <c r="Y1138" s="15">
        <f t="shared" si="102"/>
        <v>5</v>
      </c>
      <c r="Z1138" s="15">
        <f t="shared" si="102"/>
        <v>5</v>
      </c>
      <c r="AA1138" s="15">
        <f t="shared" si="98"/>
        <v>2021</v>
      </c>
      <c r="AB1138" s="15">
        <f t="shared" si="99"/>
        <v>2021</v>
      </c>
      <c r="AC1138" s="15">
        <f t="shared" si="100"/>
        <v>2021</v>
      </c>
      <c r="AD1138" s="18" t="b">
        <f t="shared" si="101"/>
        <v>1</v>
      </c>
    </row>
    <row r="1139" spans="1:30" ht="15.75" hidden="1" customHeight="1" x14ac:dyDescent="0.2">
      <c r="A1139" s="7" t="s">
        <v>692</v>
      </c>
      <c r="B1139" s="7"/>
      <c r="C1139" s="2" t="s">
        <v>641</v>
      </c>
      <c r="D1139" s="6" t="s">
        <v>649</v>
      </c>
      <c r="E1139" s="32" t="s">
        <v>651</v>
      </c>
      <c r="F1139" s="7"/>
      <c r="G1139" s="7"/>
      <c r="H1139" s="7"/>
      <c r="I1139" s="7"/>
      <c r="J1139" s="7">
        <v>3</v>
      </c>
      <c r="K1139" s="7" t="s">
        <v>660</v>
      </c>
      <c r="L1139" s="7" t="s">
        <v>663</v>
      </c>
      <c r="M1139" s="8">
        <v>44330</v>
      </c>
      <c r="N1139" s="8">
        <v>44344</v>
      </c>
      <c r="O1139" s="13"/>
      <c r="P1139" s="13">
        <v>65515.18</v>
      </c>
      <c r="Q1139" s="33"/>
      <c r="R1139" s="22"/>
      <c r="S1139" s="22"/>
      <c r="T1139" s="22"/>
      <c r="U1139" s="22"/>
      <c r="X1139" s="15" t="str">
        <f>IF(B1139="",VLOOKUP(A1139,items_lookup!A:B,2,FALSE),B1139)</f>
        <v>03. Item 03</v>
      </c>
      <c r="Y1139" s="15">
        <f t="shared" si="102"/>
        <v>5</v>
      </c>
      <c r="Z1139" s="15">
        <f t="shared" si="102"/>
        <v>5</v>
      </c>
      <c r="AA1139" s="15">
        <f t="shared" si="98"/>
        <v>2021</v>
      </c>
      <c r="AB1139" s="15">
        <f t="shared" si="99"/>
        <v>2021</v>
      </c>
      <c r="AC1139" s="15">
        <f t="shared" si="100"/>
        <v>2021</v>
      </c>
      <c r="AD1139" s="18" t="b">
        <f t="shared" si="101"/>
        <v>1</v>
      </c>
    </row>
    <row r="1140" spans="1:30" ht="15" hidden="1" customHeight="1" x14ac:dyDescent="0.2">
      <c r="A1140" s="7" t="s">
        <v>675</v>
      </c>
      <c r="B1140" s="7"/>
      <c r="C1140" s="2" t="s">
        <v>641</v>
      </c>
      <c r="D1140" s="6" t="s">
        <v>649</v>
      </c>
      <c r="E1140" s="32" t="s">
        <v>651</v>
      </c>
      <c r="F1140" s="7"/>
      <c r="G1140" s="7"/>
      <c r="H1140" s="7"/>
      <c r="I1140" s="7"/>
      <c r="J1140" s="7">
        <v>4</v>
      </c>
      <c r="K1140" s="7" t="s">
        <v>660</v>
      </c>
      <c r="L1140" s="7" t="s">
        <v>663</v>
      </c>
      <c r="M1140" s="8">
        <v>44330</v>
      </c>
      <c r="N1140" s="8">
        <v>44344</v>
      </c>
      <c r="O1140" s="13"/>
      <c r="P1140" s="13">
        <v>945526.07</v>
      </c>
      <c r="Q1140" s="33"/>
      <c r="R1140" s="22"/>
      <c r="S1140" s="22"/>
      <c r="T1140" s="22"/>
      <c r="U1140" s="22"/>
      <c r="X1140" s="15" t="str">
        <f>IF(B1140="",VLOOKUP(A1140,items_lookup!A:B,2,FALSE),B1140)</f>
        <v>09. Item 09</v>
      </c>
      <c r="Y1140" s="15">
        <f t="shared" si="102"/>
        <v>5</v>
      </c>
      <c r="Z1140" s="15">
        <f t="shared" si="102"/>
        <v>5</v>
      </c>
      <c r="AA1140" s="15">
        <f t="shared" si="98"/>
        <v>2021</v>
      </c>
      <c r="AB1140" s="15">
        <f t="shared" si="99"/>
        <v>2021</v>
      </c>
      <c r="AC1140" s="15">
        <f t="shared" si="100"/>
        <v>2021</v>
      </c>
      <c r="AD1140" s="18" t="b">
        <f t="shared" si="101"/>
        <v>1</v>
      </c>
    </row>
    <row r="1141" spans="1:30" ht="13.5" hidden="1" customHeight="1" x14ac:dyDescent="0.2">
      <c r="A1141" s="7" t="s">
        <v>696</v>
      </c>
      <c r="B1141" s="7"/>
      <c r="C1141" s="2" t="s">
        <v>641</v>
      </c>
      <c r="D1141" s="6" t="s">
        <v>649</v>
      </c>
      <c r="E1141" s="32" t="s">
        <v>651</v>
      </c>
      <c r="F1141" s="7"/>
      <c r="G1141" s="7"/>
      <c r="H1141" s="7"/>
      <c r="I1141" s="7"/>
      <c r="J1141" s="7">
        <v>3</v>
      </c>
      <c r="K1141" s="7" t="s">
        <v>660</v>
      </c>
      <c r="L1141" s="7" t="s">
        <v>663</v>
      </c>
      <c r="M1141" s="8">
        <v>44333</v>
      </c>
      <c r="N1141" s="8">
        <v>44341</v>
      </c>
      <c r="O1141" s="13"/>
      <c r="P1141" s="13">
        <v>2976190.48</v>
      </c>
      <c r="Q1141" s="33"/>
      <c r="R1141" s="22"/>
      <c r="S1141" s="22"/>
      <c r="T1141" s="22"/>
      <c r="U1141" s="22"/>
      <c r="X1141" s="15" t="str">
        <f>IF(B1141="",VLOOKUP(A1141,items_lookup!A:B,2,FALSE),B1141)</f>
        <v>13. Item 13</v>
      </c>
      <c r="Y1141" s="15">
        <f t="shared" si="102"/>
        <v>5</v>
      </c>
      <c r="Z1141" s="15">
        <f t="shared" si="102"/>
        <v>5</v>
      </c>
      <c r="AA1141" s="15">
        <f t="shared" si="98"/>
        <v>2021</v>
      </c>
      <c r="AB1141" s="15">
        <f t="shared" si="99"/>
        <v>2021</v>
      </c>
      <c r="AC1141" s="15">
        <f t="shared" si="100"/>
        <v>2021</v>
      </c>
      <c r="AD1141" s="18" t="b">
        <f t="shared" si="101"/>
        <v>1</v>
      </c>
    </row>
    <row r="1142" spans="1:30" ht="15" hidden="1" customHeight="1" x14ac:dyDescent="0.2">
      <c r="A1142" s="7" t="s">
        <v>682</v>
      </c>
      <c r="B1142" s="7"/>
      <c r="C1142" s="2" t="s">
        <v>648</v>
      </c>
      <c r="D1142" s="6" t="s">
        <v>649</v>
      </c>
      <c r="E1142" s="32" t="s">
        <v>651</v>
      </c>
      <c r="F1142" s="7"/>
      <c r="G1142" s="7"/>
      <c r="H1142" s="7"/>
      <c r="I1142" s="7"/>
      <c r="J1142" s="7"/>
      <c r="K1142" s="7"/>
      <c r="L1142" s="7" t="s">
        <v>663</v>
      </c>
      <c r="M1142" s="8">
        <v>44316</v>
      </c>
      <c r="N1142" s="8">
        <v>44316</v>
      </c>
      <c r="O1142" s="13"/>
      <c r="P1142" s="13">
        <v>45304165.520000003</v>
      </c>
      <c r="Q1142" s="33"/>
      <c r="R1142" s="22"/>
      <c r="S1142" s="22"/>
      <c r="T1142" s="22"/>
      <c r="U1142" s="22"/>
      <c r="X1142" s="15" t="str">
        <f>IF(B1142="",VLOOKUP(A1142,items_lookup!A:B,2,FALSE),B1142)</f>
        <v>06. Item 06</v>
      </c>
      <c r="Y1142" s="15">
        <f t="shared" si="102"/>
        <v>4</v>
      </c>
      <c r="Z1142" s="15">
        <f t="shared" si="102"/>
        <v>4</v>
      </c>
      <c r="AA1142" s="15">
        <f t="shared" si="98"/>
        <v>2021</v>
      </c>
      <c r="AB1142" s="15">
        <f t="shared" si="99"/>
        <v>2021</v>
      </c>
      <c r="AC1142" s="15">
        <f t="shared" si="100"/>
        <v>2021</v>
      </c>
      <c r="AD1142" s="18" t="b">
        <f t="shared" si="101"/>
        <v>1</v>
      </c>
    </row>
    <row r="1143" spans="1:30" ht="15" hidden="1" customHeight="1" x14ac:dyDescent="0.2">
      <c r="A1143" s="7" t="s">
        <v>706</v>
      </c>
      <c r="B1143" s="7"/>
      <c r="C1143" s="2" t="s">
        <v>641</v>
      </c>
      <c r="D1143" s="6" t="s">
        <v>649</v>
      </c>
      <c r="E1143" s="32" t="s">
        <v>651</v>
      </c>
      <c r="F1143" s="7"/>
      <c r="G1143" s="7"/>
      <c r="H1143" s="7"/>
      <c r="I1143" s="7" t="s">
        <v>20</v>
      </c>
      <c r="J1143" s="7">
        <v>3</v>
      </c>
      <c r="K1143" s="7" t="s">
        <v>660</v>
      </c>
      <c r="L1143" s="7" t="s">
        <v>663</v>
      </c>
      <c r="M1143" s="8">
        <v>44330</v>
      </c>
      <c r="N1143" s="8">
        <v>44337</v>
      </c>
      <c r="O1143" s="13"/>
      <c r="P1143" s="13">
        <v>945.24</v>
      </c>
      <c r="Q1143" s="33"/>
      <c r="R1143" s="22"/>
      <c r="S1143" s="22"/>
      <c r="T1143" s="22"/>
      <c r="U1143" s="22"/>
      <c r="X1143" s="15" t="str">
        <f>IF(B1143="",VLOOKUP(A1143,items_lookup!A:B,2,FALSE),B1143)</f>
        <v>03. Item 03</v>
      </c>
      <c r="Y1143" s="15">
        <f t="shared" si="102"/>
        <v>5</v>
      </c>
      <c r="Z1143" s="15">
        <f t="shared" si="102"/>
        <v>5</v>
      </c>
      <c r="AA1143" s="15">
        <f t="shared" si="98"/>
        <v>2021</v>
      </c>
      <c r="AB1143" s="15">
        <f t="shared" si="99"/>
        <v>2021</v>
      </c>
      <c r="AC1143" s="15">
        <f t="shared" si="100"/>
        <v>2021</v>
      </c>
      <c r="AD1143" s="18" t="b">
        <f t="shared" si="101"/>
        <v>1</v>
      </c>
    </row>
    <row r="1144" spans="1:30" ht="12.6" hidden="1" customHeight="1" x14ac:dyDescent="0.2">
      <c r="A1144" s="7" t="s">
        <v>706</v>
      </c>
      <c r="B1144" s="7"/>
      <c r="C1144" s="2" t="s">
        <v>641</v>
      </c>
      <c r="D1144" s="6" t="s">
        <v>649</v>
      </c>
      <c r="E1144" s="32" t="s">
        <v>651</v>
      </c>
      <c r="F1144" s="7"/>
      <c r="G1144" s="7"/>
      <c r="H1144" s="7"/>
      <c r="I1144" s="7"/>
      <c r="J1144" s="7">
        <v>3</v>
      </c>
      <c r="K1144" s="7" t="s">
        <v>660</v>
      </c>
      <c r="L1144" s="7" t="s">
        <v>663</v>
      </c>
      <c r="M1144" s="8">
        <v>44330</v>
      </c>
      <c r="N1144" s="8">
        <v>44341</v>
      </c>
      <c r="O1144" s="13"/>
      <c r="P1144" s="13">
        <v>18148.57</v>
      </c>
      <c r="Q1144" s="33"/>
      <c r="R1144" s="22"/>
      <c r="S1144" s="22"/>
      <c r="T1144" s="22"/>
      <c r="U1144" s="22"/>
      <c r="X1144" s="15" t="str">
        <f>IF(B1144="",VLOOKUP(A1144,items_lookup!A:B,2,FALSE),B1144)</f>
        <v>03. Item 03</v>
      </c>
      <c r="Y1144" s="15">
        <f t="shared" si="102"/>
        <v>5</v>
      </c>
      <c r="Z1144" s="15">
        <f t="shared" si="102"/>
        <v>5</v>
      </c>
      <c r="AA1144" s="15">
        <f t="shared" si="98"/>
        <v>2021</v>
      </c>
      <c r="AB1144" s="15">
        <f t="shared" si="99"/>
        <v>2021</v>
      </c>
      <c r="AC1144" s="15">
        <f t="shared" si="100"/>
        <v>2021</v>
      </c>
      <c r="AD1144" s="18" t="b">
        <f t="shared" si="101"/>
        <v>1</v>
      </c>
    </row>
    <row r="1145" spans="1:30" ht="12.6" hidden="1" customHeight="1" x14ac:dyDescent="0.2">
      <c r="A1145" s="7" t="s">
        <v>681</v>
      </c>
      <c r="B1145" s="7"/>
      <c r="C1145" s="2" t="s">
        <v>648</v>
      </c>
      <c r="D1145" s="6" t="s">
        <v>649</v>
      </c>
      <c r="E1145" s="32" t="s">
        <v>651</v>
      </c>
      <c r="F1145" s="7"/>
      <c r="G1145" s="7"/>
      <c r="H1145" s="7"/>
      <c r="I1145" s="7"/>
      <c r="J1145" s="7"/>
      <c r="K1145" s="7"/>
      <c r="L1145" s="7" t="s">
        <v>663</v>
      </c>
      <c r="M1145" s="8">
        <v>44317</v>
      </c>
      <c r="N1145" s="8">
        <v>44317</v>
      </c>
      <c r="O1145" s="13"/>
      <c r="P1145" s="13">
        <v>367807.83</v>
      </c>
      <c r="Q1145" s="33"/>
      <c r="R1145" s="22"/>
      <c r="S1145" s="22"/>
      <c r="T1145" s="22"/>
      <c r="U1145" s="22"/>
      <c r="X1145" s="15" t="str">
        <f>IF(B1145="",VLOOKUP(A1145,items_lookup!A:B,2,FALSE),B1145)</f>
        <v>19. Item 19</v>
      </c>
      <c r="Y1145" s="15">
        <f t="shared" si="102"/>
        <v>5</v>
      </c>
      <c r="Z1145" s="15">
        <f t="shared" si="102"/>
        <v>5</v>
      </c>
      <c r="AA1145" s="15">
        <f t="shared" si="98"/>
        <v>2021</v>
      </c>
      <c r="AB1145" s="15">
        <f t="shared" si="99"/>
        <v>2021</v>
      </c>
      <c r="AC1145" s="15">
        <f t="shared" si="100"/>
        <v>2021</v>
      </c>
      <c r="AD1145" s="18" t="b">
        <f t="shared" si="101"/>
        <v>1</v>
      </c>
    </row>
    <row r="1146" spans="1:30" ht="15" hidden="1" customHeight="1" x14ac:dyDescent="0.2">
      <c r="A1146" s="7" t="s">
        <v>705</v>
      </c>
      <c r="B1146" s="7"/>
      <c r="C1146" s="2" t="s">
        <v>648</v>
      </c>
      <c r="D1146" s="6" t="s">
        <v>649</v>
      </c>
      <c r="E1146" s="32" t="s">
        <v>651</v>
      </c>
      <c r="F1146" s="7"/>
      <c r="G1146" s="7"/>
      <c r="H1146" s="7"/>
      <c r="I1146" s="7"/>
      <c r="J1146" s="7"/>
      <c r="K1146" s="7"/>
      <c r="L1146" s="7" t="s">
        <v>663</v>
      </c>
      <c r="M1146" s="8">
        <v>44317</v>
      </c>
      <c r="N1146" s="8">
        <v>44317</v>
      </c>
      <c r="O1146" s="13"/>
      <c r="P1146" s="13">
        <v>389135.23</v>
      </c>
      <c r="Q1146" s="33"/>
      <c r="R1146" s="22"/>
      <c r="S1146" s="22"/>
      <c r="T1146" s="22"/>
      <c r="U1146" s="22"/>
      <c r="X1146" s="15" t="str">
        <f>IF(B1146="",VLOOKUP(A1146,items_lookup!A:B,2,FALSE),B1146)</f>
        <v>03. Item 03</v>
      </c>
      <c r="Y1146" s="15">
        <f t="shared" si="102"/>
        <v>5</v>
      </c>
      <c r="Z1146" s="15">
        <f t="shared" si="102"/>
        <v>5</v>
      </c>
      <c r="AA1146" s="15">
        <f t="shared" si="98"/>
        <v>2021</v>
      </c>
      <c r="AB1146" s="15">
        <f t="shared" si="99"/>
        <v>2021</v>
      </c>
      <c r="AC1146" s="15">
        <f t="shared" si="100"/>
        <v>2021</v>
      </c>
      <c r="AD1146" s="18" t="b">
        <f t="shared" si="101"/>
        <v>1</v>
      </c>
    </row>
    <row r="1147" spans="1:30" ht="15" hidden="1" customHeight="1" x14ac:dyDescent="0.2">
      <c r="A1147" s="7" t="s">
        <v>694</v>
      </c>
      <c r="B1147" s="7"/>
      <c r="C1147" s="2" t="s">
        <v>648</v>
      </c>
      <c r="D1147" s="6" t="s">
        <v>649</v>
      </c>
      <c r="E1147" s="32" t="s">
        <v>651</v>
      </c>
      <c r="F1147" s="7"/>
      <c r="G1147" s="7"/>
      <c r="H1147" s="7"/>
      <c r="I1147" s="7"/>
      <c r="J1147" s="7"/>
      <c r="K1147" s="7"/>
      <c r="L1147" s="7" t="s">
        <v>663</v>
      </c>
      <c r="M1147" s="8">
        <v>44317</v>
      </c>
      <c r="N1147" s="8">
        <v>44317</v>
      </c>
      <c r="O1147" s="13"/>
      <c r="P1147" s="13">
        <v>6057310.1100000003</v>
      </c>
      <c r="Q1147" s="33"/>
      <c r="R1147" s="22"/>
      <c r="S1147" s="22"/>
      <c r="T1147" s="22"/>
      <c r="U1147" s="22"/>
      <c r="X1147" s="15" t="str">
        <f>IF(B1147="",VLOOKUP(A1147,items_lookup!A:B,2,FALSE),B1147)</f>
        <v>03. Item 03</v>
      </c>
      <c r="Y1147" s="15">
        <f t="shared" si="102"/>
        <v>5</v>
      </c>
      <c r="Z1147" s="15">
        <f t="shared" si="102"/>
        <v>5</v>
      </c>
      <c r="AA1147" s="15">
        <f t="shared" ref="AA1147:AA1210" si="103">YEAR(N1147)</f>
        <v>2021</v>
      </c>
      <c r="AB1147" s="15">
        <f t="shared" ref="AB1147:AB1210" si="104">YEAR(M1147)</f>
        <v>2021</v>
      </c>
      <c r="AC1147" s="15">
        <f t="shared" ref="AC1147:AC1210" si="105">IF(F1147="X",AA1147-1,AA1147)</f>
        <v>2021</v>
      </c>
      <c r="AD1147" s="18" t="b">
        <f t="shared" si="101"/>
        <v>1</v>
      </c>
    </row>
    <row r="1148" spans="1:30" ht="15" hidden="1" customHeight="1" x14ac:dyDescent="0.2">
      <c r="A1148" s="7" t="s">
        <v>670</v>
      </c>
      <c r="B1148" s="7"/>
      <c r="C1148" s="2" t="s">
        <v>648</v>
      </c>
      <c r="D1148" s="6" t="s">
        <v>649</v>
      </c>
      <c r="E1148" s="32" t="s">
        <v>651</v>
      </c>
      <c r="F1148" s="7"/>
      <c r="G1148" s="7"/>
      <c r="H1148" s="7"/>
      <c r="I1148" s="7"/>
      <c r="J1148" s="7"/>
      <c r="K1148" s="7"/>
      <c r="L1148" s="7" t="s">
        <v>663</v>
      </c>
      <c r="M1148" s="8">
        <v>44317</v>
      </c>
      <c r="N1148" s="8">
        <v>44317</v>
      </c>
      <c r="O1148" s="13"/>
      <c r="P1148" s="13">
        <v>41945.919999999998</v>
      </c>
      <c r="Q1148" s="33"/>
      <c r="R1148" s="22"/>
      <c r="S1148" s="22"/>
      <c r="T1148" s="22"/>
      <c r="U1148" s="22"/>
      <c r="X1148" s="15" t="str">
        <f>IF(B1148="",VLOOKUP(A1148,items_lookup!A:B,2,FALSE),B1148)</f>
        <v>04. Item 04</v>
      </c>
      <c r="Y1148" s="15">
        <f t="shared" si="102"/>
        <v>5</v>
      </c>
      <c r="Z1148" s="15">
        <f t="shared" si="102"/>
        <v>5</v>
      </c>
      <c r="AA1148" s="15">
        <f t="shared" si="103"/>
        <v>2021</v>
      </c>
      <c r="AB1148" s="15">
        <f t="shared" si="104"/>
        <v>2021</v>
      </c>
      <c r="AC1148" s="15">
        <f t="shared" si="105"/>
        <v>2021</v>
      </c>
      <c r="AD1148" s="18" t="b">
        <f t="shared" si="101"/>
        <v>1</v>
      </c>
    </row>
    <row r="1149" spans="1:30" ht="15" hidden="1" customHeight="1" x14ac:dyDescent="0.2">
      <c r="A1149" s="7" t="s">
        <v>683</v>
      </c>
      <c r="B1149" s="7"/>
      <c r="C1149" s="2" t="s">
        <v>648</v>
      </c>
      <c r="D1149" s="6" t="s">
        <v>649</v>
      </c>
      <c r="E1149" s="32" t="s">
        <v>651</v>
      </c>
      <c r="F1149" s="7"/>
      <c r="G1149" s="7"/>
      <c r="H1149" s="7"/>
      <c r="I1149" s="7"/>
      <c r="J1149" s="7"/>
      <c r="K1149" s="7"/>
      <c r="L1149" s="7" t="s">
        <v>663</v>
      </c>
      <c r="M1149" s="8">
        <v>44317</v>
      </c>
      <c r="N1149" s="8">
        <v>44317</v>
      </c>
      <c r="O1149" s="13"/>
      <c r="P1149" s="13">
        <v>16883.5</v>
      </c>
      <c r="Q1149" s="33"/>
      <c r="R1149" s="22"/>
      <c r="S1149" s="22"/>
      <c r="T1149" s="22"/>
      <c r="U1149" s="22"/>
      <c r="X1149" s="15" t="str">
        <f>IF(B1149="",VLOOKUP(A1149,items_lookup!A:B,2,FALSE),B1149)</f>
        <v>_1. Item _1</v>
      </c>
      <c r="Y1149" s="15">
        <f t="shared" si="102"/>
        <v>5</v>
      </c>
      <c r="Z1149" s="15">
        <f t="shared" si="102"/>
        <v>5</v>
      </c>
      <c r="AA1149" s="15">
        <f t="shared" si="103"/>
        <v>2021</v>
      </c>
      <c r="AB1149" s="15">
        <f t="shared" si="104"/>
        <v>2021</v>
      </c>
      <c r="AC1149" s="15">
        <f t="shared" si="105"/>
        <v>2021</v>
      </c>
      <c r="AD1149" s="18" t="b">
        <f t="shared" si="101"/>
        <v>1</v>
      </c>
    </row>
    <row r="1150" spans="1:30" ht="15" hidden="1" customHeight="1" x14ac:dyDescent="0.2">
      <c r="A1150" s="7" t="s">
        <v>671</v>
      </c>
      <c r="B1150" s="7"/>
      <c r="C1150" s="2" t="s">
        <v>648</v>
      </c>
      <c r="D1150" s="6" t="s">
        <v>649</v>
      </c>
      <c r="E1150" s="32" t="s">
        <v>651</v>
      </c>
      <c r="F1150" s="7"/>
      <c r="G1150" s="7"/>
      <c r="H1150" s="7"/>
      <c r="I1150" s="7"/>
      <c r="J1150" s="7"/>
      <c r="K1150" s="7"/>
      <c r="L1150" s="7" t="s">
        <v>663</v>
      </c>
      <c r="M1150" s="8">
        <v>44317</v>
      </c>
      <c r="N1150" s="8">
        <v>44317</v>
      </c>
      <c r="O1150" s="13"/>
      <c r="P1150" s="13">
        <v>8908976.9700000007</v>
      </c>
      <c r="Q1150" s="33"/>
      <c r="R1150" s="22"/>
      <c r="S1150" s="22"/>
      <c r="T1150" s="22"/>
      <c r="U1150" s="22"/>
      <c r="X1150" s="15" t="str">
        <f>IF(B1150="",VLOOKUP(A1150,items_lookup!A:B,2,FALSE),B1150)</f>
        <v>05. Item 05</v>
      </c>
      <c r="Y1150" s="15">
        <f t="shared" si="102"/>
        <v>5</v>
      </c>
      <c r="Z1150" s="15">
        <f t="shared" si="102"/>
        <v>5</v>
      </c>
      <c r="AA1150" s="15">
        <f t="shared" si="103"/>
        <v>2021</v>
      </c>
      <c r="AB1150" s="15">
        <f t="shared" si="104"/>
        <v>2021</v>
      </c>
      <c r="AC1150" s="15">
        <f t="shared" si="105"/>
        <v>2021</v>
      </c>
      <c r="AD1150" s="18" t="b">
        <f t="shared" si="101"/>
        <v>1</v>
      </c>
    </row>
    <row r="1151" spans="1:30" ht="15" hidden="1" customHeight="1" x14ac:dyDescent="0.2">
      <c r="A1151" s="7" t="s">
        <v>676</v>
      </c>
      <c r="B1151" s="7"/>
      <c r="C1151" s="2" t="s">
        <v>648</v>
      </c>
      <c r="D1151" s="6" t="s">
        <v>649</v>
      </c>
      <c r="E1151" s="32" t="s">
        <v>651</v>
      </c>
      <c r="F1151" s="7"/>
      <c r="G1151" s="7"/>
      <c r="H1151" s="7"/>
      <c r="I1151" s="7"/>
      <c r="J1151" s="7"/>
      <c r="K1151" s="7"/>
      <c r="L1151" s="7" t="s">
        <v>663</v>
      </c>
      <c r="M1151" s="8">
        <v>44317</v>
      </c>
      <c r="N1151" s="8">
        <v>44317</v>
      </c>
      <c r="O1151" s="13"/>
      <c r="P1151" s="13">
        <v>720501.55</v>
      </c>
      <c r="Q1151" s="33"/>
      <c r="R1151" s="22"/>
      <c r="S1151" s="22"/>
      <c r="T1151" s="22"/>
      <c r="U1151" s="22"/>
      <c r="X1151" s="15" t="str">
        <f>IF(B1151="",VLOOKUP(A1151,items_lookup!A:B,2,FALSE),B1151)</f>
        <v>09. Item 09</v>
      </c>
      <c r="Y1151" s="15">
        <f t="shared" si="102"/>
        <v>5</v>
      </c>
      <c r="Z1151" s="15">
        <f t="shared" si="102"/>
        <v>5</v>
      </c>
      <c r="AA1151" s="15">
        <f t="shared" si="103"/>
        <v>2021</v>
      </c>
      <c r="AB1151" s="15">
        <f t="shared" si="104"/>
        <v>2021</v>
      </c>
      <c r="AC1151" s="15">
        <f t="shared" si="105"/>
        <v>2021</v>
      </c>
      <c r="AD1151" s="18" t="b">
        <f t="shared" si="101"/>
        <v>1</v>
      </c>
    </row>
    <row r="1152" spans="1:30" ht="15" hidden="1" customHeight="1" x14ac:dyDescent="0.2">
      <c r="A1152" s="7" t="s">
        <v>683</v>
      </c>
      <c r="B1152" s="7"/>
      <c r="C1152" s="2" t="s">
        <v>648</v>
      </c>
      <c r="D1152" s="6" t="s">
        <v>649</v>
      </c>
      <c r="E1152" s="32" t="s">
        <v>651</v>
      </c>
      <c r="F1152" s="7"/>
      <c r="G1152" s="7"/>
      <c r="H1152" s="7"/>
      <c r="I1152" s="7"/>
      <c r="J1152" s="7"/>
      <c r="K1152" s="7"/>
      <c r="L1152" s="7" t="s">
        <v>663</v>
      </c>
      <c r="M1152" s="8">
        <v>44317</v>
      </c>
      <c r="N1152" s="8">
        <v>44317</v>
      </c>
      <c r="O1152" s="13"/>
      <c r="P1152" s="13">
        <v>1032031.39</v>
      </c>
      <c r="Q1152" s="33"/>
      <c r="X1152" s="15" t="str">
        <f>IF(B1152="",VLOOKUP(A1152,items_lookup!A:B,2,FALSE),B1152)</f>
        <v>_1. Item _1</v>
      </c>
      <c r="Y1152" s="15">
        <f t="shared" si="102"/>
        <v>5</v>
      </c>
      <c r="Z1152" s="15">
        <f t="shared" si="102"/>
        <v>5</v>
      </c>
      <c r="AA1152" s="15">
        <f t="shared" si="103"/>
        <v>2021</v>
      </c>
      <c r="AB1152" s="15">
        <f t="shared" si="104"/>
        <v>2021</v>
      </c>
      <c r="AC1152" s="15">
        <f t="shared" si="105"/>
        <v>2021</v>
      </c>
      <c r="AD1152" s="18" t="b">
        <f t="shared" si="101"/>
        <v>1</v>
      </c>
    </row>
    <row r="1153" spans="1:30" ht="15" hidden="1" customHeight="1" x14ac:dyDescent="0.2">
      <c r="A1153" s="7" t="s">
        <v>683</v>
      </c>
      <c r="B1153" s="7"/>
      <c r="C1153" s="2" t="s">
        <v>648</v>
      </c>
      <c r="D1153" s="6" t="s">
        <v>649</v>
      </c>
      <c r="E1153" s="32" t="s">
        <v>651</v>
      </c>
      <c r="F1153" s="7"/>
      <c r="G1153" s="7"/>
      <c r="H1153" s="7"/>
      <c r="I1153" s="7"/>
      <c r="J1153" s="7"/>
      <c r="K1153" s="7"/>
      <c r="L1153" s="7" t="s">
        <v>663</v>
      </c>
      <c r="M1153" s="8">
        <v>44317</v>
      </c>
      <c r="N1153" s="8">
        <v>44317</v>
      </c>
      <c r="O1153" s="13"/>
      <c r="P1153" s="13">
        <v>198097.33</v>
      </c>
      <c r="Q1153" s="33"/>
      <c r="X1153" s="15" t="str">
        <f>IF(B1153="",VLOOKUP(A1153,items_lookup!A:B,2,FALSE),B1153)</f>
        <v>_1. Item _1</v>
      </c>
      <c r="Y1153" s="15">
        <f t="shared" si="102"/>
        <v>5</v>
      </c>
      <c r="Z1153" s="15">
        <f t="shared" si="102"/>
        <v>5</v>
      </c>
      <c r="AA1153" s="15">
        <f t="shared" si="103"/>
        <v>2021</v>
      </c>
      <c r="AB1153" s="15">
        <f t="shared" si="104"/>
        <v>2021</v>
      </c>
      <c r="AC1153" s="15">
        <f t="shared" si="105"/>
        <v>2021</v>
      </c>
      <c r="AD1153" s="18" t="b">
        <f t="shared" si="101"/>
        <v>1</v>
      </c>
    </row>
    <row r="1154" spans="1:30" ht="15" hidden="1" customHeight="1" x14ac:dyDescent="0.2">
      <c r="A1154" s="7" t="s">
        <v>703</v>
      </c>
      <c r="B1154" s="7"/>
      <c r="C1154" s="2" t="s">
        <v>648</v>
      </c>
      <c r="D1154" s="6" t="s">
        <v>649</v>
      </c>
      <c r="E1154" s="32" t="s">
        <v>651</v>
      </c>
      <c r="F1154" s="7"/>
      <c r="G1154" s="7"/>
      <c r="H1154" s="7"/>
      <c r="I1154" s="7"/>
      <c r="J1154" s="7"/>
      <c r="K1154" s="7"/>
      <c r="L1154" s="7" t="s">
        <v>663</v>
      </c>
      <c r="M1154" s="8">
        <v>44317</v>
      </c>
      <c r="N1154" s="8">
        <v>44317</v>
      </c>
      <c r="O1154" s="13"/>
      <c r="P1154" s="13">
        <v>527964.88</v>
      </c>
      <c r="Q1154" s="33"/>
      <c r="X1154" s="15" t="str">
        <f>IF(B1154="",VLOOKUP(A1154,items_lookup!A:B,2,FALSE),B1154)</f>
        <v>_3. Item _3</v>
      </c>
      <c r="Y1154" s="15">
        <f t="shared" si="102"/>
        <v>5</v>
      </c>
      <c r="Z1154" s="15">
        <f t="shared" si="102"/>
        <v>5</v>
      </c>
      <c r="AA1154" s="15">
        <f t="shared" si="103"/>
        <v>2021</v>
      </c>
      <c r="AB1154" s="15">
        <f t="shared" si="104"/>
        <v>2021</v>
      </c>
      <c r="AC1154" s="15">
        <f t="shared" si="105"/>
        <v>2021</v>
      </c>
      <c r="AD1154" s="18" t="b">
        <f t="shared" si="101"/>
        <v>1</v>
      </c>
    </row>
    <row r="1155" spans="1:30" ht="12.75" hidden="1" customHeight="1" x14ac:dyDescent="0.2">
      <c r="A1155" s="7" t="s">
        <v>699</v>
      </c>
      <c r="B1155" s="7"/>
      <c r="C1155" s="2" t="s">
        <v>648</v>
      </c>
      <c r="D1155" s="6" t="s">
        <v>649</v>
      </c>
      <c r="E1155" s="32" t="s">
        <v>651</v>
      </c>
      <c r="F1155" s="7"/>
      <c r="G1155" s="7"/>
      <c r="H1155" s="7"/>
      <c r="I1155" s="7"/>
      <c r="J1155" s="7"/>
      <c r="K1155" s="7"/>
      <c r="L1155" s="7" t="s">
        <v>663</v>
      </c>
      <c r="M1155" s="8">
        <v>44317</v>
      </c>
      <c r="N1155" s="8">
        <v>44317</v>
      </c>
      <c r="O1155" s="13"/>
      <c r="P1155" s="13">
        <v>3741.53</v>
      </c>
      <c r="Q1155" s="33"/>
      <c r="R1155" s="22"/>
      <c r="S1155" s="22"/>
      <c r="T1155" s="22"/>
      <c r="U1155" s="22"/>
      <c r="X1155" s="15" t="str">
        <f>IF(B1155="",VLOOKUP(A1155,items_lookup!A:B,2,FALSE),B1155)</f>
        <v>12. Item 12</v>
      </c>
      <c r="Y1155" s="15">
        <f t="shared" si="102"/>
        <v>5</v>
      </c>
      <c r="Z1155" s="15">
        <f t="shared" si="102"/>
        <v>5</v>
      </c>
      <c r="AA1155" s="15">
        <f t="shared" si="103"/>
        <v>2021</v>
      </c>
      <c r="AB1155" s="15">
        <f t="shared" si="104"/>
        <v>2021</v>
      </c>
      <c r="AC1155" s="15">
        <f t="shared" si="105"/>
        <v>2021</v>
      </c>
      <c r="AD1155" s="18" t="b">
        <f t="shared" ref="AD1155:AD1218" si="106">AND(ROUND(O1155,2)=O1155,ROUND(P1155,2)=P1155,OR(AND(O1155&lt;&gt;0,L1155="p"),AND(P1155&lt;&gt;0,L1155="f")),_xlfn.ISFORMULA(X1155),_xlfn.ISFORMULA(Y1155),_xlfn.ISFORMULA(Z1155),_xlfn.ISFORMULA(AA1155),_xlfn.ISFORMULA(AB1155),_xlfn.ISFORMULA(AC1155),NOT(_xlfn.ISFORMULA(O1155)),NOT(_xlfn.ISFORMULA(P1155)),M1155&lt;&gt;0,N1155&lt;&gt;0)</f>
        <v>1</v>
      </c>
    </row>
    <row r="1156" spans="1:30" ht="15.75" hidden="1" customHeight="1" x14ac:dyDescent="0.2">
      <c r="A1156" s="7" t="s">
        <v>699</v>
      </c>
      <c r="B1156" s="7"/>
      <c r="C1156" s="2" t="s">
        <v>648</v>
      </c>
      <c r="D1156" s="6" t="s">
        <v>649</v>
      </c>
      <c r="E1156" s="32" t="s">
        <v>651</v>
      </c>
      <c r="F1156" s="7"/>
      <c r="G1156" s="7"/>
      <c r="H1156" s="7"/>
      <c r="I1156" s="7"/>
      <c r="J1156" s="7"/>
      <c r="K1156" s="7"/>
      <c r="L1156" s="7" t="s">
        <v>663</v>
      </c>
      <c r="M1156" s="8">
        <v>44317</v>
      </c>
      <c r="N1156" s="8">
        <v>44317</v>
      </c>
      <c r="O1156" s="13"/>
      <c r="P1156" s="13">
        <v>78820.210000000006</v>
      </c>
      <c r="Q1156" s="33"/>
      <c r="R1156" s="22"/>
      <c r="S1156" s="22"/>
      <c r="T1156" s="22"/>
      <c r="U1156" s="22"/>
      <c r="X1156" s="15" t="str">
        <f>IF(B1156="",VLOOKUP(A1156,items_lookup!A:B,2,FALSE),B1156)</f>
        <v>12. Item 12</v>
      </c>
      <c r="Y1156" s="15">
        <f t="shared" si="102"/>
        <v>5</v>
      </c>
      <c r="Z1156" s="15">
        <f t="shared" si="102"/>
        <v>5</v>
      </c>
      <c r="AA1156" s="15">
        <f t="shared" si="103"/>
        <v>2021</v>
      </c>
      <c r="AB1156" s="15">
        <f t="shared" si="104"/>
        <v>2021</v>
      </c>
      <c r="AC1156" s="15">
        <f t="shared" si="105"/>
        <v>2021</v>
      </c>
      <c r="AD1156" s="18" t="b">
        <f t="shared" si="106"/>
        <v>1</v>
      </c>
    </row>
    <row r="1157" spans="1:30" ht="15.75" hidden="1" customHeight="1" x14ac:dyDescent="0.2">
      <c r="A1157" s="7" t="s">
        <v>698</v>
      </c>
      <c r="B1157" s="7"/>
      <c r="C1157" s="2" t="s">
        <v>648</v>
      </c>
      <c r="D1157" s="6" t="s">
        <v>649</v>
      </c>
      <c r="E1157" s="32" t="s">
        <v>651</v>
      </c>
      <c r="F1157" s="7"/>
      <c r="G1157" s="7"/>
      <c r="H1157" s="7"/>
      <c r="I1157" s="7"/>
      <c r="J1157" s="7"/>
      <c r="K1157" s="7"/>
      <c r="L1157" s="7" t="s">
        <v>663</v>
      </c>
      <c r="M1157" s="8">
        <v>44317</v>
      </c>
      <c r="N1157" s="8">
        <v>44317</v>
      </c>
      <c r="O1157" s="13"/>
      <c r="P1157" s="13">
        <v>32700.75</v>
      </c>
      <c r="Q1157" s="33"/>
      <c r="R1157" s="22"/>
      <c r="S1157" s="22"/>
      <c r="T1157" s="22"/>
      <c r="U1157" s="22"/>
      <c r="X1157" s="15" t="str">
        <f>IF(B1157="",VLOOKUP(A1157,items_lookup!A:B,2,FALSE),B1157)</f>
        <v>10. Item 10</v>
      </c>
      <c r="Y1157" s="15">
        <f t="shared" si="102"/>
        <v>5</v>
      </c>
      <c r="Z1157" s="15">
        <f t="shared" si="102"/>
        <v>5</v>
      </c>
      <c r="AA1157" s="15">
        <f t="shared" si="103"/>
        <v>2021</v>
      </c>
      <c r="AB1157" s="15">
        <f t="shared" si="104"/>
        <v>2021</v>
      </c>
      <c r="AC1157" s="15">
        <f t="shared" si="105"/>
        <v>2021</v>
      </c>
      <c r="AD1157" s="18" t="b">
        <f t="shared" si="106"/>
        <v>1</v>
      </c>
    </row>
    <row r="1158" spans="1:30" ht="15" hidden="1" customHeight="1" x14ac:dyDescent="0.2">
      <c r="A1158" s="7" t="s">
        <v>683</v>
      </c>
      <c r="B1158" s="7"/>
      <c r="C1158" s="2" t="s">
        <v>648</v>
      </c>
      <c r="D1158" s="6" t="s">
        <v>649</v>
      </c>
      <c r="E1158" s="32" t="s">
        <v>651</v>
      </c>
      <c r="F1158" s="7"/>
      <c r="G1158" s="7"/>
      <c r="H1158" s="7"/>
      <c r="I1158" s="7"/>
      <c r="J1158" s="7"/>
      <c r="K1158" s="7"/>
      <c r="L1158" s="7" t="s">
        <v>663</v>
      </c>
      <c r="M1158" s="8">
        <v>44317</v>
      </c>
      <c r="N1158" s="8">
        <v>44317</v>
      </c>
      <c r="O1158" s="13"/>
      <c r="P1158" s="13">
        <v>3914313.88</v>
      </c>
      <c r="Q1158" s="33"/>
      <c r="R1158" s="22"/>
      <c r="S1158" s="22"/>
      <c r="T1158" s="22"/>
      <c r="U1158" s="22"/>
      <c r="X1158" s="15" t="str">
        <f>IF(B1158="",VLOOKUP(A1158,items_lookup!A:B,2,FALSE),B1158)</f>
        <v>_1. Item _1</v>
      </c>
      <c r="Y1158" s="15">
        <f t="shared" si="102"/>
        <v>5</v>
      </c>
      <c r="Z1158" s="15">
        <f t="shared" si="102"/>
        <v>5</v>
      </c>
      <c r="AA1158" s="15">
        <f t="shared" si="103"/>
        <v>2021</v>
      </c>
      <c r="AB1158" s="15">
        <f t="shared" si="104"/>
        <v>2021</v>
      </c>
      <c r="AC1158" s="15">
        <f t="shared" si="105"/>
        <v>2021</v>
      </c>
      <c r="AD1158" s="18" t="b">
        <f t="shared" si="106"/>
        <v>1</v>
      </c>
    </row>
    <row r="1159" spans="1:30" ht="15" hidden="1" customHeight="1" x14ac:dyDescent="0.2">
      <c r="A1159" s="7" t="s">
        <v>690</v>
      </c>
      <c r="B1159" s="7"/>
      <c r="C1159" s="2" t="s">
        <v>648</v>
      </c>
      <c r="D1159" s="6" t="s">
        <v>649</v>
      </c>
      <c r="E1159" s="32" t="s">
        <v>651</v>
      </c>
      <c r="F1159" s="7"/>
      <c r="G1159" s="7"/>
      <c r="H1159" s="7"/>
      <c r="I1159" s="7"/>
      <c r="J1159" s="7"/>
      <c r="K1159" s="7"/>
      <c r="L1159" s="7" t="s">
        <v>663</v>
      </c>
      <c r="M1159" s="8">
        <v>44317</v>
      </c>
      <c r="N1159" s="8">
        <v>44317</v>
      </c>
      <c r="O1159" s="13"/>
      <c r="P1159" s="13">
        <v>205975.01</v>
      </c>
      <c r="Q1159" s="33"/>
      <c r="R1159" s="22"/>
      <c r="S1159" s="22"/>
      <c r="T1159" s="22"/>
      <c r="U1159" s="22"/>
      <c r="X1159" s="15" t="str">
        <f>IF(B1159="",VLOOKUP(A1159,items_lookup!A:B,2,FALSE),B1159)</f>
        <v>21. Item 21</v>
      </c>
      <c r="Y1159" s="15">
        <f t="shared" si="102"/>
        <v>5</v>
      </c>
      <c r="Z1159" s="15">
        <f t="shared" si="102"/>
        <v>5</v>
      </c>
      <c r="AA1159" s="15">
        <f t="shared" si="103"/>
        <v>2021</v>
      </c>
      <c r="AB1159" s="15">
        <f t="shared" si="104"/>
        <v>2021</v>
      </c>
      <c r="AC1159" s="15">
        <f t="shared" si="105"/>
        <v>2021</v>
      </c>
      <c r="AD1159" s="18" t="b">
        <f t="shared" si="106"/>
        <v>1</v>
      </c>
    </row>
    <row r="1160" spans="1:30" ht="17.25" hidden="1" customHeight="1" x14ac:dyDescent="0.2">
      <c r="A1160" s="7" t="s">
        <v>703</v>
      </c>
      <c r="B1160" s="7"/>
      <c r="C1160" s="2" t="s">
        <v>648</v>
      </c>
      <c r="D1160" s="6" t="s">
        <v>649</v>
      </c>
      <c r="E1160" s="32" t="s">
        <v>651</v>
      </c>
      <c r="F1160" s="7"/>
      <c r="G1160" s="7"/>
      <c r="H1160" s="7"/>
      <c r="I1160" s="7"/>
      <c r="J1160" s="7"/>
      <c r="K1160" s="7"/>
      <c r="L1160" s="7" t="s">
        <v>663</v>
      </c>
      <c r="M1160" s="8">
        <v>44317</v>
      </c>
      <c r="N1160" s="8">
        <v>44317</v>
      </c>
      <c r="O1160" s="13"/>
      <c r="P1160" s="13">
        <v>67471.27</v>
      </c>
      <c r="Q1160" s="33"/>
      <c r="R1160" s="22"/>
      <c r="S1160" s="22"/>
      <c r="T1160" s="22"/>
      <c r="U1160" s="22"/>
      <c r="X1160" s="15" t="str">
        <f>IF(B1160="",VLOOKUP(A1160,items_lookup!A:B,2,FALSE),B1160)</f>
        <v>_3. Item _3</v>
      </c>
      <c r="Y1160" s="15">
        <f t="shared" si="102"/>
        <v>5</v>
      </c>
      <c r="Z1160" s="15">
        <f t="shared" si="102"/>
        <v>5</v>
      </c>
      <c r="AA1160" s="15">
        <f t="shared" si="103"/>
        <v>2021</v>
      </c>
      <c r="AB1160" s="15">
        <f t="shared" si="104"/>
        <v>2021</v>
      </c>
      <c r="AC1160" s="15">
        <f t="shared" si="105"/>
        <v>2021</v>
      </c>
      <c r="AD1160" s="18" t="b">
        <f t="shared" si="106"/>
        <v>1</v>
      </c>
    </row>
    <row r="1161" spans="1:30" ht="15" hidden="1" customHeight="1" x14ac:dyDescent="0.2">
      <c r="A1161" s="7" t="s">
        <v>702</v>
      </c>
      <c r="B1161" s="7"/>
      <c r="C1161" s="2" t="s">
        <v>648</v>
      </c>
      <c r="D1161" s="6" t="s">
        <v>649</v>
      </c>
      <c r="E1161" s="32" t="s">
        <v>651</v>
      </c>
      <c r="F1161" s="7"/>
      <c r="G1161" s="7"/>
      <c r="H1161" s="7"/>
      <c r="I1161" s="7"/>
      <c r="J1161" s="7"/>
      <c r="K1161" s="7"/>
      <c r="L1161" s="7" t="s">
        <v>663</v>
      </c>
      <c r="M1161" s="8">
        <v>44317</v>
      </c>
      <c r="N1161" s="8">
        <v>44317</v>
      </c>
      <c r="O1161" s="13"/>
      <c r="P1161" s="13">
        <v>143.57</v>
      </c>
      <c r="Q1161" s="33"/>
      <c r="R1161" s="22"/>
      <c r="S1161" s="22"/>
      <c r="T1161" s="22"/>
      <c r="U1161" s="22"/>
      <c r="X1161" s="15" t="str">
        <f>IF(B1161="",VLOOKUP(A1161,items_lookup!A:B,2,FALSE),B1161)</f>
        <v>17. Item 17</v>
      </c>
      <c r="Y1161" s="15">
        <f t="shared" si="102"/>
        <v>5</v>
      </c>
      <c r="Z1161" s="15">
        <f t="shared" si="102"/>
        <v>5</v>
      </c>
      <c r="AA1161" s="15">
        <f t="shared" si="103"/>
        <v>2021</v>
      </c>
      <c r="AB1161" s="15">
        <f t="shared" si="104"/>
        <v>2021</v>
      </c>
      <c r="AC1161" s="15">
        <f t="shared" si="105"/>
        <v>2021</v>
      </c>
      <c r="AD1161" s="18" t="b">
        <f t="shared" si="106"/>
        <v>1</v>
      </c>
    </row>
    <row r="1162" spans="1:30" ht="15" hidden="1" customHeight="1" x14ac:dyDescent="0.2">
      <c r="A1162" s="7" t="s">
        <v>697</v>
      </c>
      <c r="B1162" s="7"/>
      <c r="C1162" s="2" t="s">
        <v>648</v>
      </c>
      <c r="D1162" s="6" t="s">
        <v>649</v>
      </c>
      <c r="E1162" s="32" t="s">
        <v>651</v>
      </c>
      <c r="F1162" s="7"/>
      <c r="G1162" s="7"/>
      <c r="H1162" s="7"/>
      <c r="I1162" s="7"/>
      <c r="J1162" s="7"/>
      <c r="K1162" s="7"/>
      <c r="L1162" s="7" t="s">
        <v>663</v>
      </c>
      <c r="M1162" s="8">
        <v>44317</v>
      </c>
      <c r="N1162" s="8">
        <v>44317</v>
      </c>
      <c r="O1162" s="13"/>
      <c r="P1162" s="13">
        <v>18148.57</v>
      </c>
      <c r="Q1162" s="33"/>
      <c r="R1162" s="22"/>
      <c r="S1162" s="22"/>
      <c r="T1162" s="22"/>
      <c r="U1162" s="22"/>
      <c r="X1162" s="15" t="str">
        <f>IF(B1162="",VLOOKUP(A1162,items_lookup!A:B,2,FALSE),B1162)</f>
        <v>10. Item 10</v>
      </c>
      <c r="Y1162" s="15">
        <f t="shared" si="102"/>
        <v>5</v>
      </c>
      <c r="Z1162" s="15">
        <f t="shared" si="102"/>
        <v>5</v>
      </c>
      <c r="AA1162" s="15">
        <f t="shared" si="103"/>
        <v>2021</v>
      </c>
      <c r="AB1162" s="15">
        <f t="shared" si="104"/>
        <v>2021</v>
      </c>
      <c r="AC1162" s="15">
        <f t="shared" si="105"/>
        <v>2021</v>
      </c>
      <c r="AD1162" s="18" t="b">
        <f t="shared" si="106"/>
        <v>1</v>
      </c>
    </row>
    <row r="1163" spans="1:30" ht="25.5" hidden="1" customHeight="1" x14ac:dyDescent="0.2">
      <c r="A1163" s="7" t="s">
        <v>698</v>
      </c>
      <c r="B1163" s="7"/>
      <c r="C1163" s="2" t="s">
        <v>648</v>
      </c>
      <c r="D1163" s="6" t="s">
        <v>649</v>
      </c>
      <c r="E1163" s="32" t="s">
        <v>651</v>
      </c>
      <c r="F1163" s="7"/>
      <c r="G1163" s="7"/>
      <c r="H1163" s="7"/>
      <c r="I1163" s="7"/>
      <c r="J1163" s="7"/>
      <c r="K1163" s="7"/>
      <c r="L1163" s="7" t="s">
        <v>663</v>
      </c>
      <c r="M1163" s="8">
        <v>44317</v>
      </c>
      <c r="N1163" s="8">
        <v>44317</v>
      </c>
      <c r="O1163" s="13"/>
      <c r="P1163" s="13">
        <v>696889.09</v>
      </c>
      <c r="Q1163" s="33"/>
      <c r="R1163" s="22"/>
      <c r="S1163" s="22"/>
      <c r="T1163" s="22"/>
      <c r="U1163" s="22"/>
      <c r="X1163" s="15" t="str">
        <f>IF(B1163="",VLOOKUP(A1163,items_lookup!A:B,2,FALSE),B1163)</f>
        <v>10. Item 10</v>
      </c>
      <c r="Y1163" s="15">
        <f t="shared" ref="Y1163:Z1226" si="107">MONTH(M1163)</f>
        <v>5</v>
      </c>
      <c r="Z1163" s="15">
        <f t="shared" si="107"/>
        <v>5</v>
      </c>
      <c r="AA1163" s="15">
        <f t="shared" si="103"/>
        <v>2021</v>
      </c>
      <c r="AB1163" s="15">
        <f t="shared" si="104"/>
        <v>2021</v>
      </c>
      <c r="AC1163" s="15">
        <f t="shared" si="105"/>
        <v>2021</v>
      </c>
      <c r="AD1163" s="18" t="b">
        <f t="shared" si="106"/>
        <v>1</v>
      </c>
    </row>
    <row r="1164" spans="1:30" ht="15" hidden="1" customHeight="1" x14ac:dyDescent="0.2">
      <c r="A1164" s="7" t="s">
        <v>699</v>
      </c>
      <c r="B1164" s="7"/>
      <c r="C1164" s="2" t="s">
        <v>648</v>
      </c>
      <c r="D1164" s="6" t="s">
        <v>649</v>
      </c>
      <c r="E1164" s="32" t="s">
        <v>651</v>
      </c>
      <c r="F1164" s="7"/>
      <c r="G1164" s="7"/>
      <c r="H1164" s="7"/>
      <c r="I1164" s="7"/>
      <c r="J1164" s="7"/>
      <c r="K1164" s="7"/>
      <c r="L1164" s="7" t="s">
        <v>663</v>
      </c>
      <c r="M1164" s="8">
        <v>44317</v>
      </c>
      <c r="N1164" s="8">
        <v>44317</v>
      </c>
      <c r="O1164" s="13"/>
      <c r="P1164" s="13">
        <v>10406.280000000001</v>
      </c>
      <c r="Q1164" s="33"/>
      <c r="R1164" s="22"/>
      <c r="S1164" s="22"/>
      <c r="T1164" s="22"/>
      <c r="U1164" s="22"/>
      <c r="X1164" s="15" t="str">
        <f>IF(B1164="",VLOOKUP(A1164,items_lookup!A:B,2,FALSE),B1164)</f>
        <v>12. Item 12</v>
      </c>
      <c r="Y1164" s="15">
        <f t="shared" si="107"/>
        <v>5</v>
      </c>
      <c r="Z1164" s="15">
        <f t="shared" si="107"/>
        <v>5</v>
      </c>
      <c r="AA1164" s="15">
        <f t="shared" si="103"/>
        <v>2021</v>
      </c>
      <c r="AB1164" s="15">
        <f t="shared" si="104"/>
        <v>2021</v>
      </c>
      <c r="AC1164" s="15">
        <f t="shared" si="105"/>
        <v>2021</v>
      </c>
      <c r="AD1164" s="18" t="b">
        <f t="shared" si="106"/>
        <v>1</v>
      </c>
    </row>
    <row r="1165" spans="1:30" ht="15" hidden="1" customHeight="1" x14ac:dyDescent="0.2">
      <c r="A1165" s="7" t="s">
        <v>670</v>
      </c>
      <c r="B1165" s="7"/>
      <c r="C1165" s="2" t="s">
        <v>648</v>
      </c>
      <c r="D1165" s="6" t="s">
        <v>649</v>
      </c>
      <c r="E1165" s="32" t="s">
        <v>651</v>
      </c>
      <c r="F1165" s="7"/>
      <c r="G1165" s="7"/>
      <c r="H1165" s="7"/>
      <c r="I1165" s="7"/>
      <c r="J1165" s="7"/>
      <c r="K1165" s="7"/>
      <c r="L1165" s="7" t="s">
        <v>663</v>
      </c>
      <c r="M1165" s="8">
        <v>44317</v>
      </c>
      <c r="N1165" s="8">
        <v>44317</v>
      </c>
      <c r="O1165" s="13"/>
      <c r="P1165" s="13">
        <v>30859.43</v>
      </c>
      <c r="Q1165" s="33"/>
      <c r="R1165" s="22"/>
      <c r="S1165" s="22"/>
      <c r="T1165" s="22"/>
      <c r="U1165" s="22"/>
      <c r="X1165" s="15" t="str">
        <f>IF(B1165="",VLOOKUP(A1165,items_lookup!A:B,2,FALSE),B1165)</f>
        <v>04. Item 04</v>
      </c>
      <c r="Y1165" s="15">
        <f t="shared" si="107"/>
        <v>5</v>
      </c>
      <c r="Z1165" s="15">
        <f t="shared" si="107"/>
        <v>5</v>
      </c>
      <c r="AA1165" s="15">
        <f t="shared" si="103"/>
        <v>2021</v>
      </c>
      <c r="AB1165" s="15">
        <f t="shared" si="104"/>
        <v>2021</v>
      </c>
      <c r="AC1165" s="15">
        <f t="shared" si="105"/>
        <v>2021</v>
      </c>
      <c r="AD1165" s="18" t="b">
        <f t="shared" si="106"/>
        <v>1</v>
      </c>
    </row>
    <row r="1166" spans="1:30" ht="15" hidden="1" customHeight="1" x14ac:dyDescent="0.2">
      <c r="A1166" s="7" t="s">
        <v>687</v>
      </c>
      <c r="B1166" s="20"/>
      <c r="C1166" s="2" t="s">
        <v>641</v>
      </c>
      <c r="D1166" s="6" t="s">
        <v>649</v>
      </c>
      <c r="E1166" s="32" t="s">
        <v>651</v>
      </c>
      <c r="F1166" s="7"/>
      <c r="G1166" s="7"/>
      <c r="H1166" s="7"/>
      <c r="I1166" s="7"/>
      <c r="J1166" s="7">
        <v>3</v>
      </c>
      <c r="K1166" s="7" t="s">
        <v>660</v>
      </c>
      <c r="L1166" s="7" t="s">
        <v>663</v>
      </c>
      <c r="M1166" s="8">
        <v>44330</v>
      </c>
      <c r="N1166" s="8">
        <v>44337</v>
      </c>
      <c r="O1166" s="13"/>
      <c r="P1166" s="13">
        <v>8686.2900000000009</v>
      </c>
      <c r="Q1166" s="33"/>
      <c r="R1166" s="22"/>
      <c r="S1166" s="22"/>
      <c r="T1166" s="22"/>
      <c r="U1166" s="22"/>
      <c r="X1166" s="15" t="str">
        <f>IF(B1166="",VLOOKUP(A1166,items_lookup!A:B,2,FALSE),B1166)</f>
        <v>14. Item 14</v>
      </c>
      <c r="Y1166" s="15">
        <f t="shared" si="107"/>
        <v>5</v>
      </c>
      <c r="Z1166" s="15">
        <f t="shared" si="107"/>
        <v>5</v>
      </c>
      <c r="AA1166" s="15">
        <f t="shared" si="103"/>
        <v>2021</v>
      </c>
      <c r="AB1166" s="15">
        <f t="shared" si="104"/>
        <v>2021</v>
      </c>
      <c r="AC1166" s="15">
        <f t="shared" si="105"/>
        <v>2021</v>
      </c>
      <c r="AD1166" s="18" t="b">
        <f t="shared" si="106"/>
        <v>1</v>
      </c>
    </row>
    <row r="1167" spans="1:30" ht="15.75" hidden="1" customHeight="1" x14ac:dyDescent="0.2">
      <c r="A1167" s="7" t="s">
        <v>689</v>
      </c>
      <c r="B1167" s="7"/>
      <c r="C1167" s="2" t="s">
        <v>641</v>
      </c>
      <c r="D1167" s="6" t="s">
        <v>649</v>
      </c>
      <c r="E1167" s="32" t="s">
        <v>651</v>
      </c>
      <c r="F1167" s="7"/>
      <c r="G1167" s="7"/>
      <c r="H1167" s="7"/>
      <c r="I1167" s="7"/>
      <c r="J1167" s="7">
        <v>3</v>
      </c>
      <c r="K1167" s="7" t="s">
        <v>660</v>
      </c>
      <c r="L1167" s="7" t="s">
        <v>663</v>
      </c>
      <c r="M1167" s="8">
        <v>44330</v>
      </c>
      <c r="N1167" s="8">
        <v>44342</v>
      </c>
      <c r="O1167" s="13"/>
      <c r="P1167" s="13">
        <v>73984.23</v>
      </c>
      <c r="Q1167" s="33"/>
      <c r="R1167" s="22"/>
      <c r="S1167" s="22"/>
      <c r="T1167" s="22"/>
      <c r="U1167" s="22"/>
      <c r="X1167" s="15" t="str">
        <f>IF(B1167="",VLOOKUP(A1167,items_lookup!A:B,2,FALSE),B1167)</f>
        <v>04. Item 04</v>
      </c>
      <c r="Y1167" s="15">
        <f t="shared" si="107"/>
        <v>5</v>
      </c>
      <c r="Z1167" s="15">
        <f t="shared" si="107"/>
        <v>5</v>
      </c>
      <c r="AA1167" s="15">
        <f t="shared" si="103"/>
        <v>2021</v>
      </c>
      <c r="AB1167" s="15">
        <f t="shared" si="104"/>
        <v>2021</v>
      </c>
      <c r="AC1167" s="15">
        <f t="shared" si="105"/>
        <v>2021</v>
      </c>
      <c r="AD1167" s="18" t="b">
        <f t="shared" si="106"/>
        <v>1</v>
      </c>
    </row>
    <row r="1168" spans="1:30" ht="15" hidden="1" customHeight="1" x14ac:dyDescent="0.2">
      <c r="A1168" s="7" t="s">
        <v>689</v>
      </c>
      <c r="B1168" s="7"/>
      <c r="C1168" s="2" t="s">
        <v>641</v>
      </c>
      <c r="D1168" s="6" t="s">
        <v>649</v>
      </c>
      <c r="E1168" s="32" t="s">
        <v>651</v>
      </c>
      <c r="F1168" s="7"/>
      <c r="G1168" s="7"/>
      <c r="H1168" s="7"/>
      <c r="I1168" s="7"/>
      <c r="J1168" s="7">
        <v>3</v>
      </c>
      <c r="K1168" s="7" t="s">
        <v>660</v>
      </c>
      <c r="L1168" s="7" t="s">
        <v>663</v>
      </c>
      <c r="M1168" s="8">
        <v>44330</v>
      </c>
      <c r="N1168" s="8">
        <v>44341</v>
      </c>
      <c r="O1168" s="13"/>
      <c r="P1168" s="13">
        <v>224503.2</v>
      </c>
      <c r="Q1168" s="33"/>
      <c r="R1168" s="22"/>
      <c r="S1168" s="22"/>
      <c r="T1168" s="22"/>
      <c r="U1168" s="22"/>
      <c r="X1168" s="15" t="str">
        <f>IF(B1168="",VLOOKUP(A1168,items_lookup!A:B,2,FALSE),B1168)</f>
        <v>04. Item 04</v>
      </c>
      <c r="Y1168" s="15">
        <f t="shared" si="107"/>
        <v>5</v>
      </c>
      <c r="Z1168" s="15">
        <f t="shared" si="107"/>
        <v>5</v>
      </c>
      <c r="AA1168" s="15">
        <f t="shared" si="103"/>
        <v>2021</v>
      </c>
      <c r="AB1168" s="15">
        <f t="shared" si="104"/>
        <v>2021</v>
      </c>
      <c r="AC1168" s="15">
        <f t="shared" si="105"/>
        <v>2021</v>
      </c>
      <c r="AD1168" s="18" t="b">
        <f t="shared" si="106"/>
        <v>1</v>
      </c>
    </row>
    <row r="1169" spans="1:30" ht="12.6" hidden="1" customHeight="1" x14ac:dyDescent="0.2">
      <c r="A1169" s="7" t="s">
        <v>678</v>
      </c>
      <c r="B1169" s="7"/>
      <c r="C1169" s="2" t="s">
        <v>641</v>
      </c>
      <c r="D1169" s="6" t="s">
        <v>649</v>
      </c>
      <c r="E1169" s="32" t="s">
        <v>651</v>
      </c>
      <c r="F1169" s="7"/>
      <c r="G1169" s="7"/>
      <c r="H1169" s="7"/>
      <c r="I1169" s="7" t="s">
        <v>20</v>
      </c>
      <c r="J1169" s="7">
        <v>3</v>
      </c>
      <c r="K1169" s="7" t="s">
        <v>660</v>
      </c>
      <c r="L1169" s="7" t="s">
        <v>663</v>
      </c>
      <c r="M1169" s="8">
        <v>44330</v>
      </c>
      <c r="N1169" s="8">
        <v>44341</v>
      </c>
      <c r="O1169" s="13"/>
      <c r="P1169" s="13">
        <v>466435.19</v>
      </c>
      <c r="Q1169" s="33"/>
      <c r="R1169" s="22"/>
      <c r="S1169" s="22"/>
      <c r="T1169" s="22"/>
      <c r="U1169" s="22"/>
      <c r="X1169" s="15" t="str">
        <f>IF(B1169="",VLOOKUP(A1169,items_lookup!A:B,2,FALSE),B1169)</f>
        <v>13. Item 13</v>
      </c>
      <c r="Y1169" s="15">
        <f t="shared" si="107"/>
        <v>5</v>
      </c>
      <c r="Z1169" s="15">
        <f t="shared" si="107"/>
        <v>5</v>
      </c>
      <c r="AA1169" s="15">
        <f t="shared" si="103"/>
        <v>2021</v>
      </c>
      <c r="AB1169" s="15">
        <f t="shared" si="104"/>
        <v>2021</v>
      </c>
      <c r="AC1169" s="15">
        <f t="shared" si="105"/>
        <v>2021</v>
      </c>
      <c r="AD1169" s="18" t="b">
        <f t="shared" si="106"/>
        <v>1</v>
      </c>
    </row>
    <row r="1170" spans="1:30" ht="12.6" hidden="1" customHeight="1" x14ac:dyDescent="0.2">
      <c r="A1170" s="7" t="s">
        <v>696</v>
      </c>
      <c r="B1170" s="20"/>
      <c r="C1170" s="2" t="s">
        <v>641</v>
      </c>
      <c r="D1170" s="6" t="s">
        <v>649</v>
      </c>
      <c r="E1170" s="32" t="s">
        <v>651</v>
      </c>
      <c r="F1170" s="7"/>
      <c r="G1170" s="7"/>
      <c r="H1170" s="7"/>
      <c r="I1170" s="7"/>
      <c r="J1170" s="7">
        <v>3</v>
      </c>
      <c r="K1170" s="7" t="s">
        <v>660</v>
      </c>
      <c r="L1170" s="7" t="s">
        <v>663</v>
      </c>
      <c r="M1170" s="8">
        <v>44330</v>
      </c>
      <c r="N1170" s="8">
        <v>44343</v>
      </c>
      <c r="O1170" s="13"/>
      <c r="P1170" s="13">
        <v>219.24</v>
      </c>
      <c r="Q1170" s="33"/>
      <c r="R1170" s="22"/>
      <c r="S1170" s="22"/>
      <c r="T1170" s="22"/>
      <c r="U1170" s="22"/>
      <c r="X1170" s="15" t="str">
        <f>IF(B1170="",VLOOKUP(A1170,items_lookup!A:B,2,FALSE),B1170)</f>
        <v>13. Item 13</v>
      </c>
      <c r="Y1170" s="15">
        <f t="shared" si="107"/>
        <v>5</v>
      </c>
      <c r="Z1170" s="15">
        <f t="shared" si="107"/>
        <v>5</v>
      </c>
      <c r="AA1170" s="15">
        <f t="shared" si="103"/>
        <v>2021</v>
      </c>
      <c r="AB1170" s="15">
        <f t="shared" si="104"/>
        <v>2021</v>
      </c>
      <c r="AC1170" s="15">
        <f t="shared" si="105"/>
        <v>2021</v>
      </c>
      <c r="AD1170" s="18" t="b">
        <f t="shared" si="106"/>
        <v>1</v>
      </c>
    </row>
    <row r="1171" spans="1:30" ht="15.75" hidden="1" customHeight="1" x14ac:dyDescent="0.2">
      <c r="A1171" s="7" t="s">
        <v>678</v>
      </c>
      <c r="B1171" s="20"/>
      <c r="C1171" s="2" t="s">
        <v>641</v>
      </c>
      <c r="D1171" s="6" t="s">
        <v>649</v>
      </c>
      <c r="E1171" s="32" t="s">
        <v>651</v>
      </c>
      <c r="F1171" s="7"/>
      <c r="G1171" s="7"/>
      <c r="H1171" s="7"/>
      <c r="I1171" s="7" t="s">
        <v>20</v>
      </c>
      <c r="J1171" s="7">
        <v>3</v>
      </c>
      <c r="K1171" s="7" t="s">
        <v>660</v>
      </c>
      <c r="L1171" s="7" t="s">
        <v>663</v>
      </c>
      <c r="M1171" s="8">
        <v>44330</v>
      </c>
      <c r="N1171" s="8">
        <v>44343</v>
      </c>
      <c r="O1171" s="13"/>
      <c r="P1171" s="13">
        <v>39385.370000000003</v>
      </c>
      <c r="Q1171" s="33"/>
      <c r="R1171" s="9"/>
      <c r="S1171" s="9"/>
      <c r="T1171" s="9"/>
      <c r="U1171" s="9"/>
      <c r="X1171" s="15" t="str">
        <f>IF(B1171="",VLOOKUP(A1171,items_lookup!A:B,2,FALSE),B1171)</f>
        <v>13. Item 13</v>
      </c>
      <c r="Y1171" s="15">
        <f t="shared" si="107"/>
        <v>5</v>
      </c>
      <c r="Z1171" s="15">
        <f t="shared" si="107"/>
        <v>5</v>
      </c>
      <c r="AA1171" s="15">
        <f t="shared" si="103"/>
        <v>2021</v>
      </c>
      <c r="AB1171" s="15">
        <f t="shared" si="104"/>
        <v>2021</v>
      </c>
      <c r="AC1171" s="15">
        <f t="shared" si="105"/>
        <v>2021</v>
      </c>
      <c r="AD1171" s="18" t="b">
        <f t="shared" si="106"/>
        <v>1</v>
      </c>
    </row>
    <row r="1172" spans="1:30" ht="15" hidden="1" customHeight="1" x14ac:dyDescent="0.2">
      <c r="A1172" s="7" t="s">
        <v>696</v>
      </c>
      <c r="B1172" s="20"/>
      <c r="C1172" s="2" t="s">
        <v>641</v>
      </c>
      <c r="D1172" s="6" t="s">
        <v>649</v>
      </c>
      <c r="E1172" s="32" t="s">
        <v>651</v>
      </c>
      <c r="F1172" s="7"/>
      <c r="G1172" s="7"/>
      <c r="H1172" s="7"/>
      <c r="I1172" s="7"/>
      <c r="J1172" s="7">
        <v>3</v>
      </c>
      <c r="K1172" s="7" t="s">
        <v>660</v>
      </c>
      <c r="L1172" s="7" t="s">
        <v>663</v>
      </c>
      <c r="M1172" s="8">
        <v>44330</v>
      </c>
      <c r="N1172" s="8">
        <v>44343</v>
      </c>
      <c r="O1172" s="13"/>
      <c r="P1172" s="13">
        <v>67577.399999999994</v>
      </c>
      <c r="Q1172" s="33"/>
      <c r="R1172" s="9"/>
      <c r="S1172" s="9"/>
      <c r="T1172" s="9"/>
      <c r="U1172" s="9"/>
      <c r="X1172" s="15" t="str">
        <f>IF(B1172="",VLOOKUP(A1172,items_lookup!A:B,2,FALSE),B1172)</f>
        <v>13. Item 13</v>
      </c>
      <c r="Y1172" s="15">
        <f t="shared" si="107"/>
        <v>5</v>
      </c>
      <c r="Z1172" s="15">
        <f t="shared" si="107"/>
        <v>5</v>
      </c>
      <c r="AA1172" s="15">
        <f t="shared" si="103"/>
        <v>2021</v>
      </c>
      <c r="AB1172" s="15">
        <f t="shared" si="104"/>
        <v>2021</v>
      </c>
      <c r="AC1172" s="15">
        <f t="shared" si="105"/>
        <v>2021</v>
      </c>
      <c r="AD1172" s="18" t="b">
        <f t="shared" si="106"/>
        <v>1</v>
      </c>
    </row>
    <row r="1173" spans="1:30" ht="15" hidden="1" customHeight="1" x14ac:dyDescent="0.2">
      <c r="A1173" s="7" t="s">
        <v>682</v>
      </c>
      <c r="B1173" s="7"/>
      <c r="C1173" s="2" t="s">
        <v>641</v>
      </c>
      <c r="D1173" s="6" t="s">
        <v>649</v>
      </c>
      <c r="E1173" s="32" t="s">
        <v>651</v>
      </c>
      <c r="F1173" s="7"/>
      <c r="G1173" s="7"/>
      <c r="H1173" s="7"/>
      <c r="I1173" s="7"/>
      <c r="J1173" s="7">
        <v>3</v>
      </c>
      <c r="K1173" s="7" t="s">
        <v>660</v>
      </c>
      <c r="L1173" s="7" t="s">
        <v>663</v>
      </c>
      <c r="M1173" s="8">
        <v>44330</v>
      </c>
      <c r="N1173" s="8">
        <v>44340</v>
      </c>
      <c r="O1173" s="13"/>
      <c r="P1173" s="13">
        <v>34735.15</v>
      </c>
      <c r="Q1173" s="33"/>
      <c r="R1173" s="22"/>
      <c r="S1173" s="22"/>
      <c r="T1173" s="22"/>
      <c r="U1173" s="22"/>
      <c r="X1173" s="15" t="str">
        <f>IF(B1173="",VLOOKUP(A1173,items_lookup!A:B,2,FALSE),B1173)</f>
        <v>06. Item 06</v>
      </c>
      <c r="Y1173" s="15">
        <f t="shared" si="107"/>
        <v>5</v>
      </c>
      <c r="Z1173" s="15">
        <f t="shared" si="107"/>
        <v>5</v>
      </c>
      <c r="AA1173" s="15">
        <f t="shared" si="103"/>
        <v>2021</v>
      </c>
      <c r="AB1173" s="15">
        <f t="shared" si="104"/>
        <v>2021</v>
      </c>
      <c r="AC1173" s="15">
        <f t="shared" si="105"/>
        <v>2021</v>
      </c>
      <c r="AD1173" s="18" t="b">
        <f t="shared" si="106"/>
        <v>1</v>
      </c>
    </row>
    <row r="1174" spans="1:30" ht="12.6" hidden="1" customHeight="1" x14ac:dyDescent="0.2">
      <c r="A1174" s="7" t="s">
        <v>682</v>
      </c>
      <c r="B1174" s="7"/>
      <c r="C1174" s="2" t="s">
        <v>641</v>
      </c>
      <c r="D1174" s="6" t="s">
        <v>649</v>
      </c>
      <c r="E1174" s="32" t="s">
        <v>651</v>
      </c>
      <c r="F1174" s="7"/>
      <c r="G1174" s="7"/>
      <c r="H1174" s="7"/>
      <c r="I1174" s="7"/>
      <c r="J1174" s="7">
        <v>3</v>
      </c>
      <c r="K1174" s="7" t="s">
        <v>660</v>
      </c>
      <c r="L1174" s="7" t="s">
        <v>663</v>
      </c>
      <c r="M1174" s="8">
        <v>44330</v>
      </c>
      <c r="N1174" s="8">
        <v>44337</v>
      </c>
      <c r="O1174" s="13"/>
      <c r="P1174" s="13">
        <v>411191.41</v>
      </c>
      <c r="Q1174" s="33"/>
      <c r="R1174" s="22"/>
      <c r="S1174" s="22"/>
      <c r="T1174" s="22"/>
      <c r="U1174" s="22"/>
      <c r="X1174" s="15" t="str">
        <f>IF(B1174="",VLOOKUP(A1174,items_lookup!A:B,2,FALSE),B1174)</f>
        <v>06. Item 06</v>
      </c>
      <c r="Y1174" s="15">
        <f t="shared" si="107"/>
        <v>5</v>
      </c>
      <c r="Z1174" s="15">
        <f t="shared" si="107"/>
        <v>5</v>
      </c>
      <c r="AA1174" s="15">
        <f t="shared" si="103"/>
        <v>2021</v>
      </c>
      <c r="AB1174" s="15">
        <f t="shared" si="104"/>
        <v>2021</v>
      </c>
      <c r="AC1174" s="15">
        <f t="shared" si="105"/>
        <v>2021</v>
      </c>
      <c r="AD1174" s="18" t="b">
        <f t="shared" si="106"/>
        <v>1</v>
      </c>
    </row>
    <row r="1175" spans="1:30" ht="11.25" hidden="1" customHeight="1" x14ac:dyDescent="0.2">
      <c r="A1175" s="7" t="s">
        <v>674</v>
      </c>
      <c r="B1175" s="7"/>
      <c r="C1175" s="2" t="s">
        <v>641</v>
      </c>
      <c r="D1175" s="6" t="s">
        <v>649</v>
      </c>
      <c r="E1175" s="32" t="s">
        <v>651</v>
      </c>
      <c r="F1175" s="7"/>
      <c r="G1175" s="7"/>
      <c r="H1175" s="7"/>
      <c r="I1175" s="7" t="s">
        <v>20</v>
      </c>
      <c r="J1175" s="7">
        <v>3</v>
      </c>
      <c r="K1175" s="7" t="s">
        <v>660</v>
      </c>
      <c r="L1175" s="7" t="s">
        <v>663</v>
      </c>
      <c r="M1175" s="8">
        <v>44330</v>
      </c>
      <c r="N1175" s="8">
        <v>44336</v>
      </c>
      <c r="O1175" s="13"/>
      <c r="P1175" s="13">
        <v>2109.81</v>
      </c>
      <c r="Q1175" s="33"/>
      <c r="R1175" s="22"/>
      <c r="S1175" s="22"/>
      <c r="T1175" s="22"/>
      <c r="U1175" s="22"/>
      <c r="X1175" s="15" t="str">
        <f>IF(B1175="",VLOOKUP(A1175,items_lookup!A:B,2,FALSE),B1175)</f>
        <v>08. Item 08</v>
      </c>
      <c r="Y1175" s="15">
        <f t="shared" si="107"/>
        <v>5</v>
      </c>
      <c r="Z1175" s="15">
        <f t="shared" si="107"/>
        <v>5</v>
      </c>
      <c r="AA1175" s="15">
        <f t="shared" si="103"/>
        <v>2021</v>
      </c>
      <c r="AB1175" s="15">
        <f t="shared" si="104"/>
        <v>2021</v>
      </c>
      <c r="AC1175" s="15">
        <f t="shared" si="105"/>
        <v>2021</v>
      </c>
      <c r="AD1175" s="18" t="b">
        <f t="shared" si="106"/>
        <v>1</v>
      </c>
    </row>
    <row r="1176" spans="1:30" ht="16.5" hidden="1" customHeight="1" x14ac:dyDescent="0.2">
      <c r="A1176" s="7" t="s">
        <v>673</v>
      </c>
      <c r="B1176" s="7"/>
      <c r="C1176" s="2" t="s">
        <v>641</v>
      </c>
      <c r="D1176" s="6" t="s">
        <v>649</v>
      </c>
      <c r="E1176" s="32" t="s">
        <v>651</v>
      </c>
      <c r="F1176" s="7"/>
      <c r="G1176" s="7"/>
      <c r="H1176" s="7"/>
      <c r="I1176" s="7"/>
      <c r="J1176" s="7">
        <v>3</v>
      </c>
      <c r="K1176" s="7" t="s">
        <v>660</v>
      </c>
      <c r="L1176" s="7" t="s">
        <v>663</v>
      </c>
      <c r="M1176" s="8">
        <v>44330</v>
      </c>
      <c r="N1176" s="8">
        <v>44336</v>
      </c>
      <c r="O1176" s="13"/>
      <c r="P1176" s="13">
        <v>6388.1</v>
      </c>
      <c r="Q1176" s="33"/>
      <c r="R1176" s="22"/>
      <c r="S1176" s="22"/>
      <c r="T1176" s="22"/>
      <c r="U1176" s="22"/>
      <c r="X1176" s="15" t="str">
        <f>IF(B1176="",VLOOKUP(A1176,items_lookup!A:B,2,FALSE),B1176)</f>
        <v>07. Item 07</v>
      </c>
      <c r="Y1176" s="15">
        <f t="shared" si="107"/>
        <v>5</v>
      </c>
      <c r="Z1176" s="15">
        <f t="shared" si="107"/>
        <v>5</v>
      </c>
      <c r="AA1176" s="15">
        <f t="shared" si="103"/>
        <v>2021</v>
      </c>
      <c r="AB1176" s="15">
        <f t="shared" si="104"/>
        <v>2021</v>
      </c>
      <c r="AC1176" s="15">
        <f t="shared" si="105"/>
        <v>2021</v>
      </c>
      <c r="AD1176" s="18" t="b">
        <f t="shared" si="106"/>
        <v>1</v>
      </c>
    </row>
    <row r="1177" spans="1:30" ht="12.6" hidden="1" customHeight="1" x14ac:dyDescent="0.2">
      <c r="A1177" s="7" t="s">
        <v>671</v>
      </c>
      <c r="B1177" s="7"/>
      <c r="C1177" s="2" t="s">
        <v>641</v>
      </c>
      <c r="D1177" s="6" t="s">
        <v>649</v>
      </c>
      <c r="E1177" s="32" t="s">
        <v>651</v>
      </c>
      <c r="F1177" s="7"/>
      <c r="G1177" s="7"/>
      <c r="H1177" s="7"/>
      <c r="I1177" s="7"/>
      <c r="J1177" s="7">
        <v>3</v>
      </c>
      <c r="K1177" s="7" t="s">
        <v>660</v>
      </c>
      <c r="L1177" s="7" t="s">
        <v>663</v>
      </c>
      <c r="M1177" s="8">
        <v>44330</v>
      </c>
      <c r="N1177" s="8">
        <v>44335</v>
      </c>
      <c r="O1177" s="13"/>
      <c r="P1177" s="13">
        <v>33633.25</v>
      </c>
      <c r="Q1177" s="33"/>
      <c r="R1177" s="22"/>
      <c r="S1177" s="22"/>
      <c r="T1177" s="22"/>
      <c r="U1177" s="22"/>
      <c r="X1177" s="15" t="str">
        <f>IF(B1177="",VLOOKUP(A1177,items_lookup!A:B,2,FALSE),B1177)</f>
        <v>05. Item 05</v>
      </c>
      <c r="Y1177" s="15">
        <f t="shared" si="107"/>
        <v>5</v>
      </c>
      <c r="Z1177" s="15">
        <f t="shared" si="107"/>
        <v>5</v>
      </c>
      <c r="AA1177" s="15">
        <f t="shared" si="103"/>
        <v>2021</v>
      </c>
      <c r="AB1177" s="15">
        <f t="shared" si="104"/>
        <v>2021</v>
      </c>
      <c r="AC1177" s="15">
        <f t="shared" si="105"/>
        <v>2021</v>
      </c>
      <c r="AD1177" s="18" t="b">
        <f t="shared" si="106"/>
        <v>1</v>
      </c>
    </row>
    <row r="1178" spans="1:30" ht="12.6" hidden="1" customHeight="1" x14ac:dyDescent="0.2">
      <c r="A1178" s="7" t="s">
        <v>684</v>
      </c>
      <c r="B1178" s="7"/>
      <c r="C1178" s="2" t="s">
        <v>641</v>
      </c>
      <c r="D1178" s="6" t="s">
        <v>649</v>
      </c>
      <c r="E1178" s="32" t="s">
        <v>651</v>
      </c>
      <c r="F1178" s="7"/>
      <c r="G1178" s="7"/>
      <c r="H1178" s="7"/>
      <c r="I1178" s="7"/>
      <c r="J1178" s="7"/>
      <c r="K1178" s="7" t="s">
        <v>660</v>
      </c>
      <c r="L1178" s="7" t="s">
        <v>663</v>
      </c>
      <c r="M1178" s="8">
        <v>44335</v>
      </c>
      <c r="N1178" s="8">
        <v>44335</v>
      </c>
      <c r="O1178" s="13"/>
      <c r="P1178" s="13">
        <v>33633.25</v>
      </c>
      <c r="Q1178" s="33"/>
      <c r="R1178" s="22"/>
      <c r="S1178" s="22"/>
      <c r="T1178" s="22"/>
      <c r="U1178" s="22"/>
      <c r="X1178" s="15" t="str">
        <f>IF(B1178="",VLOOKUP(A1178,items_lookup!A:B,2,FALSE),B1178)</f>
        <v>09. Item 09</v>
      </c>
      <c r="Y1178" s="15">
        <f t="shared" si="107"/>
        <v>5</v>
      </c>
      <c r="Z1178" s="15">
        <f t="shared" si="107"/>
        <v>5</v>
      </c>
      <c r="AA1178" s="15">
        <f t="shared" si="103"/>
        <v>2021</v>
      </c>
      <c r="AB1178" s="15">
        <f t="shared" si="104"/>
        <v>2021</v>
      </c>
      <c r="AC1178" s="15">
        <f t="shared" si="105"/>
        <v>2021</v>
      </c>
      <c r="AD1178" s="18" t="b">
        <f t="shared" si="106"/>
        <v>1</v>
      </c>
    </row>
    <row r="1179" spans="1:30" ht="15" hidden="1" customHeight="1" x14ac:dyDescent="0.2">
      <c r="A1179" s="7" t="s">
        <v>670</v>
      </c>
      <c r="B1179" s="7"/>
      <c r="C1179" s="2" t="s">
        <v>641</v>
      </c>
      <c r="D1179" s="6" t="s">
        <v>649</v>
      </c>
      <c r="E1179" s="32" t="s">
        <v>651</v>
      </c>
      <c r="F1179" s="7"/>
      <c r="G1179" s="7"/>
      <c r="H1179" s="7"/>
      <c r="I1179" s="7"/>
      <c r="J1179" s="7"/>
      <c r="K1179" s="7" t="s">
        <v>660</v>
      </c>
      <c r="L1179" s="7" t="s">
        <v>663</v>
      </c>
      <c r="M1179" s="8">
        <v>44336</v>
      </c>
      <c r="N1179" s="8">
        <v>44336</v>
      </c>
      <c r="O1179" s="13"/>
      <c r="P1179" s="13">
        <v>91417.24</v>
      </c>
      <c r="Q1179" s="33"/>
      <c r="R1179" s="22"/>
      <c r="S1179" s="22"/>
      <c r="T1179" s="22"/>
      <c r="U1179" s="22"/>
      <c r="X1179" s="15" t="str">
        <f>IF(B1179="",VLOOKUP(A1179,items_lookup!A:B,2,FALSE),B1179)</f>
        <v>04. Item 04</v>
      </c>
      <c r="Y1179" s="15">
        <f t="shared" si="107"/>
        <v>5</v>
      </c>
      <c r="Z1179" s="15">
        <f t="shared" si="107"/>
        <v>5</v>
      </c>
      <c r="AA1179" s="15">
        <f t="shared" si="103"/>
        <v>2021</v>
      </c>
      <c r="AB1179" s="15">
        <f t="shared" si="104"/>
        <v>2021</v>
      </c>
      <c r="AC1179" s="15">
        <f t="shared" si="105"/>
        <v>2021</v>
      </c>
      <c r="AD1179" s="18" t="b">
        <f t="shared" si="106"/>
        <v>1</v>
      </c>
    </row>
    <row r="1180" spans="1:30" ht="15" hidden="1" customHeight="1" x14ac:dyDescent="0.2">
      <c r="A1180" s="7" t="s">
        <v>670</v>
      </c>
      <c r="B1180" s="7"/>
      <c r="C1180" s="2" t="s">
        <v>641</v>
      </c>
      <c r="D1180" s="6" t="s">
        <v>649</v>
      </c>
      <c r="E1180" s="32" t="s">
        <v>651</v>
      </c>
      <c r="F1180" s="7"/>
      <c r="G1180" s="7"/>
      <c r="H1180" s="7"/>
      <c r="I1180" s="7"/>
      <c r="J1180" s="7"/>
      <c r="K1180" s="7" t="s">
        <v>660</v>
      </c>
      <c r="L1180" s="7" t="s">
        <v>663</v>
      </c>
      <c r="M1180" s="8">
        <v>44337</v>
      </c>
      <c r="N1180" s="8">
        <v>44337</v>
      </c>
      <c r="O1180" s="13"/>
      <c r="P1180" s="13">
        <v>4986919.5199999996</v>
      </c>
      <c r="Q1180" s="33"/>
      <c r="R1180" s="22"/>
      <c r="S1180" s="22"/>
      <c r="T1180" s="22"/>
      <c r="U1180" s="22"/>
      <c r="X1180" s="15" t="str">
        <f>IF(B1180="",VLOOKUP(A1180,items_lookup!A:B,2,FALSE),B1180)</f>
        <v>04. Item 04</v>
      </c>
      <c r="Y1180" s="15">
        <f t="shared" si="107"/>
        <v>5</v>
      </c>
      <c r="Z1180" s="15">
        <f t="shared" si="107"/>
        <v>5</v>
      </c>
      <c r="AA1180" s="15">
        <f t="shared" si="103"/>
        <v>2021</v>
      </c>
      <c r="AB1180" s="15">
        <f t="shared" si="104"/>
        <v>2021</v>
      </c>
      <c r="AC1180" s="15">
        <f t="shared" si="105"/>
        <v>2021</v>
      </c>
      <c r="AD1180" s="18" t="b">
        <f t="shared" si="106"/>
        <v>1</v>
      </c>
    </row>
    <row r="1181" spans="1:30" ht="15" hidden="1" customHeight="1" x14ac:dyDescent="0.2">
      <c r="A1181" s="7" t="s">
        <v>672</v>
      </c>
      <c r="B1181" s="7"/>
      <c r="C1181" s="2" t="s">
        <v>641</v>
      </c>
      <c r="D1181" s="6" t="s">
        <v>649</v>
      </c>
      <c r="E1181" s="32" t="s">
        <v>651</v>
      </c>
      <c r="F1181" s="7"/>
      <c r="G1181" s="7"/>
      <c r="H1181" s="7"/>
      <c r="I1181" s="7"/>
      <c r="J1181" s="7"/>
      <c r="K1181" s="7" t="s">
        <v>660</v>
      </c>
      <c r="L1181" s="7" t="s">
        <v>663</v>
      </c>
      <c r="M1181" s="8">
        <v>44340</v>
      </c>
      <c r="N1181" s="8">
        <v>44340</v>
      </c>
      <c r="O1181" s="13"/>
      <c r="P1181" s="13">
        <v>30859.43</v>
      </c>
      <c r="Q1181" s="33"/>
      <c r="R1181" s="22"/>
      <c r="S1181" s="22"/>
      <c r="T1181" s="22"/>
      <c r="U1181" s="22"/>
      <c r="X1181" s="15" t="str">
        <f>IF(B1181="",VLOOKUP(A1181,items_lookup!A:B,2,FALSE),B1181)</f>
        <v>05. Item 05</v>
      </c>
      <c r="Y1181" s="15">
        <f t="shared" si="107"/>
        <v>5</v>
      </c>
      <c r="Z1181" s="15">
        <f t="shared" si="107"/>
        <v>5</v>
      </c>
      <c r="AA1181" s="15">
        <f t="shared" si="103"/>
        <v>2021</v>
      </c>
      <c r="AB1181" s="15">
        <f t="shared" si="104"/>
        <v>2021</v>
      </c>
      <c r="AC1181" s="15">
        <f t="shared" si="105"/>
        <v>2021</v>
      </c>
      <c r="AD1181" s="18" t="b">
        <f t="shared" si="106"/>
        <v>1</v>
      </c>
    </row>
    <row r="1182" spans="1:30" ht="15" hidden="1" customHeight="1" x14ac:dyDescent="0.2">
      <c r="A1182" s="7" t="s">
        <v>672</v>
      </c>
      <c r="B1182" s="7"/>
      <c r="C1182" s="2" t="s">
        <v>641</v>
      </c>
      <c r="D1182" s="6" t="s">
        <v>650</v>
      </c>
      <c r="E1182" s="32" t="s">
        <v>651</v>
      </c>
      <c r="F1182" s="7"/>
      <c r="G1182" s="7"/>
      <c r="H1182" s="7"/>
      <c r="I1182" s="7"/>
      <c r="J1182" s="7">
        <v>4</v>
      </c>
      <c r="K1182" s="7" t="s">
        <v>660</v>
      </c>
      <c r="L1182" s="7" t="s">
        <v>663</v>
      </c>
      <c r="M1182" s="8">
        <v>44331</v>
      </c>
      <c r="N1182" s="8">
        <v>44340</v>
      </c>
      <c r="O1182" s="13"/>
      <c r="P1182" s="13">
        <v>30859.43</v>
      </c>
      <c r="Q1182" s="33"/>
      <c r="R1182" s="22"/>
      <c r="S1182" s="22"/>
      <c r="T1182" s="22"/>
      <c r="U1182" s="22"/>
      <c r="X1182" s="15" t="str">
        <f>IF(B1182="",VLOOKUP(A1182,items_lookup!A:B,2,FALSE),B1182)</f>
        <v>05. Item 05</v>
      </c>
      <c r="Y1182" s="15">
        <f t="shared" si="107"/>
        <v>5</v>
      </c>
      <c r="Z1182" s="15">
        <f t="shared" si="107"/>
        <v>5</v>
      </c>
      <c r="AA1182" s="15">
        <f t="shared" si="103"/>
        <v>2021</v>
      </c>
      <c r="AB1182" s="15">
        <f t="shared" si="104"/>
        <v>2021</v>
      </c>
      <c r="AC1182" s="15">
        <f t="shared" si="105"/>
        <v>2021</v>
      </c>
      <c r="AD1182" s="18" t="b">
        <f t="shared" si="106"/>
        <v>1</v>
      </c>
    </row>
    <row r="1183" spans="1:30" ht="12.6" hidden="1" customHeight="1" x14ac:dyDescent="0.2">
      <c r="A1183" s="7" t="s">
        <v>677</v>
      </c>
      <c r="B1183" s="7"/>
      <c r="C1183" s="2" t="s">
        <v>641</v>
      </c>
      <c r="D1183" s="6" t="s">
        <v>649</v>
      </c>
      <c r="E1183" s="32" t="s">
        <v>651</v>
      </c>
      <c r="F1183" s="7"/>
      <c r="G1183" s="7"/>
      <c r="H1183" s="7"/>
      <c r="I1183" s="7"/>
      <c r="J1183" s="7"/>
      <c r="K1183" s="7" t="s">
        <v>660</v>
      </c>
      <c r="L1183" s="7" t="s">
        <v>663</v>
      </c>
      <c r="M1183" s="8">
        <v>44340</v>
      </c>
      <c r="N1183" s="8">
        <v>44340</v>
      </c>
      <c r="O1183" s="13"/>
      <c r="P1183" s="13">
        <v>311080.96000000002</v>
      </c>
      <c r="Q1183" s="33"/>
      <c r="R1183" s="22"/>
      <c r="S1183" s="22"/>
      <c r="T1183" s="22"/>
      <c r="U1183" s="22"/>
      <c r="X1183" s="15" t="str">
        <f>IF(B1183="",VLOOKUP(A1183,items_lookup!A:B,2,FALSE),B1183)</f>
        <v>11. Item 11</v>
      </c>
      <c r="Y1183" s="15">
        <f t="shared" si="107"/>
        <v>5</v>
      </c>
      <c r="Z1183" s="15">
        <f t="shared" si="107"/>
        <v>5</v>
      </c>
      <c r="AA1183" s="15">
        <f t="shared" si="103"/>
        <v>2021</v>
      </c>
      <c r="AB1183" s="15">
        <f t="shared" si="104"/>
        <v>2021</v>
      </c>
      <c r="AC1183" s="15">
        <f t="shared" si="105"/>
        <v>2021</v>
      </c>
      <c r="AD1183" s="18" t="b">
        <f t="shared" si="106"/>
        <v>1</v>
      </c>
    </row>
    <row r="1184" spans="1:30" ht="15" hidden="1" customHeight="1" x14ac:dyDescent="0.2">
      <c r="A1184" s="7" t="s">
        <v>677</v>
      </c>
      <c r="B1184" s="7"/>
      <c r="C1184" s="2" t="s">
        <v>641</v>
      </c>
      <c r="D1184" s="6" t="s">
        <v>649</v>
      </c>
      <c r="E1184" s="32" t="s">
        <v>651</v>
      </c>
      <c r="F1184" s="7"/>
      <c r="G1184" s="7"/>
      <c r="H1184" s="7"/>
      <c r="I1184" s="7"/>
      <c r="J1184" s="7"/>
      <c r="K1184" s="7" t="s">
        <v>660</v>
      </c>
      <c r="L1184" s="7" t="s">
        <v>663</v>
      </c>
      <c r="M1184" s="8">
        <v>44341</v>
      </c>
      <c r="N1184" s="8">
        <v>44341</v>
      </c>
      <c r="O1184" s="13"/>
      <c r="P1184" s="13">
        <v>6775217.79</v>
      </c>
      <c r="Q1184" s="33"/>
      <c r="R1184" s="22"/>
      <c r="S1184" s="22"/>
      <c r="T1184" s="22"/>
      <c r="U1184" s="22"/>
      <c r="X1184" s="15" t="str">
        <f>IF(B1184="",VLOOKUP(A1184,items_lookup!A:B,2,FALSE),B1184)</f>
        <v>11. Item 11</v>
      </c>
      <c r="Y1184" s="15">
        <f t="shared" si="107"/>
        <v>5</v>
      </c>
      <c r="Z1184" s="15">
        <f t="shared" si="107"/>
        <v>5</v>
      </c>
      <c r="AA1184" s="15">
        <f t="shared" si="103"/>
        <v>2021</v>
      </c>
      <c r="AB1184" s="15">
        <f t="shared" si="104"/>
        <v>2021</v>
      </c>
      <c r="AC1184" s="15">
        <f t="shared" si="105"/>
        <v>2021</v>
      </c>
      <c r="AD1184" s="18" t="b">
        <f t="shared" si="106"/>
        <v>1</v>
      </c>
    </row>
    <row r="1185" spans="1:30" ht="15" hidden="1" customHeight="1" x14ac:dyDescent="0.2">
      <c r="A1185" s="7" t="s">
        <v>676</v>
      </c>
      <c r="B1185" s="7"/>
      <c r="C1185" s="2" t="s">
        <v>641</v>
      </c>
      <c r="D1185" s="6" t="s">
        <v>649</v>
      </c>
      <c r="E1185" s="32" t="s">
        <v>651</v>
      </c>
      <c r="F1185" s="7"/>
      <c r="G1185" s="7"/>
      <c r="H1185" s="7"/>
      <c r="I1185" s="7"/>
      <c r="J1185" s="7"/>
      <c r="K1185" s="7" t="s">
        <v>660</v>
      </c>
      <c r="L1185" s="7" t="s">
        <v>663</v>
      </c>
      <c r="M1185" s="8">
        <v>44342</v>
      </c>
      <c r="N1185" s="8">
        <v>44342</v>
      </c>
      <c r="O1185" s="13"/>
      <c r="P1185" s="13">
        <v>1314440.82</v>
      </c>
      <c r="Q1185" s="33"/>
      <c r="R1185" s="22"/>
      <c r="S1185" s="22"/>
      <c r="T1185" s="22"/>
      <c r="U1185" s="22"/>
      <c r="X1185" s="15" t="str">
        <f>IF(B1185="",VLOOKUP(A1185,items_lookup!A:B,2,FALSE),B1185)</f>
        <v>09. Item 09</v>
      </c>
      <c r="Y1185" s="15">
        <f t="shared" si="107"/>
        <v>5</v>
      </c>
      <c r="Z1185" s="15">
        <f t="shared" si="107"/>
        <v>5</v>
      </c>
      <c r="AA1185" s="15">
        <f t="shared" si="103"/>
        <v>2021</v>
      </c>
      <c r="AB1185" s="15">
        <f t="shared" si="104"/>
        <v>2021</v>
      </c>
      <c r="AC1185" s="15">
        <f t="shared" si="105"/>
        <v>2021</v>
      </c>
      <c r="AD1185" s="18" t="b">
        <f t="shared" si="106"/>
        <v>1</v>
      </c>
    </row>
    <row r="1186" spans="1:30" ht="15" hidden="1" customHeight="1" x14ac:dyDescent="0.2">
      <c r="A1186" s="7" t="s">
        <v>688</v>
      </c>
      <c r="B1186" s="7"/>
      <c r="C1186" s="2" t="s">
        <v>641</v>
      </c>
      <c r="D1186" s="6" t="s">
        <v>649</v>
      </c>
      <c r="E1186" s="32" t="s">
        <v>651</v>
      </c>
      <c r="F1186" s="7"/>
      <c r="G1186" s="7"/>
      <c r="H1186" s="7"/>
      <c r="I1186" s="7"/>
      <c r="J1186" s="7"/>
      <c r="K1186" s="7" t="s">
        <v>660</v>
      </c>
      <c r="L1186" s="7" t="s">
        <v>663</v>
      </c>
      <c r="M1186" s="8">
        <v>44343</v>
      </c>
      <c r="N1186" s="8">
        <v>44343</v>
      </c>
      <c r="O1186" s="13"/>
      <c r="P1186" s="13">
        <v>1216818.78</v>
      </c>
      <c r="Q1186" s="33"/>
      <c r="R1186" s="22"/>
      <c r="S1186" s="22"/>
      <c r="T1186" s="22"/>
      <c r="U1186" s="22"/>
      <c r="X1186" s="15" t="str">
        <f>IF(B1186="",VLOOKUP(A1186,items_lookup!A:B,2,FALSE),B1186)</f>
        <v>09. Item 09</v>
      </c>
      <c r="Y1186" s="15">
        <f t="shared" si="107"/>
        <v>5</v>
      </c>
      <c r="Z1186" s="15">
        <f t="shared" si="107"/>
        <v>5</v>
      </c>
      <c r="AA1186" s="15">
        <f t="shared" si="103"/>
        <v>2021</v>
      </c>
      <c r="AB1186" s="15">
        <f t="shared" si="104"/>
        <v>2021</v>
      </c>
      <c r="AC1186" s="15">
        <f t="shared" si="105"/>
        <v>2021</v>
      </c>
      <c r="AD1186" s="18" t="b">
        <f t="shared" si="106"/>
        <v>1</v>
      </c>
    </row>
    <row r="1187" spans="1:30" ht="15" hidden="1" customHeight="1" x14ac:dyDescent="0.2">
      <c r="A1187" s="7" t="s">
        <v>675</v>
      </c>
      <c r="B1187" s="20"/>
      <c r="C1187" s="2" t="s">
        <v>641</v>
      </c>
      <c r="D1187" s="6" t="s">
        <v>649</v>
      </c>
      <c r="E1187" s="32" t="s">
        <v>651</v>
      </c>
      <c r="F1187" s="7"/>
      <c r="G1187" s="7"/>
      <c r="H1187" s="7"/>
      <c r="I1187" s="7"/>
      <c r="J1187" s="7">
        <v>3</v>
      </c>
      <c r="K1187" s="7" t="s">
        <v>660</v>
      </c>
      <c r="L1187" s="7" t="s">
        <v>663</v>
      </c>
      <c r="M1187" s="8">
        <v>44343</v>
      </c>
      <c r="N1187" s="8">
        <v>44350</v>
      </c>
      <c r="O1187" s="13"/>
      <c r="P1187" s="13">
        <v>10310.17</v>
      </c>
      <c r="Q1187" s="33"/>
      <c r="R1187" s="22"/>
      <c r="S1187" s="22"/>
      <c r="T1187" s="22"/>
      <c r="U1187" s="22"/>
      <c r="X1187" s="15" t="str">
        <f>IF(B1187="",VLOOKUP(A1187,items_lookup!A:B,2,FALSE),B1187)</f>
        <v>09. Item 09</v>
      </c>
      <c r="Y1187" s="15">
        <f t="shared" si="107"/>
        <v>5</v>
      </c>
      <c r="Z1187" s="15">
        <f t="shared" si="107"/>
        <v>6</v>
      </c>
      <c r="AA1187" s="15">
        <f t="shared" si="103"/>
        <v>2021</v>
      </c>
      <c r="AB1187" s="15">
        <f t="shared" si="104"/>
        <v>2021</v>
      </c>
      <c r="AC1187" s="15">
        <f t="shared" si="105"/>
        <v>2021</v>
      </c>
      <c r="AD1187" s="18" t="b">
        <f t="shared" si="106"/>
        <v>1</v>
      </c>
    </row>
    <row r="1188" spans="1:30" ht="15.75" hidden="1" customHeight="1" x14ac:dyDescent="0.2">
      <c r="A1188" s="7" t="s">
        <v>675</v>
      </c>
      <c r="B1188" s="7"/>
      <c r="C1188" s="2" t="s">
        <v>641</v>
      </c>
      <c r="D1188" s="6" t="s">
        <v>649</v>
      </c>
      <c r="E1188" s="32" t="s">
        <v>651</v>
      </c>
      <c r="F1188" s="7"/>
      <c r="G1188" s="7"/>
      <c r="H1188" s="7"/>
      <c r="I1188" s="7"/>
      <c r="J1188" s="7"/>
      <c r="K1188" s="7" t="s">
        <v>660</v>
      </c>
      <c r="L1188" s="7" t="s">
        <v>663</v>
      </c>
      <c r="M1188" s="8">
        <v>44344</v>
      </c>
      <c r="N1188" s="8">
        <v>44344</v>
      </c>
      <c r="O1188" s="13"/>
      <c r="P1188" s="13">
        <v>1710314.91</v>
      </c>
      <c r="Q1188" s="33"/>
      <c r="R1188" s="22"/>
      <c r="S1188" s="22"/>
      <c r="T1188" s="22"/>
      <c r="U1188" s="22"/>
      <c r="X1188" s="15" t="str">
        <f>IF(B1188="",VLOOKUP(A1188,items_lookup!A:B,2,FALSE),B1188)</f>
        <v>09. Item 09</v>
      </c>
      <c r="Y1188" s="15">
        <f t="shared" si="107"/>
        <v>5</v>
      </c>
      <c r="Z1188" s="15">
        <f t="shared" si="107"/>
        <v>5</v>
      </c>
      <c r="AA1188" s="15">
        <f t="shared" si="103"/>
        <v>2021</v>
      </c>
      <c r="AB1188" s="15">
        <f t="shared" si="104"/>
        <v>2021</v>
      </c>
      <c r="AC1188" s="15">
        <f t="shared" si="105"/>
        <v>2021</v>
      </c>
      <c r="AD1188" s="18" t="b">
        <f t="shared" si="106"/>
        <v>1</v>
      </c>
    </row>
    <row r="1189" spans="1:30" ht="15" hidden="1" customHeight="1" x14ac:dyDescent="0.2">
      <c r="A1189" s="7" t="s">
        <v>675</v>
      </c>
      <c r="B1189" s="7"/>
      <c r="C1189" s="2" t="s">
        <v>641</v>
      </c>
      <c r="D1189" s="6" t="s">
        <v>649</v>
      </c>
      <c r="E1189" s="32" t="s">
        <v>651</v>
      </c>
      <c r="F1189" s="7"/>
      <c r="G1189" s="7"/>
      <c r="H1189" s="7"/>
      <c r="I1189" s="7"/>
      <c r="J1189" s="7"/>
      <c r="K1189" s="7" t="s">
        <v>660</v>
      </c>
      <c r="L1189" s="7" t="s">
        <v>663</v>
      </c>
      <c r="M1189" s="8">
        <v>44347</v>
      </c>
      <c r="N1189" s="8">
        <v>44347</v>
      </c>
      <c r="O1189" s="13"/>
      <c r="P1189" s="13">
        <v>14465334.699999999</v>
      </c>
      <c r="Q1189" s="33"/>
      <c r="R1189" s="22"/>
      <c r="S1189" s="22"/>
      <c r="T1189" s="22"/>
      <c r="U1189" s="22"/>
      <c r="X1189" s="15" t="str">
        <f>IF(B1189="",VLOOKUP(A1189,items_lookup!A:B,2,FALSE),B1189)</f>
        <v>09. Item 09</v>
      </c>
      <c r="Y1189" s="15">
        <f t="shared" si="107"/>
        <v>5</v>
      </c>
      <c r="Z1189" s="15">
        <f t="shared" si="107"/>
        <v>5</v>
      </c>
      <c r="AA1189" s="15">
        <f t="shared" si="103"/>
        <v>2021</v>
      </c>
      <c r="AB1189" s="15">
        <f t="shared" si="104"/>
        <v>2021</v>
      </c>
      <c r="AC1189" s="15">
        <f t="shared" si="105"/>
        <v>2021</v>
      </c>
      <c r="AD1189" s="18" t="b">
        <f t="shared" si="106"/>
        <v>1</v>
      </c>
    </row>
    <row r="1190" spans="1:30" ht="15" hidden="1" customHeight="1" x14ac:dyDescent="0.2">
      <c r="A1190" s="7" t="s">
        <v>676</v>
      </c>
      <c r="B1190" s="7"/>
      <c r="C1190" s="2" t="s">
        <v>641</v>
      </c>
      <c r="D1190" s="6" t="s">
        <v>649</v>
      </c>
      <c r="E1190" s="32" t="s">
        <v>651</v>
      </c>
      <c r="F1190" s="7"/>
      <c r="G1190" s="7"/>
      <c r="H1190" s="7"/>
      <c r="I1190" s="7"/>
      <c r="J1190" s="7"/>
      <c r="K1190" s="7" t="s">
        <v>660</v>
      </c>
      <c r="L1190" s="7" t="s">
        <v>663</v>
      </c>
      <c r="M1190" s="8">
        <v>44348</v>
      </c>
      <c r="N1190" s="8">
        <v>44348</v>
      </c>
      <c r="O1190" s="13"/>
      <c r="P1190" s="13">
        <v>24684.21</v>
      </c>
      <c r="Q1190" s="33"/>
      <c r="R1190" s="22"/>
      <c r="S1190" s="22"/>
      <c r="T1190" s="22"/>
      <c r="U1190" s="22"/>
      <c r="X1190" s="15" t="str">
        <f>IF(B1190="",VLOOKUP(A1190,items_lookup!A:B,2,FALSE),B1190)</f>
        <v>09. Item 09</v>
      </c>
      <c r="Y1190" s="15">
        <f t="shared" si="107"/>
        <v>6</v>
      </c>
      <c r="Z1190" s="15">
        <f t="shared" si="107"/>
        <v>6</v>
      </c>
      <c r="AA1190" s="15">
        <f t="shared" si="103"/>
        <v>2021</v>
      </c>
      <c r="AB1190" s="15">
        <f t="shared" si="104"/>
        <v>2021</v>
      </c>
      <c r="AC1190" s="15">
        <f t="shared" si="105"/>
        <v>2021</v>
      </c>
      <c r="AD1190" s="18" t="b">
        <f t="shared" si="106"/>
        <v>1</v>
      </c>
    </row>
    <row r="1191" spans="1:30" ht="15" hidden="1" customHeight="1" x14ac:dyDescent="0.2">
      <c r="A1191" s="7" t="s">
        <v>681</v>
      </c>
      <c r="B1191" s="7"/>
      <c r="C1191" s="2" t="s">
        <v>641</v>
      </c>
      <c r="D1191" s="6" t="s">
        <v>650</v>
      </c>
      <c r="E1191" s="32" t="s">
        <v>651</v>
      </c>
      <c r="F1191" s="7"/>
      <c r="G1191" s="7"/>
      <c r="H1191" s="7"/>
      <c r="I1191" s="7"/>
      <c r="J1191" s="7">
        <v>4</v>
      </c>
      <c r="K1191" s="7" t="s">
        <v>660</v>
      </c>
      <c r="L1191" s="7" t="s">
        <v>663</v>
      </c>
      <c r="M1191" s="8">
        <v>44340</v>
      </c>
      <c r="N1191" s="8">
        <v>44348</v>
      </c>
      <c r="O1191" s="13"/>
      <c r="P1191" s="13">
        <v>24684.21</v>
      </c>
      <c r="Q1191" s="33"/>
      <c r="R1191" s="22"/>
      <c r="S1191" s="22"/>
      <c r="T1191" s="22"/>
      <c r="U1191" s="22"/>
      <c r="X1191" s="15" t="str">
        <f>IF(B1191="",VLOOKUP(A1191,items_lookup!A:B,2,FALSE),B1191)</f>
        <v>19. Item 19</v>
      </c>
      <c r="Y1191" s="15">
        <f t="shared" si="107"/>
        <v>5</v>
      </c>
      <c r="Z1191" s="15">
        <f t="shared" si="107"/>
        <v>6</v>
      </c>
      <c r="AA1191" s="15">
        <f t="shared" si="103"/>
        <v>2021</v>
      </c>
      <c r="AB1191" s="15">
        <f t="shared" si="104"/>
        <v>2021</v>
      </c>
      <c r="AC1191" s="15">
        <f t="shared" si="105"/>
        <v>2021</v>
      </c>
      <c r="AD1191" s="18" t="b">
        <f t="shared" si="106"/>
        <v>1</v>
      </c>
    </row>
    <row r="1192" spans="1:30" ht="12.6" hidden="1" customHeight="1" x14ac:dyDescent="0.2">
      <c r="A1192" s="7" t="s">
        <v>692</v>
      </c>
      <c r="B1192" s="7"/>
      <c r="C1192" s="2" t="s">
        <v>641</v>
      </c>
      <c r="D1192" s="6" t="s">
        <v>649</v>
      </c>
      <c r="E1192" s="32" t="s">
        <v>651</v>
      </c>
      <c r="F1192" s="7"/>
      <c r="G1192" s="7"/>
      <c r="H1192" s="7"/>
      <c r="I1192" s="7"/>
      <c r="J1192" s="7"/>
      <c r="K1192" s="7"/>
      <c r="L1192" s="7" t="s">
        <v>662</v>
      </c>
      <c r="M1192" s="8">
        <v>44348</v>
      </c>
      <c r="N1192" s="8">
        <v>44348</v>
      </c>
      <c r="O1192" s="13">
        <v>23033.34</v>
      </c>
      <c r="P1192" s="13"/>
      <c r="Q1192" s="33"/>
      <c r="R1192" s="22"/>
      <c r="S1192" s="22"/>
      <c r="T1192" s="22"/>
      <c r="U1192" s="22"/>
      <c r="X1192" s="15" t="str">
        <f>IF(B1192="",VLOOKUP(A1192,items_lookup!A:B,2,FALSE),B1192)</f>
        <v>03. Item 03</v>
      </c>
      <c r="Y1192" s="15">
        <f t="shared" si="107"/>
        <v>6</v>
      </c>
      <c r="Z1192" s="15">
        <f t="shared" si="107"/>
        <v>6</v>
      </c>
      <c r="AA1192" s="15">
        <f t="shared" si="103"/>
        <v>2021</v>
      </c>
      <c r="AB1192" s="15">
        <f t="shared" si="104"/>
        <v>2021</v>
      </c>
      <c r="AC1192" s="15">
        <f t="shared" si="105"/>
        <v>2021</v>
      </c>
      <c r="AD1192" s="18" t="b">
        <f t="shared" si="106"/>
        <v>1</v>
      </c>
    </row>
    <row r="1193" spans="1:30" ht="15" hidden="1" customHeight="1" x14ac:dyDescent="0.2">
      <c r="A1193" s="7" t="s">
        <v>683</v>
      </c>
      <c r="B1193" s="7"/>
      <c r="C1193" s="2" t="s">
        <v>641</v>
      </c>
      <c r="D1193" s="6" t="s">
        <v>649</v>
      </c>
      <c r="E1193" s="32" t="s">
        <v>651</v>
      </c>
      <c r="F1193" s="7"/>
      <c r="G1193" s="7"/>
      <c r="H1193" s="7"/>
      <c r="I1193" s="7"/>
      <c r="J1193" s="7"/>
      <c r="K1193" s="7" t="s">
        <v>660</v>
      </c>
      <c r="L1193" s="7" t="s">
        <v>663</v>
      </c>
      <c r="M1193" s="8">
        <v>44349</v>
      </c>
      <c r="N1193" s="8">
        <v>44349</v>
      </c>
      <c r="O1193" s="13"/>
      <c r="P1193" s="13">
        <v>1762.04</v>
      </c>
      <c r="Q1193" s="33"/>
      <c r="R1193" s="22"/>
      <c r="S1193" s="22"/>
      <c r="T1193" s="22"/>
      <c r="U1193" s="22"/>
      <c r="X1193" s="15" t="str">
        <f>IF(B1193="",VLOOKUP(A1193,items_lookup!A:B,2,FALSE),B1193)</f>
        <v>_1. Item _1</v>
      </c>
      <c r="Y1193" s="15">
        <f t="shared" si="107"/>
        <v>6</v>
      </c>
      <c r="Z1193" s="15">
        <f t="shared" si="107"/>
        <v>6</v>
      </c>
      <c r="AA1193" s="15">
        <f t="shared" si="103"/>
        <v>2021</v>
      </c>
      <c r="AB1193" s="15">
        <f t="shared" si="104"/>
        <v>2021</v>
      </c>
      <c r="AC1193" s="15">
        <f t="shared" si="105"/>
        <v>2021</v>
      </c>
      <c r="AD1193" s="18" t="b">
        <f t="shared" si="106"/>
        <v>1</v>
      </c>
    </row>
    <row r="1194" spans="1:30" ht="15" hidden="1" customHeight="1" x14ac:dyDescent="0.2">
      <c r="A1194" s="7" t="s">
        <v>701</v>
      </c>
      <c r="B1194" s="7"/>
      <c r="C1194" s="2" t="s">
        <v>641</v>
      </c>
      <c r="D1194" s="6" t="s">
        <v>650</v>
      </c>
      <c r="E1194" s="32" t="s">
        <v>651</v>
      </c>
      <c r="F1194" s="7"/>
      <c r="G1194" s="7"/>
      <c r="H1194" s="7"/>
      <c r="I1194" s="7"/>
      <c r="J1194" s="7">
        <v>4</v>
      </c>
      <c r="K1194" s="7" t="s">
        <v>660</v>
      </c>
      <c r="L1194" s="7" t="s">
        <v>663</v>
      </c>
      <c r="M1194" s="8">
        <v>44340</v>
      </c>
      <c r="N1194" s="8">
        <v>44349</v>
      </c>
      <c r="O1194" s="13"/>
      <c r="P1194" s="13">
        <v>1762.04</v>
      </c>
      <c r="Q1194" s="33"/>
      <c r="R1194" s="22"/>
      <c r="S1194" s="22"/>
      <c r="T1194" s="22"/>
      <c r="U1194" s="22"/>
      <c r="X1194" s="15" t="str">
        <f>IF(B1194="",VLOOKUP(A1194,items_lookup!A:B,2,FALSE),B1194)</f>
        <v>13. Item 13</v>
      </c>
      <c r="Y1194" s="15">
        <f t="shared" si="107"/>
        <v>5</v>
      </c>
      <c r="Z1194" s="15">
        <f t="shared" si="107"/>
        <v>6</v>
      </c>
      <c r="AA1194" s="15">
        <f t="shared" si="103"/>
        <v>2021</v>
      </c>
      <c r="AB1194" s="15">
        <f t="shared" si="104"/>
        <v>2021</v>
      </c>
      <c r="AC1194" s="15">
        <f t="shared" si="105"/>
        <v>2021</v>
      </c>
      <c r="AD1194" s="18" t="b">
        <f t="shared" si="106"/>
        <v>1</v>
      </c>
    </row>
    <row r="1195" spans="1:30" ht="12.6" hidden="1" customHeight="1" x14ac:dyDescent="0.2">
      <c r="A1195" s="7" t="s">
        <v>701</v>
      </c>
      <c r="B1195" s="7"/>
      <c r="C1195" s="2" t="s">
        <v>641</v>
      </c>
      <c r="D1195" s="6" t="s">
        <v>649</v>
      </c>
      <c r="E1195" s="32" t="s">
        <v>651</v>
      </c>
      <c r="F1195" s="7"/>
      <c r="G1195" s="7"/>
      <c r="H1195" s="7"/>
      <c r="I1195" s="7"/>
      <c r="J1195" s="7">
        <v>1</v>
      </c>
      <c r="K1195" s="7" t="s">
        <v>660</v>
      </c>
      <c r="L1195" s="7" t="s">
        <v>663</v>
      </c>
      <c r="M1195" s="8">
        <v>44350</v>
      </c>
      <c r="N1195" s="8">
        <v>44364</v>
      </c>
      <c r="O1195" s="13"/>
      <c r="P1195" s="13">
        <v>943.05</v>
      </c>
      <c r="Q1195" s="33"/>
      <c r="R1195" s="22"/>
      <c r="S1195" s="22"/>
      <c r="T1195" s="22"/>
      <c r="U1195" s="22"/>
      <c r="X1195" s="15" t="str">
        <f>IF(B1195="",VLOOKUP(A1195,items_lookup!A:B,2,FALSE),B1195)</f>
        <v>13. Item 13</v>
      </c>
      <c r="Y1195" s="15">
        <f t="shared" si="107"/>
        <v>6</v>
      </c>
      <c r="Z1195" s="15">
        <f t="shared" si="107"/>
        <v>6</v>
      </c>
      <c r="AA1195" s="15">
        <f t="shared" si="103"/>
        <v>2021</v>
      </c>
      <c r="AB1195" s="15">
        <f t="shared" si="104"/>
        <v>2021</v>
      </c>
      <c r="AC1195" s="15">
        <f t="shared" si="105"/>
        <v>2021</v>
      </c>
      <c r="AD1195" s="18" t="b">
        <f t="shared" si="106"/>
        <v>1</v>
      </c>
    </row>
    <row r="1196" spans="1:30" ht="15" hidden="1" customHeight="1" x14ac:dyDescent="0.2">
      <c r="A1196" s="7" t="s">
        <v>670</v>
      </c>
      <c r="B1196" s="7"/>
      <c r="C1196" s="2" t="s">
        <v>641</v>
      </c>
      <c r="D1196" s="6" t="s">
        <v>649</v>
      </c>
      <c r="E1196" s="32" t="s">
        <v>651</v>
      </c>
      <c r="F1196" s="7"/>
      <c r="G1196" s="7"/>
      <c r="H1196" s="7"/>
      <c r="I1196" s="7" t="s">
        <v>20</v>
      </c>
      <c r="J1196" s="7">
        <v>1</v>
      </c>
      <c r="K1196" s="7" t="s">
        <v>660</v>
      </c>
      <c r="L1196" s="7" t="s">
        <v>663</v>
      </c>
      <c r="M1196" s="8">
        <v>44350</v>
      </c>
      <c r="N1196" s="8">
        <v>44364</v>
      </c>
      <c r="O1196" s="13"/>
      <c r="P1196" s="13">
        <v>118522.8</v>
      </c>
      <c r="Q1196" s="33"/>
      <c r="R1196" s="22"/>
      <c r="S1196" s="22"/>
      <c r="T1196" s="22"/>
      <c r="U1196" s="22"/>
      <c r="X1196" s="15" t="str">
        <f>IF(B1196="",VLOOKUP(A1196,items_lookup!A:B,2,FALSE),B1196)</f>
        <v>04. Item 04</v>
      </c>
      <c r="Y1196" s="15">
        <f t="shared" si="107"/>
        <v>6</v>
      </c>
      <c r="Z1196" s="15">
        <f t="shared" si="107"/>
        <v>6</v>
      </c>
      <c r="AA1196" s="15">
        <f t="shared" si="103"/>
        <v>2021</v>
      </c>
      <c r="AB1196" s="15">
        <f t="shared" si="104"/>
        <v>2021</v>
      </c>
      <c r="AC1196" s="15">
        <f t="shared" si="105"/>
        <v>2021</v>
      </c>
      <c r="AD1196" s="18" t="b">
        <f t="shared" si="106"/>
        <v>1</v>
      </c>
    </row>
    <row r="1197" spans="1:30" ht="15" hidden="1" customHeight="1" x14ac:dyDescent="0.2">
      <c r="A1197" s="7" t="s">
        <v>689</v>
      </c>
      <c r="B1197" s="7"/>
      <c r="C1197" s="2" t="s">
        <v>641</v>
      </c>
      <c r="D1197" s="6" t="s">
        <v>649</v>
      </c>
      <c r="E1197" s="32" t="s">
        <v>651</v>
      </c>
      <c r="F1197" s="7"/>
      <c r="G1197" s="7"/>
      <c r="H1197" s="7"/>
      <c r="I1197" s="7" t="s">
        <v>20</v>
      </c>
      <c r="J1197" s="7">
        <v>1</v>
      </c>
      <c r="K1197" s="7" t="s">
        <v>660</v>
      </c>
      <c r="L1197" s="7" t="s">
        <v>663</v>
      </c>
      <c r="M1197" s="8">
        <v>44350</v>
      </c>
      <c r="N1197" s="8">
        <v>44362</v>
      </c>
      <c r="O1197" s="13"/>
      <c r="P1197" s="13">
        <v>2142857.14</v>
      </c>
      <c r="Q1197" s="33"/>
      <c r="R1197" s="22"/>
      <c r="S1197" s="22"/>
      <c r="T1197" s="22"/>
      <c r="U1197" s="22"/>
      <c r="X1197" s="15" t="str">
        <f>IF(B1197="",VLOOKUP(A1197,items_lookup!A:B,2,FALSE),B1197)</f>
        <v>04. Item 04</v>
      </c>
      <c r="Y1197" s="15">
        <f t="shared" si="107"/>
        <v>6</v>
      </c>
      <c r="Z1197" s="15">
        <f t="shared" si="107"/>
        <v>6</v>
      </c>
      <c r="AA1197" s="15">
        <f t="shared" si="103"/>
        <v>2021</v>
      </c>
      <c r="AB1197" s="15">
        <f t="shared" si="104"/>
        <v>2021</v>
      </c>
      <c r="AC1197" s="15">
        <f t="shared" si="105"/>
        <v>2021</v>
      </c>
      <c r="AD1197" s="18" t="b">
        <f t="shared" si="106"/>
        <v>1</v>
      </c>
    </row>
    <row r="1198" spans="1:30" ht="15" hidden="1" customHeight="1" x14ac:dyDescent="0.2">
      <c r="A1198" s="7" t="s">
        <v>671</v>
      </c>
      <c r="B1198" s="7"/>
      <c r="C1198" s="2" t="s">
        <v>641</v>
      </c>
      <c r="D1198" s="6" t="s">
        <v>649</v>
      </c>
      <c r="E1198" s="32" t="s">
        <v>651</v>
      </c>
      <c r="F1198" s="7"/>
      <c r="G1198" s="7"/>
      <c r="H1198" s="7"/>
      <c r="I1198" s="7"/>
      <c r="J1198" s="7"/>
      <c r="K1198" s="7" t="s">
        <v>660</v>
      </c>
      <c r="L1198" s="7" t="s">
        <v>663</v>
      </c>
      <c r="M1198" s="8">
        <v>44350</v>
      </c>
      <c r="N1198" s="8">
        <v>44350</v>
      </c>
      <c r="O1198" s="13"/>
      <c r="P1198" s="13">
        <v>10310.17</v>
      </c>
      <c r="Q1198" s="33"/>
      <c r="R1198" s="22"/>
      <c r="S1198" s="22"/>
      <c r="T1198" s="22"/>
      <c r="U1198" s="22"/>
      <c r="X1198" s="15" t="str">
        <f>IF(B1198="",VLOOKUP(A1198,items_lookup!A:B,2,FALSE),B1198)</f>
        <v>05. Item 05</v>
      </c>
      <c r="Y1198" s="15">
        <f t="shared" si="107"/>
        <v>6</v>
      </c>
      <c r="Z1198" s="15">
        <f t="shared" si="107"/>
        <v>6</v>
      </c>
      <c r="AA1198" s="15">
        <f t="shared" si="103"/>
        <v>2021</v>
      </c>
      <c r="AB1198" s="15">
        <f t="shared" si="104"/>
        <v>2021</v>
      </c>
      <c r="AC1198" s="15">
        <f t="shared" si="105"/>
        <v>2021</v>
      </c>
      <c r="AD1198" s="18" t="b">
        <f t="shared" si="106"/>
        <v>1</v>
      </c>
    </row>
    <row r="1199" spans="1:30" ht="15" hidden="1" customHeight="1" x14ac:dyDescent="0.2">
      <c r="A1199" s="7" t="s">
        <v>672</v>
      </c>
      <c r="B1199" s="20"/>
      <c r="C1199" s="2" t="s">
        <v>641</v>
      </c>
      <c r="D1199" s="6" t="s">
        <v>649</v>
      </c>
      <c r="E1199" s="32" t="s">
        <v>651</v>
      </c>
      <c r="F1199" s="7"/>
      <c r="G1199" s="7"/>
      <c r="H1199" s="7"/>
      <c r="I1199" s="7"/>
      <c r="J1199" s="7">
        <v>3</v>
      </c>
      <c r="K1199" s="7" t="s">
        <v>660</v>
      </c>
      <c r="L1199" s="7" t="s">
        <v>663</v>
      </c>
      <c r="M1199" s="8">
        <v>44351</v>
      </c>
      <c r="N1199" s="8">
        <v>44363</v>
      </c>
      <c r="O1199" s="13"/>
      <c r="P1199" s="13">
        <v>199602.63</v>
      </c>
      <c r="Q1199" s="33"/>
      <c r="R1199" s="22"/>
      <c r="S1199" s="22"/>
      <c r="T1199" s="22"/>
      <c r="U1199" s="22"/>
      <c r="X1199" s="15" t="str">
        <f>IF(B1199="",VLOOKUP(A1199,items_lookup!A:B,2,FALSE),B1199)</f>
        <v>05. Item 05</v>
      </c>
      <c r="Y1199" s="15">
        <f t="shared" si="107"/>
        <v>6</v>
      </c>
      <c r="Z1199" s="15">
        <f t="shared" si="107"/>
        <v>6</v>
      </c>
      <c r="AA1199" s="15">
        <f t="shared" si="103"/>
        <v>2021</v>
      </c>
      <c r="AB1199" s="15">
        <f t="shared" si="104"/>
        <v>2021</v>
      </c>
      <c r="AC1199" s="15">
        <f t="shared" si="105"/>
        <v>2021</v>
      </c>
      <c r="AD1199" s="18" t="b">
        <f t="shared" si="106"/>
        <v>1</v>
      </c>
    </row>
    <row r="1200" spans="1:30" ht="15.75" hidden="1" customHeight="1" x14ac:dyDescent="0.2">
      <c r="A1200" s="7" t="s">
        <v>682</v>
      </c>
      <c r="B1200" s="20"/>
      <c r="C1200" s="2" t="s">
        <v>641</v>
      </c>
      <c r="D1200" s="6" t="s">
        <v>649</v>
      </c>
      <c r="E1200" s="32" t="s">
        <v>651</v>
      </c>
      <c r="F1200" s="7"/>
      <c r="G1200" s="7"/>
      <c r="H1200" s="7"/>
      <c r="I1200" s="7" t="s">
        <v>20</v>
      </c>
      <c r="J1200" s="7">
        <v>1</v>
      </c>
      <c r="K1200" s="7" t="s">
        <v>660</v>
      </c>
      <c r="L1200" s="7" t="s">
        <v>663</v>
      </c>
      <c r="M1200" s="8">
        <v>44352</v>
      </c>
      <c r="N1200" s="8">
        <v>44384</v>
      </c>
      <c r="O1200" s="13"/>
      <c r="P1200" s="13">
        <v>989285.71</v>
      </c>
      <c r="Q1200" s="33"/>
      <c r="R1200" s="22"/>
      <c r="S1200" s="22"/>
      <c r="T1200" s="22"/>
      <c r="U1200" s="22"/>
      <c r="X1200" s="15" t="str">
        <f>IF(B1200="",VLOOKUP(A1200,items_lookup!A:B,2,FALSE),B1200)</f>
        <v>06. Item 06</v>
      </c>
      <c r="Y1200" s="15">
        <f t="shared" si="107"/>
        <v>6</v>
      </c>
      <c r="Z1200" s="15">
        <f t="shared" si="107"/>
        <v>7</v>
      </c>
      <c r="AA1200" s="15">
        <f t="shared" si="103"/>
        <v>2021</v>
      </c>
      <c r="AB1200" s="15">
        <f t="shared" si="104"/>
        <v>2021</v>
      </c>
      <c r="AC1200" s="15">
        <f t="shared" si="105"/>
        <v>2021</v>
      </c>
      <c r="AD1200" s="18" t="b">
        <f t="shared" si="106"/>
        <v>1</v>
      </c>
    </row>
    <row r="1201" spans="1:30" ht="15.75" hidden="1" customHeight="1" x14ac:dyDescent="0.2">
      <c r="A1201" s="7" t="s">
        <v>673</v>
      </c>
      <c r="B1201" s="7"/>
      <c r="C1201" s="2" t="s">
        <v>641</v>
      </c>
      <c r="D1201" s="6" t="s">
        <v>649</v>
      </c>
      <c r="E1201" s="32" t="s">
        <v>651</v>
      </c>
      <c r="F1201" s="7"/>
      <c r="G1201" s="7"/>
      <c r="H1201" s="7"/>
      <c r="I1201" s="7"/>
      <c r="J1201" s="7">
        <v>4</v>
      </c>
      <c r="K1201" s="7" t="s">
        <v>660</v>
      </c>
      <c r="L1201" s="7" t="s">
        <v>663</v>
      </c>
      <c r="M1201" s="8">
        <v>44336</v>
      </c>
      <c r="N1201" s="8">
        <v>44363</v>
      </c>
      <c r="O1201" s="13"/>
      <c r="P1201" s="13">
        <v>2576.2800000000002</v>
      </c>
      <c r="Q1201" s="33"/>
      <c r="R1201" s="22"/>
      <c r="S1201" s="22"/>
      <c r="T1201" s="22"/>
      <c r="U1201" s="22"/>
      <c r="X1201" s="15" t="str">
        <f>IF(B1201="",VLOOKUP(A1201,items_lookup!A:B,2,FALSE),B1201)</f>
        <v>07. Item 07</v>
      </c>
      <c r="Y1201" s="15">
        <f t="shared" si="107"/>
        <v>5</v>
      </c>
      <c r="Z1201" s="15">
        <f t="shared" si="107"/>
        <v>6</v>
      </c>
      <c r="AA1201" s="15">
        <f t="shared" si="103"/>
        <v>2021</v>
      </c>
      <c r="AB1201" s="15">
        <f t="shared" si="104"/>
        <v>2021</v>
      </c>
      <c r="AC1201" s="15">
        <f t="shared" si="105"/>
        <v>2021</v>
      </c>
      <c r="AD1201" s="18" t="b">
        <f t="shared" si="106"/>
        <v>1</v>
      </c>
    </row>
    <row r="1202" spans="1:30" ht="12.6" hidden="1" customHeight="1" x14ac:dyDescent="0.2">
      <c r="A1202" s="7" t="s">
        <v>674</v>
      </c>
      <c r="B1202" s="20"/>
      <c r="C1202" s="2" t="s">
        <v>641</v>
      </c>
      <c r="D1202" s="6" t="s">
        <v>649</v>
      </c>
      <c r="E1202" s="32" t="s">
        <v>651</v>
      </c>
      <c r="F1202" s="7"/>
      <c r="G1202" s="7"/>
      <c r="H1202" s="7"/>
      <c r="I1202" s="7" t="s">
        <v>20</v>
      </c>
      <c r="J1202" s="7">
        <v>1</v>
      </c>
      <c r="K1202" s="7" t="s">
        <v>660</v>
      </c>
      <c r="L1202" s="7" t="s">
        <v>663</v>
      </c>
      <c r="M1202" s="8">
        <v>44350</v>
      </c>
      <c r="N1202" s="8">
        <v>44365</v>
      </c>
      <c r="O1202" s="13"/>
      <c r="P1202" s="13">
        <v>17675.080000000002</v>
      </c>
      <c r="Q1202" s="33"/>
      <c r="R1202" s="9"/>
      <c r="S1202" s="9"/>
      <c r="T1202" s="9"/>
      <c r="U1202" s="9"/>
      <c r="X1202" s="15" t="str">
        <f>IF(B1202="",VLOOKUP(A1202,items_lookup!A:B,2,FALSE),B1202)</f>
        <v>08. Item 08</v>
      </c>
      <c r="Y1202" s="15">
        <f t="shared" si="107"/>
        <v>6</v>
      </c>
      <c r="Z1202" s="15">
        <f t="shared" si="107"/>
        <v>6</v>
      </c>
      <c r="AA1202" s="15">
        <f t="shared" si="103"/>
        <v>2021</v>
      </c>
      <c r="AB1202" s="15">
        <f t="shared" si="104"/>
        <v>2021</v>
      </c>
      <c r="AC1202" s="15">
        <f t="shared" si="105"/>
        <v>2021</v>
      </c>
      <c r="AD1202" s="18" t="b">
        <f t="shared" si="106"/>
        <v>1</v>
      </c>
    </row>
    <row r="1203" spans="1:30" ht="15" hidden="1" customHeight="1" x14ac:dyDescent="0.2">
      <c r="A1203" s="7" t="s">
        <v>688</v>
      </c>
      <c r="B1203" s="20"/>
      <c r="C1203" s="2" t="s">
        <v>641</v>
      </c>
      <c r="D1203" s="6" t="s">
        <v>649</v>
      </c>
      <c r="E1203" s="32" t="s">
        <v>651</v>
      </c>
      <c r="F1203" s="7"/>
      <c r="G1203" s="7"/>
      <c r="H1203" s="7"/>
      <c r="I1203" s="7"/>
      <c r="J1203" s="7">
        <v>1</v>
      </c>
      <c r="K1203" s="7" t="s">
        <v>660</v>
      </c>
      <c r="L1203" s="7" t="s">
        <v>663</v>
      </c>
      <c r="M1203" s="8">
        <v>44350</v>
      </c>
      <c r="N1203" s="8">
        <v>44365</v>
      </c>
      <c r="O1203" s="13"/>
      <c r="P1203" s="13">
        <v>34755.54</v>
      </c>
      <c r="Q1203" s="33"/>
      <c r="R1203" s="9"/>
      <c r="S1203" s="9"/>
      <c r="T1203" s="9"/>
      <c r="U1203" s="9"/>
      <c r="X1203" s="15" t="str">
        <f>IF(B1203="",VLOOKUP(A1203,items_lookup!A:B,2,FALSE),B1203)</f>
        <v>09. Item 09</v>
      </c>
      <c r="Y1203" s="15">
        <f t="shared" si="107"/>
        <v>6</v>
      </c>
      <c r="Z1203" s="15">
        <f t="shared" si="107"/>
        <v>6</v>
      </c>
      <c r="AA1203" s="15">
        <f t="shared" si="103"/>
        <v>2021</v>
      </c>
      <c r="AB1203" s="15">
        <f t="shared" si="104"/>
        <v>2021</v>
      </c>
      <c r="AC1203" s="15">
        <f t="shared" si="105"/>
        <v>2021</v>
      </c>
      <c r="AD1203" s="18" t="b">
        <f t="shared" si="106"/>
        <v>1</v>
      </c>
    </row>
    <row r="1204" spans="1:30" ht="15" hidden="1" customHeight="1" x14ac:dyDescent="0.2">
      <c r="A1204" s="7" t="s">
        <v>676</v>
      </c>
      <c r="B1204" s="20"/>
      <c r="C1204" s="2" t="s">
        <v>641</v>
      </c>
      <c r="D1204" s="6" t="s">
        <v>649</v>
      </c>
      <c r="E1204" s="32" t="s">
        <v>651</v>
      </c>
      <c r="F1204" s="7"/>
      <c r="G1204" s="7"/>
      <c r="H1204" s="7"/>
      <c r="I1204" s="7"/>
      <c r="J1204" s="7">
        <v>3</v>
      </c>
      <c r="K1204" s="7" t="s">
        <v>660</v>
      </c>
      <c r="L1204" s="7" t="s">
        <v>663</v>
      </c>
      <c r="M1204" s="8">
        <v>44355</v>
      </c>
      <c r="N1204" s="8">
        <v>44365</v>
      </c>
      <c r="O1204" s="13"/>
      <c r="P1204" s="13">
        <v>27.31</v>
      </c>
      <c r="Q1204" s="33"/>
      <c r="R1204" s="9"/>
      <c r="S1204" s="9"/>
      <c r="T1204" s="9"/>
      <c r="U1204" s="9"/>
      <c r="X1204" s="15" t="str">
        <f>IF(B1204="",VLOOKUP(A1204,items_lookup!A:B,2,FALSE),B1204)</f>
        <v>09. Item 09</v>
      </c>
      <c r="Y1204" s="15">
        <f t="shared" si="107"/>
        <v>6</v>
      </c>
      <c r="Z1204" s="15">
        <f t="shared" si="107"/>
        <v>6</v>
      </c>
      <c r="AA1204" s="15">
        <f t="shared" si="103"/>
        <v>2021</v>
      </c>
      <c r="AB1204" s="15">
        <f t="shared" si="104"/>
        <v>2021</v>
      </c>
      <c r="AC1204" s="15">
        <f t="shared" si="105"/>
        <v>2021</v>
      </c>
      <c r="AD1204" s="18" t="b">
        <f t="shared" si="106"/>
        <v>1</v>
      </c>
    </row>
    <row r="1205" spans="1:30" ht="15" hidden="1" customHeight="1" x14ac:dyDescent="0.2">
      <c r="A1205" s="7" t="s">
        <v>675</v>
      </c>
      <c r="B1205" s="7"/>
      <c r="C1205" s="2" t="s">
        <v>641</v>
      </c>
      <c r="D1205" s="6" t="s">
        <v>649</v>
      </c>
      <c r="E1205" s="32" t="s">
        <v>651</v>
      </c>
      <c r="F1205" s="7"/>
      <c r="G1205" s="7"/>
      <c r="H1205" s="7"/>
      <c r="I1205" s="7" t="s">
        <v>20</v>
      </c>
      <c r="J1205" s="7">
        <v>1</v>
      </c>
      <c r="K1205" s="7" t="s">
        <v>660</v>
      </c>
      <c r="L1205" s="7" t="s">
        <v>663</v>
      </c>
      <c r="M1205" s="8">
        <v>44350</v>
      </c>
      <c r="N1205" s="8">
        <v>44362</v>
      </c>
      <c r="O1205" s="13"/>
      <c r="P1205" s="13">
        <v>9296.44</v>
      </c>
      <c r="Q1205" s="33"/>
      <c r="R1205" s="22"/>
      <c r="S1205" s="22"/>
      <c r="T1205" s="22"/>
      <c r="U1205" s="22"/>
      <c r="X1205" s="15" t="str">
        <f>IF(B1205="",VLOOKUP(A1205,items_lookup!A:B,2,FALSE),B1205)</f>
        <v>09. Item 09</v>
      </c>
      <c r="Y1205" s="15">
        <f t="shared" si="107"/>
        <v>6</v>
      </c>
      <c r="Z1205" s="15">
        <f t="shared" si="107"/>
        <v>6</v>
      </c>
      <c r="AA1205" s="15">
        <f t="shared" si="103"/>
        <v>2021</v>
      </c>
      <c r="AB1205" s="15">
        <f t="shared" si="104"/>
        <v>2021</v>
      </c>
      <c r="AC1205" s="15">
        <f t="shared" si="105"/>
        <v>2021</v>
      </c>
      <c r="AD1205" s="18" t="b">
        <f t="shared" si="106"/>
        <v>1</v>
      </c>
    </row>
    <row r="1206" spans="1:30" ht="15" hidden="1" customHeight="1" x14ac:dyDescent="0.2">
      <c r="A1206" s="7" t="s">
        <v>697</v>
      </c>
      <c r="B1206" s="20"/>
      <c r="C1206" s="2" t="s">
        <v>641</v>
      </c>
      <c r="D1206" s="6" t="s">
        <v>649</v>
      </c>
      <c r="E1206" s="32" t="s">
        <v>651</v>
      </c>
      <c r="F1206" s="7"/>
      <c r="G1206" s="7"/>
      <c r="H1206" s="7"/>
      <c r="I1206" s="7" t="s">
        <v>20</v>
      </c>
      <c r="J1206" s="7">
        <v>1</v>
      </c>
      <c r="K1206" s="7" t="s">
        <v>660</v>
      </c>
      <c r="L1206" s="7" t="s">
        <v>663</v>
      </c>
      <c r="M1206" s="8">
        <v>44350</v>
      </c>
      <c r="N1206" s="8">
        <v>44363</v>
      </c>
      <c r="O1206" s="13"/>
      <c r="P1206" s="13">
        <v>3701.97</v>
      </c>
      <c r="Q1206" s="33"/>
      <c r="R1206" s="9"/>
      <c r="S1206" s="9"/>
      <c r="T1206" s="9"/>
      <c r="U1206" s="9"/>
      <c r="X1206" s="15" t="str">
        <f>IF(B1206="",VLOOKUP(A1206,items_lookup!A:B,2,FALSE),B1206)</f>
        <v>10. Item 10</v>
      </c>
      <c r="Y1206" s="15">
        <f t="shared" si="107"/>
        <v>6</v>
      </c>
      <c r="Z1206" s="15">
        <f t="shared" si="107"/>
        <v>6</v>
      </c>
      <c r="AA1206" s="15">
        <f t="shared" si="103"/>
        <v>2021</v>
      </c>
      <c r="AB1206" s="15">
        <f t="shared" si="104"/>
        <v>2021</v>
      </c>
      <c r="AC1206" s="15">
        <f t="shared" si="105"/>
        <v>2021</v>
      </c>
      <c r="AD1206" s="18" t="b">
        <f t="shared" si="106"/>
        <v>1</v>
      </c>
    </row>
    <row r="1207" spans="1:30" ht="15" hidden="1" customHeight="1" x14ac:dyDescent="0.2">
      <c r="A1207" s="7" t="s">
        <v>698</v>
      </c>
      <c r="B1207" s="20"/>
      <c r="C1207" s="2" t="s">
        <v>641</v>
      </c>
      <c r="D1207" s="6" t="s">
        <v>649</v>
      </c>
      <c r="E1207" s="32" t="s">
        <v>651</v>
      </c>
      <c r="F1207" s="7"/>
      <c r="G1207" s="7"/>
      <c r="H1207" s="7"/>
      <c r="I1207" s="7"/>
      <c r="J1207" s="7">
        <v>1</v>
      </c>
      <c r="K1207" s="7" t="s">
        <v>660</v>
      </c>
      <c r="L1207" s="7" t="s">
        <v>663</v>
      </c>
      <c r="M1207" s="8">
        <v>44350</v>
      </c>
      <c r="N1207" s="8">
        <v>44363</v>
      </c>
      <c r="O1207" s="13"/>
      <c r="P1207" s="13">
        <v>19308.68</v>
      </c>
      <c r="Q1207" s="33"/>
      <c r="R1207" s="9"/>
      <c r="S1207" s="9"/>
      <c r="T1207" s="9"/>
      <c r="U1207" s="9"/>
      <c r="X1207" s="15" t="str">
        <f>IF(B1207="",VLOOKUP(A1207,items_lookup!A:B,2,FALSE),B1207)</f>
        <v>10. Item 10</v>
      </c>
      <c r="Y1207" s="15">
        <f t="shared" si="107"/>
        <v>6</v>
      </c>
      <c r="Z1207" s="15">
        <f t="shared" si="107"/>
        <v>6</v>
      </c>
      <c r="AA1207" s="15">
        <f t="shared" si="103"/>
        <v>2021</v>
      </c>
      <c r="AB1207" s="15">
        <f t="shared" si="104"/>
        <v>2021</v>
      </c>
      <c r="AC1207" s="15">
        <f t="shared" si="105"/>
        <v>2021</v>
      </c>
      <c r="AD1207" s="18" t="b">
        <f t="shared" si="106"/>
        <v>1</v>
      </c>
    </row>
    <row r="1208" spans="1:30" ht="15" hidden="1" customHeight="1" x14ac:dyDescent="0.2">
      <c r="A1208" s="7" t="s">
        <v>677</v>
      </c>
      <c r="B1208" s="7"/>
      <c r="C1208" s="2" t="s">
        <v>641</v>
      </c>
      <c r="D1208" s="6" t="s">
        <v>649</v>
      </c>
      <c r="E1208" s="32" t="s">
        <v>651</v>
      </c>
      <c r="F1208" s="7"/>
      <c r="G1208" s="7"/>
      <c r="H1208" s="7"/>
      <c r="I1208" s="7" t="s">
        <v>20</v>
      </c>
      <c r="J1208" s="7">
        <v>1</v>
      </c>
      <c r="K1208" s="7" t="s">
        <v>660</v>
      </c>
      <c r="L1208" s="7" t="s">
        <v>663</v>
      </c>
      <c r="M1208" s="8">
        <v>44350</v>
      </c>
      <c r="N1208" s="8">
        <v>44357</v>
      </c>
      <c r="O1208" s="13"/>
      <c r="P1208" s="13">
        <v>35355.24</v>
      </c>
      <c r="Q1208" s="33"/>
      <c r="R1208" s="22"/>
      <c r="S1208" s="22"/>
      <c r="T1208" s="22"/>
      <c r="U1208" s="22"/>
      <c r="X1208" s="15" t="str">
        <f>IF(B1208="",VLOOKUP(A1208,items_lookup!A:B,2,FALSE),B1208)</f>
        <v>11. Item 11</v>
      </c>
      <c r="Y1208" s="15">
        <f t="shared" si="107"/>
        <v>6</v>
      </c>
      <c r="Z1208" s="15">
        <f t="shared" si="107"/>
        <v>6</v>
      </c>
      <c r="AA1208" s="15">
        <f t="shared" si="103"/>
        <v>2021</v>
      </c>
      <c r="AB1208" s="15">
        <f t="shared" si="104"/>
        <v>2021</v>
      </c>
      <c r="AC1208" s="15">
        <f t="shared" si="105"/>
        <v>2021</v>
      </c>
      <c r="AD1208" s="18" t="b">
        <f t="shared" si="106"/>
        <v>1</v>
      </c>
    </row>
    <row r="1209" spans="1:30" ht="12.6" hidden="1" customHeight="1" x14ac:dyDescent="0.2">
      <c r="A1209" s="7" t="s">
        <v>699</v>
      </c>
      <c r="B1209" s="7"/>
      <c r="C1209" s="2" t="s">
        <v>641</v>
      </c>
      <c r="D1209" s="6" t="s">
        <v>649</v>
      </c>
      <c r="E1209" s="32" t="s">
        <v>651</v>
      </c>
      <c r="F1209" s="7"/>
      <c r="G1209" s="7"/>
      <c r="H1209" s="7"/>
      <c r="I1209" s="7" t="s">
        <v>20</v>
      </c>
      <c r="J1209" s="7">
        <v>1</v>
      </c>
      <c r="K1209" s="7" t="s">
        <v>660</v>
      </c>
      <c r="L1209" s="7" t="s">
        <v>663</v>
      </c>
      <c r="M1209" s="8">
        <v>44350</v>
      </c>
      <c r="N1209" s="8">
        <v>44365</v>
      </c>
      <c r="O1209" s="13"/>
      <c r="P1209" s="13">
        <v>41205.629999999997</v>
      </c>
      <c r="Q1209" s="33"/>
      <c r="R1209" s="22"/>
      <c r="S1209" s="22"/>
      <c r="T1209" s="22"/>
      <c r="U1209" s="22"/>
      <c r="X1209" s="15" t="str">
        <f>IF(B1209="",VLOOKUP(A1209,items_lookup!A:B,2,FALSE),B1209)</f>
        <v>12. Item 12</v>
      </c>
      <c r="Y1209" s="15">
        <f t="shared" si="107"/>
        <v>6</v>
      </c>
      <c r="Z1209" s="15">
        <f t="shared" si="107"/>
        <v>6</v>
      </c>
      <c r="AA1209" s="15">
        <f t="shared" si="103"/>
        <v>2021</v>
      </c>
      <c r="AB1209" s="15">
        <f t="shared" si="104"/>
        <v>2021</v>
      </c>
      <c r="AC1209" s="15">
        <f t="shared" si="105"/>
        <v>2021</v>
      </c>
      <c r="AD1209" s="18" t="b">
        <f t="shared" si="106"/>
        <v>1</v>
      </c>
    </row>
    <row r="1210" spans="1:30" ht="12.6" hidden="1" customHeight="1" x14ac:dyDescent="0.2">
      <c r="A1210" s="7" t="s">
        <v>696</v>
      </c>
      <c r="B1210" s="7"/>
      <c r="C1210" s="2" t="s">
        <v>641</v>
      </c>
      <c r="D1210" s="6" t="s">
        <v>649</v>
      </c>
      <c r="E1210" s="32" t="s">
        <v>651</v>
      </c>
      <c r="F1210" s="7"/>
      <c r="G1210" s="7"/>
      <c r="H1210" s="7"/>
      <c r="I1210" s="7"/>
      <c r="J1210" s="7">
        <v>3</v>
      </c>
      <c r="K1210" s="7" t="s">
        <v>660</v>
      </c>
      <c r="L1210" s="7" t="s">
        <v>663</v>
      </c>
      <c r="M1210" s="8">
        <v>44355</v>
      </c>
      <c r="N1210" s="8">
        <v>44363</v>
      </c>
      <c r="O1210" s="13"/>
      <c r="P1210" s="13">
        <v>4026.78</v>
      </c>
      <c r="Q1210" s="33"/>
      <c r="R1210" s="22"/>
      <c r="S1210" s="22"/>
      <c r="T1210" s="22"/>
      <c r="U1210" s="22"/>
      <c r="X1210" s="15" t="str">
        <f>IF(B1210="",VLOOKUP(A1210,items_lookup!A:B,2,FALSE),B1210)</f>
        <v>13. Item 13</v>
      </c>
      <c r="Y1210" s="15">
        <f t="shared" si="107"/>
        <v>6</v>
      </c>
      <c r="Z1210" s="15">
        <f t="shared" si="107"/>
        <v>6</v>
      </c>
      <c r="AA1210" s="15">
        <f t="shared" si="103"/>
        <v>2021</v>
      </c>
      <c r="AB1210" s="15">
        <f t="shared" si="104"/>
        <v>2021</v>
      </c>
      <c r="AC1210" s="15">
        <f t="shared" si="105"/>
        <v>2021</v>
      </c>
      <c r="AD1210" s="18" t="b">
        <f t="shared" si="106"/>
        <v>1</v>
      </c>
    </row>
    <row r="1211" spans="1:30" ht="12.6" hidden="1" customHeight="1" x14ac:dyDescent="0.2">
      <c r="A1211" s="7" t="s">
        <v>678</v>
      </c>
      <c r="B1211" s="7"/>
      <c r="C1211" s="2" t="s">
        <v>641</v>
      </c>
      <c r="D1211" s="6" t="s">
        <v>649</v>
      </c>
      <c r="E1211" s="32" t="s">
        <v>651</v>
      </c>
      <c r="F1211" s="7"/>
      <c r="G1211" s="7"/>
      <c r="H1211" s="7"/>
      <c r="I1211" s="7"/>
      <c r="J1211" s="7">
        <v>3</v>
      </c>
      <c r="K1211" s="7" t="s">
        <v>660</v>
      </c>
      <c r="L1211" s="7" t="s">
        <v>663</v>
      </c>
      <c r="M1211" s="8">
        <v>44357</v>
      </c>
      <c r="N1211" s="8">
        <v>44365</v>
      </c>
      <c r="O1211" s="13"/>
      <c r="P1211" s="13">
        <v>705.54</v>
      </c>
      <c r="Q1211" s="33"/>
      <c r="R1211" s="22"/>
      <c r="S1211" s="22"/>
      <c r="T1211" s="22"/>
      <c r="U1211" s="22"/>
      <c r="X1211" s="15" t="str">
        <f>IF(B1211="",VLOOKUP(A1211,items_lookup!A:B,2,FALSE),B1211)</f>
        <v>13. Item 13</v>
      </c>
      <c r="Y1211" s="15">
        <f t="shared" si="107"/>
        <v>6</v>
      </c>
      <c r="Z1211" s="15">
        <f t="shared" si="107"/>
        <v>6</v>
      </c>
      <c r="AA1211" s="15">
        <f t="shared" ref="AA1211:AA1274" si="108">YEAR(N1211)</f>
        <v>2021</v>
      </c>
      <c r="AB1211" s="15">
        <f t="shared" ref="AB1211:AB1274" si="109">YEAR(M1211)</f>
        <v>2021</v>
      </c>
      <c r="AC1211" s="15">
        <f t="shared" ref="AC1211:AC1274" si="110">IF(F1211="X",AA1211-1,AA1211)</f>
        <v>2021</v>
      </c>
      <c r="AD1211" s="18" t="b">
        <f t="shared" si="106"/>
        <v>1</v>
      </c>
    </row>
    <row r="1212" spans="1:30" ht="12.6" hidden="1" customHeight="1" x14ac:dyDescent="0.2">
      <c r="A1212" s="7" t="s">
        <v>700</v>
      </c>
      <c r="B1212" s="7"/>
      <c r="C1212" s="2" t="s">
        <v>641</v>
      </c>
      <c r="D1212" s="6" t="s">
        <v>649</v>
      </c>
      <c r="E1212" s="32" t="s">
        <v>651</v>
      </c>
      <c r="F1212" s="7"/>
      <c r="G1212" s="7"/>
      <c r="H1212" s="7"/>
      <c r="I1212" s="7"/>
      <c r="J1212" s="7">
        <v>1</v>
      </c>
      <c r="K1212" s="7" t="s">
        <v>660</v>
      </c>
      <c r="L1212" s="7" t="s">
        <v>663</v>
      </c>
      <c r="M1212" s="8">
        <v>44350</v>
      </c>
      <c r="N1212" s="8">
        <v>44356</v>
      </c>
      <c r="O1212" s="13"/>
      <c r="P1212" s="13">
        <v>11348.3</v>
      </c>
      <c r="Q1212" s="33"/>
      <c r="R1212" s="22"/>
      <c r="S1212" s="22"/>
      <c r="T1212" s="22"/>
      <c r="U1212" s="22"/>
      <c r="X1212" s="15" t="str">
        <f>IF(B1212="",VLOOKUP(A1212,items_lookup!A:B,2,FALSE),B1212)</f>
        <v>13. Item 13</v>
      </c>
      <c r="Y1212" s="15">
        <f t="shared" si="107"/>
        <v>6</v>
      </c>
      <c r="Z1212" s="15">
        <f t="shared" si="107"/>
        <v>6</v>
      </c>
      <c r="AA1212" s="15">
        <f t="shared" si="108"/>
        <v>2021</v>
      </c>
      <c r="AB1212" s="15">
        <f t="shared" si="109"/>
        <v>2021</v>
      </c>
      <c r="AC1212" s="15">
        <f t="shared" si="110"/>
        <v>2021</v>
      </c>
      <c r="AD1212" s="18" t="b">
        <f t="shared" si="106"/>
        <v>1</v>
      </c>
    </row>
    <row r="1213" spans="1:30" ht="12.6" hidden="1" customHeight="1" x14ac:dyDescent="0.2">
      <c r="A1213" s="7" t="s">
        <v>701</v>
      </c>
      <c r="B1213" s="7"/>
      <c r="C1213" s="2" t="s">
        <v>641</v>
      </c>
      <c r="D1213" s="6" t="s">
        <v>649</v>
      </c>
      <c r="E1213" s="32" t="s">
        <v>651</v>
      </c>
      <c r="F1213" s="7"/>
      <c r="G1213" s="7"/>
      <c r="H1213" s="7"/>
      <c r="I1213" s="7"/>
      <c r="J1213" s="7">
        <v>1</v>
      </c>
      <c r="K1213" s="7" t="s">
        <v>660</v>
      </c>
      <c r="L1213" s="7" t="s">
        <v>663</v>
      </c>
      <c r="M1213" s="8">
        <v>44350</v>
      </c>
      <c r="N1213" s="8">
        <v>44357</v>
      </c>
      <c r="O1213" s="13"/>
      <c r="P1213" s="13">
        <v>8089.54</v>
      </c>
      <c r="Q1213" s="33"/>
      <c r="R1213" s="22"/>
      <c r="S1213" s="22"/>
      <c r="T1213" s="22"/>
      <c r="U1213" s="22"/>
      <c r="X1213" s="15" t="str">
        <f>IF(B1213="",VLOOKUP(A1213,items_lookup!A:B,2,FALSE),B1213)</f>
        <v>13. Item 13</v>
      </c>
      <c r="Y1213" s="15">
        <f t="shared" si="107"/>
        <v>6</v>
      </c>
      <c r="Z1213" s="15">
        <f t="shared" si="107"/>
        <v>6</v>
      </c>
      <c r="AA1213" s="15">
        <f t="shared" si="108"/>
        <v>2021</v>
      </c>
      <c r="AB1213" s="15">
        <f t="shared" si="109"/>
        <v>2021</v>
      </c>
      <c r="AC1213" s="15">
        <f t="shared" si="110"/>
        <v>2021</v>
      </c>
      <c r="AD1213" s="18" t="b">
        <f t="shared" si="106"/>
        <v>1</v>
      </c>
    </row>
    <row r="1214" spans="1:30" ht="12.6" hidden="1" customHeight="1" x14ac:dyDescent="0.2">
      <c r="A1214" s="7" t="s">
        <v>680</v>
      </c>
      <c r="B1214" s="7"/>
      <c r="C1214" s="2" t="s">
        <v>641</v>
      </c>
      <c r="D1214" s="6" t="s">
        <v>649</v>
      </c>
      <c r="E1214" s="32" t="s">
        <v>651</v>
      </c>
      <c r="F1214" s="7"/>
      <c r="G1214" s="7"/>
      <c r="H1214" s="7"/>
      <c r="I1214" s="7"/>
      <c r="J1214" s="7">
        <v>1</v>
      </c>
      <c r="K1214" s="7" t="s">
        <v>660</v>
      </c>
      <c r="L1214" s="7" t="s">
        <v>663</v>
      </c>
      <c r="M1214" s="8">
        <v>44350</v>
      </c>
      <c r="N1214" s="8">
        <v>44358</v>
      </c>
      <c r="O1214" s="13"/>
      <c r="P1214" s="13">
        <v>9221.6200000000008</v>
      </c>
      <c r="Q1214" s="33"/>
      <c r="R1214" s="22"/>
      <c r="S1214" s="22"/>
      <c r="T1214" s="22"/>
      <c r="U1214" s="22"/>
      <c r="X1214" s="15" t="str">
        <f>IF(B1214="",VLOOKUP(A1214,items_lookup!A:B,2,FALSE),B1214)</f>
        <v>13. Item 13</v>
      </c>
      <c r="Y1214" s="15">
        <f t="shared" si="107"/>
        <v>6</v>
      </c>
      <c r="Z1214" s="15">
        <f t="shared" si="107"/>
        <v>6</v>
      </c>
      <c r="AA1214" s="15">
        <f t="shared" si="108"/>
        <v>2021</v>
      </c>
      <c r="AB1214" s="15">
        <f t="shared" si="109"/>
        <v>2021</v>
      </c>
      <c r="AC1214" s="15">
        <f t="shared" si="110"/>
        <v>2021</v>
      </c>
      <c r="AD1214" s="18" t="b">
        <f t="shared" si="106"/>
        <v>1</v>
      </c>
    </row>
    <row r="1215" spans="1:30" ht="12.6" hidden="1" customHeight="1" x14ac:dyDescent="0.2">
      <c r="A1215" s="7" t="s">
        <v>687</v>
      </c>
      <c r="B1215" s="7"/>
      <c r="C1215" s="2" t="s">
        <v>641</v>
      </c>
      <c r="D1215" s="6" t="s">
        <v>649</v>
      </c>
      <c r="E1215" s="32" t="s">
        <v>651</v>
      </c>
      <c r="F1215" s="7"/>
      <c r="G1215" s="7"/>
      <c r="H1215" s="7"/>
      <c r="I1215" s="7"/>
      <c r="J1215" s="7">
        <v>1</v>
      </c>
      <c r="K1215" s="7" t="s">
        <v>660</v>
      </c>
      <c r="L1215" s="7" t="s">
        <v>663</v>
      </c>
      <c r="M1215" s="8">
        <v>44350</v>
      </c>
      <c r="N1215" s="8">
        <v>44362</v>
      </c>
      <c r="O1215" s="13"/>
      <c r="P1215" s="13">
        <v>33331.26</v>
      </c>
      <c r="Q1215" s="33"/>
      <c r="R1215" s="22"/>
      <c r="S1215" s="22"/>
      <c r="T1215" s="22"/>
      <c r="U1215" s="22"/>
      <c r="X1215" s="15" t="str">
        <f>IF(B1215="",VLOOKUP(A1215,items_lookup!A:B,2,FALSE),B1215)</f>
        <v>14. Item 14</v>
      </c>
      <c r="Y1215" s="15">
        <f t="shared" si="107"/>
        <v>6</v>
      </c>
      <c r="Z1215" s="15">
        <f t="shared" si="107"/>
        <v>6</v>
      </c>
      <c r="AA1215" s="15">
        <f t="shared" si="108"/>
        <v>2021</v>
      </c>
      <c r="AB1215" s="15">
        <f t="shared" si="109"/>
        <v>2021</v>
      </c>
      <c r="AC1215" s="15">
        <f t="shared" si="110"/>
        <v>2021</v>
      </c>
      <c r="AD1215" s="18" t="b">
        <f t="shared" si="106"/>
        <v>1</v>
      </c>
    </row>
    <row r="1216" spans="1:30" ht="12.6" hidden="1" customHeight="1" x14ac:dyDescent="0.2">
      <c r="A1216" s="7" t="s">
        <v>702</v>
      </c>
      <c r="B1216" s="7"/>
      <c r="C1216" s="2" t="s">
        <v>641</v>
      </c>
      <c r="D1216" s="6" t="s">
        <v>649</v>
      </c>
      <c r="E1216" s="32" t="s">
        <v>651</v>
      </c>
      <c r="F1216" s="7"/>
      <c r="G1216" s="7"/>
      <c r="H1216" s="7"/>
      <c r="I1216" s="7"/>
      <c r="J1216" s="7">
        <v>1</v>
      </c>
      <c r="K1216" s="7" t="s">
        <v>660</v>
      </c>
      <c r="L1216" s="7" t="s">
        <v>663</v>
      </c>
      <c r="M1216" s="8">
        <v>44350</v>
      </c>
      <c r="N1216" s="8">
        <v>44365</v>
      </c>
      <c r="O1216" s="13"/>
      <c r="P1216" s="13">
        <v>421944.58</v>
      </c>
      <c r="Q1216" s="33"/>
      <c r="R1216" s="22"/>
      <c r="S1216" s="22"/>
      <c r="T1216" s="22"/>
      <c r="U1216" s="22"/>
      <c r="X1216" s="15" t="str">
        <f>IF(B1216="",VLOOKUP(A1216,items_lookup!A:B,2,FALSE),B1216)</f>
        <v>17. Item 17</v>
      </c>
      <c r="Y1216" s="15">
        <f t="shared" si="107"/>
        <v>6</v>
      </c>
      <c r="Z1216" s="15">
        <f t="shared" si="107"/>
        <v>6</v>
      </c>
      <c r="AA1216" s="15">
        <f t="shared" si="108"/>
        <v>2021</v>
      </c>
      <c r="AB1216" s="15">
        <f t="shared" si="109"/>
        <v>2021</v>
      </c>
      <c r="AC1216" s="15">
        <f t="shared" si="110"/>
        <v>2021</v>
      </c>
      <c r="AD1216" s="18" t="b">
        <f t="shared" si="106"/>
        <v>1</v>
      </c>
    </row>
    <row r="1217" spans="1:30" ht="12.6" hidden="1" customHeight="1" x14ac:dyDescent="0.2">
      <c r="A1217" s="7" t="s">
        <v>675</v>
      </c>
      <c r="B1217" s="7"/>
      <c r="C1217" s="2" t="s">
        <v>641</v>
      </c>
      <c r="D1217" s="6" t="s">
        <v>649</v>
      </c>
      <c r="E1217" s="32" t="s">
        <v>651</v>
      </c>
      <c r="F1217" s="7"/>
      <c r="G1217" s="7"/>
      <c r="H1217" s="7"/>
      <c r="I1217" s="7" t="s">
        <v>20</v>
      </c>
      <c r="J1217" s="7">
        <v>1</v>
      </c>
      <c r="K1217" s="7" t="s">
        <v>660</v>
      </c>
      <c r="L1217" s="7" t="s">
        <v>663</v>
      </c>
      <c r="M1217" s="8">
        <v>44350</v>
      </c>
      <c r="N1217" s="8">
        <v>44365</v>
      </c>
      <c r="O1217" s="13"/>
      <c r="P1217" s="13">
        <v>428.57</v>
      </c>
      <c r="Q1217" s="33"/>
      <c r="R1217" s="22"/>
      <c r="S1217" s="22"/>
      <c r="T1217" s="22"/>
      <c r="U1217" s="22"/>
      <c r="X1217" s="15" t="str">
        <f>IF(B1217="",VLOOKUP(A1217,items_lookup!A:B,2,FALSE),B1217)</f>
        <v>09. Item 09</v>
      </c>
      <c r="Y1217" s="15">
        <f t="shared" si="107"/>
        <v>6</v>
      </c>
      <c r="Z1217" s="15">
        <f t="shared" si="107"/>
        <v>6</v>
      </c>
      <c r="AA1217" s="15">
        <f t="shared" si="108"/>
        <v>2021</v>
      </c>
      <c r="AB1217" s="15">
        <f t="shared" si="109"/>
        <v>2021</v>
      </c>
      <c r="AC1217" s="15">
        <f t="shared" si="110"/>
        <v>2021</v>
      </c>
      <c r="AD1217" s="18" t="b">
        <f t="shared" si="106"/>
        <v>1</v>
      </c>
    </row>
    <row r="1218" spans="1:30" ht="12.6" hidden="1" customHeight="1" x14ac:dyDescent="0.2">
      <c r="A1218" s="7" t="s">
        <v>696</v>
      </c>
      <c r="B1218" s="7"/>
      <c r="C1218" s="2" t="s">
        <v>641</v>
      </c>
      <c r="D1218" s="6" t="s">
        <v>649</v>
      </c>
      <c r="E1218" s="32" t="s">
        <v>651</v>
      </c>
      <c r="F1218" s="7"/>
      <c r="G1218" s="7"/>
      <c r="H1218" s="7"/>
      <c r="I1218" s="7" t="s">
        <v>20</v>
      </c>
      <c r="J1218" s="7">
        <v>2</v>
      </c>
      <c r="K1218" s="7" t="s">
        <v>660</v>
      </c>
      <c r="L1218" s="7" t="s">
        <v>663</v>
      </c>
      <c r="M1218" s="8">
        <v>44357</v>
      </c>
      <c r="N1218" s="8">
        <v>44370</v>
      </c>
      <c r="O1218" s="13"/>
      <c r="P1218" s="13">
        <v>1180.95</v>
      </c>
      <c r="Q1218" s="33"/>
      <c r="R1218" s="22"/>
      <c r="S1218" s="22"/>
      <c r="T1218" s="22"/>
      <c r="U1218" s="22"/>
      <c r="X1218" s="15" t="str">
        <f>IF(B1218="",VLOOKUP(A1218,items_lookup!A:B,2,FALSE),B1218)</f>
        <v>13. Item 13</v>
      </c>
      <c r="Y1218" s="15">
        <f t="shared" si="107"/>
        <v>6</v>
      </c>
      <c r="Z1218" s="15">
        <f t="shared" si="107"/>
        <v>6</v>
      </c>
      <c r="AA1218" s="15">
        <f t="shared" si="108"/>
        <v>2021</v>
      </c>
      <c r="AB1218" s="15">
        <f t="shared" si="109"/>
        <v>2021</v>
      </c>
      <c r="AC1218" s="15">
        <f t="shared" si="110"/>
        <v>2021</v>
      </c>
      <c r="AD1218" s="18" t="b">
        <f t="shared" si="106"/>
        <v>1</v>
      </c>
    </row>
    <row r="1219" spans="1:30" ht="15" hidden="1" customHeight="1" x14ac:dyDescent="0.2">
      <c r="A1219" s="7" t="s">
        <v>680</v>
      </c>
      <c r="B1219" s="7"/>
      <c r="C1219" s="2" t="s">
        <v>641</v>
      </c>
      <c r="D1219" s="6" t="s">
        <v>649</v>
      </c>
      <c r="E1219" s="32" t="s">
        <v>651</v>
      </c>
      <c r="F1219" s="7"/>
      <c r="G1219" s="7"/>
      <c r="H1219" s="7"/>
      <c r="I1219" s="7"/>
      <c r="J1219" s="7">
        <v>2</v>
      </c>
      <c r="K1219" s="7" t="s">
        <v>660</v>
      </c>
      <c r="L1219" s="7" t="s">
        <v>663</v>
      </c>
      <c r="M1219" s="8">
        <v>44357</v>
      </c>
      <c r="N1219" s="8">
        <v>44370</v>
      </c>
      <c r="O1219" s="13"/>
      <c r="P1219" s="13">
        <v>374305.96</v>
      </c>
      <c r="Q1219" s="33"/>
      <c r="R1219" s="22"/>
      <c r="S1219" s="22"/>
      <c r="T1219" s="22"/>
      <c r="U1219" s="22"/>
      <c r="X1219" s="15" t="str">
        <f>IF(B1219="",VLOOKUP(A1219,items_lookup!A:B,2,FALSE),B1219)</f>
        <v>13. Item 13</v>
      </c>
      <c r="Y1219" s="15">
        <f t="shared" si="107"/>
        <v>6</v>
      </c>
      <c r="Z1219" s="15">
        <f t="shared" si="107"/>
        <v>6</v>
      </c>
      <c r="AA1219" s="15">
        <f t="shared" si="108"/>
        <v>2021</v>
      </c>
      <c r="AB1219" s="15">
        <f t="shared" si="109"/>
        <v>2021</v>
      </c>
      <c r="AC1219" s="15">
        <f t="shared" si="110"/>
        <v>2021</v>
      </c>
      <c r="AD1219" s="18" t="b">
        <f t="shared" ref="AD1219:AD1282" si="111">AND(ROUND(O1219,2)=O1219,ROUND(P1219,2)=P1219,OR(AND(O1219&lt;&gt;0,L1219="p"),AND(P1219&lt;&gt;0,L1219="f")),_xlfn.ISFORMULA(X1219),_xlfn.ISFORMULA(Y1219),_xlfn.ISFORMULA(Z1219),_xlfn.ISFORMULA(AA1219),_xlfn.ISFORMULA(AB1219),_xlfn.ISFORMULA(AC1219),NOT(_xlfn.ISFORMULA(O1219)),NOT(_xlfn.ISFORMULA(P1219)),M1219&lt;&gt;0,N1219&lt;&gt;0)</f>
        <v>1</v>
      </c>
    </row>
    <row r="1220" spans="1:30" ht="15" hidden="1" customHeight="1" x14ac:dyDescent="0.2">
      <c r="A1220" s="7" t="s">
        <v>680</v>
      </c>
      <c r="B1220" s="7"/>
      <c r="C1220" s="2" t="s">
        <v>641</v>
      </c>
      <c r="D1220" s="6" t="s">
        <v>649</v>
      </c>
      <c r="E1220" s="32" t="s">
        <v>651</v>
      </c>
      <c r="F1220" s="7"/>
      <c r="G1220" s="7"/>
      <c r="H1220" s="7"/>
      <c r="I1220" s="7" t="s">
        <v>20</v>
      </c>
      <c r="J1220" s="7">
        <v>2</v>
      </c>
      <c r="K1220" s="7" t="s">
        <v>660</v>
      </c>
      <c r="L1220" s="7" t="s">
        <v>663</v>
      </c>
      <c r="M1220" s="8">
        <v>44357</v>
      </c>
      <c r="N1220" s="8">
        <v>44365</v>
      </c>
      <c r="O1220" s="13"/>
      <c r="P1220" s="13">
        <v>62350.22</v>
      </c>
      <c r="Q1220" s="33"/>
      <c r="R1220" s="9"/>
      <c r="S1220" s="9"/>
      <c r="T1220" s="9"/>
      <c r="U1220" s="9"/>
      <c r="X1220" s="15" t="str">
        <f>IF(B1220="",VLOOKUP(A1220,items_lookup!A:B,2,FALSE),B1220)</f>
        <v>13. Item 13</v>
      </c>
      <c r="Y1220" s="15">
        <f t="shared" si="107"/>
        <v>6</v>
      </c>
      <c r="Z1220" s="15">
        <f t="shared" si="107"/>
        <v>6</v>
      </c>
      <c r="AA1220" s="15">
        <f t="shared" si="108"/>
        <v>2021</v>
      </c>
      <c r="AB1220" s="15">
        <f t="shared" si="109"/>
        <v>2021</v>
      </c>
      <c r="AC1220" s="15">
        <f t="shared" si="110"/>
        <v>2021</v>
      </c>
      <c r="AD1220" s="18" t="b">
        <f t="shared" si="111"/>
        <v>1</v>
      </c>
    </row>
    <row r="1221" spans="1:30" ht="15" hidden="1" customHeight="1" x14ac:dyDescent="0.2">
      <c r="A1221" s="7" t="s">
        <v>675</v>
      </c>
      <c r="B1221" s="7"/>
      <c r="C1221" s="2" t="s">
        <v>641</v>
      </c>
      <c r="D1221" s="6" t="s">
        <v>649</v>
      </c>
      <c r="E1221" s="32" t="s">
        <v>651</v>
      </c>
      <c r="F1221" s="7"/>
      <c r="G1221" s="7"/>
      <c r="H1221" s="7"/>
      <c r="I1221" s="7" t="s">
        <v>20</v>
      </c>
      <c r="J1221" s="7">
        <v>3</v>
      </c>
      <c r="K1221" s="7" t="s">
        <v>660</v>
      </c>
      <c r="L1221" s="7" t="s">
        <v>663</v>
      </c>
      <c r="M1221" s="8">
        <v>44358</v>
      </c>
      <c r="N1221" s="8">
        <v>44371</v>
      </c>
      <c r="O1221" s="13"/>
      <c r="P1221" s="13">
        <v>32873.599999999999</v>
      </c>
      <c r="Q1221" s="33"/>
      <c r="R1221" s="22"/>
      <c r="S1221" s="22"/>
      <c r="T1221" s="22"/>
      <c r="U1221" s="22"/>
      <c r="X1221" s="15" t="str">
        <f>IF(B1221="",VLOOKUP(A1221,items_lookup!A:B,2,FALSE),B1221)</f>
        <v>09. Item 09</v>
      </c>
      <c r="Y1221" s="15">
        <f t="shared" si="107"/>
        <v>6</v>
      </c>
      <c r="Z1221" s="15">
        <f t="shared" si="107"/>
        <v>6</v>
      </c>
      <c r="AA1221" s="15">
        <f t="shared" si="108"/>
        <v>2021</v>
      </c>
      <c r="AB1221" s="15">
        <f t="shared" si="109"/>
        <v>2021</v>
      </c>
      <c r="AC1221" s="15">
        <f t="shared" si="110"/>
        <v>2021</v>
      </c>
      <c r="AD1221" s="18" t="b">
        <f t="shared" si="111"/>
        <v>1</v>
      </c>
    </row>
    <row r="1222" spans="1:30" ht="25.5" hidden="1" x14ac:dyDescent="0.2">
      <c r="A1222" s="7" t="s">
        <v>670</v>
      </c>
      <c r="B1222" s="7"/>
      <c r="C1222" s="2" t="s">
        <v>641</v>
      </c>
      <c r="D1222" s="6" t="s">
        <v>649</v>
      </c>
      <c r="E1222" s="32" t="s">
        <v>651</v>
      </c>
      <c r="F1222" s="7"/>
      <c r="G1222" s="7"/>
      <c r="H1222" s="7"/>
      <c r="I1222" s="7"/>
      <c r="J1222" s="7"/>
      <c r="K1222" s="7" t="s">
        <v>660</v>
      </c>
      <c r="L1222" s="7" t="s">
        <v>663</v>
      </c>
      <c r="M1222" s="8">
        <v>44356</v>
      </c>
      <c r="N1222" s="8">
        <v>44356</v>
      </c>
      <c r="O1222" s="13"/>
      <c r="P1222" s="13">
        <v>11348.3</v>
      </c>
      <c r="Q1222" s="33"/>
      <c r="R1222" s="22"/>
      <c r="S1222" s="22"/>
      <c r="T1222" s="22"/>
      <c r="U1222" s="22"/>
      <c r="X1222" s="15" t="str">
        <f>IF(B1222="",VLOOKUP(A1222,items_lookup!A:B,2,FALSE),B1222)</f>
        <v>04. Item 04</v>
      </c>
      <c r="Y1222" s="15">
        <f t="shared" si="107"/>
        <v>6</v>
      </c>
      <c r="Z1222" s="15">
        <f t="shared" si="107"/>
        <v>6</v>
      </c>
      <c r="AA1222" s="15">
        <f t="shared" si="108"/>
        <v>2021</v>
      </c>
      <c r="AB1222" s="15">
        <f t="shared" si="109"/>
        <v>2021</v>
      </c>
      <c r="AC1222" s="15">
        <f t="shared" si="110"/>
        <v>2021</v>
      </c>
      <c r="AD1222" s="18" t="b">
        <f t="shared" si="111"/>
        <v>1</v>
      </c>
    </row>
    <row r="1223" spans="1:30" ht="15" hidden="1" customHeight="1" x14ac:dyDescent="0.2">
      <c r="A1223" s="7" t="s">
        <v>670</v>
      </c>
      <c r="B1223" s="7"/>
      <c r="C1223" s="2" t="s">
        <v>641</v>
      </c>
      <c r="D1223" s="6" t="s">
        <v>649</v>
      </c>
      <c r="E1223" s="32" t="s">
        <v>651</v>
      </c>
      <c r="F1223" s="7"/>
      <c r="G1223" s="7"/>
      <c r="H1223" s="7"/>
      <c r="I1223" s="7"/>
      <c r="J1223" s="7"/>
      <c r="K1223" s="7" t="s">
        <v>660</v>
      </c>
      <c r="L1223" s="7" t="s">
        <v>663</v>
      </c>
      <c r="M1223" s="8">
        <v>44357</v>
      </c>
      <c r="N1223" s="8">
        <v>44357</v>
      </c>
      <c r="O1223" s="13"/>
      <c r="P1223" s="13">
        <v>69592.39</v>
      </c>
      <c r="Q1223" s="33"/>
      <c r="R1223" s="22"/>
      <c r="S1223" s="22"/>
      <c r="T1223" s="22"/>
      <c r="U1223" s="22"/>
      <c r="X1223" s="15" t="str">
        <f>IF(B1223="",VLOOKUP(A1223,items_lookup!A:B,2,FALSE),B1223)</f>
        <v>04. Item 04</v>
      </c>
      <c r="Y1223" s="15">
        <f t="shared" si="107"/>
        <v>6</v>
      </c>
      <c r="Z1223" s="15">
        <f t="shared" si="107"/>
        <v>6</v>
      </c>
      <c r="AA1223" s="15">
        <f t="shared" si="108"/>
        <v>2021</v>
      </c>
      <c r="AB1223" s="15">
        <f t="shared" si="109"/>
        <v>2021</v>
      </c>
      <c r="AC1223" s="15">
        <f t="shared" si="110"/>
        <v>2021</v>
      </c>
      <c r="AD1223" s="18" t="b">
        <f t="shared" si="111"/>
        <v>1</v>
      </c>
    </row>
    <row r="1224" spans="1:30" ht="15" hidden="1" customHeight="1" x14ac:dyDescent="0.2">
      <c r="A1224" s="7" t="s">
        <v>680</v>
      </c>
      <c r="B1224" s="7"/>
      <c r="C1224" s="2" t="s">
        <v>641</v>
      </c>
      <c r="D1224" s="6" t="s">
        <v>649</v>
      </c>
      <c r="E1224" s="32" t="s">
        <v>651</v>
      </c>
      <c r="F1224" s="7"/>
      <c r="G1224" s="7"/>
      <c r="H1224" s="7"/>
      <c r="I1224" s="7"/>
      <c r="J1224" s="7"/>
      <c r="K1224" s="7" t="s">
        <v>660</v>
      </c>
      <c r="L1224" s="7" t="s">
        <v>663</v>
      </c>
      <c r="M1224" s="8">
        <v>44358</v>
      </c>
      <c r="N1224" s="8">
        <v>44358</v>
      </c>
      <c r="O1224" s="13"/>
      <c r="P1224" s="13">
        <v>41729.58</v>
      </c>
      <c r="Q1224" s="33"/>
      <c r="R1224" s="22"/>
      <c r="S1224" s="22"/>
      <c r="T1224" s="22"/>
      <c r="U1224" s="22"/>
      <c r="X1224" s="15" t="str">
        <f>IF(B1224="",VLOOKUP(A1224,items_lookup!A:B,2,FALSE),B1224)</f>
        <v>13. Item 13</v>
      </c>
      <c r="Y1224" s="15">
        <f t="shared" si="107"/>
        <v>6</v>
      </c>
      <c r="Z1224" s="15">
        <f t="shared" si="107"/>
        <v>6</v>
      </c>
      <c r="AA1224" s="15">
        <f t="shared" si="108"/>
        <v>2021</v>
      </c>
      <c r="AB1224" s="15">
        <f t="shared" si="109"/>
        <v>2021</v>
      </c>
      <c r="AC1224" s="15">
        <f t="shared" si="110"/>
        <v>2021</v>
      </c>
      <c r="AD1224" s="18" t="b">
        <f t="shared" si="111"/>
        <v>1</v>
      </c>
    </row>
    <row r="1225" spans="1:30" ht="15" hidden="1" customHeight="1" x14ac:dyDescent="0.2">
      <c r="A1225" s="7" t="s">
        <v>680</v>
      </c>
      <c r="B1225" s="7"/>
      <c r="C1225" s="2" t="s">
        <v>641</v>
      </c>
      <c r="D1225" s="6" t="s">
        <v>649</v>
      </c>
      <c r="E1225" s="32" t="s">
        <v>651</v>
      </c>
      <c r="F1225" s="7"/>
      <c r="G1225" s="7"/>
      <c r="H1225" s="7"/>
      <c r="I1225" s="7"/>
      <c r="J1225" s="7">
        <v>1</v>
      </c>
      <c r="K1225" s="7" t="s">
        <v>660</v>
      </c>
      <c r="L1225" s="7" t="s">
        <v>663</v>
      </c>
      <c r="M1225" s="8">
        <v>44350</v>
      </c>
      <c r="N1225" s="8">
        <v>44357</v>
      </c>
      <c r="O1225" s="13"/>
      <c r="P1225" s="13">
        <v>26147.61</v>
      </c>
      <c r="Q1225" s="33"/>
      <c r="R1225" s="22"/>
      <c r="S1225" s="22"/>
      <c r="T1225" s="22"/>
      <c r="U1225" s="22"/>
      <c r="X1225" s="15" t="str">
        <f>IF(B1225="",VLOOKUP(A1225,items_lookup!A:B,2,FALSE),B1225)</f>
        <v>13. Item 13</v>
      </c>
      <c r="Y1225" s="15">
        <f t="shared" si="107"/>
        <v>6</v>
      </c>
      <c r="Z1225" s="15">
        <f t="shared" si="107"/>
        <v>6</v>
      </c>
      <c r="AA1225" s="15">
        <f t="shared" si="108"/>
        <v>2021</v>
      </c>
      <c r="AB1225" s="15">
        <f t="shared" si="109"/>
        <v>2021</v>
      </c>
      <c r="AC1225" s="15">
        <f t="shared" si="110"/>
        <v>2021</v>
      </c>
      <c r="AD1225" s="18" t="b">
        <f t="shared" si="111"/>
        <v>1</v>
      </c>
    </row>
    <row r="1226" spans="1:30" ht="12.6" hidden="1" customHeight="1" x14ac:dyDescent="0.2">
      <c r="A1226" s="7" t="s">
        <v>680</v>
      </c>
      <c r="B1226" s="7"/>
      <c r="C1226" s="2" t="s">
        <v>641</v>
      </c>
      <c r="D1226" s="6" t="s">
        <v>649</v>
      </c>
      <c r="E1226" s="32" t="s">
        <v>651</v>
      </c>
      <c r="F1226" s="7"/>
      <c r="G1226" s="7"/>
      <c r="H1226" s="7"/>
      <c r="I1226" s="7"/>
      <c r="J1226" s="7">
        <v>1</v>
      </c>
      <c r="K1226" s="7" t="s">
        <v>660</v>
      </c>
      <c r="L1226" s="7" t="s">
        <v>663</v>
      </c>
      <c r="M1226" s="8">
        <v>44350</v>
      </c>
      <c r="N1226" s="8">
        <v>44358</v>
      </c>
      <c r="O1226" s="13"/>
      <c r="P1226" s="13">
        <v>32507.96</v>
      </c>
      <c r="Q1226" s="33"/>
      <c r="R1226" s="22"/>
      <c r="S1226" s="22"/>
      <c r="T1226" s="22"/>
      <c r="U1226" s="22"/>
      <c r="X1226" s="15" t="str">
        <f>IF(B1226="",VLOOKUP(A1226,items_lookup!A:B,2,FALSE),B1226)</f>
        <v>13. Item 13</v>
      </c>
      <c r="Y1226" s="15">
        <f t="shared" si="107"/>
        <v>6</v>
      </c>
      <c r="Z1226" s="15">
        <f t="shared" si="107"/>
        <v>6</v>
      </c>
      <c r="AA1226" s="15">
        <f t="shared" si="108"/>
        <v>2021</v>
      </c>
      <c r="AB1226" s="15">
        <f t="shared" si="109"/>
        <v>2021</v>
      </c>
      <c r="AC1226" s="15">
        <f t="shared" si="110"/>
        <v>2021</v>
      </c>
      <c r="AD1226" s="18" t="b">
        <f t="shared" si="111"/>
        <v>1</v>
      </c>
    </row>
    <row r="1227" spans="1:30" ht="12.6" hidden="1" customHeight="1" x14ac:dyDescent="0.2">
      <c r="A1227" s="7" t="s">
        <v>680</v>
      </c>
      <c r="B1227" s="7"/>
      <c r="C1227" s="2" t="s">
        <v>648</v>
      </c>
      <c r="D1227" s="6" t="s">
        <v>649</v>
      </c>
      <c r="E1227" s="32" t="s">
        <v>651</v>
      </c>
      <c r="F1227" s="7"/>
      <c r="G1227" s="7"/>
      <c r="H1227" s="7"/>
      <c r="I1227" s="7"/>
      <c r="J1227" s="7"/>
      <c r="K1227" s="7"/>
      <c r="L1227" s="7" t="s">
        <v>663</v>
      </c>
      <c r="M1227" s="8">
        <v>44348</v>
      </c>
      <c r="N1227" s="8">
        <v>44348</v>
      </c>
      <c r="O1227" s="13"/>
      <c r="P1227" s="13">
        <v>19308.68</v>
      </c>
      <c r="Q1227" s="33"/>
      <c r="R1227" s="22"/>
      <c r="S1227" s="22"/>
      <c r="T1227" s="22"/>
      <c r="U1227" s="22"/>
      <c r="X1227" s="15" t="str">
        <f>IF(B1227="",VLOOKUP(A1227,items_lookup!A:B,2,FALSE),B1227)</f>
        <v>13. Item 13</v>
      </c>
      <c r="Y1227" s="15">
        <f t="shared" ref="Y1227:Z1290" si="112">MONTH(M1227)</f>
        <v>6</v>
      </c>
      <c r="Z1227" s="15">
        <f t="shared" si="112"/>
        <v>6</v>
      </c>
      <c r="AA1227" s="15">
        <f t="shared" si="108"/>
        <v>2021</v>
      </c>
      <c r="AB1227" s="15">
        <f t="shared" si="109"/>
        <v>2021</v>
      </c>
      <c r="AC1227" s="15">
        <f t="shared" si="110"/>
        <v>2021</v>
      </c>
      <c r="AD1227" s="18" t="b">
        <f t="shared" si="111"/>
        <v>1</v>
      </c>
    </row>
    <row r="1228" spans="1:30" ht="15" hidden="1" customHeight="1" x14ac:dyDescent="0.2">
      <c r="A1228" s="7" t="s">
        <v>680</v>
      </c>
      <c r="B1228" s="7"/>
      <c r="C1228" s="2" t="s">
        <v>648</v>
      </c>
      <c r="D1228" s="6" t="s">
        <v>649</v>
      </c>
      <c r="E1228" s="32" t="s">
        <v>651</v>
      </c>
      <c r="F1228" s="7"/>
      <c r="G1228" s="7"/>
      <c r="H1228" s="7"/>
      <c r="I1228" s="7"/>
      <c r="J1228" s="7"/>
      <c r="K1228" s="7"/>
      <c r="L1228" s="7" t="s">
        <v>663</v>
      </c>
      <c r="M1228" s="8">
        <v>44348</v>
      </c>
      <c r="N1228" s="8">
        <v>44348</v>
      </c>
      <c r="O1228" s="13"/>
      <c r="P1228" s="13">
        <v>1005162.71</v>
      </c>
      <c r="Q1228" s="33"/>
      <c r="R1228" s="22"/>
      <c r="S1228" s="22"/>
      <c r="T1228" s="22"/>
      <c r="U1228" s="22"/>
      <c r="X1228" s="15" t="str">
        <f>IF(B1228="",VLOOKUP(A1228,items_lookup!A:B,2,FALSE),B1228)</f>
        <v>13. Item 13</v>
      </c>
      <c r="Y1228" s="15">
        <f t="shared" si="112"/>
        <v>6</v>
      </c>
      <c r="Z1228" s="15">
        <f t="shared" si="112"/>
        <v>6</v>
      </c>
      <c r="AA1228" s="15">
        <f t="shared" si="108"/>
        <v>2021</v>
      </c>
      <c r="AB1228" s="15">
        <f t="shared" si="109"/>
        <v>2021</v>
      </c>
      <c r="AC1228" s="15">
        <f t="shared" si="110"/>
        <v>2021</v>
      </c>
      <c r="AD1228" s="18" t="b">
        <f t="shared" si="111"/>
        <v>1</v>
      </c>
    </row>
    <row r="1229" spans="1:30" ht="15" hidden="1" customHeight="1" x14ac:dyDescent="0.2">
      <c r="A1229" s="7" t="s">
        <v>683</v>
      </c>
      <c r="B1229" s="7"/>
      <c r="C1229" s="2" t="s">
        <v>648</v>
      </c>
      <c r="D1229" s="6" t="s">
        <v>649</v>
      </c>
      <c r="E1229" s="32" t="s">
        <v>651</v>
      </c>
      <c r="F1229" s="7"/>
      <c r="G1229" s="7"/>
      <c r="H1229" s="7"/>
      <c r="I1229" s="7"/>
      <c r="J1229" s="7"/>
      <c r="K1229" s="7"/>
      <c r="L1229" s="7" t="s">
        <v>663</v>
      </c>
      <c r="M1229" s="8">
        <v>44348</v>
      </c>
      <c r="N1229" s="8">
        <v>44348</v>
      </c>
      <c r="O1229" s="13"/>
      <c r="P1229" s="13">
        <v>10018245.4</v>
      </c>
      <c r="Q1229" s="33"/>
      <c r="R1229" s="22"/>
      <c r="S1229" s="22"/>
      <c r="T1229" s="22"/>
      <c r="U1229" s="22"/>
      <c r="X1229" s="15" t="str">
        <f>IF(B1229="",VLOOKUP(A1229,items_lookup!A:B,2,FALSE),B1229)</f>
        <v>_1. Item _1</v>
      </c>
      <c r="Y1229" s="15">
        <f t="shared" si="112"/>
        <v>6</v>
      </c>
      <c r="Z1229" s="15">
        <f t="shared" si="112"/>
        <v>6</v>
      </c>
      <c r="AA1229" s="15">
        <f t="shared" si="108"/>
        <v>2021</v>
      </c>
      <c r="AB1229" s="15">
        <f t="shared" si="109"/>
        <v>2021</v>
      </c>
      <c r="AC1229" s="15">
        <f t="shared" si="110"/>
        <v>2021</v>
      </c>
      <c r="AD1229" s="18" t="b">
        <f t="shared" si="111"/>
        <v>1</v>
      </c>
    </row>
    <row r="1230" spans="1:30" ht="15" hidden="1" customHeight="1" x14ac:dyDescent="0.2">
      <c r="A1230" s="7" t="s">
        <v>683</v>
      </c>
      <c r="B1230" s="7"/>
      <c r="C1230" s="2" t="s">
        <v>648</v>
      </c>
      <c r="D1230" s="6" t="s">
        <v>649</v>
      </c>
      <c r="E1230" s="32" t="s">
        <v>651</v>
      </c>
      <c r="F1230" s="7"/>
      <c r="G1230" s="7"/>
      <c r="H1230" s="7"/>
      <c r="I1230" s="7"/>
      <c r="J1230" s="7"/>
      <c r="K1230" s="7"/>
      <c r="L1230" s="7" t="s">
        <v>663</v>
      </c>
      <c r="M1230" s="8">
        <v>44348</v>
      </c>
      <c r="N1230" s="8">
        <v>44348</v>
      </c>
      <c r="O1230" s="13"/>
      <c r="P1230" s="13">
        <v>48242.39</v>
      </c>
      <c r="Q1230" s="33"/>
      <c r="R1230" s="22"/>
      <c r="S1230" s="22"/>
      <c r="T1230" s="22"/>
      <c r="U1230" s="22"/>
      <c r="X1230" s="15" t="str">
        <f>IF(B1230="",VLOOKUP(A1230,items_lookup!A:B,2,FALSE),B1230)</f>
        <v>_1. Item _1</v>
      </c>
      <c r="Y1230" s="15">
        <f t="shared" si="112"/>
        <v>6</v>
      </c>
      <c r="Z1230" s="15">
        <f t="shared" si="112"/>
        <v>6</v>
      </c>
      <c r="AA1230" s="15">
        <f t="shared" si="108"/>
        <v>2021</v>
      </c>
      <c r="AB1230" s="15">
        <f t="shared" si="109"/>
        <v>2021</v>
      </c>
      <c r="AC1230" s="15">
        <f t="shared" si="110"/>
        <v>2021</v>
      </c>
      <c r="AD1230" s="18" t="b">
        <f t="shared" si="111"/>
        <v>1</v>
      </c>
    </row>
    <row r="1231" spans="1:30" ht="15" hidden="1" customHeight="1" x14ac:dyDescent="0.2">
      <c r="A1231" s="7" t="s">
        <v>683</v>
      </c>
      <c r="B1231" s="7"/>
      <c r="C1231" s="2" t="s">
        <v>648</v>
      </c>
      <c r="D1231" s="6" t="s">
        <v>649</v>
      </c>
      <c r="E1231" s="32" t="s">
        <v>651</v>
      </c>
      <c r="F1231" s="7"/>
      <c r="G1231" s="7"/>
      <c r="H1231" s="7"/>
      <c r="I1231" s="7"/>
      <c r="J1231" s="7"/>
      <c r="K1231" s="7"/>
      <c r="L1231" s="7" t="s">
        <v>663</v>
      </c>
      <c r="M1231" s="8">
        <v>44348</v>
      </c>
      <c r="N1231" s="8">
        <v>44348</v>
      </c>
      <c r="O1231" s="13"/>
      <c r="P1231" s="13">
        <v>59891.33</v>
      </c>
      <c r="Q1231" s="33"/>
      <c r="R1231" s="22"/>
      <c r="S1231" s="22"/>
      <c r="T1231" s="22"/>
      <c r="U1231" s="22"/>
      <c r="X1231" s="15" t="str">
        <f>IF(B1231="",VLOOKUP(A1231,items_lookup!A:B,2,FALSE),B1231)</f>
        <v>_1. Item _1</v>
      </c>
      <c r="Y1231" s="15">
        <f t="shared" si="112"/>
        <v>6</v>
      </c>
      <c r="Z1231" s="15">
        <f t="shared" si="112"/>
        <v>6</v>
      </c>
      <c r="AA1231" s="15">
        <f t="shared" si="108"/>
        <v>2021</v>
      </c>
      <c r="AB1231" s="15">
        <f t="shared" si="109"/>
        <v>2021</v>
      </c>
      <c r="AC1231" s="15">
        <f t="shared" si="110"/>
        <v>2021</v>
      </c>
      <c r="AD1231" s="18" t="b">
        <f t="shared" si="111"/>
        <v>1</v>
      </c>
    </row>
    <row r="1232" spans="1:30" ht="15" hidden="1" customHeight="1" x14ac:dyDescent="0.2">
      <c r="A1232" s="7" t="s">
        <v>703</v>
      </c>
      <c r="B1232" s="7"/>
      <c r="C1232" s="2" t="s">
        <v>648</v>
      </c>
      <c r="D1232" s="6" t="s">
        <v>649</v>
      </c>
      <c r="E1232" s="32" t="s">
        <v>651</v>
      </c>
      <c r="F1232" s="7"/>
      <c r="G1232" s="7"/>
      <c r="H1232" s="7"/>
      <c r="I1232" s="7"/>
      <c r="J1232" s="7"/>
      <c r="K1232" s="7"/>
      <c r="L1232" s="7" t="s">
        <v>663</v>
      </c>
      <c r="M1232" s="8">
        <v>44348</v>
      </c>
      <c r="N1232" s="8">
        <v>44348</v>
      </c>
      <c r="O1232" s="13"/>
      <c r="P1232" s="13">
        <v>9865711.9100000001</v>
      </c>
      <c r="Q1232" s="33"/>
      <c r="R1232" s="22"/>
      <c r="S1232" s="22"/>
      <c r="T1232" s="22"/>
      <c r="U1232" s="22"/>
      <c r="X1232" s="15" t="str">
        <f>IF(B1232="",VLOOKUP(A1232,items_lookup!A:B,2,FALSE),B1232)</f>
        <v>_3. Item _3</v>
      </c>
      <c r="Y1232" s="15">
        <f t="shared" si="112"/>
        <v>6</v>
      </c>
      <c r="Z1232" s="15">
        <f t="shared" si="112"/>
        <v>6</v>
      </c>
      <c r="AA1232" s="15">
        <f t="shared" si="108"/>
        <v>2021</v>
      </c>
      <c r="AB1232" s="15">
        <f t="shared" si="109"/>
        <v>2021</v>
      </c>
      <c r="AC1232" s="15">
        <f t="shared" si="110"/>
        <v>2021</v>
      </c>
      <c r="AD1232" s="18" t="b">
        <f t="shared" si="111"/>
        <v>1</v>
      </c>
    </row>
    <row r="1233" spans="1:30" ht="15" hidden="1" customHeight="1" x14ac:dyDescent="0.2">
      <c r="A1233" s="7" t="s">
        <v>702</v>
      </c>
      <c r="B1233" s="7"/>
      <c r="C1233" s="2" t="s">
        <v>648</v>
      </c>
      <c r="D1233" s="6" t="s">
        <v>649</v>
      </c>
      <c r="E1233" s="32" t="s">
        <v>651</v>
      </c>
      <c r="F1233" s="7"/>
      <c r="G1233" s="7"/>
      <c r="H1233" s="7"/>
      <c r="I1233" s="7"/>
      <c r="J1233" s="7"/>
      <c r="K1233" s="7"/>
      <c r="L1233" s="7" t="s">
        <v>663</v>
      </c>
      <c r="M1233" s="8">
        <v>44348</v>
      </c>
      <c r="N1233" s="8">
        <v>44348</v>
      </c>
      <c r="O1233" s="13"/>
      <c r="P1233" s="13">
        <v>167844.45</v>
      </c>
      <c r="Q1233" s="33"/>
      <c r="R1233" s="22"/>
      <c r="S1233" s="22"/>
      <c r="T1233" s="22"/>
      <c r="U1233" s="22"/>
      <c r="X1233" s="15" t="str">
        <f>IF(B1233="",VLOOKUP(A1233,items_lookup!A:B,2,FALSE),B1233)</f>
        <v>17. Item 17</v>
      </c>
      <c r="Y1233" s="15">
        <f t="shared" si="112"/>
        <v>6</v>
      </c>
      <c r="Z1233" s="15">
        <f t="shared" si="112"/>
        <v>6</v>
      </c>
      <c r="AA1233" s="15">
        <f t="shared" si="108"/>
        <v>2021</v>
      </c>
      <c r="AB1233" s="15">
        <f t="shared" si="109"/>
        <v>2021</v>
      </c>
      <c r="AC1233" s="15">
        <f t="shared" si="110"/>
        <v>2021</v>
      </c>
      <c r="AD1233" s="18" t="b">
        <f t="shared" si="111"/>
        <v>1</v>
      </c>
    </row>
    <row r="1234" spans="1:30" ht="15" hidden="1" customHeight="1" x14ac:dyDescent="0.2">
      <c r="A1234" s="7" t="s">
        <v>683</v>
      </c>
      <c r="B1234" s="7"/>
      <c r="C1234" s="2" t="s">
        <v>648</v>
      </c>
      <c r="D1234" s="6" t="s">
        <v>649</v>
      </c>
      <c r="E1234" s="32" t="s">
        <v>651</v>
      </c>
      <c r="F1234" s="7"/>
      <c r="G1234" s="7"/>
      <c r="H1234" s="7"/>
      <c r="I1234" s="7"/>
      <c r="J1234" s="7"/>
      <c r="K1234" s="7"/>
      <c r="L1234" s="7" t="s">
        <v>663</v>
      </c>
      <c r="M1234" s="8">
        <v>44348</v>
      </c>
      <c r="N1234" s="8">
        <v>44348</v>
      </c>
      <c r="O1234" s="13"/>
      <c r="P1234" s="13">
        <v>1505288.45</v>
      </c>
      <c r="Q1234" s="33"/>
      <c r="X1234" s="15" t="str">
        <f>IF(B1234="",VLOOKUP(A1234,items_lookup!A:B,2,FALSE),B1234)</f>
        <v>_1. Item _1</v>
      </c>
      <c r="Y1234" s="15">
        <f t="shared" si="112"/>
        <v>6</v>
      </c>
      <c r="Z1234" s="15">
        <f t="shared" si="112"/>
        <v>6</v>
      </c>
      <c r="AA1234" s="15">
        <f t="shared" si="108"/>
        <v>2021</v>
      </c>
      <c r="AB1234" s="15">
        <f t="shared" si="109"/>
        <v>2021</v>
      </c>
      <c r="AC1234" s="15">
        <f t="shared" si="110"/>
        <v>2021</v>
      </c>
      <c r="AD1234" s="18" t="b">
        <f t="shared" si="111"/>
        <v>1</v>
      </c>
    </row>
    <row r="1235" spans="1:30" ht="15" hidden="1" customHeight="1" x14ac:dyDescent="0.2">
      <c r="A1235" s="7" t="s">
        <v>683</v>
      </c>
      <c r="B1235" s="7"/>
      <c r="C1235" s="2" t="s">
        <v>648</v>
      </c>
      <c r="D1235" s="6" t="s">
        <v>649</v>
      </c>
      <c r="E1235" s="32" t="s">
        <v>651</v>
      </c>
      <c r="F1235" s="7"/>
      <c r="G1235" s="7"/>
      <c r="H1235" s="7"/>
      <c r="I1235" s="7"/>
      <c r="J1235" s="7"/>
      <c r="K1235" s="7"/>
      <c r="L1235" s="7" t="s">
        <v>663</v>
      </c>
      <c r="M1235" s="8">
        <v>44348</v>
      </c>
      <c r="N1235" s="8">
        <v>44348</v>
      </c>
      <c r="O1235" s="13"/>
      <c r="P1235" s="13">
        <v>264081.51</v>
      </c>
      <c r="Q1235" s="33"/>
      <c r="X1235" s="15" t="str">
        <f>IF(B1235="",VLOOKUP(A1235,items_lookup!A:B,2,FALSE),B1235)</f>
        <v>_1. Item _1</v>
      </c>
      <c r="Y1235" s="15">
        <f t="shared" si="112"/>
        <v>6</v>
      </c>
      <c r="Z1235" s="15">
        <f t="shared" si="112"/>
        <v>6</v>
      </c>
      <c r="AA1235" s="15">
        <f t="shared" si="108"/>
        <v>2021</v>
      </c>
      <c r="AB1235" s="15">
        <f t="shared" si="109"/>
        <v>2021</v>
      </c>
      <c r="AC1235" s="15">
        <f t="shared" si="110"/>
        <v>2021</v>
      </c>
      <c r="AD1235" s="18" t="b">
        <f t="shared" si="111"/>
        <v>1</v>
      </c>
    </row>
    <row r="1236" spans="1:30" ht="15" hidden="1" customHeight="1" x14ac:dyDescent="0.2">
      <c r="A1236" s="7" t="s">
        <v>683</v>
      </c>
      <c r="B1236" s="7"/>
      <c r="C1236" s="2" t="s">
        <v>648</v>
      </c>
      <c r="D1236" s="6" t="s">
        <v>649</v>
      </c>
      <c r="E1236" s="32" t="s">
        <v>651</v>
      </c>
      <c r="F1236" s="7"/>
      <c r="G1236" s="7"/>
      <c r="H1236" s="7"/>
      <c r="I1236" s="7"/>
      <c r="J1236" s="7"/>
      <c r="K1236" s="7"/>
      <c r="L1236" s="7" t="s">
        <v>663</v>
      </c>
      <c r="M1236" s="8">
        <v>44348</v>
      </c>
      <c r="N1236" s="8">
        <v>44348</v>
      </c>
      <c r="O1236" s="13"/>
      <c r="P1236" s="13">
        <v>513397.49</v>
      </c>
      <c r="Q1236" s="33"/>
      <c r="X1236" s="15" t="str">
        <f>IF(B1236="",VLOOKUP(A1236,items_lookup!A:B,2,FALSE),B1236)</f>
        <v>_1. Item _1</v>
      </c>
      <c r="Y1236" s="15">
        <f t="shared" si="112"/>
        <v>6</v>
      </c>
      <c r="Z1236" s="15">
        <f t="shared" si="112"/>
        <v>6</v>
      </c>
      <c r="AA1236" s="15">
        <f t="shared" si="108"/>
        <v>2021</v>
      </c>
      <c r="AB1236" s="15">
        <f t="shared" si="109"/>
        <v>2021</v>
      </c>
      <c r="AC1236" s="15">
        <f t="shared" si="110"/>
        <v>2021</v>
      </c>
      <c r="AD1236" s="18" t="b">
        <f t="shared" si="111"/>
        <v>1</v>
      </c>
    </row>
    <row r="1237" spans="1:30" ht="12.75" hidden="1" customHeight="1" x14ac:dyDescent="0.2">
      <c r="A1237" s="7" t="s">
        <v>683</v>
      </c>
      <c r="B1237" s="7"/>
      <c r="C1237" s="2" t="s">
        <v>648</v>
      </c>
      <c r="D1237" s="6" t="s">
        <v>649</v>
      </c>
      <c r="E1237" s="32" t="s">
        <v>651</v>
      </c>
      <c r="F1237" s="7"/>
      <c r="G1237" s="7"/>
      <c r="H1237" s="7"/>
      <c r="I1237" s="7"/>
      <c r="J1237" s="7"/>
      <c r="K1237" s="7"/>
      <c r="L1237" s="7" t="s">
        <v>663</v>
      </c>
      <c r="M1237" s="8">
        <v>44348</v>
      </c>
      <c r="N1237" s="8">
        <v>44348</v>
      </c>
      <c r="O1237" s="13"/>
      <c r="P1237" s="13">
        <v>9323.76</v>
      </c>
      <c r="Q1237" s="33"/>
      <c r="R1237" s="22"/>
      <c r="S1237" s="22"/>
      <c r="T1237" s="22"/>
      <c r="U1237" s="22"/>
      <c r="X1237" s="15" t="str">
        <f>IF(B1237="",VLOOKUP(A1237,items_lookup!A:B,2,FALSE),B1237)</f>
        <v>_1. Item _1</v>
      </c>
      <c r="Y1237" s="15">
        <f t="shared" si="112"/>
        <v>6</v>
      </c>
      <c r="Z1237" s="15">
        <f t="shared" si="112"/>
        <v>6</v>
      </c>
      <c r="AA1237" s="15">
        <f t="shared" si="108"/>
        <v>2021</v>
      </c>
      <c r="AB1237" s="15">
        <f t="shared" si="109"/>
        <v>2021</v>
      </c>
      <c r="AC1237" s="15">
        <f t="shared" si="110"/>
        <v>2021</v>
      </c>
      <c r="AD1237" s="18" t="b">
        <f t="shared" si="111"/>
        <v>1</v>
      </c>
    </row>
    <row r="1238" spans="1:30" ht="15.75" hidden="1" customHeight="1" x14ac:dyDescent="0.2">
      <c r="A1238" s="7" t="s">
        <v>675</v>
      </c>
      <c r="B1238" s="7"/>
      <c r="C1238" s="2" t="s">
        <v>648</v>
      </c>
      <c r="D1238" s="6" t="s">
        <v>649</v>
      </c>
      <c r="E1238" s="32" t="s">
        <v>651</v>
      </c>
      <c r="F1238" s="7"/>
      <c r="G1238" s="7"/>
      <c r="H1238" s="7"/>
      <c r="I1238" s="7"/>
      <c r="J1238" s="7"/>
      <c r="K1238" s="7"/>
      <c r="L1238" s="7" t="s">
        <v>663</v>
      </c>
      <c r="M1238" s="8">
        <v>44348</v>
      </c>
      <c r="N1238" s="8">
        <v>44348</v>
      </c>
      <c r="O1238" s="13"/>
      <c r="P1238" s="13">
        <v>61721.36</v>
      </c>
      <c r="Q1238" s="33"/>
      <c r="R1238" s="22"/>
      <c r="S1238" s="22"/>
      <c r="T1238" s="22"/>
      <c r="U1238" s="22"/>
      <c r="X1238" s="15" t="str">
        <f>IF(B1238="",VLOOKUP(A1238,items_lookup!A:B,2,FALSE),B1238)</f>
        <v>09. Item 09</v>
      </c>
      <c r="Y1238" s="15">
        <f t="shared" si="112"/>
        <v>6</v>
      </c>
      <c r="Z1238" s="15">
        <f t="shared" si="112"/>
        <v>6</v>
      </c>
      <c r="AA1238" s="15">
        <f t="shared" si="108"/>
        <v>2021</v>
      </c>
      <c r="AB1238" s="15">
        <f t="shared" si="109"/>
        <v>2021</v>
      </c>
      <c r="AC1238" s="15">
        <f t="shared" si="110"/>
        <v>2021</v>
      </c>
      <c r="AD1238" s="18" t="b">
        <f t="shared" si="111"/>
        <v>1</v>
      </c>
    </row>
    <row r="1239" spans="1:30" ht="15.75" hidden="1" customHeight="1" x14ac:dyDescent="0.2">
      <c r="A1239" s="7" t="s">
        <v>683</v>
      </c>
      <c r="B1239" s="7"/>
      <c r="C1239" s="2" t="s">
        <v>648</v>
      </c>
      <c r="D1239" s="6" t="s">
        <v>649</v>
      </c>
      <c r="E1239" s="32" t="s">
        <v>651</v>
      </c>
      <c r="F1239" s="7"/>
      <c r="G1239" s="7"/>
      <c r="H1239" s="7"/>
      <c r="I1239" s="7"/>
      <c r="J1239" s="7"/>
      <c r="K1239" s="7"/>
      <c r="L1239" s="7" t="s">
        <v>663</v>
      </c>
      <c r="M1239" s="8">
        <v>44348</v>
      </c>
      <c r="N1239" s="8">
        <v>44348</v>
      </c>
      <c r="O1239" s="13"/>
      <c r="P1239" s="13">
        <v>32552.98</v>
      </c>
      <c r="Q1239" s="33"/>
      <c r="R1239" s="22"/>
      <c r="S1239" s="22"/>
      <c r="T1239" s="22"/>
      <c r="U1239" s="22"/>
      <c r="X1239" s="15" t="str">
        <f>IF(B1239="",VLOOKUP(A1239,items_lookup!A:B,2,FALSE),B1239)</f>
        <v>_1. Item _1</v>
      </c>
      <c r="Y1239" s="15">
        <f t="shared" si="112"/>
        <v>6</v>
      </c>
      <c r="Z1239" s="15">
        <f t="shared" si="112"/>
        <v>6</v>
      </c>
      <c r="AA1239" s="15">
        <f t="shared" si="108"/>
        <v>2021</v>
      </c>
      <c r="AB1239" s="15">
        <f t="shared" si="109"/>
        <v>2021</v>
      </c>
      <c r="AC1239" s="15">
        <f t="shared" si="110"/>
        <v>2021</v>
      </c>
      <c r="AD1239" s="18" t="b">
        <f t="shared" si="111"/>
        <v>1</v>
      </c>
    </row>
    <row r="1240" spans="1:30" ht="15" hidden="1" customHeight="1" x14ac:dyDescent="0.2">
      <c r="A1240" s="7" t="s">
        <v>683</v>
      </c>
      <c r="B1240" s="7"/>
      <c r="C1240" s="2" t="s">
        <v>648</v>
      </c>
      <c r="D1240" s="6" t="s">
        <v>649</v>
      </c>
      <c r="E1240" s="32" t="s">
        <v>651</v>
      </c>
      <c r="F1240" s="7"/>
      <c r="G1240" s="7"/>
      <c r="H1240" s="7"/>
      <c r="I1240" s="7"/>
      <c r="J1240" s="7"/>
      <c r="K1240" s="7"/>
      <c r="L1240" s="7" t="s">
        <v>663</v>
      </c>
      <c r="M1240" s="8">
        <v>44348</v>
      </c>
      <c r="N1240" s="8">
        <v>44348</v>
      </c>
      <c r="O1240" s="13"/>
      <c r="P1240" s="13">
        <v>1693919.79</v>
      </c>
      <c r="Q1240" s="33"/>
      <c r="R1240" s="22"/>
      <c r="S1240" s="22"/>
      <c r="T1240" s="22"/>
      <c r="U1240" s="22"/>
      <c r="X1240" s="15" t="str">
        <f>IF(B1240="",VLOOKUP(A1240,items_lookup!A:B,2,FALSE),B1240)</f>
        <v>_1. Item _1</v>
      </c>
      <c r="Y1240" s="15">
        <f t="shared" si="112"/>
        <v>6</v>
      </c>
      <c r="Z1240" s="15">
        <f t="shared" si="112"/>
        <v>6</v>
      </c>
      <c r="AA1240" s="15">
        <f t="shared" si="108"/>
        <v>2021</v>
      </c>
      <c r="AB1240" s="15">
        <f t="shared" si="109"/>
        <v>2021</v>
      </c>
      <c r="AC1240" s="15">
        <f t="shared" si="110"/>
        <v>2021</v>
      </c>
      <c r="AD1240" s="18" t="b">
        <f t="shared" si="111"/>
        <v>1</v>
      </c>
    </row>
    <row r="1241" spans="1:30" ht="15" hidden="1" customHeight="1" x14ac:dyDescent="0.2">
      <c r="A1241" s="7" t="s">
        <v>703</v>
      </c>
      <c r="B1241" s="7"/>
      <c r="C1241" s="2" t="s">
        <v>648</v>
      </c>
      <c r="D1241" s="6" t="s">
        <v>649</v>
      </c>
      <c r="E1241" s="32" t="s">
        <v>651</v>
      </c>
      <c r="F1241" s="7"/>
      <c r="G1241" s="7"/>
      <c r="H1241" s="7"/>
      <c r="I1241" s="7"/>
      <c r="J1241" s="7"/>
      <c r="K1241" s="7"/>
      <c r="L1241" s="7" t="s">
        <v>663</v>
      </c>
      <c r="M1241" s="8">
        <v>44348</v>
      </c>
      <c r="N1241" s="8">
        <v>44348</v>
      </c>
      <c r="O1241" s="13"/>
      <c r="P1241" s="13">
        <v>246090.42</v>
      </c>
      <c r="Q1241" s="33"/>
      <c r="R1241" s="22"/>
      <c r="S1241" s="22"/>
      <c r="T1241" s="22"/>
      <c r="U1241" s="22"/>
      <c r="X1241" s="15" t="str">
        <f>IF(B1241="",VLOOKUP(A1241,items_lookup!A:B,2,FALSE),B1241)</f>
        <v>_3. Item _3</v>
      </c>
      <c r="Y1241" s="15">
        <f t="shared" si="112"/>
        <v>6</v>
      </c>
      <c r="Z1241" s="15">
        <f t="shared" si="112"/>
        <v>6</v>
      </c>
      <c r="AA1241" s="15">
        <f t="shared" si="108"/>
        <v>2021</v>
      </c>
      <c r="AB1241" s="15">
        <f t="shared" si="109"/>
        <v>2021</v>
      </c>
      <c r="AC1241" s="15">
        <f t="shared" si="110"/>
        <v>2021</v>
      </c>
      <c r="AD1241" s="18" t="b">
        <f t="shared" si="111"/>
        <v>1</v>
      </c>
    </row>
    <row r="1242" spans="1:30" ht="17.25" hidden="1" customHeight="1" x14ac:dyDescent="0.2">
      <c r="A1242" s="7" t="s">
        <v>702</v>
      </c>
      <c r="B1242" s="7"/>
      <c r="C1242" s="2" t="s">
        <v>648</v>
      </c>
      <c r="D1242" s="6" t="s">
        <v>649</v>
      </c>
      <c r="E1242" s="32" t="s">
        <v>651</v>
      </c>
      <c r="F1242" s="7"/>
      <c r="G1242" s="7"/>
      <c r="H1242" s="7"/>
      <c r="I1242" s="7"/>
      <c r="J1242" s="7"/>
      <c r="K1242" s="7"/>
      <c r="L1242" s="7" t="s">
        <v>663</v>
      </c>
      <c r="M1242" s="8">
        <v>44348</v>
      </c>
      <c r="N1242" s="8">
        <v>44348</v>
      </c>
      <c r="O1242" s="13"/>
      <c r="P1242" s="13">
        <v>118797.4</v>
      </c>
      <c r="Q1242" s="33"/>
      <c r="R1242" s="22"/>
      <c r="S1242" s="22"/>
      <c r="T1242" s="22"/>
      <c r="U1242" s="22"/>
      <c r="X1242" s="15" t="str">
        <f>IF(B1242="",VLOOKUP(A1242,items_lookup!A:B,2,FALSE),B1242)</f>
        <v>17. Item 17</v>
      </c>
      <c r="Y1242" s="15">
        <f t="shared" si="112"/>
        <v>6</v>
      </c>
      <c r="Z1242" s="15">
        <f t="shared" si="112"/>
        <v>6</v>
      </c>
      <c r="AA1242" s="15">
        <f t="shared" si="108"/>
        <v>2021</v>
      </c>
      <c r="AB1242" s="15">
        <f t="shared" si="109"/>
        <v>2021</v>
      </c>
      <c r="AC1242" s="15">
        <f t="shared" si="110"/>
        <v>2021</v>
      </c>
      <c r="AD1242" s="18" t="b">
        <f t="shared" si="111"/>
        <v>1</v>
      </c>
    </row>
    <row r="1243" spans="1:30" ht="15" hidden="1" customHeight="1" x14ac:dyDescent="0.2">
      <c r="A1243" s="7" t="s">
        <v>670</v>
      </c>
      <c r="B1243" s="7"/>
      <c r="C1243" s="2" t="s">
        <v>648</v>
      </c>
      <c r="D1243" s="6" t="s">
        <v>649</v>
      </c>
      <c r="E1243" s="32" t="s">
        <v>651</v>
      </c>
      <c r="F1243" s="7"/>
      <c r="G1243" s="7"/>
      <c r="H1243" s="7"/>
      <c r="I1243" s="7"/>
      <c r="J1243" s="7"/>
      <c r="K1243" s="7"/>
      <c r="L1243" s="7" t="s">
        <v>663</v>
      </c>
      <c r="M1243" s="8">
        <v>44348</v>
      </c>
      <c r="N1243" s="8">
        <v>44348</v>
      </c>
      <c r="O1243" s="13"/>
      <c r="P1243" s="13">
        <v>141.9</v>
      </c>
      <c r="Q1243" s="33"/>
      <c r="R1243" s="22"/>
      <c r="S1243" s="22"/>
      <c r="T1243" s="22"/>
      <c r="U1243" s="22"/>
      <c r="X1243" s="15" t="str">
        <f>IF(B1243="",VLOOKUP(A1243,items_lookup!A:B,2,FALSE),B1243)</f>
        <v>04. Item 04</v>
      </c>
      <c r="Y1243" s="15">
        <f t="shared" si="112"/>
        <v>6</v>
      </c>
      <c r="Z1243" s="15">
        <f t="shared" si="112"/>
        <v>6</v>
      </c>
      <c r="AA1243" s="15">
        <f t="shared" si="108"/>
        <v>2021</v>
      </c>
      <c r="AB1243" s="15">
        <f t="shared" si="109"/>
        <v>2021</v>
      </c>
      <c r="AC1243" s="15">
        <f t="shared" si="110"/>
        <v>2021</v>
      </c>
      <c r="AD1243" s="18" t="b">
        <f t="shared" si="111"/>
        <v>1</v>
      </c>
    </row>
    <row r="1244" spans="1:30" ht="15" hidden="1" customHeight="1" x14ac:dyDescent="0.2">
      <c r="A1244" s="7" t="s">
        <v>703</v>
      </c>
      <c r="B1244" s="7"/>
      <c r="C1244" s="2" t="s">
        <v>648</v>
      </c>
      <c r="D1244" s="6" t="s">
        <v>649</v>
      </c>
      <c r="E1244" s="32" t="s">
        <v>651</v>
      </c>
      <c r="F1244" s="7"/>
      <c r="G1244" s="7"/>
      <c r="H1244" s="7"/>
      <c r="I1244" s="7"/>
      <c r="J1244" s="7"/>
      <c r="K1244" s="7"/>
      <c r="L1244" s="7" t="s">
        <v>663</v>
      </c>
      <c r="M1244" s="8">
        <v>44348</v>
      </c>
      <c r="N1244" s="8">
        <v>44348</v>
      </c>
      <c r="O1244" s="13"/>
      <c r="P1244" s="13">
        <v>18087.14</v>
      </c>
      <c r="Q1244" s="33"/>
      <c r="R1244" s="22"/>
      <c r="S1244" s="22"/>
      <c r="T1244" s="22"/>
      <c r="U1244" s="22"/>
      <c r="X1244" s="15" t="str">
        <f>IF(B1244="",VLOOKUP(A1244,items_lookup!A:B,2,FALSE),B1244)</f>
        <v>_3. Item _3</v>
      </c>
      <c r="Y1244" s="15">
        <f t="shared" si="112"/>
        <v>6</v>
      </c>
      <c r="Z1244" s="15">
        <f t="shared" si="112"/>
        <v>6</v>
      </c>
      <c r="AA1244" s="15">
        <f t="shared" si="108"/>
        <v>2021</v>
      </c>
      <c r="AB1244" s="15">
        <f t="shared" si="109"/>
        <v>2021</v>
      </c>
      <c r="AC1244" s="15">
        <f t="shared" si="110"/>
        <v>2021</v>
      </c>
      <c r="AD1244" s="18" t="b">
        <f t="shared" si="111"/>
        <v>1</v>
      </c>
    </row>
    <row r="1245" spans="1:30" ht="25.5" hidden="1" customHeight="1" x14ac:dyDescent="0.2">
      <c r="A1245" s="7" t="s">
        <v>702</v>
      </c>
      <c r="B1245" s="7"/>
      <c r="C1245" s="2" t="s">
        <v>648</v>
      </c>
      <c r="D1245" s="6" t="s">
        <v>649</v>
      </c>
      <c r="E1245" s="32" t="s">
        <v>651</v>
      </c>
      <c r="F1245" s="7"/>
      <c r="G1245" s="7"/>
      <c r="H1245" s="7"/>
      <c r="I1245" s="7"/>
      <c r="J1245" s="7"/>
      <c r="K1245" s="7"/>
      <c r="L1245" s="7" t="s">
        <v>663</v>
      </c>
      <c r="M1245" s="8">
        <v>44348</v>
      </c>
      <c r="N1245" s="8">
        <v>44348</v>
      </c>
      <c r="O1245" s="13"/>
      <c r="P1245" s="13">
        <v>612940.18999999994</v>
      </c>
      <c r="Q1245" s="33"/>
      <c r="R1245" s="22"/>
      <c r="S1245" s="22"/>
      <c r="T1245" s="22"/>
      <c r="U1245" s="22"/>
      <c r="X1245" s="15" t="str">
        <f>IF(B1245="",VLOOKUP(A1245,items_lookup!A:B,2,FALSE),B1245)</f>
        <v>17. Item 17</v>
      </c>
      <c r="Y1245" s="15">
        <f t="shared" si="112"/>
        <v>6</v>
      </c>
      <c r="Z1245" s="15">
        <f t="shared" si="112"/>
        <v>6</v>
      </c>
      <c r="AA1245" s="15">
        <f t="shared" si="108"/>
        <v>2021</v>
      </c>
      <c r="AB1245" s="15">
        <f t="shared" si="109"/>
        <v>2021</v>
      </c>
      <c r="AC1245" s="15">
        <f t="shared" si="110"/>
        <v>2021</v>
      </c>
      <c r="AD1245" s="18" t="b">
        <f t="shared" si="111"/>
        <v>1</v>
      </c>
    </row>
    <row r="1246" spans="1:30" ht="15" hidden="1" customHeight="1" x14ac:dyDescent="0.2">
      <c r="A1246" s="7" t="s">
        <v>697</v>
      </c>
      <c r="B1246" s="7"/>
      <c r="C1246" s="2" t="s">
        <v>648</v>
      </c>
      <c r="D1246" s="6" t="s">
        <v>649</v>
      </c>
      <c r="E1246" s="32" t="s">
        <v>651</v>
      </c>
      <c r="F1246" s="7"/>
      <c r="G1246" s="7"/>
      <c r="H1246" s="7"/>
      <c r="I1246" s="7"/>
      <c r="J1246" s="7"/>
      <c r="K1246" s="7"/>
      <c r="L1246" s="7" t="s">
        <v>663</v>
      </c>
      <c r="M1246" s="8">
        <v>44348</v>
      </c>
      <c r="N1246" s="8">
        <v>44348</v>
      </c>
      <c r="O1246" s="13"/>
      <c r="P1246" s="13">
        <v>2464.37</v>
      </c>
      <c r="Q1246" s="33"/>
      <c r="R1246" s="22"/>
      <c r="S1246" s="22"/>
      <c r="T1246" s="22"/>
      <c r="U1246" s="22"/>
      <c r="X1246" s="15" t="str">
        <f>IF(B1246="",VLOOKUP(A1246,items_lookup!A:B,2,FALSE),B1246)</f>
        <v>10. Item 10</v>
      </c>
      <c r="Y1246" s="15">
        <f t="shared" si="112"/>
        <v>6</v>
      </c>
      <c r="Z1246" s="15">
        <f t="shared" si="112"/>
        <v>6</v>
      </c>
      <c r="AA1246" s="15">
        <f t="shared" si="108"/>
        <v>2021</v>
      </c>
      <c r="AB1246" s="15">
        <f t="shared" si="109"/>
        <v>2021</v>
      </c>
      <c r="AC1246" s="15">
        <f t="shared" si="110"/>
        <v>2021</v>
      </c>
      <c r="AD1246" s="18" t="b">
        <f t="shared" si="111"/>
        <v>1</v>
      </c>
    </row>
    <row r="1247" spans="1:30" ht="15" hidden="1" customHeight="1" x14ac:dyDescent="0.2">
      <c r="A1247" s="7" t="s">
        <v>698</v>
      </c>
      <c r="B1247" s="7"/>
      <c r="C1247" s="2" t="s">
        <v>641</v>
      </c>
      <c r="D1247" s="6" t="s">
        <v>649</v>
      </c>
      <c r="E1247" s="32" t="s">
        <v>651</v>
      </c>
      <c r="F1247" s="7"/>
      <c r="G1247" s="7"/>
      <c r="H1247" s="7"/>
      <c r="I1247" s="7"/>
      <c r="J1247" s="7">
        <v>3</v>
      </c>
      <c r="K1247" s="7" t="s">
        <v>660</v>
      </c>
      <c r="L1247" s="7" t="s">
        <v>663</v>
      </c>
      <c r="M1247" s="8">
        <v>44362</v>
      </c>
      <c r="N1247" s="8">
        <v>44371</v>
      </c>
      <c r="O1247" s="13"/>
      <c r="P1247" s="13">
        <v>1005162.71</v>
      </c>
      <c r="Q1247" s="33"/>
      <c r="R1247" s="22"/>
      <c r="S1247" s="22"/>
      <c r="T1247" s="22"/>
      <c r="U1247" s="22"/>
      <c r="X1247" s="15" t="str">
        <f>IF(B1247="",VLOOKUP(A1247,items_lookup!A:B,2,FALSE),B1247)</f>
        <v>10. Item 10</v>
      </c>
      <c r="Y1247" s="15">
        <f t="shared" si="112"/>
        <v>6</v>
      </c>
      <c r="Z1247" s="15">
        <f t="shared" si="112"/>
        <v>6</v>
      </c>
      <c r="AA1247" s="15">
        <f t="shared" si="108"/>
        <v>2021</v>
      </c>
      <c r="AB1247" s="15">
        <f t="shared" si="109"/>
        <v>2021</v>
      </c>
      <c r="AC1247" s="15">
        <f t="shared" si="110"/>
        <v>2021</v>
      </c>
      <c r="AD1247" s="18" t="b">
        <f t="shared" si="111"/>
        <v>1</v>
      </c>
    </row>
    <row r="1248" spans="1:30" ht="15" hidden="1" customHeight="1" x14ac:dyDescent="0.2">
      <c r="A1248" s="7" t="s">
        <v>682</v>
      </c>
      <c r="B1248" s="7"/>
      <c r="C1248" s="2" t="s">
        <v>641</v>
      </c>
      <c r="D1248" s="6" t="s">
        <v>649</v>
      </c>
      <c r="E1248" s="32" t="s">
        <v>651</v>
      </c>
      <c r="F1248" s="7"/>
      <c r="G1248" s="7"/>
      <c r="H1248" s="7"/>
      <c r="I1248" s="7"/>
      <c r="J1248" s="7">
        <v>3</v>
      </c>
      <c r="K1248" s="7" t="s">
        <v>660</v>
      </c>
      <c r="L1248" s="7" t="s">
        <v>663</v>
      </c>
      <c r="M1248" s="8">
        <v>44362</v>
      </c>
      <c r="N1248" s="8">
        <v>44377</v>
      </c>
      <c r="O1248" s="13"/>
      <c r="P1248" s="13">
        <v>9517531.1099999994</v>
      </c>
      <c r="Q1248" s="33"/>
      <c r="R1248" s="22"/>
      <c r="S1248" s="22"/>
      <c r="T1248" s="22"/>
      <c r="U1248" s="22"/>
      <c r="X1248" s="15" t="str">
        <f>IF(B1248="",VLOOKUP(A1248,items_lookup!A:B,2,FALSE),B1248)</f>
        <v>06. Item 06</v>
      </c>
      <c r="Y1248" s="15">
        <f t="shared" si="112"/>
        <v>6</v>
      </c>
      <c r="Z1248" s="15">
        <f t="shared" si="112"/>
        <v>6</v>
      </c>
      <c r="AA1248" s="15">
        <f t="shared" si="108"/>
        <v>2021</v>
      </c>
      <c r="AB1248" s="15">
        <f t="shared" si="109"/>
        <v>2021</v>
      </c>
      <c r="AC1248" s="15">
        <f t="shared" si="110"/>
        <v>2021</v>
      </c>
      <c r="AD1248" s="18" t="b">
        <f t="shared" si="111"/>
        <v>1</v>
      </c>
    </row>
    <row r="1249" spans="1:30" ht="12.6" hidden="1" customHeight="1" x14ac:dyDescent="0.2">
      <c r="A1249" s="7" t="s">
        <v>683</v>
      </c>
      <c r="B1249" s="7"/>
      <c r="C1249" s="2" t="s">
        <v>641</v>
      </c>
      <c r="D1249" s="6" t="s">
        <v>649</v>
      </c>
      <c r="E1249" s="32" t="s">
        <v>651</v>
      </c>
      <c r="F1249" s="7"/>
      <c r="G1249" s="7"/>
      <c r="H1249" s="7"/>
      <c r="I1249" s="7"/>
      <c r="J1249" s="7">
        <v>3</v>
      </c>
      <c r="K1249" s="7" t="s">
        <v>660</v>
      </c>
      <c r="L1249" s="7" t="s">
        <v>663</v>
      </c>
      <c r="M1249" s="8">
        <v>44362</v>
      </c>
      <c r="N1249" s="8">
        <v>44377</v>
      </c>
      <c r="O1249" s="13"/>
      <c r="P1249" s="13">
        <v>9865711.9100000001</v>
      </c>
      <c r="Q1249" s="33"/>
      <c r="R1249" s="22"/>
      <c r="S1249" s="22"/>
      <c r="T1249" s="22"/>
      <c r="U1249" s="22"/>
      <c r="X1249" s="15" t="str">
        <f>IF(B1249="",VLOOKUP(A1249,items_lookup!A:B,2,FALSE),B1249)</f>
        <v>_1. Item _1</v>
      </c>
      <c r="Y1249" s="15">
        <f t="shared" si="112"/>
        <v>6</v>
      </c>
      <c r="Z1249" s="15">
        <f t="shared" si="112"/>
        <v>6</v>
      </c>
      <c r="AA1249" s="15">
        <f t="shared" si="108"/>
        <v>2021</v>
      </c>
      <c r="AB1249" s="15">
        <f t="shared" si="109"/>
        <v>2021</v>
      </c>
      <c r="AC1249" s="15">
        <f t="shared" si="110"/>
        <v>2021</v>
      </c>
      <c r="AD1249" s="18" t="b">
        <f t="shared" si="111"/>
        <v>1</v>
      </c>
    </row>
    <row r="1250" spans="1:30" ht="15" hidden="1" customHeight="1" x14ac:dyDescent="0.2">
      <c r="A1250" s="7" t="s">
        <v>675</v>
      </c>
      <c r="B1250" s="7"/>
      <c r="C1250" s="2" t="s">
        <v>641</v>
      </c>
      <c r="D1250" s="6" t="s">
        <v>649</v>
      </c>
      <c r="E1250" s="32" t="s">
        <v>651</v>
      </c>
      <c r="F1250" s="7"/>
      <c r="G1250" s="7"/>
      <c r="H1250" s="7"/>
      <c r="I1250" s="7"/>
      <c r="J1250" s="7">
        <v>3</v>
      </c>
      <c r="K1250" s="7" t="s">
        <v>660</v>
      </c>
      <c r="L1250" s="7" t="s">
        <v>663</v>
      </c>
      <c r="M1250" s="8">
        <v>44362</v>
      </c>
      <c r="N1250" s="8">
        <v>44372</v>
      </c>
      <c r="O1250" s="13"/>
      <c r="P1250" s="13">
        <v>167844.45</v>
      </c>
      <c r="Q1250" s="33"/>
      <c r="R1250" s="22"/>
      <c r="S1250" s="22"/>
      <c r="T1250" s="22"/>
      <c r="U1250" s="22"/>
      <c r="X1250" s="15" t="str">
        <f>IF(B1250="",VLOOKUP(A1250,items_lookup!A:B,2,FALSE),B1250)</f>
        <v>09. Item 09</v>
      </c>
      <c r="Y1250" s="15">
        <f t="shared" si="112"/>
        <v>6</v>
      </c>
      <c r="Z1250" s="15">
        <f t="shared" si="112"/>
        <v>6</v>
      </c>
      <c r="AA1250" s="15">
        <f t="shared" si="108"/>
        <v>2021</v>
      </c>
      <c r="AB1250" s="15">
        <f t="shared" si="109"/>
        <v>2021</v>
      </c>
      <c r="AC1250" s="15">
        <f t="shared" si="110"/>
        <v>2021</v>
      </c>
      <c r="AD1250" s="18" t="b">
        <f t="shared" si="111"/>
        <v>1</v>
      </c>
    </row>
    <row r="1251" spans="1:30" ht="15" hidden="1" customHeight="1" x14ac:dyDescent="0.2">
      <c r="A1251" s="7" t="s">
        <v>688</v>
      </c>
      <c r="B1251" s="7"/>
      <c r="C1251" s="2" t="s">
        <v>641</v>
      </c>
      <c r="D1251" s="6" t="s">
        <v>649</v>
      </c>
      <c r="E1251" s="32" t="s">
        <v>651</v>
      </c>
      <c r="F1251" s="7"/>
      <c r="G1251" s="7"/>
      <c r="H1251" s="7"/>
      <c r="I1251" s="7"/>
      <c r="J1251" s="7">
        <v>3</v>
      </c>
      <c r="K1251" s="7" t="s">
        <v>660</v>
      </c>
      <c r="L1251" s="7" t="s">
        <v>663</v>
      </c>
      <c r="M1251" s="8">
        <v>44362</v>
      </c>
      <c r="N1251" s="8">
        <v>44370</v>
      </c>
      <c r="O1251" s="13"/>
      <c r="P1251" s="13">
        <v>121124.34</v>
      </c>
      <c r="Q1251" s="33"/>
      <c r="R1251" s="22"/>
      <c r="S1251" s="22"/>
      <c r="T1251" s="22"/>
      <c r="U1251" s="22"/>
      <c r="X1251" s="15" t="str">
        <f>IF(B1251="",VLOOKUP(A1251,items_lookup!A:B,2,FALSE),B1251)</f>
        <v>09. Item 09</v>
      </c>
      <c r="Y1251" s="15">
        <f t="shared" si="112"/>
        <v>6</v>
      </c>
      <c r="Z1251" s="15">
        <f t="shared" si="112"/>
        <v>6</v>
      </c>
      <c r="AA1251" s="15">
        <f t="shared" si="108"/>
        <v>2021</v>
      </c>
      <c r="AB1251" s="15">
        <f t="shared" si="109"/>
        <v>2021</v>
      </c>
      <c r="AC1251" s="15">
        <f t="shared" si="110"/>
        <v>2021</v>
      </c>
      <c r="AD1251" s="18" t="b">
        <f t="shared" si="111"/>
        <v>1</v>
      </c>
    </row>
    <row r="1252" spans="1:30" ht="15" hidden="1" customHeight="1" x14ac:dyDescent="0.2">
      <c r="A1252" s="7" t="s">
        <v>687</v>
      </c>
      <c r="B1252" s="20"/>
      <c r="C1252" s="2" t="s">
        <v>641</v>
      </c>
      <c r="D1252" s="6" t="s">
        <v>649</v>
      </c>
      <c r="E1252" s="32" t="s">
        <v>651</v>
      </c>
      <c r="F1252" s="7"/>
      <c r="G1252" s="7"/>
      <c r="H1252" s="7"/>
      <c r="I1252" s="7"/>
      <c r="J1252" s="7">
        <v>3</v>
      </c>
      <c r="K1252" s="7" t="s">
        <v>660</v>
      </c>
      <c r="L1252" s="7" t="s">
        <v>663</v>
      </c>
      <c r="M1252" s="8">
        <v>44352</v>
      </c>
      <c r="N1252" s="8">
        <v>44364</v>
      </c>
      <c r="O1252" s="13"/>
      <c r="P1252" s="13">
        <v>309660.49</v>
      </c>
      <c r="Q1252" s="33"/>
      <c r="R1252" s="22"/>
      <c r="S1252" s="22"/>
      <c r="T1252" s="22"/>
      <c r="U1252" s="22"/>
      <c r="X1252" s="15" t="str">
        <f>IF(B1252="",VLOOKUP(A1252,items_lookup!A:B,2,FALSE),B1252)</f>
        <v>14. Item 14</v>
      </c>
      <c r="Y1252" s="15">
        <f t="shared" si="112"/>
        <v>6</v>
      </c>
      <c r="Z1252" s="15">
        <f t="shared" si="112"/>
        <v>6</v>
      </c>
      <c r="AA1252" s="15">
        <f t="shared" si="108"/>
        <v>2021</v>
      </c>
      <c r="AB1252" s="15">
        <f t="shared" si="109"/>
        <v>2021</v>
      </c>
      <c r="AC1252" s="15">
        <f t="shared" si="110"/>
        <v>2021</v>
      </c>
      <c r="AD1252" s="18" t="b">
        <f t="shared" si="111"/>
        <v>1</v>
      </c>
    </row>
    <row r="1253" spans="1:30" ht="15.75" hidden="1" customHeight="1" x14ac:dyDescent="0.2">
      <c r="A1253" s="7" t="s">
        <v>672</v>
      </c>
      <c r="B1253" s="20"/>
      <c r="C1253" s="2" t="s">
        <v>641</v>
      </c>
      <c r="D1253" s="6" t="s">
        <v>649</v>
      </c>
      <c r="E1253" s="32" t="s">
        <v>651</v>
      </c>
      <c r="F1253" s="7"/>
      <c r="G1253" s="7"/>
      <c r="H1253" s="7"/>
      <c r="I1253" s="7"/>
      <c r="J1253" s="7">
        <v>3</v>
      </c>
      <c r="K1253" s="7" t="s">
        <v>660</v>
      </c>
      <c r="L1253" s="7" t="s">
        <v>663</v>
      </c>
      <c r="M1253" s="8">
        <v>44352</v>
      </c>
      <c r="N1253" s="8">
        <v>44376</v>
      </c>
      <c r="O1253" s="13"/>
      <c r="P1253" s="13">
        <v>483288.12</v>
      </c>
      <c r="Q1253" s="33"/>
      <c r="R1253" s="22"/>
      <c r="S1253" s="22"/>
      <c r="T1253" s="22"/>
      <c r="U1253" s="22"/>
      <c r="X1253" s="15" t="str">
        <f>IF(B1253="",VLOOKUP(A1253,items_lookup!A:B,2,FALSE),B1253)</f>
        <v>05. Item 05</v>
      </c>
      <c r="Y1253" s="15">
        <f t="shared" si="112"/>
        <v>6</v>
      </c>
      <c r="Z1253" s="15">
        <f t="shared" si="112"/>
        <v>6</v>
      </c>
      <c r="AA1253" s="15">
        <f t="shared" si="108"/>
        <v>2021</v>
      </c>
      <c r="AB1253" s="15">
        <f t="shared" si="109"/>
        <v>2021</v>
      </c>
      <c r="AC1253" s="15">
        <f t="shared" si="110"/>
        <v>2021</v>
      </c>
      <c r="AD1253" s="18" t="b">
        <f t="shared" si="111"/>
        <v>1</v>
      </c>
    </row>
    <row r="1254" spans="1:30" ht="15.75" hidden="1" customHeight="1" x14ac:dyDescent="0.2">
      <c r="A1254" s="7" t="s">
        <v>672</v>
      </c>
      <c r="B1254" s="20"/>
      <c r="C1254" s="2" t="s">
        <v>641</v>
      </c>
      <c r="D1254" s="6" t="s">
        <v>649</v>
      </c>
      <c r="E1254" s="32" t="s">
        <v>651</v>
      </c>
      <c r="F1254" s="7"/>
      <c r="G1254" s="7"/>
      <c r="H1254" s="7"/>
      <c r="I1254" s="7"/>
      <c r="J1254" s="7">
        <v>3</v>
      </c>
      <c r="K1254" s="7" t="s">
        <v>660</v>
      </c>
      <c r="L1254" s="7" t="s">
        <v>663</v>
      </c>
      <c r="M1254" s="8">
        <v>44352</v>
      </c>
      <c r="N1254" s="8">
        <v>44376</v>
      </c>
      <c r="O1254" s="13"/>
      <c r="P1254" s="13">
        <v>869905.79</v>
      </c>
      <c r="Q1254" s="33"/>
      <c r="R1254" s="22"/>
      <c r="S1254" s="22"/>
      <c r="T1254" s="22"/>
      <c r="U1254" s="22"/>
      <c r="X1254" s="15" t="str">
        <f>IF(B1254="",VLOOKUP(A1254,items_lookup!A:B,2,FALSE),B1254)</f>
        <v>05. Item 05</v>
      </c>
      <c r="Y1254" s="15">
        <f t="shared" si="112"/>
        <v>6</v>
      </c>
      <c r="Z1254" s="15">
        <f t="shared" si="112"/>
        <v>6</v>
      </c>
      <c r="AA1254" s="15">
        <f t="shared" si="108"/>
        <v>2021</v>
      </c>
      <c r="AB1254" s="15">
        <f t="shared" si="109"/>
        <v>2021</v>
      </c>
      <c r="AC1254" s="15">
        <f t="shared" si="110"/>
        <v>2021</v>
      </c>
      <c r="AD1254" s="18" t="b">
        <f t="shared" si="111"/>
        <v>1</v>
      </c>
    </row>
    <row r="1255" spans="1:30" ht="15.75" hidden="1" customHeight="1" x14ac:dyDescent="0.2">
      <c r="A1255" s="7" t="s">
        <v>672</v>
      </c>
      <c r="B1255" s="20"/>
      <c r="C1255" s="2" t="s">
        <v>641</v>
      </c>
      <c r="D1255" s="6" t="s">
        <v>649</v>
      </c>
      <c r="E1255" s="32" t="s">
        <v>651</v>
      </c>
      <c r="F1255" s="7"/>
      <c r="G1255" s="7"/>
      <c r="H1255" s="7"/>
      <c r="I1255" s="7"/>
      <c r="J1255" s="7">
        <v>3</v>
      </c>
      <c r="K1255" s="7" t="s">
        <v>660</v>
      </c>
      <c r="L1255" s="7" t="s">
        <v>663</v>
      </c>
      <c r="M1255" s="8">
        <v>44351</v>
      </c>
      <c r="N1255" s="8">
        <v>44365</v>
      </c>
      <c r="O1255" s="13"/>
      <c r="P1255" s="13">
        <v>9791.24</v>
      </c>
      <c r="Q1255" s="33"/>
      <c r="R1255" s="22"/>
      <c r="S1255" s="22"/>
      <c r="T1255" s="22"/>
      <c r="U1255" s="22"/>
      <c r="X1255" s="15" t="str">
        <f>IF(B1255="",VLOOKUP(A1255,items_lookup!A:B,2,FALSE),B1255)</f>
        <v>05. Item 05</v>
      </c>
      <c r="Y1255" s="15">
        <f t="shared" si="112"/>
        <v>6</v>
      </c>
      <c r="Z1255" s="15">
        <f t="shared" si="112"/>
        <v>6</v>
      </c>
      <c r="AA1255" s="15">
        <f t="shared" si="108"/>
        <v>2021</v>
      </c>
      <c r="AB1255" s="15">
        <f t="shared" si="109"/>
        <v>2021</v>
      </c>
      <c r="AC1255" s="15">
        <f t="shared" si="110"/>
        <v>2021</v>
      </c>
      <c r="AD1255" s="18" t="b">
        <f t="shared" si="111"/>
        <v>1</v>
      </c>
    </row>
    <row r="1256" spans="1:30" ht="15.75" hidden="1" customHeight="1" x14ac:dyDescent="0.2">
      <c r="A1256" s="7" t="s">
        <v>677</v>
      </c>
      <c r="B1256" s="20"/>
      <c r="C1256" s="2" t="s">
        <v>641</v>
      </c>
      <c r="D1256" s="6" t="s">
        <v>649</v>
      </c>
      <c r="E1256" s="32" t="s">
        <v>651</v>
      </c>
      <c r="F1256" s="7"/>
      <c r="G1256" s="7"/>
      <c r="H1256" s="7"/>
      <c r="I1256" s="7"/>
      <c r="J1256" s="7">
        <v>3</v>
      </c>
      <c r="K1256" s="7" t="s">
        <v>660</v>
      </c>
      <c r="L1256" s="7" t="s">
        <v>663</v>
      </c>
      <c r="M1256" s="8">
        <v>44351</v>
      </c>
      <c r="N1256" s="8">
        <v>44369</v>
      </c>
      <c r="O1256" s="13"/>
      <c r="P1256" s="13">
        <v>45179.72</v>
      </c>
      <c r="Q1256" s="33"/>
      <c r="R1256" s="22"/>
      <c r="S1256" s="22"/>
      <c r="T1256" s="22"/>
      <c r="U1256" s="22"/>
      <c r="X1256" s="15" t="str">
        <f>IF(B1256="",VLOOKUP(A1256,items_lookup!A:B,2,FALSE),B1256)</f>
        <v>11. Item 11</v>
      </c>
      <c r="Y1256" s="15">
        <f t="shared" si="112"/>
        <v>6</v>
      </c>
      <c r="Z1256" s="15">
        <f t="shared" si="112"/>
        <v>6</v>
      </c>
      <c r="AA1256" s="15">
        <f t="shared" si="108"/>
        <v>2021</v>
      </c>
      <c r="AB1256" s="15">
        <f t="shared" si="109"/>
        <v>2021</v>
      </c>
      <c r="AC1256" s="15">
        <f t="shared" si="110"/>
        <v>2021</v>
      </c>
      <c r="AD1256" s="18" t="b">
        <f t="shared" si="111"/>
        <v>1</v>
      </c>
    </row>
    <row r="1257" spans="1:30" ht="15.75" hidden="1" customHeight="1" x14ac:dyDescent="0.2">
      <c r="A1257" s="7" t="s">
        <v>670</v>
      </c>
      <c r="B1257" s="20"/>
      <c r="C1257" s="2" t="s">
        <v>641</v>
      </c>
      <c r="D1257" s="6" t="s">
        <v>649</v>
      </c>
      <c r="E1257" s="32" t="s">
        <v>651</v>
      </c>
      <c r="F1257" s="7"/>
      <c r="G1257" s="7"/>
      <c r="H1257" s="7"/>
      <c r="I1257" s="7"/>
      <c r="J1257" s="7">
        <v>3</v>
      </c>
      <c r="K1257" s="7" t="s">
        <v>660</v>
      </c>
      <c r="L1257" s="7" t="s">
        <v>663</v>
      </c>
      <c r="M1257" s="8">
        <v>44351</v>
      </c>
      <c r="N1257" s="8">
        <v>44371</v>
      </c>
      <c r="O1257" s="13"/>
      <c r="P1257" s="13">
        <v>21724.98</v>
      </c>
      <c r="Q1257" s="33"/>
      <c r="R1257" s="22"/>
      <c r="S1257" s="22"/>
      <c r="T1257" s="22"/>
      <c r="U1257" s="22"/>
      <c r="X1257" s="15" t="str">
        <f>IF(B1257="",VLOOKUP(A1257,items_lookup!A:B,2,FALSE),B1257)</f>
        <v>04. Item 04</v>
      </c>
      <c r="Y1257" s="15">
        <f t="shared" si="112"/>
        <v>6</v>
      </c>
      <c r="Z1257" s="15">
        <f t="shared" si="112"/>
        <v>6</v>
      </c>
      <c r="AA1257" s="15">
        <f t="shared" si="108"/>
        <v>2021</v>
      </c>
      <c r="AB1257" s="15">
        <f t="shared" si="109"/>
        <v>2021</v>
      </c>
      <c r="AC1257" s="15">
        <f t="shared" si="110"/>
        <v>2021</v>
      </c>
      <c r="AD1257" s="18" t="b">
        <f t="shared" si="111"/>
        <v>1</v>
      </c>
    </row>
    <row r="1258" spans="1:30" ht="15.75" hidden="1" customHeight="1" x14ac:dyDescent="0.2">
      <c r="A1258" s="7" t="s">
        <v>670</v>
      </c>
      <c r="B1258" s="7"/>
      <c r="C1258" s="2" t="s">
        <v>641</v>
      </c>
      <c r="D1258" s="6" t="s">
        <v>649</v>
      </c>
      <c r="E1258" s="32" t="s">
        <v>651</v>
      </c>
      <c r="F1258" s="7"/>
      <c r="G1258" s="7"/>
      <c r="H1258" s="7"/>
      <c r="I1258" s="7"/>
      <c r="J1258" s="7">
        <v>1</v>
      </c>
      <c r="K1258" s="7" t="s">
        <v>660</v>
      </c>
      <c r="L1258" s="7" t="s">
        <v>663</v>
      </c>
      <c r="M1258" s="8">
        <v>44350</v>
      </c>
      <c r="N1258" s="8">
        <v>44362</v>
      </c>
      <c r="O1258" s="13"/>
      <c r="P1258" s="13">
        <v>16783.830000000002</v>
      </c>
      <c r="Q1258" s="33"/>
      <c r="R1258" s="22"/>
      <c r="S1258" s="22"/>
      <c r="T1258" s="22"/>
      <c r="U1258" s="22"/>
      <c r="X1258" s="15" t="str">
        <f>IF(B1258="",VLOOKUP(A1258,items_lookup!A:B,2,FALSE),B1258)</f>
        <v>04. Item 04</v>
      </c>
      <c r="Y1258" s="15">
        <f t="shared" si="112"/>
        <v>6</v>
      </c>
      <c r="Z1258" s="15">
        <f t="shared" si="112"/>
        <v>6</v>
      </c>
      <c r="AA1258" s="15">
        <f t="shared" si="108"/>
        <v>2021</v>
      </c>
      <c r="AB1258" s="15">
        <f t="shared" si="109"/>
        <v>2021</v>
      </c>
      <c r="AC1258" s="15">
        <f t="shared" si="110"/>
        <v>2021</v>
      </c>
      <c r="AD1258" s="18" t="b">
        <f t="shared" si="111"/>
        <v>1</v>
      </c>
    </row>
    <row r="1259" spans="1:30" ht="12.6" hidden="1" customHeight="1" x14ac:dyDescent="0.2">
      <c r="A1259" s="7" t="s">
        <v>680</v>
      </c>
      <c r="B1259" s="7"/>
      <c r="C1259" s="2" t="s">
        <v>641</v>
      </c>
      <c r="D1259" s="6" t="s">
        <v>649</v>
      </c>
      <c r="E1259" s="32" t="s">
        <v>651</v>
      </c>
      <c r="F1259" s="7"/>
      <c r="G1259" s="7"/>
      <c r="H1259" s="7"/>
      <c r="I1259" s="7"/>
      <c r="J1259" s="7">
        <v>1</v>
      </c>
      <c r="K1259" s="7" t="s">
        <v>660</v>
      </c>
      <c r="L1259" s="7" t="s">
        <v>663</v>
      </c>
      <c r="M1259" s="8">
        <v>44350</v>
      </c>
      <c r="N1259" s="8">
        <v>44365</v>
      </c>
      <c r="O1259" s="13"/>
      <c r="P1259" s="13">
        <v>35533.18</v>
      </c>
      <c r="Q1259" s="33"/>
      <c r="R1259" s="22"/>
      <c r="S1259" s="22"/>
      <c r="T1259" s="22"/>
      <c r="U1259" s="22"/>
      <c r="X1259" s="15" t="str">
        <f>IF(B1259="",VLOOKUP(A1259,items_lookup!A:B,2,FALSE),B1259)</f>
        <v>13. Item 13</v>
      </c>
      <c r="Y1259" s="15">
        <f t="shared" si="112"/>
        <v>6</v>
      </c>
      <c r="Z1259" s="15">
        <f t="shared" si="112"/>
        <v>6</v>
      </c>
      <c r="AA1259" s="15">
        <f t="shared" si="108"/>
        <v>2021</v>
      </c>
      <c r="AB1259" s="15">
        <f t="shared" si="109"/>
        <v>2021</v>
      </c>
      <c r="AC1259" s="15">
        <f t="shared" si="110"/>
        <v>2021</v>
      </c>
      <c r="AD1259" s="18" t="b">
        <f t="shared" si="111"/>
        <v>1</v>
      </c>
    </row>
    <row r="1260" spans="1:30" ht="12.6" hidden="1" customHeight="1" x14ac:dyDescent="0.2">
      <c r="A1260" s="7" t="s">
        <v>680</v>
      </c>
      <c r="B1260" s="7"/>
      <c r="C1260" s="2" t="s">
        <v>641</v>
      </c>
      <c r="D1260" s="6" t="s">
        <v>649</v>
      </c>
      <c r="E1260" s="32" t="s">
        <v>651</v>
      </c>
      <c r="F1260" s="7"/>
      <c r="G1260" s="7"/>
      <c r="H1260" s="7"/>
      <c r="I1260" s="7"/>
      <c r="J1260" s="7">
        <v>3</v>
      </c>
      <c r="K1260" s="7" t="s">
        <v>660</v>
      </c>
      <c r="L1260" s="7" t="s">
        <v>663</v>
      </c>
      <c r="M1260" s="8">
        <v>44350</v>
      </c>
      <c r="N1260" s="8">
        <v>44371</v>
      </c>
      <c r="O1260" s="13"/>
      <c r="P1260" s="13">
        <v>22.69</v>
      </c>
      <c r="Q1260" s="33"/>
      <c r="R1260" s="22"/>
      <c r="S1260" s="22"/>
      <c r="T1260" s="22"/>
      <c r="U1260" s="22"/>
      <c r="X1260" s="15" t="str">
        <f>IF(B1260="",VLOOKUP(A1260,items_lookup!A:B,2,FALSE),B1260)</f>
        <v>13. Item 13</v>
      </c>
      <c r="Y1260" s="15">
        <f t="shared" si="112"/>
        <v>6</v>
      </c>
      <c r="Z1260" s="15">
        <f t="shared" si="112"/>
        <v>6</v>
      </c>
      <c r="AA1260" s="15">
        <f t="shared" si="108"/>
        <v>2021</v>
      </c>
      <c r="AB1260" s="15">
        <f t="shared" si="109"/>
        <v>2021</v>
      </c>
      <c r="AC1260" s="15">
        <f t="shared" si="110"/>
        <v>2021</v>
      </c>
      <c r="AD1260" s="18" t="b">
        <f t="shared" si="111"/>
        <v>1</v>
      </c>
    </row>
    <row r="1261" spans="1:30" ht="12.6" hidden="1" customHeight="1" x14ac:dyDescent="0.2">
      <c r="A1261" s="7" t="s">
        <v>680</v>
      </c>
      <c r="B1261" s="7"/>
      <c r="C1261" s="2" t="s">
        <v>641</v>
      </c>
      <c r="D1261" s="6" t="s">
        <v>649</v>
      </c>
      <c r="E1261" s="32" t="s">
        <v>651</v>
      </c>
      <c r="F1261" s="7"/>
      <c r="G1261" s="7"/>
      <c r="H1261" s="7"/>
      <c r="I1261" s="7"/>
      <c r="J1261" s="7">
        <v>3</v>
      </c>
      <c r="K1261" s="7" t="s">
        <v>660</v>
      </c>
      <c r="L1261" s="7" t="s">
        <v>663</v>
      </c>
      <c r="M1261" s="8">
        <v>44362</v>
      </c>
      <c r="N1261" s="8">
        <v>44371</v>
      </c>
      <c r="O1261" s="13"/>
      <c r="P1261" s="13">
        <v>241441.62</v>
      </c>
      <c r="Q1261" s="33"/>
      <c r="R1261" s="22"/>
      <c r="S1261" s="22"/>
      <c r="T1261" s="22"/>
      <c r="U1261" s="22"/>
      <c r="X1261" s="15" t="str">
        <f>IF(B1261="",VLOOKUP(A1261,items_lookup!A:B,2,FALSE),B1261)</f>
        <v>13. Item 13</v>
      </c>
      <c r="Y1261" s="15">
        <f t="shared" si="112"/>
        <v>6</v>
      </c>
      <c r="Z1261" s="15">
        <f t="shared" si="112"/>
        <v>6</v>
      </c>
      <c r="AA1261" s="15">
        <f t="shared" si="108"/>
        <v>2021</v>
      </c>
      <c r="AB1261" s="15">
        <f t="shared" si="109"/>
        <v>2021</v>
      </c>
      <c r="AC1261" s="15">
        <f t="shared" si="110"/>
        <v>2021</v>
      </c>
      <c r="AD1261" s="18" t="b">
        <f t="shared" si="111"/>
        <v>1</v>
      </c>
    </row>
    <row r="1262" spans="1:30" ht="15" hidden="1" customHeight="1" x14ac:dyDescent="0.2">
      <c r="A1262" s="7" t="s">
        <v>680</v>
      </c>
      <c r="B1262" s="7"/>
      <c r="C1262" s="2" t="s">
        <v>641</v>
      </c>
      <c r="D1262" s="6" t="s">
        <v>649</v>
      </c>
      <c r="E1262" s="32" t="s">
        <v>651</v>
      </c>
      <c r="F1262" s="7"/>
      <c r="G1262" s="7"/>
      <c r="H1262" s="7"/>
      <c r="I1262" s="7"/>
      <c r="J1262" s="7"/>
      <c r="K1262" s="7" t="s">
        <v>660</v>
      </c>
      <c r="L1262" s="7" t="s">
        <v>663</v>
      </c>
      <c r="M1262" s="8">
        <v>44362</v>
      </c>
      <c r="N1262" s="8">
        <v>44362</v>
      </c>
      <c r="O1262" s="13"/>
      <c r="P1262" s="13">
        <v>2202268.67</v>
      </c>
      <c r="Q1262" s="33"/>
      <c r="R1262" s="22"/>
      <c r="S1262" s="22"/>
      <c r="T1262" s="22"/>
      <c r="U1262" s="22"/>
      <c r="X1262" s="15" t="str">
        <f>IF(B1262="",VLOOKUP(A1262,items_lookup!A:B,2,FALSE),B1262)</f>
        <v>13. Item 13</v>
      </c>
      <c r="Y1262" s="15">
        <f t="shared" si="112"/>
        <v>6</v>
      </c>
      <c r="Z1262" s="15">
        <f t="shared" si="112"/>
        <v>6</v>
      </c>
      <c r="AA1262" s="15">
        <f t="shared" si="108"/>
        <v>2021</v>
      </c>
      <c r="AB1262" s="15">
        <f t="shared" si="109"/>
        <v>2021</v>
      </c>
      <c r="AC1262" s="15">
        <f t="shared" si="110"/>
        <v>2021</v>
      </c>
      <c r="AD1262" s="18" t="b">
        <f t="shared" si="111"/>
        <v>1</v>
      </c>
    </row>
    <row r="1263" spans="1:30" ht="15" hidden="1" customHeight="1" x14ac:dyDescent="0.2">
      <c r="A1263" s="7" t="s">
        <v>680</v>
      </c>
      <c r="B1263" s="7"/>
      <c r="C1263" s="2" t="s">
        <v>641</v>
      </c>
      <c r="D1263" s="6" t="s">
        <v>649</v>
      </c>
      <c r="E1263" s="32" t="s">
        <v>651</v>
      </c>
      <c r="F1263" s="7"/>
      <c r="G1263" s="7"/>
      <c r="H1263" s="7"/>
      <c r="I1263" s="7"/>
      <c r="J1263" s="7">
        <v>3</v>
      </c>
      <c r="K1263" s="7" t="s">
        <v>660</v>
      </c>
      <c r="L1263" s="7" t="s">
        <v>663</v>
      </c>
      <c r="M1263" s="8">
        <v>44362</v>
      </c>
      <c r="N1263" s="8">
        <v>44376</v>
      </c>
      <c r="O1263" s="13"/>
      <c r="P1263" s="13">
        <v>142957.17000000001</v>
      </c>
      <c r="Q1263" s="33"/>
      <c r="R1263" s="22"/>
      <c r="S1263" s="22"/>
      <c r="T1263" s="22"/>
      <c r="U1263" s="22"/>
      <c r="X1263" s="15" t="str">
        <f>IF(B1263="",VLOOKUP(A1263,items_lookup!A:B,2,FALSE),B1263)</f>
        <v>13. Item 13</v>
      </c>
      <c r="Y1263" s="15">
        <f t="shared" si="112"/>
        <v>6</v>
      </c>
      <c r="Z1263" s="15">
        <f t="shared" si="112"/>
        <v>6</v>
      </c>
      <c r="AA1263" s="15">
        <f t="shared" si="108"/>
        <v>2021</v>
      </c>
      <c r="AB1263" s="15">
        <f t="shared" si="109"/>
        <v>2021</v>
      </c>
      <c r="AC1263" s="15">
        <f t="shared" si="110"/>
        <v>2021</v>
      </c>
      <c r="AD1263" s="18" t="b">
        <f t="shared" si="111"/>
        <v>1</v>
      </c>
    </row>
    <row r="1264" spans="1:30" ht="15" hidden="1" customHeight="1" x14ac:dyDescent="0.2">
      <c r="A1264" s="7" t="s">
        <v>680</v>
      </c>
      <c r="B1264" s="7"/>
      <c r="C1264" s="2" t="s">
        <v>641</v>
      </c>
      <c r="D1264" s="6" t="s">
        <v>649</v>
      </c>
      <c r="E1264" s="32" t="s">
        <v>651</v>
      </c>
      <c r="F1264" s="7"/>
      <c r="G1264" s="7"/>
      <c r="H1264" s="7"/>
      <c r="I1264" s="7"/>
      <c r="J1264" s="7">
        <v>3</v>
      </c>
      <c r="K1264" s="7" t="s">
        <v>660</v>
      </c>
      <c r="L1264" s="7" t="s">
        <v>663</v>
      </c>
      <c r="M1264" s="8">
        <v>44362</v>
      </c>
      <c r="N1264" s="8">
        <v>44372</v>
      </c>
      <c r="O1264" s="13"/>
      <c r="P1264" s="13">
        <v>4648.8100000000004</v>
      </c>
      <c r="Q1264" s="33"/>
      <c r="R1264" s="22"/>
      <c r="S1264" s="22"/>
      <c r="T1264" s="22"/>
      <c r="U1264" s="22"/>
      <c r="X1264" s="15" t="str">
        <f>IF(B1264="",VLOOKUP(A1264,items_lookup!A:B,2,FALSE),B1264)</f>
        <v>13. Item 13</v>
      </c>
      <c r="Y1264" s="15">
        <f t="shared" si="112"/>
        <v>6</v>
      </c>
      <c r="Z1264" s="15">
        <f t="shared" si="112"/>
        <v>6</v>
      </c>
      <c r="AA1264" s="15">
        <f t="shared" si="108"/>
        <v>2021</v>
      </c>
      <c r="AB1264" s="15">
        <f t="shared" si="109"/>
        <v>2021</v>
      </c>
      <c r="AC1264" s="15">
        <f t="shared" si="110"/>
        <v>2021</v>
      </c>
      <c r="AD1264" s="18" t="b">
        <f t="shared" si="111"/>
        <v>1</v>
      </c>
    </row>
    <row r="1265" spans="1:30" ht="15" hidden="1" customHeight="1" x14ac:dyDescent="0.2">
      <c r="A1265" s="7" t="s">
        <v>680</v>
      </c>
      <c r="B1265" s="7"/>
      <c r="C1265" s="2" t="s">
        <v>641</v>
      </c>
      <c r="D1265" s="6" t="s">
        <v>649</v>
      </c>
      <c r="E1265" s="32" t="s">
        <v>651</v>
      </c>
      <c r="F1265" s="7"/>
      <c r="G1265" s="7"/>
      <c r="H1265" s="7"/>
      <c r="I1265" s="7"/>
      <c r="J1265" s="7">
        <v>4</v>
      </c>
      <c r="K1265" s="7" t="s">
        <v>660</v>
      </c>
      <c r="L1265" s="7" t="s">
        <v>663</v>
      </c>
      <c r="M1265" s="8">
        <v>44362</v>
      </c>
      <c r="N1265" s="8">
        <v>44375</v>
      </c>
      <c r="O1265" s="13"/>
      <c r="P1265" s="13">
        <v>945526.07</v>
      </c>
      <c r="Q1265" s="33"/>
      <c r="R1265" s="22"/>
      <c r="S1265" s="22"/>
      <c r="T1265" s="22"/>
      <c r="U1265" s="22"/>
      <c r="X1265" s="15" t="str">
        <f>IF(B1265="",VLOOKUP(A1265,items_lookup!A:B,2,FALSE),B1265)</f>
        <v>13. Item 13</v>
      </c>
      <c r="Y1265" s="15">
        <f t="shared" si="112"/>
        <v>6</v>
      </c>
      <c r="Z1265" s="15">
        <f t="shared" si="112"/>
        <v>6</v>
      </c>
      <c r="AA1265" s="15">
        <f t="shared" si="108"/>
        <v>2021</v>
      </c>
      <c r="AB1265" s="15">
        <f t="shared" si="109"/>
        <v>2021</v>
      </c>
      <c r="AC1265" s="15">
        <f t="shared" si="110"/>
        <v>2021</v>
      </c>
      <c r="AD1265" s="18" t="b">
        <f t="shared" si="111"/>
        <v>1</v>
      </c>
    </row>
    <row r="1266" spans="1:30" ht="13.5" hidden="1" customHeight="1" x14ac:dyDescent="0.2">
      <c r="A1266" s="7" t="s">
        <v>680</v>
      </c>
      <c r="B1266" s="20"/>
      <c r="C1266" s="2" t="s">
        <v>641</v>
      </c>
      <c r="D1266" s="6" t="s">
        <v>649</v>
      </c>
      <c r="E1266" s="32" t="s">
        <v>651</v>
      </c>
      <c r="F1266" s="7"/>
      <c r="G1266" s="7"/>
      <c r="H1266" s="7"/>
      <c r="I1266" s="7"/>
      <c r="J1266" s="7">
        <v>3</v>
      </c>
      <c r="K1266" s="7" t="s">
        <v>660</v>
      </c>
      <c r="L1266" s="7" t="s">
        <v>663</v>
      </c>
      <c r="M1266" s="8">
        <v>44362</v>
      </c>
      <c r="N1266" s="8">
        <v>44372</v>
      </c>
      <c r="O1266" s="13"/>
      <c r="P1266" s="13">
        <v>13174.24</v>
      </c>
      <c r="Q1266" s="33"/>
      <c r="R1266" s="9"/>
      <c r="S1266" s="9"/>
      <c r="T1266" s="9"/>
      <c r="U1266" s="9"/>
      <c r="X1266" s="15" t="str">
        <f>IF(B1266="",VLOOKUP(A1266,items_lookup!A:B,2,FALSE),B1266)</f>
        <v>13. Item 13</v>
      </c>
      <c r="Y1266" s="15">
        <f t="shared" si="112"/>
        <v>6</v>
      </c>
      <c r="Z1266" s="15">
        <f t="shared" si="112"/>
        <v>6</v>
      </c>
      <c r="AA1266" s="15">
        <f t="shared" si="108"/>
        <v>2021</v>
      </c>
      <c r="AB1266" s="15">
        <f t="shared" si="109"/>
        <v>2021</v>
      </c>
      <c r="AC1266" s="15">
        <f t="shared" si="110"/>
        <v>2021</v>
      </c>
      <c r="AD1266" s="18" t="b">
        <f t="shared" si="111"/>
        <v>1</v>
      </c>
    </row>
    <row r="1267" spans="1:30" ht="15" hidden="1" customHeight="1" x14ac:dyDescent="0.2">
      <c r="A1267" s="7" t="s">
        <v>680</v>
      </c>
      <c r="B1267" s="7"/>
      <c r="C1267" s="2" t="s">
        <v>641</v>
      </c>
      <c r="D1267" s="6" t="s">
        <v>649</v>
      </c>
      <c r="E1267" s="32" t="s">
        <v>651</v>
      </c>
      <c r="F1267" s="7"/>
      <c r="G1267" s="7"/>
      <c r="H1267" s="7"/>
      <c r="I1267" s="7"/>
      <c r="J1267" s="7">
        <v>3</v>
      </c>
      <c r="K1267" s="7" t="s">
        <v>660</v>
      </c>
      <c r="L1267" s="7" t="s">
        <v>663</v>
      </c>
      <c r="M1267" s="8">
        <v>44362</v>
      </c>
      <c r="N1267" s="8">
        <v>44371</v>
      </c>
      <c r="O1267" s="13"/>
      <c r="P1267" s="13">
        <v>32528.959999999999</v>
      </c>
      <c r="Q1267" s="33"/>
      <c r="R1267" s="22"/>
      <c r="S1267" s="22"/>
      <c r="T1267" s="22"/>
      <c r="U1267" s="22"/>
      <c r="X1267" s="15" t="str">
        <f>IF(B1267="",VLOOKUP(A1267,items_lookup!A:B,2,FALSE),B1267)</f>
        <v>13. Item 13</v>
      </c>
      <c r="Y1267" s="15">
        <f t="shared" si="112"/>
        <v>6</v>
      </c>
      <c r="Z1267" s="15">
        <f t="shared" si="112"/>
        <v>6</v>
      </c>
      <c r="AA1267" s="15">
        <f t="shared" si="108"/>
        <v>2021</v>
      </c>
      <c r="AB1267" s="15">
        <f t="shared" si="109"/>
        <v>2021</v>
      </c>
      <c r="AC1267" s="15">
        <f t="shared" si="110"/>
        <v>2021</v>
      </c>
      <c r="AD1267" s="18" t="b">
        <f t="shared" si="111"/>
        <v>1</v>
      </c>
    </row>
    <row r="1268" spans="1:30" ht="15" hidden="1" customHeight="1" x14ac:dyDescent="0.2">
      <c r="A1268" s="7" t="s">
        <v>701</v>
      </c>
      <c r="B1268" s="7"/>
      <c r="C1268" s="2" t="s">
        <v>641</v>
      </c>
      <c r="D1268" s="6" t="s">
        <v>649</v>
      </c>
      <c r="E1268" s="32" t="s">
        <v>651</v>
      </c>
      <c r="F1268" s="7"/>
      <c r="G1268" s="7"/>
      <c r="H1268" s="7"/>
      <c r="I1268" s="7"/>
      <c r="J1268" s="7">
        <v>3</v>
      </c>
      <c r="K1268" s="7" t="s">
        <v>660</v>
      </c>
      <c r="L1268" s="7" t="s">
        <v>663</v>
      </c>
      <c r="M1268" s="8">
        <v>44362</v>
      </c>
      <c r="N1268" s="8">
        <v>44371</v>
      </c>
      <c r="O1268" s="13"/>
      <c r="P1268" s="13">
        <v>99762.55</v>
      </c>
      <c r="Q1268" s="33"/>
      <c r="X1268" s="15" t="str">
        <f>IF(B1268="",VLOOKUP(A1268,items_lookup!A:B,2,FALSE),B1268)</f>
        <v>13. Item 13</v>
      </c>
      <c r="Y1268" s="15">
        <f t="shared" si="112"/>
        <v>6</v>
      </c>
      <c r="Z1268" s="15">
        <f t="shared" si="112"/>
        <v>6</v>
      </c>
      <c r="AA1268" s="15">
        <f t="shared" si="108"/>
        <v>2021</v>
      </c>
      <c r="AB1268" s="15">
        <f t="shared" si="109"/>
        <v>2021</v>
      </c>
      <c r="AC1268" s="15">
        <f t="shared" si="110"/>
        <v>2021</v>
      </c>
      <c r="AD1268" s="18" t="b">
        <f t="shared" si="111"/>
        <v>1</v>
      </c>
    </row>
    <row r="1269" spans="1:30" ht="14.25" hidden="1" customHeight="1" x14ac:dyDescent="0.2">
      <c r="A1269" s="7" t="s">
        <v>699</v>
      </c>
      <c r="B1269" s="7"/>
      <c r="C1269" s="2" t="s">
        <v>641</v>
      </c>
      <c r="D1269" s="6" t="s">
        <v>649</v>
      </c>
      <c r="E1269" s="32" t="s">
        <v>651</v>
      </c>
      <c r="F1269" s="7"/>
      <c r="G1269" s="7"/>
      <c r="H1269" s="7"/>
      <c r="I1269" s="7" t="s">
        <v>20</v>
      </c>
      <c r="J1269" s="7">
        <v>3</v>
      </c>
      <c r="K1269" s="7" t="s">
        <v>660</v>
      </c>
      <c r="L1269" s="7" t="s">
        <v>663</v>
      </c>
      <c r="M1269" s="8">
        <v>44362</v>
      </c>
      <c r="N1269" s="8">
        <v>44371</v>
      </c>
      <c r="O1269" s="13"/>
      <c r="P1269" s="13">
        <v>168935.48</v>
      </c>
      <c r="Q1269" s="33"/>
      <c r="X1269" s="15" t="str">
        <f>IF(B1269="",VLOOKUP(A1269,items_lookup!A:B,2,FALSE),B1269)</f>
        <v>12. Item 12</v>
      </c>
      <c r="Y1269" s="15">
        <f t="shared" si="112"/>
        <v>6</v>
      </c>
      <c r="Z1269" s="15">
        <f t="shared" si="112"/>
        <v>6</v>
      </c>
      <c r="AA1269" s="15">
        <f t="shared" si="108"/>
        <v>2021</v>
      </c>
      <c r="AB1269" s="15">
        <f t="shared" si="109"/>
        <v>2021</v>
      </c>
      <c r="AC1269" s="15">
        <f t="shared" si="110"/>
        <v>2021</v>
      </c>
      <c r="AD1269" s="18" t="b">
        <f t="shared" si="111"/>
        <v>1</v>
      </c>
    </row>
    <row r="1270" spans="1:30" ht="14.25" hidden="1" customHeight="1" x14ac:dyDescent="0.2">
      <c r="A1270" s="7" t="s">
        <v>699</v>
      </c>
      <c r="B1270" s="7"/>
      <c r="C1270" s="2" t="s">
        <v>641</v>
      </c>
      <c r="D1270" s="6" t="s">
        <v>649</v>
      </c>
      <c r="E1270" s="32" t="s">
        <v>651</v>
      </c>
      <c r="F1270" s="7"/>
      <c r="G1270" s="7"/>
      <c r="H1270" s="7"/>
      <c r="I1270" s="7"/>
      <c r="J1270" s="7">
        <v>3</v>
      </c>
      <c r="K1270" s="7" t="s">
        <v>660</v>
      </c>
      <c r="L1270" s="7" t="s">
        <v>663</v>
      </c>
      <c r="M1270" s="8">
        <v>44362</v>
      </c>
      <c r="N1270" s="8">
        <v>44371</v>
      </c>
      <c r="O1270" s="13"/>
      <c r="P1270" s="13">
        <v>18087.14</v>
      </c>
      <c r="Q1270" s="33"/>
      <c r="R1270" s="22"/>
      <c r="S1270" s="22"/>
      <c r="T1270" s="22"/>
      <c r="U1270" s="22"/>
      <c r="X1270" s="15" t="str">
        <f>IF(B1270="",VLOOKUP(A1270,items_lookup!A:B,2,FALSE),B1270)</f>
        <v>12. Item 12</v>
      </c>
      <c r="Y1270" s="15">
        <f t="shared" si="112"/>
        <v>6</v>
      </c>
      <c r="Z1270" s="15">
        <f t="shared" si="112"/>
        <v>6</v>
      </c>
      <c r="AA1270" s="15">
        <f t="shared" si="108"/>
        <v>2021</v>
      </c>
      <c r="AB1270" s="15">
        <f t="shared" si="109"/>
        <v>2021</v>
      </c>
      <c r="AC1270" s="15">
        <f t="shared" si="110"/>
        <v>2021</v>
      </c>
      <c r="AD1270" s="18" t="b">
        <f t="shared" si="111"/>
        <v>1</v>
      </c>
    </row>
    <row r="1271" spans="1:30" ht="12.6" hidden="1" customHeight="1" x14ac:dyDescent="0.2">
      <c r="A1271" s="7" t="s">
        <v>690</v>
      </c>
      <c r="B1271" s="7"/>
      <c r="C1271" s="2" t="s">
        <v>641</v>
      </c>
      <c r="D1271" s="6" t="s">
        <v>649</v>
      </c>
      <c r="E1271" s="32" t="s">
        <v>651</v>
      </c>
      <c r="F1271" s="7"/>
      <c r="G1271" s="7"/>
      <c r="H1271" s="7"/>
      <c r="I1271" s="7"/>
      <c r="J1271" s="7"/>
      <c r="K1271" s="7" t="s">
        <v>660</v>
      </c>
      <c r="L1271" s="7" t="s">
        <v>663</v>
      </c>
      <c r="M1271" s="8">
        <v>44363</v>
      </c>
      <c r="N1271" s="8">
        <v>44363</v>
      </c>
      <c r="O1271" s="13"/>
      <c r="P1271" s="13">
        <v>229216.33</v>
      </c>
      <c r="Q1271" s="33"/>
      <c r="R1271" s="22"/>
      <c r="S1271" s="22"/>
      <c r="T1271" s="22"/>
      <c r="U1271" s="22"/>
      <c r="X1271" s="15" t="str">
        <f>IF(B1271="",VLOOKUP(A1271,items_lookup!A:B,2,FALSE),B1271)</f>
        <v>21. Item 21</v>
      </c>
      <c r="Y1271" s="15">
        <f t="shared" si="112"/>
        <v>6</v>
      </c>
      <c r="Z1271" s="15">
        <f t="shared" si="112"/>
        <v>6</v>
      </c>
      <c r="AA1271" s="15">
        <f t="shared" si="108"/>
        <v>2021</v>
      </c>
      <c r="AB1271" s="15">
        <f t="shared" si="109"/>
        <v>2021</v>
      </c>
      <c r="AC1271" s="15">
        <f t="shared" si="110"/>
        <v>2021</v>
      </c>
      <c r="AD1271" s="18" t="b">
        <f t="shared" si="111"/>
        <v>1</v>
      </c>
    </row>
    <row r="1272" spans="1:30" ht="15" hidden="1" customHeight="1" x14ac:dyDescent="0.2">
      <c r="A1272" s="7" t="s">
        <v>680</v>
      </c>
      <c r="B1272" s="7"/>
      <c r="C1272" s="2" t="s">
        <v>648</v>
      </c>
      <c r="D1272" s="6" t="s">
        <v>649</v>
      </c>
      <c r="E1272" s="32" t="s">
        <v>651</v>
      </c>
      <c r="F1272" s="7"/>
      <c r="G1272" s="7"/>
      <c r="H1272" s="7"/>
      <c r="I1272" s="7"/>
      <c r="J1272" s="7"/>
      <c r="K1272" s="7"/>
      <c r="L1272" s="7" t="s">
        <v>663</v>
      </c>
      <c r="M1272" s="8">
        <v>44347</v>
      </c>
      <c r="N1272" s="8">
        <v>44347</v>
      </c>
      <c r="O1272" s="13"/>
      <c r="P1272" s="13">
        <v>44811905.659999996</v>
      </c>
      <c r="Q1272" s="33"/>
      <c r="R1272" s="22"/>
      <c r="S1272" s="22"/>
      <c r="T1272" s="22"/>
      <c r="U1272" s="22"/>
      <c r="X1272" s="15" t="str">
        <f>IF(B1272="",VLOOKUP(A1272,items_lookup!A:B,2,FALSE),B1272)</f>
        <v>13. Item 13</v>
      </c>
      <c r="Y1272" s="15">
        <f t="shared" si="112"/>
        <v>5</v>
      </c>
      <c r="Z1272" s="15">
        <f t="shared" si="112"/>
        <v>5</v>
      </c>
      <c r="AA1272" s="15">
        <f t="shared" si="108"/>
        <v>2021</v>
      </c>
      <c r="AB1272" s="15">
        <f t="shared" si="109"/>
        <v>2021</v>
      </c>
      <c r="AC1272" s="15">
        <f t="shared" si="110"/>
        <v>2021</v>
      </c>
      <c r="AD1272" s="18" t="b">
        <f t="shared" si="111"/>
        <v>1</v>
      </c>
    </row>
    <row r="1273" spans="1:30" ht="15" hidden="1" customHeight="1" x14ac:dyDescent="0.2">
      <c r="A1273" s="7" t="s">
        <v>683</v>
      </c>
      <c r="B1273" s="7"/>
      <c r="C1273" s="2" t="s">
        <v>641</v>
      </c>
      <c r="D1273" s="6" t="s">
        <v>649</v>
      </c>
      <c r="E1273" s="32" t="s">
        <v>651</v>
      </c>
      <c r="F1273" s="7"/>
      <c r="G1273" s="7"/>
      <c r="H1273" s="7"/>
      <c r="I1273" s="7"/>
      <c r="J1273" s="7"/>
      <c r="K1273" s="7" t="s">
        <v>660</v>
      </c>
      <c r="L1273" s="7" t="s">
        <v>663</v>
      </c>
      <c r="M1273" s="8">
        <v>44364</v>
      </c>
      <c r="N1273" s="8">
        <v>44364</v>
      </c>
      <c r="O1273" s="13"/>
      <c r="P1273" s="13">
        <v>429126.34</v>
      </c>
      <c r="Q1273" s="33"/>
      <c r="R1273" s="22"/>
      <c r="S1273" s="22"/>
      <c r="T1273" s="22"/>
      <c r="U1273" s="22"/>
      <c r="X1273" s="15" t="str">
        <f>IF(B1273="",VLOOKUP(A1273,items_lookup!A:B,2,FALSE),B1273)</f>
        <v>_1. Item _1</v>
      </c>
      <c r="Y1273" s="15">
        <f t="shared" si="112"/>
        <v>6</v>
      </c>
      <c r="Z1273" s="15">
        <f t="shared" si="112"/>
        <v>6</v>
      </c>
      <c r="AA1273" s="15">
        <f t="shared" si="108"/>
        <v>2021</v>
      </c>
      <c r="AB1273" s="15">
        <f t="shared" si="109"/>
        <v>2021</v>
      </c>
      <c r="AC1273" s="15">
        <f t="shared" si="110"/>
        <v>2021</v>
      </c>
      <c r="AD1273" s="18" t="b">
        <f t="shared" si="111"/>
        <v>1</v>
      </c>
    </row>
    <row r="1274" spans="1:30" ht="15" hidden="1" customHeight="1" x14ac:dyDescent="0.2">
      <c r="A1274" s="7" t="s">
        <v>683</v>
      </c>
      <c r="B1274" s="7"/>
      <c r="C1274" s="2" t="s">
        <v>641</v>
      </c>
      <c r="D1274" s="6" t="s">
        <v>649</v>
      </c>
      <c r="E1274" s="32" t="s">
        <v>651</v>
      </c>
      <c r="F1274" s="7"/>
      <c r="G1274" s="7"/>
      <c r="H1274" s="7"/>
      <c r="I1274" s="7"/>
      <c r="J1274" s="7">
        <v>4</v>
      </c>
      <c r="K1274" s="7" t="s">
        <v>660</v>
      </c>
      <c r="L1274" s="7" t="s">
        <v>663</v>
      </c>
      <c r="M1274" s="8">
        <v>44364</v>
      </c>
      <c r="N1274" s="8">
        <v>44376</v>
      </c>
      <c r="O1274" s="13"/>
      <c r="P1274" s="13">
        <v>8367.86</v>
      </c>
      <c r="Q1274" s="33"/>
      <c r="R1274" s="22"/>
      <c r="S1274" s="22"/>
      <c r="T1274" s="22"/>
      <c r="U1274" s="22"/>
      <c r="X1274" s="15" t="str">
        <f>IF(B1274="",VLOOKUP(A1274,items_lookup!A:B,2,FALSE),B1274)</f>
        <v>_1. Item _1</v>
      </c>
      <c r="Y1274" s="15">
        <f t="shared" si="112"/>
        <v>6</v>
      </c>
      <c r="Z1274" s="15">
        <f t="shared" si="112"/>
        <v>6</v>
      </c>
      <c r="AA1274" s="15">
        <f t="shared" si="108"/>
        <v>2021</v>
      </c>
      <c r="AB1274" s="15">
        <f t="shared" si="109"/>
        <v>2021</v>
      </c>
      <c r="AC1274" s="15">
        <f t="shared" si="110"/>
        <v>2021</v>
      </c>
      <c r="AD1274" s="18" t="b">
        <f t="shared" si="111"/>
        <v>1</v>
      </c>
    </row>
    <row r="1275" spans="1:30" ht="15" hidden="1" customHeight="1" x14ac:dyDescent="0.2">
      <c r="A1275" s="7" t="s">
        <v>683</v>
      </c>
      <c r="B1275" s="7"/>
      <c r="C1275" s="2" t="s">
        <v>641</v>
      </c>
      <c r="D1275" s="6" t="s">
        <v>649</v>
      </c>
      <c r="E1275" s="32" t="s">
        <v>651</v>
      </c>
      <c r="F1275" s="7"/>
      <c r="G1275" s="7"/>
      <c r="H1275" s="7"/>
      <c r="I1275" s="7"/>
      <c r="J1275" s="7">
        <v>4</v>
      </c>
      <c r="K1275" s="7" t="s">
        <v>660</v>
      </c>
      <c r="L1275" s="7" t="s">
        <v>663</v>
      </c>
      <c r="M1275" s="8">
        <v>44365</v>
      </c>
      <c r="N1275" s="8">
        <v>44376</v>
      </c>
      <c r="O1275" s="13"/>
      <c r="P1275" s="13">
        <v>61721.36</v>
      </c>
      <c r="Q1275" s="33"/>
      <c r="R1275" s="22"/>
      <c r="S1275" s="22"/>
      <c r="T1275" s="22"/>
      <c r="U1275" s="22"/>
      <c r="X1275" s="15" t="str">
        <f>IF(B1275="",VLOOKUP(A1275,items_lookup!A:B,2,FALSE),B1275)</f>
        <v>_1. Item _1</v>
      </c>
      <c r="Y1275" s="15">
        <f t="shared" si="112"/>
        <v>6</v>
      </c>
      <c r="Z1275" s="15">
        <f t="shared" si="112"/>
        <v>6</v>
      </c>
      <c r="AA1275" s="15">
        <f t="shared" ref="AA1275:AA1338" si="113">YEAR(N1275)</f>
        <v>2021</v>
      </c>
      <c r="AB1275" s="15">
        <f t="shared" ref="AB1275:AB1338" si="114">YEAR(M1275)</f>
        <v>2021</v>
      </c>
      <c r="AC1275" s="15">
        <f t="shared" ref="AC1275:AC1338" si="115">IF(F1275="X",AA1275-1,AA1275)</f>
        <v>2021</v>
      </c>
      <c r="AD1275" s="18" t="b">
        <f t="shared" si="111"/>
        <v>1</v>
      </c>
    </row>
    <row r="1276" spans="1:30" ht="15" hidden="1" customHeight="1" x14ac:dyDescent="0.2">
      <c r="A1276" s="7" t="s">
        <v>678</v>
      </c>
      <c r="B1276" s="7"/>
      <c r="C1276" s="2" t="s">
        <v>641</v>
      </c>
      <c r="D1276" s="6" t="s">
        <v>649</v>
      </c>
      <c r="E1276" s="32" t="s">
        <v>651</v>
      </c>
      <c r="F1276" s="7"/>
      <c r="G1276" s="7"/>
      <c r="H1276" s="7"/>
      <c r="I1276" s="7" t="s">
        <v>20</v>
      </c>
      <c r="J1276" s="7">
        <v>4</v>
      </c>
      <c r="K1276" s="7" t="s">
        <v>660</v>
      </c>
      <c r="L1276" s="7" t="s">
        <v>663</v>
      </c>
      <c r="M1276" s="8">
        <v>44365</v>
      </c>
      <c r="N1276" s="8">
        <v>44376</v>
      </c>
      <c r="O1276" s="13"/>
      <c r="P1276" s="13">
        <v>1798520.2</v>
      </c>
      <c r="Q1276" s="33"/>
      <c r="R1276" s="22"/>
      <c r="S1276" s="22"/>
      <c r="T1276" s="22"/>
      <c r="U1276" s="22"/>
      <c r="X1276" s="15" t="str">
        <f>IF(B1276="",VLOOKUP(A1276,items_lookup!A:B,2,FALSE),B1276)</f>
        <v>13. Item 13</v>
      </c>
      <c r="Y1276" s="15">
        <f t="shared" si="112"/>
        <v>6</v>
      </c>
      <c r="Z1276" s="15">
        <f t="shared" si="112"/>
        <v>6</v>
      </c>
      <c r="AA1276" s="15">
        <f t="shared" si="113"/>
        <v>2021</v>
      </c>
      <c r="AB1276" s="15">
        <f t="shared" si="114"/>
        <v>2021</v>
      </c>
      <c r="AC1276" s="15">
        <f t="shared" si="115"/>
        <v>2021</v>
      </c>
      <c r="AD1276" s="18" t="b">
        <f t="shared" si="111"/>
        <v>1</v>
      </c>
    </row>
    <row r="1277" spans="1:30" ht="15" hidden="1" customHeight="1" x14ac:dyDescent="0.2">
      <c r="A1277" s="7" t="s">
        <v>678</v>
      </c>
      <c r="B1277" s="7"/>
      <c r="C1277" s="2" t="s">
        <v>641</v>
      </c>
      <c r="D1277" s="6" t="s">
        <v>649</v>
      </c>
      <c r="E1277" s="32" t="s">
        <v>651</v>
      </c>
      <c r="F1277" s="7"/>
      <c r="G1277" s="7"/>
      <c r="H1277" s="7"/>
      <c r="I1277" s="7"/>
      <c r="J1277" s="7">
        <v>4</v>
      </c>
      <c r="K1277" s="7" t="s">
        <v>660</v>
      </c>
      <c r="L1277" s="7" t="s">
        <v>663</v>
      </c>
      <c r="M1277" s="8">
        <v>44365</v>
      </c>
      <c r="N1277" s="8">
        <v>44376</v>
      </c>
      <c r="O1277" s="13"/>
      <c r="P1277" s="13">
        <v>141529.04</v>
      </c>
      <c r="Q1277" s="33"/>
      <c r="R1277" s="22"/>
      <c r="S1277" s="22"/>
      <c r="T1277" s="22"/>
      <c r="U1277" s="22"/>
      <c r="X1277" s="15" t="str">
        <f>IF(B1277="",VLOOKUP(A1277,items_lookup!A:B,2,FALSE),B1277)</f>
        <v>13. Item 13</v>
      </c>
      <c r="Y1277" s="15">
        <f t="shared" si="112"/>
        <v>6</v>
      </c>
      <c r="Z1277" s="15">
        <f t="shared" si="112"/>
        <v>6</v>
      </c>
      <c r="AA1277" s="15">
        <f t="shared" si="113"/>
        <v>2021</v>
      </c>
      <c r="AB1277" s="15">
        <f t="shared" si="114"/>
        <v>2021</v>
      </c>
      <c r="AC1277" s="15">
        <f t="shared" si="115"/>
        <v>2021</v>
      </c>
      <c r="AD1277" s="18" t="b">
        <f t="shared" si="111"/>
        <v>1</v>
      </c>
    </row>
    <row r="1278" spans="1:30" ht="15" hidden="1" customHeight="1" x14ac:dyDescent="0.2">
      <c r="A1278" s="7" t="s">
        <v>670</v>
      </c>
      <c r="B1278" s="7"/>
      <c r="C1278" s="2" t="s">
        <v>641</v>
      </c>
      <c r="D1278" s="6" t="s">
        <v>649</v>
      </c>
      <c r="E1278" s="32" t="s">
        <v>651</v>
      </c>
      <c r="F1278" s="7"/>
      <c r="G1278" s="7"/>
      <c r="H1278" s="7"/>
      <c r="I1278" s="7"/>
      <c r="J1278" s="7">
        <v>3</v>
      </c>
      <c r="K1278" s="7" t="s">
        <v>660</v>
      </c>
      <c r="L1278" s="7" t="s">
        <v>663</v>
      </c>
      <c r="M1278" s="8">
        <v>44364</v>
      </c>
      <c r="N1278" s="8">
        <v>44372</v>
      </c>
      <c r="O1278" s="13"/>
      <c r="P1278" s="13">
        <v>2976190.48</v>
      </c>
      <c r="Q1278" s="33"/>
      <c r="R1278" s="22"/>
      <c r="S1278" s="22"/>
      <c r="T1278" s="22"/>
      <c r="U1278" s="22"/>
      <c r="X1278" s="15" t="str">
        <f>IF(B1278="",VLOOKUP(A1278,items_lookup!A:B,2,FALSE),B1278)</f>
        <v>04. Item 04</v>
      </c>
      <c r="Y1278" s="15">
        <f t="shared" si="112"/>
        <v>6</v>
      </c>
      <c r="Z1278" s="15">
        <f t="shared" si="112"/>
        <v>6</v>
      </c>
      <c r="AA1278" s="15">
        <f t="shared" si="113"/>
        <v>2021</v>
      </c>
      <c r="AB1278" s="15">
        <f t="shared" si="114"/>
        <v>2021</v>
      </c>
      <c r="AC1278" s="15">
        <f t="shared" si="115"/>
        <v>2021</v>
      </c>
      <c r="AD1278" s="18" t="b">
        <f t="shared" si="111"/>
        <v>1</v>
      </c>
    </row>
    <row r="1279" spans="1:30" ht="15" hidden="1" customHeight="1" x14ac:dyDescent="0.2">
      <c r="A1279" s="7" t="s">
        <v>689</v>
      </c>
      <c r="B1279" s="7"/>
      <c r="C1279" s="2" t="s">
        <v>641</v>
      </c>
      <c r="D1279" s="6" t="s">
        <v>649</v>
      </c>
      <c r="E1279" s="32" t="s">
        <v>651</v>
      </c>
      <c r="F1279" s="7"/>
      <c r="G1279" s="7"/>
      <c r="H1279" s="7"/>
      <c r="I1279" s="7"/>
      <c r="J1279" s="7">
        <v>4</v>
      </c>
      <c r="K1279" s="7" t="s">
        <v>660</v>
      </c>
      <c r="L1279" s="7" t="s">
        <v>663</v>
      </c>
      <c r="M1279" s="8">
        <v>44378</v>
      </c>
      <c r="N1279" s="8">
        <v>44390</v>
      </c>
      <c r="O1279" s="13"/>
      <c r="P1279" s="13">
        <v>307.14</v>
      </c>
      <c r="Q1279" s="33"/>
      <c r="R1279" s="22"/>
      <c r="S1279" s="22"/>
      <c r="T1279" s="22"/>
      <c r="U1279" s="22"/>
      <c r="X1279" s="15" t="str">
        <f>IF(B1279="",VLOOKUP(A1279,items_lookup!A:B,2,FALSE),B1279)</f>
        <v>04. Item 04</v>
      </c>
      <c r="Y1279" s="15">
        <f t="shared" si="112"/>
        <v>7</v>
      </c>
      <c r="Z1279" s="15">
        <f t="shared" si="112"/>
        <v>7</v>
      </c>
      <c r="AA1279" s="15">
        <f t="shared" si="113"/>
        <v>2021</v>
      </c>
      <c r="AB1279" s="15">
        <f t="shared" si="114"/>
        <v>2021</v>
      </c>
      <c r="AC1279" s="15">
        <f t="shared" si="115"/>
        <v>2021</v>
      </c>
      <c r="AD1279" s="18" t="b">
        <f t="shared" si="111"/>
        <v>1</v>
      </c>
    </row>
    <row r="1280" spans="1:30" ht="12.6" hidden="1" customHeight="1" x14ac:dyDescent="0.2">
      <c r="A1280" s="7" t="s">
        <v>671</v>
      </c>
      <c r="B1280" s="20"/>
      <c r="C1280" s="2" t="s">
        <v>641</v>
      </c>
      <c r="D1280" s="6" t="s">
        <v>649</v>
      </c>
      <c r="E1280" s="32" t="s">
        <v>651</v>
      </c>
      <c r="F1280" s="7"/>
      <c r="G1280" s="7"/>
      <c r="H1280" s="7"/>
      <c r="I1280" s="7"/>
      <c r="J1280" s="7">
        <v>3</v>
      </c>
      <c r="K1280" s="7" t="s">
        <v>660</v>
      </c>
      <c r="L1280" s="7" t="s">
        <v>663</v>
      </c>
      <c r="M1280" s="8">
        <v>44365</v>
      </c>
      <c r="N1280" s="8">
        <v>44376</v>
      </c>
      <c r="O1280" s="13"/>
      <c r="P1280" s="13">
        <v>306.99</v>
      </c>
      <c r="Q1280" s="33"/>
      <c r="R1280" s="22"/>
      <c r="S1280" s="22"/>
      <c r="T1280" s="22"/>
      <c r="U1280" s="22"/>
      <c r="X1280" s="15" t="str">
        <f>IF(B1280="",VLOOKUP(A1280,items_lookup!A:B,2,FALSE),B1280)</f>
        <v>05. Item 05</v>
      </c>
      <c r="Y1280" s="15">
        <f t="shared" si="112"/>
        <v>6</v>
      </c>
      <c r="Z1280" s="15">
        <f t="shared" si="112"/>
        <v>6</v>
      </c>
      <c r="AA1280" s="15">
        <f t="shared" si="113"/>
        <v>2021</v>
      </c>
      <c r="AB1280" s="15">
        <f t="shared" si="114"/>
        <v>2021</v>
      </c>
      <c r="AC1280" s="15">
        <f t="shared" si="115"/>
        <v>2021</v>
      </c>
      <c r="AD1280" s="18" t="b">
        <f t="shared" si="111"/>
        <v>1</v>
      </c>
    </row>
    <row r="1281" spans="1:30" ht="15.75" hidden="1" customHeight="1" x14ac:dyDescent="0.2">
      <c r="A1281" s="7" t="s">
        <v>672</v>
      </c>
      <c r="B1281" s="20"/>
      <c r="C1281" s="2" t="s">
        <v>641</v>
      </c>
      <c r="D1281" s="6" t="s">
        <v>649</v>
      </c>
      <c r="E1281" s="32" t="s">
        <v>651</v>
      </c>
      <c r="F1281" s="7"/>
      <c r="G1281" s="7"/>
      <c r="H1281" s="7"/>
      <c r="I1281" s="7"/>
      <c r="J1281" s="7">
        <v>3</v>
      </c>
      <c r="K1281" s="7" t="s">
        <v>660</v>
      </c>
      <c r="L1281" s="7" t="s">
        <v>663</v>
      </c>
      <c r="M1281" s="8">
        <v>44378</v>
      </c>
      <c r="N1281" s="8">
        <v>44391</v>
      </c>
      <c r="O1281" s="13"/>
      <c r="P1281" s="13">
        <v>25211.87</v>
      </c>
      <c r="Q1281" s="33"/>
      <c r="R1281" s="22"/>
      <c r="S1281" s="22"/>
      <c r="T1281" s="22"/>
      <c r="U1281" s="22"/>
      <c r="X1281" s="15" t="str">
        <f>IF(B1281="",VLOOKUP(A1281,items_lookup!A:B,2,FALSE),B1281)</f>
        <v>05. Item 05</v>
      </c>
      <c r="Y1281" s="15">
        <f t="shared" si="112"/>
        <v>7</v>
      </c>
      <c r="Z1281" s="15">
        <f t="shared" si="112"/>
        <v>7</v>
      </c>
      <c r="AA1281" s="15">
        <f t="shared" si="113"/>
        <v>2021</v>
      </c>
      <c r="AB1281" s="15">
        <f t="shared" si="114"/>
        <v>2021</v>
      </c>
      <c r="AC1281" s="15">
        <f t="shared" si="115"/>
        <v>2021</v>
      </c>
      <c r="AD1281" s="18" t="b">
        <f t="shared" si="111"/>
        <v>1</v>
      </c>
    </row>
    <row r="1282" spans="1:30" ht="15.75" hidden="1" customHeight="1" x14ac:dyDescent="0.2">
      <c r="A1282" s="7" t="s">
        <v>682</v>
      </c>
      <c r="B1282" s="7"/>
      <c r="C1282" s="2" t="s">
        <v>641</v>
      </c>
      <c r="D1282" s="6" t="s">
        <v>649</v>
      </c>
      <c r="E1282" s="32" t="s">
        <v>651</v>
      </c>
      <c r="F1282" s="7"/>
      <c r="G1282" s="7"/>
      <c r="H1282" s="7"/>
      <c r="I1282" s="7"/>
      <c r="J1282" s="7"/>
      <c r="K1282" s="7" t="s">
        <v>660</v>
      </c>
      <c r="L1282" s="7" t="s">
        <v>663</v>
      </c>
      <c r="M1282" s="8">
        <v>44365</v>
      </c>
      <c r="N1282" s="8">
        <v>44365</v>
      </c>
      <c r="O1282" s="13"/>
      <c r="P1282" s="13">
        <v>624416.89</v>
      </c>
      <c r="Q1282" s="33"/>
      <c r="R1282" s="22"/>
      <c r="S1282" s="22"/>
      <c r="T1282" s="22"/>
      <c r="U1282" s="22"/>
      <c r="X1282" s="15" t="str">
        <f>IF(B1282="",VLOOKUP(A1282,items_lookup!A:B,2,FALSE),B1282)</f>
        <v>06. Item 06</v>
      </c>
      <c r="Y1282" s="15">
        <f t="shared" si="112"/>
        <v>6</v>
      </c>
      <c r="Z1282" s="15">
        <f t="shared" si="112"/>
        <v>6</v>
      </c>
      <c r="AA1282" s="15">
        <f t="shared" si="113"/>
        <v>2021</v>
      </c>
      <c r="AB1282" s="15">
        <f t="shared" si="114"/>
        <v>2021</v>
      </c>
      <c r="AC1282" s="15">
        <f t="shared" si="115"/>
        <v>2021</v>
      </c>
      <c r="AD1282" s="18" t="b">
        <f t="shared" si="111"/>
        <v>1</v>
      </c>
    </row>
    <row r="1283" spans="1:30" ht="15" hidden="1" customHeight="1" x14ac:dyDescent="0.2">
      <c r="A1283" s="7" t="s">
        <v>673</v>
      </c>
      <c r="B1283" s="7"/>
      <c r="C1283" s="2" t="s">
        <v>641</v>
      </c>
      <c r="D1283" s="6" t="s">
        <v>649</v>
      </c>
      <c r="E1283" s="32" t="s">
        <v>651</v>
      </c>
      <c r="F1283" s="7"/>
      <c r="G1283" s="7"/>
      <c r="H1283" s="7"/>
      <c r="I1283" s="7"/>
      <c r="J1283" s="7"/>
      <c r="K1283" s="7" t="s">
        <v>660</v>
      </c>
      <c r="L1283" s="7" t="s">
        <v>663</v>
      </c>
      <c r="M1283" s="8">
        <v>44369</v>
      </c>
      <c r="N1283" s="8">
        <v>44369</v>
      </c>
      <c r="O1283" s="13"/>
      <c r="P1283" s="13">
        <v>45179.72</v>
      </c>
      <c r="Q1283" s="33"/>
      <c r="R1283" s="22"/>
      <c r="S1283" s="22"/>
      <c r="T1283" s="22"/>
      <c r="U1283" s="22"/>
      <c r="X1283" s="15" t="str">
        <f>IF(B1283="",VLOOKUP(A1283,items_lookup!A:B,2,FALSE),B1283)</f>
        <v>07. Item 07</v>
      </c>
      <c r="Y1283" s="15">
        <f t="shared" si="112"/>
        <v>6</v>
      </c>
      <c r="Z1283" s="15">
        <f t="shared" si="112"/>
        <v>6</v>
      </c>
      <c r="AA1283" s="15">
        <f t="shared" si="113"/>
        <v>2021</v>
      </c>
      <c r="AB1283" s="15">
        <f t="shared" si="114"/>
        <v>2021</v>
      </c>
      <c r="AC1283" s="15">
        <f t="shared" si="115"/>
        <v>2021</v>
      </c>
      <c r="AD1283" s="18" t="b">
        <f t="shared" ref="AD1283:AD1346" si="116">AND(ROUND(O1283,2)=O1283,ROUND(P1283,2)=P1283,OR(AND(O1283&lt;&gt;0,L1283="p"),AND(P1283&lt;&gt;0,L1283="f")),_xlfn.ISFORMULA(X1283),_xlfn.ISFORMULA(Y1283),_xlfn.ISFORMULA(Z1283),_xlfn.ISFORMULA(AA1283),_xlfn.ISFORMULA(AB1283),_xlfn.ISFORMULA(AC1283),NOT(_xlfn.ISFORMULA(O1283)),NOT(_xlfn.ISFORMULA(P1283)),M1283&lt;&gt;0,N1283&lt;&gt;0)</f>
        <v>1</v>
      </c>
    </row>
    <row r="1284" spans="1:30" ht="15" hidden="1" customHeight="1" x14ac:dyDescent="0.2">
      <c r="A1284" s="7" t="s">
        <v>674</v>
      </c>
      <c r="B1284" s="7"/>
      <c r="C1284" s="2" t="s">
        <v>641</v>
      </c>
      <c r="D1284" s="6" t="s">
        <v>649</v>
      </c>
      <c r="E1284" s="32" t="s">
        <v>651</v>
      </c>
      <c r="F1284" s="7"/>
      <c r="G1284" s="7"/>
      <c r="H1284" s="7"/>
      <c r="I1284" s="7"/>
      <c r="J1284" s="7"/>
      <c r="K1284" s="7" t="s">
        <v>660</v>
      </c>
      <c r="L1284" s="7" t="s">
        <v>663</v>
      </c>
      <c r="M1284" s="8">
        <v>44370</v>
      </c>
      <c r="N1284" s="8">
        <v>44370</v>
      </c>
      <c r="O1284" s="13"/>
      <c r="P1284" s="13">
        <v>496611.24</v>
      </c>
      <c r="Q1284" s="33"/>
      <c r="R1284" s="22"/>
      <c r="S1284" s="22"/>
      <c r="T1284" s="22"/>
      <c r="U1284" s="22"/>
      <c r="X1284" s="15" t="str">
        <f>IF(B1284="",VLOOKUP(A1284,items_lookup!A:B,2,FALSE),B1284)</f>
        <v>08. Item 08</v>
      </c>
      <c r="Y1284" s="15">
        <f t="shared" si="112"/>
        <v>6</v>
      </c>
      <c r="Z1284" s="15">
        <f t="shared" si="112"/>
        <v>6</v>
      </c>
      <c r="AA1284" s="15">
        <f t="shared" si="113"/>
        <v>2021</v>
      </c>
      <c r="AB1284" s="15">
        <f t="shared" si="114"/>
        <v>2021</v>
      </c>
      <c r="AC1284" s="15">
        <f t="shared" si="115"/>
        <v>2021</v>
      </c>
      <c r="AD1284" s="18" t="b">
        <f t="shared" si="116"/>
        <v>1</v>
      </c>
    </row>
    <row r="1285" spans="1:30" ht="15" hidden="1" customHeight="1" x14ac:dyDescent="0.2">
      <c r="A1285" s="7" t="s">
        <v>688</v>
      </c>
      <c r="B1285" s="20"/>
      <c r="C1285" s="2" t="s">
        <v>641</v>
      </c>
      <c r="D1285" s="6" t="s">
        <v>649</v>
      </c>
      <c r="E1285" s="32" t="s">
        <v>651</v>
      </c>
      <c r="F1285" s="7"/>
      <c r="G1285" s="7"/>
      <c r="H1285" s="7"/>
      <c r="I1285" s="7"/>
      <c r="J1285" s="7">
        <v>3</v>
      </c>
      <c r="K1285" s="7" t="s">
        <v>660</v>
      </c>
      <c r="L1285" s="7" t="s">
        <v>663</v>
      </c>
      <c r="M1285" s="8">
        <v>44370</v>
      </c>
      <c r="N1285" s="8">
        <v>44377</v>
      </c>
      <c r="O1285" s="13"/>
      <c r="P1285" s="13">
        <v>7418.03</v>
      </c>
      <c r="Q1285" s="33"/>
      <c r="R1285" s="22"/>
      <c r="S1285" s="22"/>
      <c r="T1285" s="22"/>
      <c r="U1285" s="22"/>
      <c r="X1285" s="15" t="str">
        <f>IF(B1285="",VLOOKUP(A1285,items_lookup!A:B,2,FALSE),B1285)</f>
        <v>09. Item 09</v>
      </c>
      <c r="Y1285" s="15">
        <f t="shared" si="112"/>
        <v>6</v>
      </c>
      <c r="Z1285" s="15">
        <f t="shared" si="112"/>
        <v>6</v>
      </c>
      <c r="AA1285" s="15">
        <f t="shared" si="113"/>
        <v>2021</v>
      </c>
      <c r="AB1285" s="15">
        <f t="shared" si="114"/>
        <v>2021</v>
      </c>
      <c r="AC1285" s="15">
        <f t="shared" si="115"/>
        <v>2021</v>
      </c>
      <c r="AD1285" s="18" t="b">
        <f t="shared" si="116"/>
        <v>1</v>
      </c>
    </row>
    <row r="1286" spans="1:30" ht="15.75" hidden="1" customHeight="1" x14ac:dyDescent="0.2">
      <c r="A1286" s="7" t="s">
        <v>676</v>
      </c>
      <c r="B1286" s="7"/>
      <c r="C1286" s="2" t="s">
        <v>641</v>
      </c>
      <c r="D1286" s="6" t="s">
        <v>649</v>
      </c>
      <c r="E1286" s="32" t="s">
        <v>651</v>
      </c>
      <c r="F1286" s="7"/>
      <c r="G1286" s="7"/>
      <c r="H1286" s="7"/>
      <c r="I1286" s="7"/>
      <c r="J1286" s="7">
        <v>4</v>
      </c>
      <c r="K1286" s="7" t="s">
        <v>660</v>
      </c>
      <c r="L1286" s="7" t="s">
        <v>663</v>
      </c>
      <c r="M1286" s="8">
        <v>44365</v>
      </c>
      <c r="N1286" s="8">
        <v>44372</v>
      </c>
      <c r="O1286" s="13"/>
      <c r="P1286" s="13">
        <v>207093.61</v>
      </c>
      <c r="Q1286" s="33"/>
      <c r="R1286" s="22"/>
      <c r="S1286" s="22"/>
      <c r="T1286" s="22"/>
      <c r="U1286" s="22"/>
      <c r="X1286" s="15" t="str">
        <f>IF(B1286="",VLOOKUP(A1286,items_lookup!A:B,2,FALSE),B1286)</f>
        <v>09. Item 09</v>
      </c>
      <c r="Y1286" s="15">
        <f t="shared" si="112"/>
        <v>6</v>
      </c>
      <c r="Z1286" s="15">
        <f t="shared" si="112"/>
        <v>6</v>
      </c>
      <c r="AA1286" s="15">
        <f t="shared" si="113"/>
        <v>2021</v>
      </c>
      <c r="AB1286" s="15">
        <f t="shared" si="114"/>
        <v>2021</v>
      </c>
      <c r="AC1286" s="15">
        <f t="shared" si="115"/>
        <v>2021</v>
      </c>
      <c r="AD1286" s="18" t="b">
        <f t="shared" si="116"/>
        <v>1</v>
      </c>
    </row>
    <row r="1287" spans="1:30" ht="15" hidden="1" customHeight="1" x14ac:dyDescent="0.2">
      <c r="A1287" s="7" t="s">
        <v>675</v>
      </c>
      <c r="B1287" s="20"/>
      <c r="C1287" s="2" t="s">
        <v>641</v>
      </c>
      <c r="D1287" s="6" t="s">
        <v>649</v>
      </c>
      <c r="E1287" s="32" t="s">
        <v>651</v>
      </c>
      <c r="F1287" s="7"/>
      <c r="G1287" s="7"/>
      <c r="H1287" s="7"/>
      <c r="I1287" s="7" t="s">
        <v>20</v>
      </c>
      <c r="J1287" s="7">
        <v>1</v>
      </c>
      <c r="K1287" s="7" t="s">
        <v>660</v>
      </c>
      <c r="L1287" s="7" t="s">
        <v>663</v>
      </c>
      <c r="M1287" s="8">
        <v>44352</v>
      </c>
      <c r="N1287" s="8">
        <v>44376</v>
      </c>
      <c r="O1287" s="13"/>
      <c r="P1287" s="13">
        <v>73773.710000000006</v>
      </c>
      <c r="Q1287" s="33"/>
      <c r="R1287" s="22"/>
      <c r="S1287" s="22"/>
      <c r="T1287" s="22"/>
      <c r="U1287" s="22"/>
      <c r="X1287" s="15" t="str">
        <f>IF(B1287="",VLOOKUP(A1287,items_lookup!A:B,2,FALSE),B1287)</f>
        <v>09. Item 09</v>
      </c>
      <c r="Y1287" s="15">
        <f t="shared" si="112"/>
        <v>6</v>
      </c>
      <c r="Z1287" s="15">
        <f t="shared" si="112"/>
        <v>6</v>
      </c>
      <c r="AA1287" s="15">
        <f t="shared" si="113"/>
        <v>2021</v>
      </c>
      <c r="AB1287" s="15">
        <f t="shared" si="114"/>
        <v>2021</v>
      </c>
      <c r="AC1287" s="15">
        <f t="shared" si="115"/>
        <v>2021</v>
      </c>
      <c r="AD1287" s="18" t="b">
        <f t="shared" si="116"/>
        <v>1</v>
      </c>
    </row>
    <row r="1288" spans="1:30" ht="15.75" hidden="1" customHeight="1" x14ac:dyDescent="0.2">
      <c r="A1288" s="7" t="s">
        <v>697</v>
      </c>
      <c r="B1288" s="7"/>
      <c r="C1288" s="2" t="s">
        <v>641</v>
      </c>
      <c r="D1288" s="6" t="s">
        <v>649</v>
      </c>
      <c r="E1288" s="32" t="s">
        <v>651</v>
      </c>
      <c r="F1288" s="7"/>
      <c r="G1288" s="7"/>
      <c r="H1288" s="7"/>
      <c r="I1288" s="7"/>
      <c r="J1288" s="7"/>
      <c r="K1288" s="7" t="s">
        <v>660</v>
      </c>
      <c r="L1288" s="7" t="s">
        <v>663</v>
      </c>
      <c r="M1288" s="8">
        <v>44371</v>
      </c>
      <c r="N1288" s="8">
        <v>44371</v>
      </c>
      <c r="O1288" s="13"/>
      <c r="P1288" s="13">
        <v>1620539.72</v>
      </c>
      <c r="Q1288" s="33"/>
      <c r="R1288" s="22"/>
      <c r="S1288" s="22"/>
      <c r="T1288" s="22"/>
      <c r="U1288" s="22"/>
      <c r="X1288" s="15" t="str">
        <f>IF(B1288="",VLOOKUP(A1288,items_lookup!A:B,2,FALSE),B1288)</f>
        <v>10. Item 10</v>
      </c>
      <c r="Y1288" s="15">
        <f t="shared" si="112"/>
        <v>6</v>
      </c>
      <c r="Z1288" s="15">
        <f t="shared" si="112"/>
        <v>6</v>
      </c>
      <c r="AA1288" s="15">
        <f t="shared" si="113"/>
        <v>2021</v>
      </c>
      <c r="AB1288" s="15">
        <f t="shared" si="114"/>
        <v>2021</v>
      </c>
      <c r="AC1288" s="15">
        <f t="shared" si="115"/>
        <v>2021</v>
      </c>
      <c r="AD1288" s="18" t="b">
        <f t="shared" si="116"/>
        <v>1</v>
      </c>
    </row>
    <row r="1289" spans="1:30" ht="15" hidden="1" customHeight="1" x14ac:dyDescent="0.2">
      <c r="A1289" s="7" t="s">
        <v>698</v>
      </c>
      <c r="B1289" s="7"/>
      <c r="C1289" s="2" t="s">
        <v>641</v>
      </c>
      <c r="D1289" s="6" t="s">
        <v>649</v>
      </c>
      <c r="E1289" s="32" t="s">
        <v>651</v>
      </c>
      <c r="F1289" s="7"/>
      <c r="G1289" s="7"/>
      <c r="H1289" s="7"/>
      <c r="I1289" s="7"/>
      <c r="J1289" s="7">
        <v>3</v>
      </c>
      <c r="K1289" s="7" t="s">
        <v>660</v>
      </c>
      <c r="L1289" s="7" t="s">
        <v>663</v>
      </c>
      <c r="M1289" s="8">
        <v>44350</v>
      </c>
      <c r="N1289" s="8">
        <v>44377</v>
      </c>
      <c r="O1289" s="13"/>
      <c r="P1289" s="13">
        <v>4571.43</v>
      </c>
      <c r="Q1289" s="33"/>
      <c r="R1289" s="22"/>
      <c r="S1289" s="22"/>
      <c r="T1289" s="22"/>
      <c r="U1289" s="22"/>
      <c r="X1289" s="15" t="str">
        <f>IF(B1289="",VLOOKUP(A1289,items_lookup!A:B,2,FALSE),B1289)</f>
        <v>10. Item 10</v>
      </c>
      <c r="Y1289" s="15">
        <f t="shared" si="112"/>
        <v>6</v>
      </c>
      <c r="Z1289" s="15">
        <f t="shared" si="112"/>
        <v>6</v>
      </c>
      <c r="AA1289" s="15">
        <f t="shared" si="113"/>
        <v>2021</v>
      </c>
      <c r="AB1289" s="15">
        <f t="shared" si="114"/>
        <v>2021</v>
      </c>
      <c r="AC1289" s="15">
        <f t="shared" si="115"/>
        <v>2021</v>
      </c>
      <c r="AD1289" s="18" t="b">
        <f t="shared" si="116"/>
        <v>1</v>
      </c>
    </row>
    <row r="1290" spans="1:30" ht="11.25" hidden="1" customHeight="1" x14ac:dyDescent="0.2">
      <c r="A1290" s="7" t="s">
        <v>677</v>
      </c>
      <c r="B1290" s="20"/>
      <c r="C1290" s="2" t="s">
        <v>641</v>
      </c>
      <c r="D1290" s="6" t="s">
        <v>649</v>
      </c>
      <c r="E1290" s="32" t="s">
        <v>651</v>
      </c>
      <c r="F1290" s="7"/>
      <c r="G1290" s="7"/>
      <c r="H1290" s="7"/>
      <c r="I1290" s="7"/>
      <c r="J1290" s="7">
        <v>3</v>
      </c>
      <c r="K1290" s="7" t="s">
        <v>660</v>
      </c>
      <c r="L1290" s="7" t="s">
        <v>663</v>
      </c>
      <c r="M1290" s="8">
        <v>44371</v>
      </c>
      <c r="N1290" s="8">
        <v>44379</v>
      </c>
      <c r="O1290" s="13"/>
      <c r="P1290" s="13">
        <v>35631.81</v>
      </c>
      <c r="Q1290" s="33"/>
      <c r="R1290" s="22"/>
      <c r="S1290" s="22"/>
      <c r="T1290" s="22"/>
      <c r="U1290" s="22"/>
      <c r="X1290" s="15" t="str">
        <f>IF(B1290="",VLOOKUP(A1290,items_lookup!A:B,2,FALSE),B1290)</f>
        <v>11. Item 11</v>
      </c>
      <c r="Y1290" s="15">
        <f t="shared" si="112"/>
        <v>6</v>
      </c>
      <c r="Z1290" s="15">
        <f t="shared" si="112"/>
        <v>7</v>
      </c>
      <c r="AA1290" s="15">
        <f t="shared" si="113"/>
        <v>2021</v>
      </c>
      <c r="AB1290" s="15">
        <f t="shared" si="114"/>
        <v>2021</v>
      </c>
      <c r="AC1290" s="15">
        <f t="shared" si="115"/>
        <v>2021</v>
      </c>
      <c r="AD1290" s="18" t="b">
        <f t="shared" si="116"/>
        <v>1</v>
      </c>
    </row>
    <row r="1291" spans="1:30" ht="15.75" hidden="1" customHeight="1" x14ac:dyDescent="0.2">
      <c r="A1291" s="7" t="s">
        <v>699</v>
      </c>
      <c r="B1291" s="20"/>
      <c r="C1291" s="2" t="s">
        <v>641</v>
      </c>
      <c r="D1291" s="6" t="s">
        <v>649</v>
      </c>
      <c r="E1291" s="32" t="s">
        <v>651</v>
      </c>
      <c r="F1291" s="7"/>
      <c r="G1291" s="7"/>
      <c r="H1291" s="7"/>
      <c r="I1291" s="7"/>
      <c r="J1291" s="7">
        <v>4</v>
      </c>
      <c r="K1291" s="7" t="s">
        <v>660</v>
      </c>
      <c r="L1291" s="7" t="s">
        <v>663</v>
      </c>
      <c r="M1291" s="8">
        <v>44365</v>
      </c>
      <c r="N1291" s="8">
        <v>44377</v>
      </c>
      <c r="O1291" s="13"/>
      <c r="P1291" s="13">
        <v>22.7</v>
      </c>
      <c r="Q1291" s="33"/>
      <c r="R1291" s="9"/>
      <c r="S1291" s="9"/>
      <c r="T1291" s="9"/>
      <c r="U1291" s="9"/>
      <c r="X1291" s="15" t="str">
        <f>IF(B1291="",VLOOKUP(A1291,items_lookup!A:B,2,FALSE),B1291)</f>
        <v>12. Item 12</v>
      </c>
      <c r="Y1291" s="15">
        <f t="shared" ref="Y1291:Z1354" si="117">MONTH(M1291)</f>
        <v>6</v>
      </c>
      <c r="Z1291" s="15">
        <f t="shared" si="117"/>
        <v>6</v>
      </c>
      <c r="AA1291" s="15">
        <f t="shared" si="113"/>
        <v>2021</v>
      </c>
      <c r="AB1291" s="15">
        <f t="shared" si="114"/>
        <v>2021</v>
      </c>
      <c r="AC1291" s="15">
        <f t="shared" si="115"/>
        <v>2021</v>
      </c>
      <c r="AD1291" s="18" t="b">
        <f t="shared" si="116"/>
        <v>1</v>
      </c>
    </row>
    <row r="1292" spans="1:30" ht="15" hidden="1" customHeight="1" x14ac:dyDescent="0.2">
      <c r="A1292" s="7" t="s">
        <v>696</v>
      </c>
      <c r="B1292" s="7"/>
      <c r="C1292" s="2" t="s">
        <v>641</v>
      </c>
      <c r="D1292" s="6" t="s">
        <v>649</v>
      </c>
      <c r="E1292" s="32" t="s">
        <v>651</v>
      </c>
      <c r="F1292" s="7"/>
      <c r="G1292" s="7"/>
      <c r="H1292" s="7"/>
      <c r="I1292" s="7"/>
      <c r="J1292" s="7"/>
      <c r="K1292" s="7" t="s">
        <v>660</v>
      </c>
      <c r="L1292" s="7" t="s">
        <v>663</v>
      </c>
      <c r="M1292" s="8">
        <v>44372</v>
      </c>
      <c r="N1292" s="8">
        <v>44372</v>
      </c>
      <c r="O1292" s="13"/>
      <c r="P1292" s="13">
        <v>3368951.59</v>
      </c>
      <c r="Q1292" s="33"/>
      <c r="R1292" s="22"/>
      <c r="S1292" s="22"/>
      <c r="T1292" s="22"/>
      <c r="U1292" s="22"/>
      <c r="X1292" s="15" t="str">
        <f>IF(B1292="",VLOOKUP(A1292,items_lookup!A:B,2,FALSE),B1292)</f>
        <v>13. Item 13</v>
      </c>
      <c r="Y1292" s="15">
        <f t="shared" si="117"/>
        <v>6</v>
      </c>
      <c r="Z1292" s="15">
        <f t="shared" si="117"/>
        <v>6</v>
      </c>
      <c r="AA1292" s="15">
        <f t="shared" si="113"/>
        <v>2021</v>
      </c>
      <c r="AB1292" s="15">
        <f t="shared" si="114"/>
        <v>2021</v>
      </c>
      <c r="AC1292" s="15">
        <f t="shared" si="115"/>
        <v>2021</v>
      </c>
      <c r="AD1292" s="18" t="b">
        <f t="shared" si="116"/>
        <v>1</v>
      </c>
    </row>
    <row r="1293" spans="1:30" ht="15" hidden="1" customHeight="1" x14ac:dyDescent="0.2">
      <c r="A1293" s="7" t="s">
        <v>678</v>
      </c>
      <c r="B1293" s="7"/>
      <c r="C1293" s="2" t="s">
        <v>641</v>
      </c>
      <c r="D1293" s="6" t="s">
        <v>649</v>
      </c>
      <c r="E1293" s="32" t="s">
        <v>651</v>
      </c>
      <c r="F1293" s="7"/>
      <c r="G1293" s="7"/>
      <c r="H1293" s="7"/>
      <c r="I1293" s="7"/>
      <c r="J1293" s="7"/>
      <c r="K1293" s="7" t="s">
        <v>660</v>
      </c>
      <c r="L1293" s="7" t="s">
        <v>663</v>
      </c>
      <c r="M1293" s="8">
        <v>44375</v>
      </c>
      <c r="N1293" s="8">
        <v>44375</v>
      </c>
      <c r="O1293" s="13"/>
      <c r="P1293" s="13">
        <v>945526.07</v>
      </c>
      <c r="Q1293" s="33"/>
      <c r="R1293" s="22"/>
      <c r="S1293" s="22"/>
      <c r="T1293" s="22"/>
      <c r="U1293" s="22"/>
      <c r="X1293" s="15" t="str">
        <f>IF(B1293="",VLOOKUP(A1293,items_lookup!A:B,2,FALSE),B1293)</f>
        <v>13. Item 13</v>
      </c>
      <c r="Y1293" s="15">
        <f t="shared" si="117"/>
        <v>6</v>
      </c>
      <c r="Z1293" s="15">
        <f t="shared" si="117"/>
        <v>6</v>
      </c>
      <c r="AA1293" s="15">
        <f t="shared" si="113"/>
        <v>2021</v>
      </c>
      <c r="AB1293" s="15">
        <f t="shared" si="114"/>
        <v>2021</v>
      </c>
      <c r="AC1293" s="15">
        <f t="shared" si="115"/>
        <v>2021</v>
      </c>
      <c r="AD1293" s="18" t="b">
        <f t="shared" si="116"/>
        <v>1</v>
      </c>
    </row>
    <row r="1294" spans="1:30" ht="15" hidden="1" customHeight="1" x14ac:dyDescent="0.2">
      <c r="A1294" s="7" t="s">
        <v>700</v>
      </c>
      <c r="B1294" s="7"/>
      <c r="C1294" s="2" t="s">
        <v>641</v>
      </c>
      <c r="D1294" s="6" t="s">
        <v>649</v>
      </c>
      <c r="E1294" s="32" t="s">
        <v>651</v>
      </c>
      <c r="F1294" s="7"/>
      <c r="G1294" s="7"/>
      <c r="H1294" s="7"/>
      <c r="I1294" s="7"/>
      <c r="J1294" s="7"/>
      <c r="K1294" s="7" t="s">
        <v>660</v>
      </c>
      <c r="L1294" s="7" t="s">
        <v>663</v>
      </c>
      <c r="M1294" s="8">
        <v>44376</v>
      </c>
      <c r="N1294" s="8">
        <v>44376</v>
      </c>
      <c r="O1294" s="13"/>
      <c r="P1294" s="13">
        <v>3580370.25</v>
      </c>
      <c r="Q1294" s="33"/>
      <c r="R1294" s="22"/>
      <c r="S1294" s="22"/>
      <c r="T1294" s="22"/>
      <c r="U1294" s="22"/>
      <c r="X1294" s="15" t="str">
        <f>IF(B1294="",VLOOKUP(A1294,items_lookup!A:B,2,FALSE),B1294)</f>
        <v>13. Item 13</v>
      </c>
      <c r="Y1294" s="15">
        <f t="shared" si="117"/>
        <v>6</v>
      </c>
      <c r="Z1294" s="15">
        <f t="shared" si="117"/>
        <v>6</v>
      </c>
      <c r="AA1294" s="15">
        <f t="shared" si="113"/>
        <v>2021</v>
      </c>
      <c r="AB1294" s="15">
        <f t="shared" si="114"/>
        <v>2021</v>
      </c>
      <c r="AC1294" s="15">
        <f t="shared" si="115"/>
        <v>2021</v>
      </c>
      <c r="AD1294" s="18" t="b">
        <f t="shared" si="116"/>
        <v>1</v>
      </c>
    </row>
    <row r="1295" spans="1:30" ht="15" hidden="1" customHeight="1" x14ac:dyDescent="0.2">
      <c r="A1295" s="7" t="s">
        <v>701</v>
      </c>
      <c r="B1295" s="7"/>
      <c r="C1295" s="2" t="s">
        <v>641</v>
      </c>
      <c r="D1295" s="6" t="s">
        <v>649</v>
      </c>
      <c r="E1295" s="32" t="s">
        <v>651</v>
      </c>
      <c r="F1295" s="7"/>
      <c r="G1295" s="7"/>
      <c r="H1295" s="7"/>
      <c r="I1295" s="7"/>
      <c r="J1295" s="7"/>
      <c r="K1295" s="7" t="s">
        <v>660</v>
      </c>
      <c r="L1295" s="7" t="s">
        <v>663</v>
      </c>
      <c r="M1295" s="8">
        <v>44377</v>
      </c>
      <c r="N1295" s="8">
        <v>44377</v>
      </c>
      <c r="O1295" s="13"/>
      <c r="P1295" s="13">
        <v>19395255.18</v>
      </c>
      <c r="Q1295" s="33"/>
      <c r="R1295" s="22"/>
      <c r="S1295" s="22"/>
      <c r="T1295" s="22"/>
      <c r="U1295" s="22"/>
      <c r="X1295" s="15" t="str">
        <f>IF(B1295="",VLOOKUP(A1295,items_lookup!A:B,2,FALSE),B1295)</f>
        <v>13. Item 13</v>
      </c>
      <c r="Y1295" s="15">
        <f t="shared" si="117"/>
        <v>6</v>
      </c>
      <c r="Z1295" s="15">
        <f t="shared" si="117"/>
        <v>6</v>
      </c>
      <c r="AA1295" s="15">
        <f t="shared" si="113"/>
        <v>2021</v>
      </c>
      <c r="AB1295" s="15">
        <f t="shared" si="114"/>
        <v>2021</v>
      </c>
      <c r="AC1295" s="15">
        <f t="shared" si="115"/>
        <v>2021</v>
      </c>
      <c r="AD1295" s="18" t="b">
        <f t="shared" si="116"/>
        <v>1</v>
      </c>
    </row>
    <row r="1296" spans="1:30" ht="15" hidden="1" customHeight="1" x14ac:dyDescent="0.2">
      <c r="A1296" s="7" t="s">
        <v>680</v>
      </c>
      <c r="B1296" s="7"/>
      <c r="C1296" s="2" t="s">
        <v>641</v>
      </c>
      <c r="D1296" s="6" t="s">
        <v>650</v>
      </c>
      <c r="E1296" s="32" t="s">
        <v>651</v>
      </c>
      <c r="F1296" s="7"/>
      <c r="G1296" s="7"/>
      <c r="H1296" s="7"/>
      <c r="I1296" s="7"/>
      <c r="J1296" s="7"/>
      <c r="K1296" s="7"/>
      <c r="L1296" s="7" t="s">
        <v>662</v>
      </c>
      <c r="M1296" s="8">
        <v>44378</v>
      </c>
      <c r="N1296" s="8">
        <v>44378</v>
      </c>
      <c r="O1296" s="13">
        <v>500714.29</v>
      </c>
      <c r="P1296" s="13"/>
      <c r="Q1296" s="33"/>
      <c r="R1296" s="9"/>
      <c r="S1296" s="9"/>
      <c r="T1296" s="9"/>
      <c r="U1296" s="9"/>
      <c r="X1296" s="15" t="str">
        <f>IF(B1296="",VLOOKUP(A1296,items_lookup!A:B,2,FALSE),B1296)</f>
        <v>13. Item 13</v>
      </c>
      <c r="Y1296" s="15">
        <f t="shared" si="117"/>
        <v>7</v>
      </c>
      <c r="Z1296" s="15">
        <f t="shared" si="117"/>
        <v>7</v>
      </c>
      <c r="AA1296" s="15">
        <f t="shared" si="113"/>
        <v>2021</v>
      </c>
      <c r="AB1296" s="15">
        <f t="shared" si="114"/>
        <v>2021</v>
      </c>
      <c r="AC1296" s="15">
        <f t="shared" si="115"/>
        <v>2021</v>
      </c>
      <c r="AD1296" s="18" t="b">
        <f t="shared" si="116"/>
        <v>1</v>
      </c>
    </row>
    <row r="1297" spans="1:30" ht="15" hidden="1" customHeight="1" x14ac:dyDescent="0.2">
      <c r="A1297" s="7" t="s">
        <v>687</v>
      </c>
      <c r="B1297" s="7"/>
      <c r="C1297" s="2" t="s">
        <v>641</v>
      </c>
      <c r="D1297" s="6" t="s">
        <v>650</v>
      </c>
      <c r="E1297" s="32" t="s">
        <v>651</v>
      </c>
      <c r="F1297" s="7"/>
      <c r="G1297" s="7"/>
      <c r="H1297" s="7"/>
      <c r="I1297" s="7"/>
      <c r="J1297" s="7"/>
      <c r="K1297" s="7"/>
      <c r="L1297" s="7" t="s">
        <v>662</v>
      </c>
      <c r="M1297" s="8">
        <v>44409</v>
      </c>
      <c r="N1297" s="8">
        <v>44409</v>
      </c>
      <c r="O1297" s="13">
        <v>606428.56999999995</v>
      </c>
      <c r="P1297" s="13"/>
      <c r="Q1297" s="33"/>
      <c r="R1297" s="9"/>
      <c r="S1297" s="9"/>
      <c r="T1297" s="9"/>
      <c r="U1297" s="9"/>
      <c r="X1297" s="15" t="str">
        <f>IF(B1297="",VLOOKUP(A1297,items_lookup!A:B,2,FALSE),B1297)</f>
        <v>14. Item 14</v>
      </c>
      <c r="Y1297" s="15">
        <f t="shared" si="117"/>
        <v>8</v>
      </c>
      <c r="Z1297" s="15">
        <f t="shared" si="117"/>
        <v>8</v>
      </c>
      <c r="AA1297" s="15">
        <f t="shared" si="113"/>
        <v>2021</v>
      </c>
      <c r="AB1297" s="15">
        <f t="shared" si="114"/>
        <v>2021</v>
      </c>
      <c r="AC1297" s="15">
        <f t="shared" si="115"/>
        <v>2021</v>
      </c>
      <c r="AD1297" s="18" t="b">
        <f t="shared" si="116"/>
        <v>1</v>
      </c>
    </row>
    <row r="1298" spans="1:30" ht="15" hidden="1" customHeight="1" x14ac:dyDescent="0.2">
      <c r="A1298" s="7" t="s">
        <v>689</v>
      </c>
      <c r="B1298" s="7"/>
      <c r="C1298" s="2" t="s">
        <v>641</v>
      </c>
      <c r="D1298" s="6" t="s">
        <v>650</v>
      </c>
      <c r="E1298" s="32" t="s">
        <v>651</v>
      </c>
      <c r="F1298" s="7"/>
      <c r="G1298" s="7"/>
      <c r="H1298" s="7"/>
      <c r="I1298" s="7"/>
      <c r="J1298" s="7"/>
      <c r="K1298" s="7"/>
      <c r="L1298" s="7" t="s">
        <v>662</v>
      </c>
      <c r="M1298" s="8">
        <v>44440</v>
      </c>
      <c r="N1298" s="8">
        <v>44440</v>
      </c>
      <c r="O1298" s="13">
        <v>3056205.81</v>
      </c>
      <c r="P1298" s="13"/>
      <c r="Q1298" s="33"/>
      <c r="R1298" s="9"/>
      <c r="S1298" s="9"/>
      <c r="T1298" s="9"/>
      <c r="U1298" s="9"/>
      <c r="X1298" s="15" t="str">
        <f>IF(B1298="",VLOOKUP(A1298,items_lookup!A:B,2,FALSE),B1298)</f>
        <v>04. Item 04</v>
      </c>
      <c r="Y1298" s="15">
        <f t="shared" si="117"/>
        <v>9</v>
      </c>
      <c r="Z1298" s="15">
        <f t="shared" si="117"/>
        <v>9</v>
      </c>
      <c r="AA1298" s="15">
        <f t="shared" si="113"/>
        <v>2021</v>
      </c>
      <c r="AB1298" s="15">
        <f t="shared" si="114"/>
        <v>2021</v>
      </c>
      <c r="AC1298" s="15">
        <f t="shared" si="115"/>
        <v>2021</v>
      </c>
      <c r="AD1298" s="18" t="b">
        <f t="shared" si="116"/>
        <v>1</v>
      </c>
    </row>
    <row r="1299" spans="1:30" ht="15" hidden="1" customHeight="1" x14ac:dyDescent="0.2">
      <c r="A1299" s="7" t="s">
        <v>671</v>
      </c>
      <c r="B1299" s="7"/>
      <c r="C1299" s="2" t="s">
        <v>641</v>
      </c>
      <c r="D1299" s="6" t="s">
        <v>649</v>
      </c>
      <c r="E1299" s="32" t="s">
        <v>651</v>
      </c>
      <c r="F1299" s="7"/>
      <c r="G1299" s="7"/>
      <c r="H1299" s="7"/>
      <c r="I1299" s="7"/>
      <c r="J1299" s="7"/>
      <c r="K1299" s="7"/>
      <c r="L1299" s="7" t="s">
        <v>662</v>
      </c>
      <c r="M1299" s="8">
        <v>44378</v>
      </c>
      <c r="N1299" s="8">
        <v>44378</v>
      </c>
      <c r="O1299" s="13">
        <v>9208333.3300000001</v>
      </c>
      <c r="P1299" s="13"/>
      <c r="Q1299" s="33"/>
      <c r="R1299" s="9"/>
      <c r="S1299" s="9"/>
      <c r="T1299" s="9"/>
      <c r="U1299" s="9"/>
      <c r="X1299" s="15" t="str">
        <f>IF(B1299="",VLOOKUP(A1299,items_lookup!A:B,2,FALSE),B1299)</f>
        <v>05. Item 05</v>
      </c>
      <c r="Y1299" s="15">
        <f t="shared" si="117"/>
        <v>7</v>
      </c>
      <c r="Z1299" s="15">
        <f t="shared" si="117"/>
        <v>7</v>
      </c>
      <c r="AA1299" s="15">
        <f t="shared" si="113"/>
        <v>2021</v>
      </c>
      <c r="AB1299" s="15">
        <f t="shared" si="114"/>
        <v>2021</v>
      </c>
      <c r="AC1299" s="15">
        <f t="shared" si="115"/>
        <v>2021</v>
      </c>
      <c r="AD1299" s="18" t="b">
        <f t="shared" si="116"/>
        <v>1</v>
      </c>
    </row>
    <row r="1300" spans="1:30" ht="15" hidden="1" customHeight="1" x14ac:dyDescent="0.2">
      <c r="A1300" s="7" t="s">
        <v>673</v>
      </c>
      <c r="B1300" s="7"/>
      <c r="C1300" s="2" t="s">
        <v>641</v>
      </c>
      <c r="D1300" s="6" t="s">
        <v>649</v>
      </c>
      <c r="E1300" s="32" t="s">
        <v>651</v>
      </c>
      <c r="F1300" s="7"/>
      <c r="G1300" s="7"/>
      <c r="H1300" s="7"/>
      <c r="I1300" s="7"/>
      <c r="J1300" s="7"/>
      <c r="K1300" s="7"/>
      <c r="L1300" s="7" t="s">
        <v>662</v>
      </c>
      <c r="M1300" s="8">
        <v>44409</v>
      </c>
      <c r="N1300" s="8">
        <v>44409</v>
      </c>
      <c r="O1300" s="13">
        <v>12380952.380000001</v>
      </c>
      <c r="P1300" s="13"/>
      <c r="Q1300" s="33"/>
      <c r="R1300" s="9"/>
      <c r="S1300" s="9"/>
      <c r="T1300" s="9"/>
      <c r="U1300" s="9"/>
      <c r="X1300" s="15" t="str">
        <f>IF(B1300="",VLOOKUP(A1300,items_lookup!A:B,2,FALSE),B1300)</f>
        <v>07. Item 07</v>
      </c>
      <c r="Y1300" s="15">
        <f t="shared" si="117"/>
        <v>8</v>
      </c>
      <c r="Z1300" s="15">
        <f t="shared" si="117"/>
        <v>8</v>
      </c>
      <c r="AA1300" s="15">
        <f t="shared" si="113"/>
        <v>2021</v>
      </c>
      <c r="AB1300" s="15">
        <f t="shared" si="114"/>
        <v>2021</v>
      </c>
      <c r="AC1300" s="15">
        <f t="shared" si="115"/>
        <v>2021</v>
      </c>
      <c r="AD1300" s="18" t="b">
        <f t="shared" si="116"/>
        <v>1</v>
      </c>
    </row>
    <row r="1301" spans="1:30" ht="15" hidden="1" customHeight="1" x14ac:dyDescent="0.2">
      <c r="A1301" s="7" t="s">
        <v>674</v>
      </c>
      <c r="B1301" s="7"/>
      <c r="C1301" s="2" t="s">
        <v>641</v>
      </c>
      <c r="D1301" s="6" t="s">
        <v>649</v>
      </c>
      <c r="E1301" s="32" t="s">
        <v>651</v>
      </c>
      <c r="F1301" s="7"/>
      <c r="G1301" s="7"/>
      <c r="H1301" s="7"/>
      <c r="I1301" s="7"/>
      <c r="J1301" s="7"/>
      <c r="K1301" s="7"/>
      <c r="L1301" s="7" t="s">
        <v>662</v>
      </c>
      <c r="M1301" s="8">
        <v>44440</v>
      </c>
      <c r="N1301" s="8">
        <v>44440</v>
      </c>
      <c r="O1301" s="13">
        <v>6904761.9000000004</v>
      </c>
      <c r="P1301" s="13"/>
      <c r="Q1301" s="33"/>
      <c r="R1301" s="9"/>
      <c r="S1301" s="9"/>
      <c r="T1301" s="9"/>
      <c r="U1301" s="9"/>
      <c r="X1301" s="15" t="str">
        <f>IF(B1301="",VLOOKUP(A1301,items_lookup!A:B,2,FALSE),B1301)</f>
        <v>08. Item 08</v>
      </c>
      <c r="Y1301" s="15">
        <f t="shared" si="117"/>
        <v>9</v>
      </c>
      <c r="Z1301" s="15">
        <f t="shared" si="117"/>
        <v>9</v>
      </c>
      <c r="AA1301" s="15">
        <f t="shared" si="113"/>
        <v>2021</v>
      </c>
      <c r="AB1301" s="15">
        <f t="shared" si="114"/>
        <v>2021</v>
      </c>
      <c r="AC1301" s="15">
        <f t="shared" si="115"/>
        <v>2021</v>
      </c>
      <c r="AD1301" s="18" t="b">
        <f t="shared" si="116"/>
        <v>1</v>
      </c>
    </row>
    <row r="1302" spans="1:30" ht="15" hidden="1" customHeight="1" x14ac:dyDescent="0.2">
      <c r="A1302" s="7" t="s">
        <v>676</v>
      </c>
      <c r="B1302" s="7"/>
      <c r="C1302" s="2" t="s">
        <v>641</v>
      </c>
      <c r="D1302" s="6" t="s">
        <v>649</v>
      </c>
      <c r="E1302" s="32" t="s">
        <v>651</v>
      </c>
      <c r="F1302" s="7"/>
      <c r="G1302" s="7"/>
      <c r="H1302" s="7"/>
      <c r="I1302" s="7"/>
      <c r="J1302" s="7"/>
      <c r="K1302" s="7"/>
      <c r="L1302" s="7" t="s">
        <v>662</v>
      </c>
      <c r="M1302" s="8">
        <v>44378</v>
      </c>
      <c r="N1302" s="8">
        <v>44378</v>
      </c>
      <c r="O1302" s="13">
        <v>2261904.7599999998</v>
      </c>
      <c r="P1302" s="13"/>
      <c r="Q1302" s="33"/>
      <c r="R1302" s="9"/>
      <c r="S1302" s="9"/>
      <c r="T1302" s="9"/>
      <c r="U1302" s="9"/>
      <c r="X1302" s="15" t="str">
        <f>IF(B1302="",VLOOKUP(A1302,items_lookup!A:B,2,FALSE),B1302)</f>
        <v>09. Item 09</v>
      </c>
      <c r="Y1302" s="15">
        <f t="shared" si="117"/>
        <v>7</v>
      </c>
      <c r="Z1302" s="15">
        <f t="shared" si="117"/>
        <v>7</v>
      </c>
      <c r="AA1302" s="15">
        <f t="shared" si="113"/>
        <v>2021</v>
      </c>
      <c r="AB1302" s="15">
        <f t="shared" si="114"/>
        <v>2021</v>
      </c>
      <c r="AC1302" s="15">
        <f t="shared" si="115"/>
        <v>2021</v>
      </c>
      <c r="AD1302" s="18" t="b">
        <f t="shared" si="116"/>
        <v>1</v>
      </c>
    </row>
    <row r="1303" spans="1:30" ht="15" hidden="1" customHeight="1" x14ac:dyDescent="0.2">
      <c r="A1303" s="7" t="s">
        <v>688</v>
      </c>
      <c r="B1303" s="7"/>
      <c r="C1303" s="2" t="s">
        <v>641</v>
      </c>
      <c r="D1303" s="6" t="s">
        <v>649</v>
      </c>
      <c r="E1303" s="32" t="s">
        <v>651</v>
      </c>
      <c r="F1303" s="7"/>
      <c r="G1303" s="7"/>
      <c r="H1303" s="7"/>
      <c r="I1303" s="7"/>
      <c r="J1303" s="7"/>
      <c r="K1303" s="7"/>
      <c r="L1303" s="7" t="s">
        <v>662</v>
      </c>
      <c r="M1303" s="8">
        <v>44409</v>
      </c>
      <c r="N1303" s="8">
        <v>44409</v>
      </c>
      <c r="O1303" s="13">
        <v>2142857.14</v>
      </c>
      <c r="P1303" s="13"/>
      <c r="Q1303" s="33"/>
      <c r="R1303" s="9"/>
      <c r="S1303" s="9"/>
      <c r="T1303" s="9"/>
      <c r="U1303" s="9"/>
      <c r="X1303" s="15" t="str">
        <f>IF(B1303="",VLOOKUP(A1303,items_lookup!A:B,2,FALSE),B1303)</f>
        <v>09. Item 09</v>
      </c>
      <c r="Y1303" s="15">
        <f t="shared" si="117"/>
        <v>8</v>
      </c>
      <c r="Z1303" s="15">
        <f t="shared" si="117"/>
        <v>8</v>
      </c>
      <c r="AA1303" s="15">
        <f t="shared" si="113"/>
        <v>2021</v>
      </c>
      <c r="AB1303" s="15">
        <f t="shared" si="114"/>
        <v>2021</v>
      </c>
      <c r="AC1303" s="15">
        <f t="shared" si="115"/>
        <v>2021</v>
      </c>
      <c r="AD1303" s="18" t="b">
        <f t="shared" si="116"/>
        <v>1</v>
      </c>
    </row>
    <row r="1304" spans="1:30" ht="15" hidden="1" customHeight="1" x14ac:dyDescent="0.2">
      <c r="A1304" s="7" t="s">
        <v>688</v>
      </c>
      <c r="B1304" s="7"/>
      <c r="C1304" s="2" t="s">
        <v>641</v>
      </c>
      <c r="D1304" s="6" t="s">
        <v>649</v>
      </c>
      <c r="E1304" s="32" t="s">
        <v>651</v>
      </c>
      <c r="F1304" s="7"/>
      <c r="G1304" s="7"/>
      <c r="H1304" s="7"/>
      <c r="I1304" s="7"/>
      <c r="J1304" s="7"/>
      <c r="K1304" s="7"/>
      <c r="L1304" s="7" t="s">
        <v>662</v>
      </c>
      <c r="M1304" s="8">
        <v>44440</v>
      </c>
      <c r="N1304" s="8">
        <v>44440</v>
      </c>
      <c r="O1304" s="13">
        <v>1904761.9</v>
      </c>
      <c r="P1304" s="13"/>
      <c r="Q1304" s="33"/>
      <c r="R1304" s="9"/>
      <c r="S1304" s="9"/>
      <c r="T1304" s="9"/>
      <c r="U1304" s="9"/>
      <c r="X1304" s="15" t="str">
        <f>IF(B1304="",VLOOKUP(A1304,items_lookup!A:B,2,FALSE),B1304)</f>
        <v>09. Item 09</v>
      </c>
      <c r="Y1304" s="15">
        <f t="shared" si="117"/>
        <v>9</v>
      </c>
      <c r="Z1304" s="15">
        <f t="shared" si="117"/>
        <v>9</v>
      </c>
      <c r="AA1304" s="15">
        <f t="shared" si="113"/>
        <v>2021</v>
      </c>
      <c r="AB1304" s="15">
        <f t="shared" si="114"/>
        <v>2021</v>
      </c>
      <c r="AC1304" s="15">
        <f t="shared" si="115"/>
        <v>2021</v>
      </c>
      <c r="AD1304" s="18" t="b">
        <f t="shared" si="116"/>
        <v>1</v>
      </c>
    </row>
    <row r="1305" spans="1:30" ht="15" hidden="1" customHeight="1" x14ac:dyDescent="0.2">
      <c r="A1305" s="7" t="s">
        <v>688</v>
      </c>
      <c r="B1305" s="7" t="s">
        <v>708</v>
      </c>
      <c r="C1305" s="2" t="s">
        <v>641</v>
      </c>
      <c r="D1305" s="6" t="s">
        <v>649</v>
      </c>
      <c r="E1305" s="32" t="s">
        <v>651</v>
      </c>
      <c r="F1305" s="7"/>
      <c r="G1305" s="7"/>
      <c r="H1305" s="7"/>
      <c r="I1305" s="7"/>
      <c r="J1305" s="7"/>
      <c r="K1305" s="7"/>
      <c r="L1305" s="7" t="s">
        <v>662</v>
      </c>
      <c r="M1305" s="8">
        <v>44378</v>
      </c>
      <c r="N1305" s="8">
        <v>44378</v>
      </c>
      <c r="O1305" s="13">
        <v>2971151.13</v>
      </c>
      <c r="P1305" s="13"/>
      <c r="Q1305" s="33"/>
      <c r="R1305" s="9"/>
      <c r="S1305" s="9"/>
      <c r="T1305" s="9"/>
      <c r="U1305" s="9"/>
      <c r="X1305" s="15" t="str">
        <f>IF(B1305="",VLOOKUP(A1305,items_lookup!A:B,2,FALSE),B1305)</f>
        <v>03. Item 03</v>
      </c>
      <c r="Y1305" s="15">
        <f t="shared" si="117"/>
        <v>7</v>
      </c>
      <c r="Z1305" s="15">
        <f t="shared" si="117"/>
        <v>7</v>
      </c>
      <c r="AA1305" s="15">
        <f t="shared" si="113"/>
        <v>2021</v>
      </c>
      <c r="AB1305" s="15">
        <f t="shared" si="114"/>
        <v>2021</v>
      </c>
      <c r="AC1305" s="15">
        <f t="shared" si="115"/>
        <v>2021</v>
      </c>
      <c r="AD1305" s="18" t="b">
        <f t="shared" si="116"/>
        <v>1</v>
      </c>
    </row>
    <row r="1306" spans="1:30" ht="15" hidden="1" customHeight="1" x14ac:dyDescent="0.2">
      <c r="A1306" s="7" t="s">
        <v>675</v>
      </c>
      <c r="B1306" s="7" t="s">
        <v>708</v>
      </c>
      <c r="C1306" s="2" t="s">
        <v>641</v>
      </c>
      <c r="D1306" s="6" t="s">
        <v>649</v>
      </c>
      <c r="E1306" s="32" t="s">
        <v>651</v>
      </c>
      <c r="F1306" s="7"/>
      <c r="G1306" s="7"/>
      <c r="H1306" s="7"/>
      <c r="I1306" s="7"/>
      <c r="J1306" s="7"/>
      <c r="K1306" s="7"/>
      <c r="L1306" s="7" t="s">
        <v>662</v>
      </c>
      <c r="M1306" s="8">
        <v>44409</v>
      </c>
      <c r="N1306" s="8">
        <v>44409</v>
      </c>
      <c r="O1306" s="13">
        <v>2583333.33</v>
      </c>
      <c r="P1306" s="13"/>
      <c r="Q1306" s="33"/>
      <c r="R1306" s="9"/>
      <c r="S1306" s="9"/>
      <c r="T1306" s="9"/>
      <c r="U1306" s="9"/>
      <c r="X1306" s="15" t="str">
        <f>IF(B1306="",VLOOKUP(A1306,items_lookup!A:B,2,FALSE),B1306)</f>
        <v>03. Item 03</v>
      </c>
      <c r="Y1306" s="15">
        <f t="shared" si="117"/>
        <v>8</v>
      </c>
      <c r="Z1306" s="15">
        <f t="shared" si="117"/>
        <v>8</v>
      </c>
      <c r="AA1306" s="15">
        <f t="shared" si="113"/>
        <v>2021</v>
      </c>
      <c r="AB1306" s="15">
        <f t="shared" si="114"/>
        <v>2021</v>
      </c>
      <c r="AC1306" s="15">
        <f t="shared" si="115"/>
        <v>2021</v>
      </c>
      <c r="AD1306" s="18" t="b">
        <f t="shared" si="116"/>
        <v>1</v>
      </c>
    </row>
    <row r="1307" spans="1:30" ht="15" hidden="1" customHeight="1" x14ac:dyDescent="0.2">
      <c r="A1307" s="7" t="s">
        <v>675</v>
      </c>
      <c r="B1307" s="7" t="s">
        <v>708</v>
      </c>
      <c r="C1307" s="2" t="s">
        <v>641</v>
      </c>
      <c r="D1307" s="6" t="s">
        <v>649</v>
      </c>
      <c r="E1307" s="32" t="s">
        <v>651</v>
      </c>
      <c r="F1307" s="7"/>
      <c r="G1307" s="7"/>
      <c r="H1307" s="7"/>
      <c r="I1307" s="7"/>
      <c r="J1307" s="7"/>
      <c r="K1307" s="7"/>
      <c r="L1307" s="7" t="s">
        <v>662</v>
      </c>
      <c r="M1307" s="8">
        <v>44440</v>
      </c>
      <c r="N1307" s="8">
        <v>44440</v>
      </c>
      <c r="O1307" s="13">
        <v>2590476.19</v>
      </c>
      <c r="P1307" s="13"/>
      <c r="Q1307" s="33"/>
      <c r="R1307" s="9"/>
      <c r="S1307" s="9"/>
      <c r="T1307" s="9"/>
      <c r="U1307" s="9"/>
      <c r="X1307" s="15" t="str">
        <f>IF(B1307="",VLOOKUP(A1307,items_lookup!A:B,2,FALSE),B1307)</f>
        <v>03. Item 03</v>
      </c>
      <c r="Y1307" s="15">
        <f t="shared" si="117"/>
        <v>9</v>
      </c>
      <c r="Z1307" s="15">
        <f t="shared" si="117"/>
        <v>9</v>
      </c>
      <c r="AA1307" s="15">
        <f t="shared" si="113"/>
        <v>2021</v>
      </c>
      <c r="AB1307" s="15">
        <f t="shared" si="114"/>
        <v>2021</v>
      </c>
      <c r="AC1307" s="15">
        <f t="shared" si="115"/>
        <v>2021</v>
      </c>
      <c r="AD1307" s="18" t="b">
        <f t="shared" si="116"/>
        <v>1</v>
      </c>
    </row>
    <row r="1308" spans="1:30" ht="15" hidden="1" customHeight="1" x14ac:dyDescent="0.2">
      <c r="A1308" s="7" t="s">
        <v>675</v>
      </c>
      <c r="B1308" s="7"/>
      <c r="C1308" s="2" t="s">
        <v>641</v>
      </c>
      <c r="D1308" s="6" t="s">
        <v>649</v>
      </c>
      <c r="E1308" s="32" t="s">
        <v>651</v>
      </c>
      <c r="F1308" s="7"/>
      <c r="G1308" s="7"/>
      <c r="H1308" s="7"/>
      <c r="I1308" s="7"/>
      <c r="J1308" s="7"/>
      <c r="K1308" s="7"/>
      <c r="L1308" s="7" t="s">
        <v>662</v>
      </c>
      <c r="M1308" s="8">
        <v>44378</v>
      </c>
      <c r="N1308" s="8">
        <v>44378</v>
      </c>
      <c r="O1308" s="13">
        <v>2845336.19</v>
      </c>
      <c r="P1308" s="13"/>
      <c r="Q1308" s="33"/>
      <c r="R1308" s="22"/>
      <c r="S1308" s="22"/>
      <c r="T1308" s="22"/>
      <c r="U1308" s="22"/>
      <c r="X1308" s="15" t="str">
        <f>IF(B1308="",VLOOKUP(A1308,items_lookup!A:B,2,FALSE),B1308)</f>
        <v>09. Item 09</v>
      </c>
      <c r="Y1308" s="15">
        <f t="shared" si="117"/>
        <v>7</v>
      </c>
      <c r="Z1308" s="15">
        <f t="shared" si="117"/>
        <v>7</v>
      </c>
      <c r="AA1308" s="15">
        <f t="shared" si="113"/>
        <v>2021</v>
      </c>
      <c r="AB1308" s="15">
        <f t="shared" si="114"/>
        <v>2021</v>
      </c>
      <c r="AC1308" s="15">
        <f t="shared" si="115"/>
        <v>2021</v>
      </c>
      <c r="AD1308" s="18" t="b">
        <f t="shared" si="116"/>
        <v>1</v>
      </c>
    </row>
    <row r="1309" spans="1:30" ht="15" hidden="1" customHeight="1" x14ac:dyDescent="0.2">
      <c r="A1309" s="7" t="s">
        <v>678</v>
      </c>
      <c r="B1309" s="7"/>
      <c r="C1309" s="2" t="s">
        <v>641</v>
      </c>
      <c r="D1309" s="6" t="s">
        <v>649</v>
      </c>
      <c r="E1309" s="32" t="s">
        <v>651</v>
      </c>
      <c r="F1309" s="7"/>
      <c r="G1309" s="7"/>
      <c r="H1309" s="7"/>
      <c r="I1309" s="7"/>
      <c r="J1309" s="7"/>
      <c r="K1309" s="7"/>
      <c r="L1309" s="7" t="s">
        <v>662</v>
      </c>
      <c r="M1309" s="8">
        <v>44409</v>
      </c>
      <c r="N1309" s="8">
        <v>44409</v>
      </c>
      <c r="O1309" s="13">
        <v>2211219.17</v>
      </c>
      <c r="P1309" s="13"/>
      <c r="Q1309" s="33"/>
      <c r="R1309" s="22"/>
      <c r="S1309" s="22"/>
      <c r="T1309" s="22"/>
      <c r="U1309" s="22"/>
      <c r="X1309" s="15" t="str">
        <f>IF(B1309="",VLOOKUP(A1309,items_lookup!A:B,2,FALSE),B1309)</f>
        <v>13. Item 13</v>
      </c>
      <c r="Y1309" s="15">
        <f t="shared" si="117"/>
        <v>8</v>
      </c>
      <c r="Z1309" s="15">
        <f t="shared" si="117"/>
        <v>8</v>
      </c>
      <c r="AA1309" s="15">
        <f t="shared" si="113"/>
        <v>2021</v>
      </c>
      <c r="AB1309" s="15">
        <f t="shared" si="114"/>
        <v>2021</v>
      </c>
      <c r="AC1309" s="15">
        <f t="shared" si="115"/>
        <v>2021</v>
      </c>
      <c r="AD1309" s="18" t="b">
        <f t="shared" si="116"/>
        <v>1</v>
      </c>
    </row>
    <row r="1310" spans="1:30" ht="15" hidden="1" customHeight="1" x14ac:dyDescent="0.2">
      <c r="A1310" s="7" t="s">
        <v>678</v>
      </c>
      <c r="B1310" s="7"/>
      <c r="C1310" s="2" t="s">
        <v>641</v>
      </c>
      <c r="D1310" s="6" t="s">
        <v>649</v>
      </c>
      <c r="E1310" s="32" t="s">
        <v>651</v>
      </c>
      <c r="F1310" s="7"/>
      <c r="G1310" s="7"/>
      <c r="H1310" s="7"/>
      <c r="I1310" s="7"/>
      <c r="J1310" s="7"/>
      <c r="K1310" s="7"/>
      <c r="L1310" s="7" t="s">
        <v>662</v>
      </c>
      <c r="M1310" s="8">
        <v>44440</v>
      </c>
      <c r="N1310" s="8">
        <v>44440</v>
      </c>
      <c r="O1310" s="13">
        <v>5656474.3600000003</v>
      </c>
      <c r="P1310" s="13"/>
      <c r="Q1310" s="33"/>
      <c r="R1310" s="22"/>
      <c r="S1310" s="22"/>
      <c r="T1310" s="22"/>
      <c r="U1310" s="22"/>
      <c r="X1310" s="15" t="str">
        <f>IF(B1310="",VLOOKUP(A1310,items_lookup!A:B,2,FALSE),B1310)</f>
        <v>13. Item 13</v>
      </c>
      <c r="Y1310" s="15">
        <f t="shared" si="117"/>
        <v>9</v>
      </c>
      <c r="Z1310" s="15">
        <f t="shared" si="117"/>
        <v>9</v>
      </c>
      <c r="AA1310" s="15">
        <f t="shared" si="113"/>
        <v>2021</v>
      </c>
      <c r="AB1310" s="15">
        <f t="shared" si="114"/>
        <v>2021</v>
      </c>
      <c r="AC1310" s="15">
        <f t="shared" si="115"/>
        <v>2021</v>
      </c>
      <c r="AD1310" s="18" t="b">
        <f t="shared" si="116"/>
        <v>1</v>
      </c>
    </row>
    <row r="1311" spans="1:30" ht="15" hidden="1" customHeight="1" x14ac:dyDescent="0.2">
      <c r="A1311" s="7" t="s">
        <v>678</v>
      </c>
      <c r="B1311" s="7"/>
      <c r="C1311" s="2" t="s">
        <v>641</v>
      </c>
      <c r="D1311" s="6" t="s">
        <v>649</v>
      </c>
      <c r="E1311" s="32" t="s">
        <v>651</v>
      </c>
      <c r="F1311" s="7"/>
      <c r="G1311" s="7"/>
      <c r="H1311" s="7"/>
      <c r="I1311" s="7"/>
      <c r="J1311" s="7"/>
      <c r="K1311" s="7"/>
      <c r="L1311" s="7" t="s">
        <v>662</v>
      </c>
      <c r="M1311" s="8">
        <v>44378</v>
      </c>
      <c r="N1311" s="8">
        <v>44378</v>
      </c>
      <c r="O1311" s="13">
        <v>123473.33</v>
      </c>
      <c r="P1311" s="13"/>
      <c r="Q1311" s="33"/>
      <c r="R1311" s="22"/>
      <c r="S1311" s="22"/>
      <c r="T1311" s="22"/>
      <c r="U1311" s="22"/>
      <c r="X1311" s="15" t="str">
        <f>IF(B1311="",VLOOKUP(A1311,items_lookup!A:B,2,FALSE),B1311)</f>
        <v>13. Item 13</v>
      </c>
      <c r="Y1311" s="15">
        <f t="shared" si="117"/>
        <v>7</v>
      </c>
      <c r="Z1311" s="15">
        <f t="shared" si="117"/>
        <v>7</v>
      </c>
      <c r="AA1311" s="15">
        <f t="shared" si="113"/>
        <v>2021</v>
      </c>
      <c r="AB1311" s="15">
        <f t="shared" si="114"/>
        <v>2021</v>
      </c>
      <c r="AC1311" s="15">
        <f t="shared" si="115"/>
        <v>2021</v>
      </c>
      <c r="AD1311" s="18" t="b">
        <f t="shared" si="116"/>
        <v>1</v>
      </c>
    </row>
    <row r="1312" spans="1:30" ht="15" hidden="1" customHeight="1" x14ac:dyDescent="0.2">
      <c r="A1312" s="7" t="s">
        <v>696</v>
      </c>
      <c r="B1312" s="7"/>
      <c r="C1312" s="2" t="s">
        <v>641</v>
      </c>
      <c r="D1312" s="6" t="s">
        <v>649</v>
      </c>
      <c r="E1312" s="32" t="s">
        <v>651</v>
      </c>
      <c r="F1312" s="7"/>
      <c r="G1312" s="7"/>
      <c r="H1312" s="7"/>
      <c r="I1312" s="7"/>
      <c r="J1312" s="7"/>
      <c r="K1312" s="7"/>
      <c r="L1312" s="7" t="s">
        <v>662</v>
      </c>
      <c r="M1312" s="8">
        <v>44409</v>
      </c>
      <c r="N1312" s="8">
        <v>44409</v>
      </c>
      <c r="O1312" s="13">
        <v>53066.55</v>
      </c>
      <c r="P1312" s="13"/>
      <c r="Q1312" s="33"/>
      <c r="R1312" s="22"/>
      <c r="S1312" s="22"/>
      <c r="T1312" s="22"/>
      <c r="U1312" s="22"/>
      <c r="X1312" s="15" t="str">
        <f>IF(B1312="",VLOOKUP(A1312,items_lookup!A:B,2,FALSE),B1312)</f>
        <v>13. Item 13</v>
      </c>
      <c r="Y1312" s="15">
        <f t="shared" si="117"/>
        <v>8</v>
      </c>
      <c r="Z1312" s="15">
        <f t="shared" si="117"/>
        <v>8</v>
      </c>
      <c r="AA1312" s="15">
        <f t="shared" si="113"/>
        <v>2021</v>
      </c>
      <c r="AB1312" s="15">
        <f t="shared" si="114"/>
        <v>2021</v>
      </c>
      <c r="AC1312" s="15">
        <f t="shared" si="115"/>
        <v>2021</v>
      </c>
      <c r="AD1312" s="18" t="b">
        <f t="shared" si="116"/>
        <v>1</v>
      </c>
    </row>
    <row r="1313" spans="1:30" ht="15" hidden="1" customHeight="1" x14ac:dyDescent="0.2">
      <c r="A1313" s="7" t="s">
        <v>683</v>
      </c>
      <c r="B1313" s="7"/>
      <c r="C1313" s="2" t="s">
        <v>641</v>
      </c>
      <c r="D1313" s="6" t="s">
        <v>649</v>
      </c>
      <c r="E1313" s="32" t="s">
        <v>651</v>
      </c>
      <c r="F1313" s="7"/>
      <c r="G1313" s="7"/>
      <c r="H1313" s="7"/>
      <c r="I1313" s="7"/>
      <c r="J1313" s="7"/>
      <c r="K1313" s="7"/>
      <c r="L1313" s="7" t="s">
        <v>662</v>
      </c>
      <c r="M1313" s="8">
        <v>44440</v>
      </c>
      <c r="N1313" s="8">
        <v>44440</v>
      </c>
      <c r="O1313" s="13">
        <v>105430.39999999999</v>
      </c>
      <c r="P1313" s="13"/>
      <c r="Q1313" s="33"/>
      <c r="R1313" s="22"/>
      <c r="S1313" s="22"/>
      <c r="T1313" s="22"/>
      <c r="U1313" s="22"/>
      <c r="X1313" s="15" t="str">
        <f>IF(B1313="",VLOOKUP(A1313,items_lookup!A:B,2,FALSE),B1313)</f>
        <v>_1. Item _1</v>
      </c>
      <c r="Y1313" s="15">
        <f t="shared" si="117"/>
        <v>9</v>
      </c>
      <c r="Z1313" s="15">
        <f t="shared" si="117"/>
        <v>9</v>
      </c>
      <c r="AA1313" s="15">
        <f t="shared" si="113"/>
        <v>2021</v>
      </c>
      <c r="AB1313" s="15">
        <f t="shared" si="114"/>
        <v>2021</v>
      </c>
      <c r="AC1313" s="15">
        <f t="shared" si="115"/>
        <v>2021</v>
      </c>
      <c r="AD1313" s="18" t="b">
        <f t="shared" si="116"/>
        <v>1</v>
      </c>
    </row>
    <row r="1314" spans="1:30" ht="15" hidden="1" customHeight="1" x14ac:dyDescent="0.2">
      <c r="A1314" s="7" t="s">
        <v>676</v>
      </c>
      <c r="B1314" s="7"/>
      <c r="C1314" s="2" t="s">
        <v>641</v>
      </c>
      <c r="D1314" s="6" t="s">
        <v>649</v>
      </c>
      <c r="E1314" s="32" t="s">
        <v>651</v>
      </c>
      <c r="F1314" s="7"/>
      <c r="G1314" s="7"/>
      <c r="H1314" s="7"/>
      <c r="I1314" s="7"/>
      <c r="J1314" s="7"/>
      <c r="K1314" s="7"/>
      <c r="L1314" s="7" t="s">
        <v>662</v>
      </c>
      <c r="M1314" s="8">
        <v>44378</v>
      </c>
      <c r="N1314" s="8">
        <v>44378</v>
      </c>
      <c r="O1314" s="13">
        <v>6268333.3300000001</v>
      </c>
      <c r="P1314" s="13"/>
      <c r="Q1314" s="33"/>
      <c r="R1314" s="9"/>
      <c r="S1314" s="9"/>
      <c r="T1314" s="9"/>
      <c r="U1314" s="9"/>
      <c r="X1314" s="15" t="str">
        <f>IF(B1314="",VLOOKUP(A1314,items_lookup!A:B,2,FALSE),B1314)</f>
        <v>09. Item 09</v>
      </c>
      <c r="Y1314" s="15">
        <f t="shared" si="117"/>
        <v>7</v>
      </c>
      <c r="Z1314" s="15">
        <f t="shared" si="117"/>
        <v>7</v>
      </c>
      <c r="AA1314" s="15">
        <f t="shared" si="113"/>
        <v>2021</v>
      </c>
      <c r="AB1314" s="15">
        <f t="shared" si="114"/>
        <v>2021</v>
      </c>
      <c r="AC1314" s="15">
        <f t="shared" si="115"/>
        <v>2021</v>
      </c>
      <c r="AD1314" s="18" t="b">
        <f t="shared" si="116"/>
        <v>1</v>
      </c>
    </row>
    <row r="1315" spans="1:30" ht="15" hidden="1" customHeight="1" x14ac:dyDescent="0.2">
      <c r="A1315" s="7" t="s">
        <v>696</v>
      </c>
      <c r="B1315" s="7"/>
      <c r="C1315" s="2" t="s">
        <v>641</v>
      </c>
      <c r="D1315" s="6" t="s">
        <v>649</v>
      </c>
      <c r="E1315" s="32" t="s">
        <v>651</v>
      </c>
      <c r="F1315" s="7"/>
      <c r="G1315" s="7"/>
      <c r="H1315" s="7"/>
      <c r="I1315" s="7"/>
      <c r="J1315" s="7"/>
      <c r="K1315" s="7"/>
      <c r="L1315" s="7" t="s">
        <v>662</v>
      </c>
      <c r="M1315" s="8">
        <v>44409</v>
      </c>
      <c r="N1315" s="8">
        <v>44409</v>
      </c>
      <c r="O1315" s="13">
        <v>6254285.71</v>
      </c>
      <c r="P1315" s="13"/>
      <c r="Q1315" s="33"/>
      <c r="R1315" s="9"/>
      <c r="S1315" s="9"/>
      <c r="T1315" s="9"/>
      <c r="U1315" s="9"/>
      <c r="X1315" s="15" t="str">
        <f>IF(B1315="",VLOOKUP(A1315,items_lookup!A:B,2,FALSE),B1315)</f>
        <v>13. Item 13</v>
      </c>
      <c r="Y1315" s="15">
        <f t="shared" si="117"/>
        <v>8</v>
      </c>
      <c r="Z1315" s="15">
        <f t="shared" si="117"/>
        <v>8</v>
      </c>
      <c r="AA1315" s="15">
        <f t="shared" si="113"/>
        <v>2021</v>
      </c>
      <c r="AB1315" s="15">
        <f t="shared" si="114"/>
        <v>2021</v>
      </c>
      <c r="AC1315" s="15">
        <f t="shared" si="115"/>
        <v>2021</v>
      </c>
      <c r="AD1315" s="18" t="b">
        <f t="shared" si="116"/>
        <v>1</v>
      </c>
    </row>
    <row r="1316" spans="1:30" ht="15" hidden="1" customHeight="1" x14ac:dyDescent="0.2">
      <c r="A1316" s="7" t="s">
        <v>681</v>
      </c>
      <c r="B1316" s="7"/>
      <c r="C1316" s="2" t="s">
        <v>641</v>
      </c>
      <c r="D1316" s="6" t="s">
        <v>649</v>
      </c>
      <c r="E1316" s="32" t="s">
        <v>651</v>
      </c>
      <c r="F1316" s="7"/>
      <c r="G1316" s="7"/>
      <c r="H1316" s="7"/>
      <c r="I1316" s="7"/>
      <c r="J1316" s="7"/>
      <c r="K1316" s="7"/>
      <c r="L1316" s="7" t="s">
        <v>662</v>
      </c>
      <c r="M1316" s="8">
        <v>44440</v>
      </c>
      <c r="N1316" s="8">
        <v>44440</v>
      </c>
      <c r="O1316" s="13">
        <v>3804508.48</v>
      </c>
      <c r="P1316" s="13"/>
      <c r="Q1316" s="33"/>
      <c r="R1316" s="9"/>
      <c r="S1316" s="9"/>
      <c r="T1316" s="9"/>
      <c r="U1316" s="9"/>
      <c r="X1316" s="15" t="str">
        <f>IF(B1316="",VLOOKUP(A1316,items_lookup!A:B,2,FALSE),B1316)</f>
        <v>19. Item 19</v>
      </c>
      <c r="Y1316" s="15">
        <f t="shared" si="117"/>
        <v>9</v>
      </c>
      <c r="Z1316" s="15">
        <f t="shared" si="117"/>
        <v>9</v>
      </c>
      <c r="AA1316" s="15">
        <f t="shared" si="113"/>
        <v>2021</v>
      </c>
      <c r="AB1316" s="15">
        <f t="shared" si="114"/>
        <v>2021</v>
      </c>
      <c r="AC1316" s="15">
        <f t="shared" si="115"/>
        <v>2021</v>
      </c>
      <c r="AD1316" s="18" t="b">
        <f t="shared" si="116"/>
        <v>1</v>
      </c>
    </row>
    <row r="1317" spans="1:30" ht="15" hidden="1" customHeight="1" x14ac:dyDescent="0.2">
      <c r="A1317" s="7" t="s">
        <v>672</v>
      </c>
      <c r="B1317" s="7"/>
      <c r="C1317" s="2" t="s">
        <v>641</v>
      </c>
      <c r="D1317" s="6" t="s">
        <v>649</v>
      </c>
      <c r="E1317" s="32" t="s">
        <v>651</v>
      </c>
      <c r="F1317" s="7"/>
      <c r="G1317" s="7"/>
      <c r="H1317" s="7"/>
      <c r="I1317" s="7"/>
      <c r="J1317" s="7"/>
      <c r="K1317" s="7"/>
      <c r="L1317" s="7" t="s">
        <v>662</v>
      </c>
      <c r="M1317" s="8">
        <v>44378</v>
      </c>
      <c r="N1317" s="8">
        <v>44378</v>
      </c>
      <c r="O1317" s="13">
        <v>54761.9</v>
      </c>
      <c r="P1317" s="13"/>
      <c r="Q1317" s="33"/>
      <c r="R1317" s="9"/>
      <c r="S1317" s="9"/>
      <c r="T1317" s="9"/>
      <c r="U1317" s="9"/>
      <c r="X1317" s="15" t="str">
        <f>IF(B1317="",VLOOKUP(A1317,items_lookup!A:B,2,FALSE),B1317)</f>
        <v>05. Item 05</v>
      </c>
      <c r="Y1317" s="15">
        <f t="shared" si="117"/>
        <v>7</v>
      </c>
      <c r="Z1317" s="15">
        <f t="shared" si="117"/>
        <v>7</v>
      </c>
      <c r="AA1317" s="15">
        <f t="shared" si="113"/>
        <v>2021</v>
      </c>
      <c r="AB1317" s="15">
        <f t="shared" si="114"/>
        <v>2021</v>
      </c>
      <c r="AC1317" s="15">
        <f t="shared" si="115"/>
        <v>2021</v>
      </c>
      <c r="AD1317" s="18" t="b">
        <f t="shared" si="116"/>
        <v>1</v>
      </c>
    </row>
    <row r="1318" spans="1:30" ht="15" hidden="1" customHeight="1" x14ac:dyDescent="0.2">
      <c r="A1318" s="7" t="s">
        <v>677</v>
      </c>
      <c r="B1318" s="7"/>
      <c r="C1318" s="2" t="s">
        <v>641</v>
      </c>
      <c r="D1318" s="6" t="s">
        <v>649</v>
      </c>
      <c r="E1318" s="32" t="s">
        <v>651</v>
      </c>
      <c r="F1318" s="7"/>
      <c r="G1318" s="7"/>
      <c r="H1318" s="7"/>
      <c r="I1318" s="7"/>
      <c r="J1318" s="7"/>
      <c r="K1318" s="7"/>
      <c r="L1318" s="7" t="s">
        <v>662</v>
      </c>
      <c r="M1318" s="8">
        <v>44409</v>
      </c>
      <c r="N1318" s="8">
        <v>44409</v>
      </c>
      <c r="O1318" s="13">
        <v>52380.95</v>
      </c>
      <c r="P1318" s="13"/>
      <c r="Q1318" s="33"/>
      <c r="R1318" s="9"/>
      <c r="S1318" s="9"/>
      <c r="T1318" s="9"/>
      <c r="U1318" s="9"/>
      <c r="X1318" s="15" t="str">
        <f>IF(B1318="",VLOOKUP(A1318,items_lookup!A:B,2,FALSE),B1318)</f>
        <v>11. Item 11</v>
      </c>
      <c r="Y1318" s="15">
        <f t="shared" si="117"/>
        <v>8</v>
      </c>
      <c r="Z1318" s="15">
        <f t="shared" si="117"/>
        <v>8</v>
      </c>
      <c r="AA1318" s="15">
        <f t="shared" si="113"/>
        <v>2021</v>
      </c>
      <c r="AB1318" s="15">
        <f t="shared" si="114"/>
        <v>2021</v>
      </c>
      <c r="AC1318" s="15">
        <f t="shared" si="115"/>
        <v>2021</v>
      </c>
      <c r="AD1318" s="18" t="b">
        <f t="shared" si="116"/>
        <v>1</v>
      </c>
    </row>
    <row r="1319" spans="1:30" ht="15" hidden="1" customHeight="1" x14ac:dyDescent="0.2">
      <c r="A1319" s="7" t="s">
        <v>680</v>
      </c>
      <c r="B1319" s="7"/>
      <c r="C1319" s="2" t="s">
        <v>641</v>
      </c>
      <c r="D1319" s="6" t="s">
        <v>649</v>
      </c>
      <c r="E1319" s="32" t="s">
        <v>651</v>
      </c>
      <c r="F1319" s="7"/>
      <c r="G1319" s="7"/>
      <c r="H1319" s="7"/>
      <c r="I1319" s="7"/>
      <c r="J1319" s="7"/>
      <c r="K1319" s="7"/>
      <c r="L1319" s="7" t="s">
        <v>662</v>
      </c>
      <c r="M1319" s="8">
        <v>44378</v>
      </c>
      <c r="N1319" s="8">
        <v>44378</v>
      </c>
      <c r="O1319" s="13">
        <v>10238095.24</v>
      </c>
      <c r="P1319" s="13"/>
      <c r="Q1319" s="33"/>
      <c r="R1319" s="9"/>
      <c r="S1319" s="9"/>
      <c r="T1319" s="9"/>
      <c r="U1319" s="9"/>
      <c r="X1319" s="15" t="str">
        <f>IF(B1319="",VLOOKUP(A1319,items_lookup!A:B,2,FALSE),B1319)</f>
        <v>13. Item 13</v>
      </c>
      <c r="Y1319" s="15">
        <f t="shared" si="117"/>
        <v>7</v>
      </c>
      <c r="Z1319" s="15">
        <f t="shared" si="117"/>
        <v>7</v>
      </c>
      <c r="AA1319" s="15">
        <f t="shared" si="113"/>
        <v>2021</v>
      </c>
      <c r="AB1319" s="15">
        <f t="shared" si="114"/>
        <v>2021</v>
      </c>
      <c r="AC1319" s="15">
        <f t="shared" si="115"/>
        <v>2021</v>
      </c>
      <c r="AD1319" s="18" t="b">
        <f t="shared" si="116"/>
        <v>1</v>
      </c>
    </row>
    <row r="1320" spans="1:30" ht="15" hidden="1" customHeight="1" x14ac:dyDescent="0.2">
      <c r="A1320" s="7" t="s">
        <v>680</v>
      </c>
      <c r="B1320" s="7"/>
      <c r="C1320" s="2" t="s">
        <v>641</v>
      </c>
      <c r="D1320" s="6" t="s">
        <v>649</v>
      </c>
      <c r="E1320" s="32" t="s">
        <v>651</v>
      </c>
      <c r="F1320" s="7"/>
      <c r="G1320" s="7"/>
      <c r="H1320" s="7"/>
      <c r="I1320" s="7"/>
      <c r="J1320" s="7"/>
      <c r="K1320" s="7"/>
      <c r="L1320" s="7" t="s">
        <v>662</v>
      </c>
      <c r="M1320" s="8">
        <v>44409</v>
      </c>
      <c r="N1320" s="8">
        <v>44409</v>
      </c>
      <c r="O1320" s="13">
        <v>6666666.6699999999</v>
      </c>
      <c r="P1320" s="13"/>
      <c r="Q1320" s="33"/>
      <c r="R1320" s="9"/>
      <c r="S1320" s="9"/>
      <c r="T1320" s="9"/>
      <c r="U1320" s="9"/>
      <c r="X1320" s="15" t="str">
        <f>IF(B1320="",VLOOKUP(A1320,items_lookup!A:B,2,FALSE),B1320)</f>
        <v>13. Item 13</v>
      </c>
      <c r="Y1320" s="15">
        <f t="shared" si="117"/>
        <v>8</v>
      </c>
      <c r="Z1320" s="15">
        <f t="shared" si="117"/>
        <v>8</v>
      </c>
      <c r="AA1320" s="15">
        <f t="shared" si="113"/>
        <v>2021</v>
      </c>
      <c r="AB1320" s="15">
        <f t="shared" si="114"/>
        <v>2021</v>
      </c>
      <c r="AC1320" s="15">
        <f t="shared" si="115"/>
        <v>2021</v>
      </c>
      <c r="AD1320" s="18" t="b">
        <f t="shared" si="116"/>
        <v>1</v>
      </c>
    </row>
    <row r="1321" spans="1:30" ht="15" hidden="1" customHeight="1" x14ac:dyDescent="0.2">
      <c r="A1321" s="7" t="s">
        <v>701</v>
      </c>
      <c r="B1321" s="7"/>
      <c r="C1321" s="2" t="s">
        <v>641</v>
      </c>
      <c r="D1321" s="6" t="s">
        <v>649</v>
      </c>
      <c r="E1321" s="32" t="s">
        <v>651</v>
      </c>
      <c r="F1321" s="7"/>
      <c r="G1321" s="7"/>
      <c r="H1321" s="7"/>
      <c r="I1321" s="7"/>
      <c r="J1321" s="7"/>
      <c r="K1321" s="7"/>
      <c r="L1321" s="7" t="s">
        <v>662</v>
      </c>
      <c r="M1321" s="8">
        <v>44440</v>
      </c>
      <c r="N1321" s="8">
        <v>44440</v>
      </c>
      <c r="O1321" s="13">
        <v>5673095.2400000002</v>
      </c>
      <c r="P1321" s="13"/>
      <c r="Q1321" s="33"/>
      <c r="R1321" s="9"/>
      <c r="S1321" s="9"/>
      <c r="T1321" s="9"/>
      <c r="U1321" s="9"/>
      <c r="X1321" s="15" t="str">
        <f>IF(B1321="",VLOOKUP(A1321,items_lookup!A:B,2,FALSE),B1321)</f>
        <v>13. Item 13</v>
      </c>
      <c r="Y1321" s="15">
        <f t="shared" si="117"/>
        <v>9</v>
      </c>
      <c r="Z1321" s="15">
        <f t="shared" si="117"/>
        <v>9</v>
      </c>
      <c r="AA1321" s="15">
        <f t="shared" si="113"/>
        <v>2021</v>
      </c>
      <c r="AB1321" s="15">
        <f t="shared" si="114"/>
        <v>2021</v>
      </c>
      <c r="AC1321" s="15">
        <f t="shared" si="115"/>
        <v>2021</v>
      </c>
      <c r="AD1321" s="18" t="b">
        <f t="shared" si="116"/>
        <v>1</v>
      </c>
    </row>
    <row r="1322" spans="1:30" ht="18" hidden="1" customHeight="1" x14ac:dyDescent="0.2">
      <c r="A1322" s="7" t="s">
        <v>683</v>
      </c>
      <c r="B1322" s="7"/>
      <c r="C1322" s="2" t="s">
        <v>641</v>
      </c>
      <c r="D1322" s="6" t="s">
        <v>649</v>
      </c>
      <c r="E1322" s="32" t="s">
        <v>651</v>
      </c>
      <c r="F1322" s="7"/>
      <c r="G1322" s="7"/>
      <c r="H1322" s="7"/>
      <c r="I1322" s="7"/>
      <c r="J1322" s="7"/>
      <c r="K1322" s="7"/>
      <c r="L1322" s="7" t="s">
        <v>662</v>
      </c>
      <c r="M1322" s="8">
        <v>44378</v>
      </c>
      <c r="N1322" s="8">
        <v>44378</v>
      </c>
      <c r="O1322" s="13">
        <v>10447142.859999999</v>
      </c>
      <c r="P1322" s="13"/>
      <c r="Q1322" s="33"/>
      <c r="R1322" s="9"/>
      <c r="S1322" s="9"/>
      <c r="T1322" s="9"/>
      <c r="U1322" s="9"/>
      <c r="X1322" s="15" t="str">
        <f>IF(B1322="",VLOOKUP(A1322,items_lookup!A:B,2,FALSE),B1322)</f>
        <v>_1. Item _1</v>
      </c>
      <c r="Y1322" s="15">
        <f t="shared" si="117"/>
        <v>7</v>
      </c>
      <c r="Z1322" s="15">
        <f t="shared" si="117"/>
        <v>7</v>
      </c>
      <c r="AA1322" s="15">
        <f t="shared" si="113"/>
        <v>2021</v>
      </c>
      <c r="AB1322" s="15">
        <f t="shared" si="114"/>
        <v>2021</v>
      </c>
      <c r="AC1322" s="15">
        <f t="shared" si="115"/>
        <v>2021</v>
      </c>
      <c r="AD1322" s="18" t="b">
        <f t="shared" si="116"/>
        <v>1</v>
      </c>
    </row>
    <row r="1323" spans="1:30" ht="15" hidden="1" customHeight="1" x14ac:dyDescent="0.2">
      <c r="A1323" s="7" t="s">
        <v>683</v>
      </c>
      <c r="B1323" s="7"/>
      <c r="C1323" s="2" t="s">
        <v>641</v>
      </c>
      <c r="D1323" s="6" t="s">
        <v>649</v>
      </c>
      <c r="E1323" s="32" t="s">
        <v>651</v>
      </c>
      <c r="F1323" s="7"/>
      <c r="G1323" s="7"/>
      <c r="H1323" s="7"/>
      <c r="I1323" s="7"/>
      <c r="J1323" s="7"/>
      <c r="K1323" s="7"/>
      <c r="L1323" s="7" t="s">
        <v>662</v>
      </c>
      <c r="M1323" s="8">
        <v>44409</v>
      </c>
      <c r="N1323" s="8">
        <v>44409</v>
      </c>
      <c r="O1323" s="13">
        <v>12207142.859999999</v>
      </c>
      <c r="P1323" s="13"/>
      <c r="Q1323" s="33"/>
      <c r="R1323" s="9"/>
      <c r="S1323" s="9"/>
      <c r="T1323" s="9"/>
      <c r="U1323" s="9"/>
      <c r="X1323" s="15" t="str">
        <f>IF(B1323="",VLOOKUP(A1323,items_lookup!A:B,2,FALSE),B1323)</f>
        <v>_1. Item _1</v>
      </c>
      <c r="Y1323" s="15">
        <f t="shared" si="117"/>
        <v>8</v>
      </c>
      <c r="Z1323" s="15">
        <f t="shared" si="117"/>
        <v>8</v>
      </c>
      <c r="AA1323" s="15">
        <f t="shared" si="113"/>
        <v>2021</v>
      </c>
      <c r="AB1323" s="15">
        <f t="shared" si="114"/>
        <v>2021</v>
      </c>
      <c r="AC1323" s="15">
        <f t="shared" si="115"/>
        <v>2021</v>
      </c>
      <c r="AD1323" s="18" t="b">
        <f t="shared" si="116"/>
        <v>1</v>
      </c>
    </row>
    <row r="1324" spans="1:30" ht="15" hidden="1" customHeight="1" x14ac:dyDescent="0.2">
      <c r="A1324" s="7" t="s">
        <v>683</v>
      </c>
      <c r="B1324" s="7"/>
      <c r="C1324" s="2" t="s">
        <v>641</v>
      </c>
      <c r="D1324" s="6" t="s">
        <v>649</v>
      </c>
      <c r="E1324" s="32" t="s">
        <v>651</v>
      </c>
      <c r="F1324" s="7"/>
      <c r="G1324" s="7"/>
      <c r="H1324" s="7"/>
      <c r="I1324" s="7"/>
      <c r="J1324" s="7"/>
      <c r="K1324" s="7"/>
      <c r="L1324" s="7" t="s">
        <v>662</v>
      </c>
      <c r="M1324" s="8">
        <v>44440</v>
      </c>
      <c r="N1324" s="8">
        <v>44440</v>
      </c>
      <c r="O1324" s="13">
        <v>13842380.949999999</v>
      </c>
      <c r="P1324" s="13"/>
      <c r="Q1324" s="33"/>
      <c r="R1324" s="9"/>
      <c r="S1324" s="9"/>
      <c r="T1324" s="9"/>
      <c r="U1324" s="9"/>
      <c r="X1324" s="15" t="str">
        <f>IF(B1324="",VLOOKUP(A1324,items_lookup!A:B,2,FALSE),B1324)</f>
        <v>_1. Item _1</v>
      </c>
      <c r="Y1324" s="15">
        <f t="shared" si="117"/>
        <v>9</v>
      </c>
      <c r="Z1324" s="15">
        <f t="shared" si="117"/>
        <v>9</v>
      </c>
      <c r="AA1324" s="15">
        <f t="shared" si="113"/>
        <v>2021</v>
      </c>
      <c r="AB1324" s="15">
        <f t="shared" si="114"/>
        <v>2021</v>
      </c>
      <c r="AC1324" s="15">
        <f t="shared" si="115"/>
        <v>2021</v>
      </c>
      <c r="AD1324" s="18" t="b">
        <f t="shared" si="116"/>
        <v>1</v>
      </c>
    </row>
    <row r="1325" spans="1:30" ht="15" hidden="1" customHeight="1" x14ac:dyDescent="0.2">
      <c r="A1325" s="7" t="s">
        <v>697</v>
      </c>
      <c r="B1325" s="7"/>
      <c r="C1325" s="2" t="s">
        <v>641</v>
      </c>
      <c r="D1325" s="6" t="s">
        <v>649</v>
      </c>
      <c r="E1325" s="32" t="s">
        <v>651</v>
      </c>
      <c r="F1325" s="7"/>
      <c r="G1325" s="7"/>
      <c r="H1325" s="7"/>
      <c r="I1325" s="7"/>
      <c r="J1325" s="7"/>
      <c r="K1325" s="7"/>
      <c r="L1325" s="7" t="s">
        <v>662</v>
      </c>
      <c r="M1325" s="8">
        <v>44378</v>
      </c>
      <c r="N1325" s="8">
        <v>44378</v>
      </c>
      <c r="O1325" s="13">
        <v>859523.81</v>
      </c>
      <c r="P1325" s="13"/>
      <c r="Q1325" s="33"/>
      <c r="R1325" s="9"/>
      <c r="S1325" s="9"/>
      <c r="T1325" s="9"/>
      <c r="U1325" s="9"/>
      <c r="X1325" s="15" t="str">
        <f>IF(B1325="",VLOOKUP(A1325,items_lookup!A:B,2,FALSE),B1325)</f>
        <v>10. Item 10</v>
      </c>
      <c r="Y1325" s="15">
        <f t="shared" si="117"/>
        <v>7</v>
      </c>
      <c r="Z1325" s="15">
        <f t="shared" si="117"/>
        <v>7</v>
      </c>
      <c r="AA1325" s="15">
        <f t="shared" si="113"/>
        <v>2021</v>
      </c>
      <c r="AB1325" s="15">
        <f t="shared" si="114"/>
        <v>2021</v>
      </c>
      <c r="AC1325" s="15">
        <f t="shared" si="115"/>
        <v>2021</v>
      </c>
      <c r="AD1325" s="18" t="b">
        <f t="shared" si="116"/>
        <v>1</v>
      </c>
    </row>
    <row r="1326" spans="1:30" ht="15" hidden="1" customHeight="1" x14ac:dyDescent="0.2">
      <c r="A1326" s="7" t="s">
        <v>698</v>
      </c>
      <c r="B1326" s="7"/>
      <c r="C1326" s="2" t="s">
        <v>641</v>
      </c>
      <c r="D1326" s="6" t="s">
        <v>649</v>
      </c>
      <c r="E1326" s="32" t="s">
        <v>651</v>
      </c>
      <c r="F1326" s="7"/>
      <c r="G1326" s="7"/>
      <c r="H1326" s="7"/>
      <c r="I1326" s="7"/>
      <c r="J1326" s="7"/>
      <c r="K1326" s="7"/>
      <c r="L1326" s="7" t="s">
        <v>662</v>
      </c>
      <c r="M1326" s="8">
        <v>44409</v>
      </c>
      <c r="N1326" s="8">
        <v>44409</v>
      </c>
      <c r="O1326" s="13">
        <v>463571.43</v>
      </c>
      <c r="P1326" s="13"/>
      <c r="Q1326" s="33"/>
      <c r="R1326" s="9"/>
      <c r="S1326" s="9"/>
      <c r="T1326" s="9"/>
      <c r="U1326" s="9"/>
      <c r="X1326" s="15" t="str">
        <f>IF(B1326="",VLOOKUP(A1326,items_lookup!A:B,2,FALSE),B1326)</f>
        <v>10. Item 10</v>
      </c>
      <c r="Y1326" s="15">
        <f t="shared" si="117"/>
        <v>8</v>
      </c>
      <c r="Z1326" s="15">
        <f t="shared" si="117"/>
        <v>8</v>
      </c>
      <c r="AA1326" s="15">
        <f t="shared" si="113"/>
        <v>2021</v>
      </c>
      <c r="AB1326" s="15">
        <f t="shared" si="114"/>
        <v>2021</v>
      </c>
      <c r="AC1326" s="15">
        <f t="shared" si="115"/>
        <v>2021</v>
      </c>
      <c r="AD1326" s="18" t="b">
        <f t="shared" si="116"/>
        <v>1</v>
      </c>
    </row>
    <row r="1327" spans="1:30" ht="15" hidden="1" customHeight="1" x14ac:dyDescent="0.2">
      <c r="A1327" s="7" t="s">
        <v>682</v>
      </c>
      <c r="B1327" s="7"/>
      <c r="C1327" s="2" t="s">
        <v>641</v>
      </c>
      <c r="D1327" s="6" t="s">
        <v>649</v>
      </c>
      <c r="E1327" s="32" t="s">
        <v>651</v>
      </c>
      <c r="F1327" s="7"/>
      <c r="G1327" s="7"/>
      <c r="H1327" s="7"/>
      <c r="I1327" s="7"/>
      <c r="J1327" s="7"/>
      <c r="K1327" s="7"/>
      <c r="L1327" s="7" t="s">
        <v>662</v>
      </c>
      <c r="M1327" s="8">
        <v>44440</v>
      </c>
      <c r="N1327" s="8">
        <v>44440</v>
      </c>
      <c r="O1327" s="13">
        <v>426190.48</v>
      </c>
      <c r="P1327" s="13"/>
      <c r="Q1327" s="33"/>
      <c r="R1327" s="9"/>
      <c r="S1327" s="9"/>
      <c r="T1327" s="9"/>
      <c r="U1327" s="9"/>
      <c r="X1327" s="15" t="str">
        <f>IF(B1327="",VLOOKUP(A1327,items_lookup!A:B,2,FALSE),B1327)</f>
        <v>06. Item 06</v>
      </c>
      <c r="Y1327" s="15">
        <f t="shared" si="117"/>
        <v>9</v>
      </c>
      <c r="Z1327" s="15">
        <f t="shared" si="117"/>
        <v>9</v>
      </c>
      <c r="AA1327" s="15">
        <f t="shared" si="113"/>
        <v>2021</v>
      </c>
      <c r="AB1327" s="15">
        <f t="shared" si="114"/>
        <v>2021</v>
      </c>
      <c r="AC1327" s="15">
        <f t="shared" si="115"/>
        <v>2021</v>
      </c>
      <c r="AD1327" s="18" t="b">
        <f t="shared" si="116"/>
        <v>1</v>
      </c>
    </row>
    <row r="1328" spans="1:30" ht="15" hidden="1" customHeight="1" x14ac:dyDescent="0.2">
      <c r="A1328" s="7" t="s">
        <v>682</v>
      </c>
      <c r="B1328" s="7" t="s">
        <v>712</v>
      </c>
      <c r="C1328" s="2" t="s">
        <v>641</v>
      </c>
      <c r="D1328" s="6" t="s">
        <v>649</v>
      </c>
      <c r="E1328" s="32" t="s">
        <v>651</v>
      </c>
      <c r="F1328" s="7"/>
      <c r="G1328" s="7"/>
      <c r="H1328" s="7"/>
      <c r="I1328" s="7"/>
      <c r="J1328" s="7"/>
      <c r="K1328" s="7"/>
      <c r="L1328" s="7" t="s">
        <v>662</v>
      </c>
      <c r="M1328" s="8">
        <v>44378</v>
      </c>
      <c r="N1328" s="8">
        <v>44378</v>
      </c>
      <c r="O1328" s="13">
        <v>76428.570000000007</v>
      </c>
      <c r="P1328" s="13"/>
      <c r="Q1328" s="33"/>
      <c r="R1328" s="22"/>
      <c r="S1328" s="22"/>
      <c r="T1328" s="22"/>
      <c r="U1328" s="22"/>
      <c r="X1328" s="15" t="str">
        <f>IF(B1328="",VLOOKUP(A1328,items_lookup!A:B,2,FALSE),B1328)</f>
        <v>10. Item 10</v>
      </c>
      <c r="Y1328" s="15">
        <f t="shared" si="117"/>
        <v>7</v>
      </c>
      <c r="Z1328" s="15">
        <f t="shared" si="117"/>
        <v>7</v>
      </c>
      <c r="AA1328" s="15">
        <f t="shared" si="113"/>
        <v>2021</v>
      </c>
      <c r="AB1328" s="15">
        <f t="shared" si="114"/>
        <v>2021</v>
      </c>
      <c r="AC1328" s="15">
        <f t="shared" si="115"/>
        <v>2021</v>
      </c>
      <c r="AD1328" s="18" t="b">
        <f t="shared" si="116"/>
        <v>1</v>
      </c>
    </row>
    <row r="1329" spans="1:30" ht="15" hidden="1" customHeight="1" x14ac:dyDescent="0.2">
      <c r="A1329" s="7" t="s">
        <v>692</v>
      </c>
      <c r="B1329" s="7" t="s">
        <v>712</v>
      </c>
      <c r="C1329" s="2" t="s">
        <v>641</v>
      </c>
      <c r="D1329" s="6" t="s">
        <v>649</v>
      </c>
      <c r="E1329" s="32" t="s">
        <v>651</v>
      </c>
      <c r="F1329" s="7"/>
      <c r="G1329" s="7"/>
      <c r="H1329" s="7"/>
      <c r="I1329" s="7"/>
      <c r="J1329" s="7"/>
      <c r="K1329" s="7"/>
      <c r="L1329" s="7" t="s">
        <v>662</v>
      </c>
      <c r="M1329" s="8">
        <v>44409</v>
      </c>
      <c r="N1329" s="8">
        <v>44409</v>
      </c>
      <c r="O1329" s="13">
        <v>52380.95</v>
      </c>
      <c r="P1329" s="13"/>
      <c r="Q1329" s="33"/>
      <c r="R1329" s="22"/>
      <c r="S1329" s="22"/>
      <c r="T1329" s="22"/>
      <c r="U1329" s="22"/>
      <c r="X1329" s="15" t="str">
        <f>IF(B1329="",VLOOKUP(A1329,items_lookup!A:B,2,FALSE),B1329)</f>
        <v>10. Item 10</v>
      </c>
      <c r="Y1329" s="15">
        <f t="shared" si="117"/>
        <v>8</v>
      </c>
      <c r="Z1329" s="15">
        <f t="shared" si="117"/>
        <v>8</v>
      </c>
      <c r="AA1329" s="15">
        <f t="shared" si="113"/>
        <v>2021</v>
      </c>
      <c r="AB1329" s="15">
        <f t="shared" si="114"/>
        <v>2021</v>
      </c>
      <c r="AC1329" s="15">
        <f t="shared" si="115"/>
        <v>2021</v>
      </c>
      <c r="AD1329" s="18" t="b">
        <f t="shared" si="116"/>
        <v>1</v>
      </c>
    </row>
    <row r="1330" spans="1:30" ht="15" hidden="1" customHeight="1" x14ac:dyDescent="0.2">
      <c r="A1330" s="7" t="s">
        <v>687</v>
      </c>
      <c r="B1330" s="7" t="s">
        <v>712</v>
      </c>
      <c r="C1330" s="2" t="s">
        <v>641</v>
      </c>
      <c r="D1330" s="6" t="s">
        <v>649</v>
      </c>
      <c r="E1330" s="32" t="s">
        <v>651</v>
      </c>
      <c r="F1330" s="7"/>
      <c r="G1330" s="7"/>
      <c r="H1330" s="7"/>
      <c r="I1330" s="7"/>
      <c r="J1330" s="7"/>
      <c r="K1330" s="7"/>
      <c r="L1330" s="7" t="s">
        <v>662</v>
      </c>
      <c r="M1330" s="8">
        <v>44440</v>
      </c>
      <c r="N1330" s="8">
        <v>44440</v>
      </c>
      <c r="O1330" s="13">
        <v>59523.81</v>
      </c>
      <c r="P1330" s="13"/>
      <c r="Q1330" s="33"/>
      <c r="R1330" s="22"/>
      <c r="S1330" s="22"/>
      <c r="T1330" s="22"/>
      <c r="U1330" s="22"/>
      <c r="X1330" s="15" t="str">
        <f>IF(B1330="",VLOOKUP(A1330,items_lookup!A:B,2,FALSE),B1330)</f>
        <v>10. Item 10</v>
      </c>
      <c r="Y1330" s="15">
        <f t="shared" si="117"/>
        <v>9</v>
      </c>
      <c r="Z1330" s="15">
        <f t="shared" si="117"/>
        <v>9</v>
      </c>
      <c r="AA1330" s="15">
        <f t="shared" si="113"/>
        <v>2021</v>
      </c>
      <c r="AB1330" s="15">
        <f t="shared" si="114"/>
        <v>2021</v>
      </c>
      <c r="AC1330" s="15">
        <f t="shared" si="115"/>
        <v>2021</v>
      </c>
      <c r="AD1330" s="18" t="b">
        <f t="shared" si="116"/>
        <v>1</v>
      </c>
    </row>
    <row r="1331" spans="1:30" ht="15" hidden="1" customHeight="1" x14ac:dyDescent="0.2">
      <c r="A1331" s="7" t="s">
        <v>675</v>
      </c>
      <c r="B1331" s="7"/>
      <c r="C1331" s="2" t="s">
        <v>641</v>
      </c>
      <c r="D1331" s="6" t="s">
        <v>649</v>
      </c>
      <c r="E1331" s="32" t="s">
        <v>651</v>
      </c>
      <c r="F1331" s="7"/>
      <c r="G1331" s="7"/>
      <c r="H1331" s="7"/>
      <c r="I1331" s="7"/>
      <c r="J1331" s="7"/>
      <c r="K1331" s="7"/>
      <c r="L1331" s="7" t="s">
        <v>662</v>
      </c>
      <c r="M1331" s="8">
        <v>44378</v>
      </c>
      <c r="N1331" s="8">
        <v>44378</v>
      </c>
      <c r="O1331" s="13">
        <v>54761.9</v>
      </c>
      <c r="P1331" s="13"/>
      <c r="Q1331" s="33"/>
      <c r="R1331" s="22"/>
      <c r="S1331" s="22"/>
      <c r="T1331" s="22"/>
      <c r="U1331" s="22"/>
      <c r="X1331" s="15" t="str">
        <f>IF(B1331="",VLOOKUP(A1331,items_lookup!A:B,2,FALSE),B1331)</f>
        <v>09. Item 09</v>
      </c>
      <c r="Y1331" s="15">
        <f t="shared" si="117"/>
        <v>7</v>
      </c>
      <c r="Z1331" s="15">
        <f t="shared" si="117"/>
        <v>7</v>
      </c>
      <c r="AA1331" s="15">
        <f t="shared" si="113"/>
        <v>2021</v>
      </c>
      <c r="AB1331" s="15">
        <f t="shared" si="114"/>
        <v>2021</v>
      </c>
      <c r="AC1331" s="15">
        <f t="shared" si="115"/>
        <v>2021</v>
      </c>
      <c r="AD1331" s="18" t="b">
        <f t="shared" si="116"/>
        <v>1</v>
      </c>
    </row>
    <row r="1332" spans="1:30" ht="15" hidden="1" customHeight="1" x14ac:dyDescent="0.2">
      <c r="A1332" s="7" t="s">
        <v>675</v>
      </c>
      <c r="B1332" s="7"/>
      <c r="C1332" s="2" t="s">
        <v>641</v>
      </c>
      <c r="D1332" s="6" t="s">
        <v>649</v>
      </c>
      <c r="E1332" s="32" t="s">
        <v>651</v>
      </c>
      <c r="F1332" s="7"/>
      <c r="G1332" s="7"/>
      <c r="H1332" s="7"/>
      <c r="I1332" s="7"/>
      <c r="J1332" s="7"/>
      <c r="K1332" s="7"/>
      <c r="L1332" s="7" t="s">
        <v>662</v>
      </c>
      <c r="M1332" s="8">
        <v>44409</v>
      </c>
      <c r="N1332" s="8">
        <v>44409</v>
      </c>
      <c r="O1332" s="13">
        <v>45238.1</v>
      </c>
      <c r="P1332" s="13"/>
      <c r="Q1332" s="33"/>
      <c r="R1332" s="22"/>
      <c r="S1332" s="22"/>
      <c r="T1332" s="22"/>
      <c r="U1332" s="22"/>
      <c r="X1332" s="15" t="str">
        <f>IF(B1332="",VLOOKUP(A1332,items_lookup!A:B,2,FALSE),B1332)</f>
        <v>09. Item 09</v>
      </c>
      <c r="Y1332" s="15">
        <f t="shared" si="117"/>
        <v>8</v>
      </c>
      <c r="Z1332" s="15">
        <f t="shared" si="117"/>
        <v>8</v>
      </c>
      <c r="AA1332" s="15">
        <f t="shared" si="113"/>
        <v>2021</v>
      </c>
      <c r="AB1332" s="15">
        <f t="shared" si="114"/>
        <v>2021</v>
      </c>
      <c r="AC1332" s="15">
        <f t="shared" si="115"/>
        <v>2021</v>
      </c>
      <c r="AD1332" s="18" t="b">
        <f t="shared" si="116"/>
        <v>1</v>
      </c>
    </row>
    <row r="1333" spans="1:30" ht="15" hidden="1" customHeight="1" x14ac:dyDescent="0.2">
      <c r="A1333" s="7" t="s">
        <v>683</v>
      </c>
      <c r="B1333" s="7"/>
      <c r="C1333" s="2" t="s">
        <v>641</v>
      </c>
      <c r="D1333" s="6" t="s">
        <v>649</v>
      </c>
      <c r="E1333" s="32" t="s">
        <v>651</v>
      </c>
      <c r="F1333" s="7"/>
      <c r="G1333" s="7"/>
      <c r="H1333" s="7"/>
      <c r="I1333" s="7"/>
      <c r="J1333" s="7"/>
      <c r="K1333" s="7"/>
      <c r="L1333" s="7" t="s">
        <v>662</v>
      </c>
      <c r="M1333" s="8">
        <v>44440</v>
      </c>
      <c r="N1333" s="8">
        <v>44440</v>
      </c>
      <c r="O1333" s="13">
        <v>44285.71</v>
      </c>
      <c r="P1333" s="13"/>
      <c r="Q1333" s="33"/>
      <c r="R1333" s="22"/>
      <c r="S1333" s="22"/>
      <c r="T1333" s="22"/>
      <c r="U1333" s="22"/>
      <c r="X1333" s="15" t="str">
        <f>IF(B1333="",VLOOKUP(A1333,items_lookup!A:B,2,FALSE),B1333)</f>
        <v>_1. Item _1</v>
      </c>
      <c r="Y1333" s="15">
        <f t="shared" si="117"/>
        <v>9</v>
      </c>
      <c r="Z1333" s="15">
        <f t="shared" si="117"/>
        <v>9</v>
      </c>
      <c r="AA1333" s="15">
        <f t="shared" si="113"/>
        <v>2021</v>
      </c>
      <c r="AB1333" s="15">
        <f t="shared" si="114"/>
        <v>2021</v>
      </c>
      <c r="AC1333" s="15">
        <f t="shared" si="115"/>
        <v>2021</v>
      </c>
      <c r="AD1333" s="18" t="b">
        <f t="shared" si="116"/>
        <v>1</v>
      </c>
    </row>
    <row r="1334" spans="1:30" ht="15" hidden="1" customHeight="1" x14ac:dyDescent="0.2">
      <c r="A1334" s="7" t="s">
        <v>683</v>
      </c>
      <c r="B1334" s="20"/>
      <c r="C1334" s="2" t="s">
        <v>641</v>
      </c>
      <c r="D1334" s="6" t="s">
        <v>649</v>
      </c>
      <c r="E1334" s="32" t="s">
        <v>651</v>
      </c>
      <c r="F1334" s="7"/>
      <c r="G1334" s="7"/>
      <c r="H1334" s="7"/>
      <c r="I1334" s="7"/>
      <c r="J1334" s="7"/>
      <c r="K1334" s="7"/>
      <c r="L1334" s="7" t="s">
        <v>662</v>
      </c>
      <c r="M1334" s="8">
        <v>44378</v>
      </c>
      <c r="N1334" s="8">
        <v>44378</v>
      </c>
      <c r="O1334" s="13">
        <v>62380.95</v>
      </c>
      <c r="P1334" s="13"/>
      <c r="Q1334" s="33"/>
      <c r="R1334" s="22"/>
      <c r="S1334" s="22"/>
      <c r="T1334" s="22"/>
      <c r="U1334" s="22"/>
      <c r="X1334" s="15" t="str">
        <f>IF(B1334="",VLOOKUP(A1334,items_lookup!A:B,2,FALSE),B1334)</f>
        <v>_1. Item _1</v>
      </c>
      <c r="Y1334" s="15">
        <f t="shared" si="117"/>
        <v>7</v>
      </c>
      <c r="Z1334" s="15">
        <f t="shared" si="117"/>
        <v>7</v>
      </c>
      <c r="AA1334" s="15">
        <f t="shared" si="113"/>
        <v>2021</v>
      </c>
      <c r="AB1334" s="15">
        <f t="shared" si="114"/>
        <v>2021</v>
      </c>
      <c r="AC1334" s="15">
        <f t="shared" si="115"/>
        <v>2021</v>
      </c>
      <c r="AD1334" s="18" t="b">
        <f t="shared" si="116"/>
        <v>1</v>
      </c>
    </row>
    <row r="1335" spans="1:30" ht="13.5" hidden="1" customHeight="1" x14ac:dyDescent="0.2">
      <c r="A1335" s="7" t="s">
        <v>683</v>
      </c>
      <c r="B1335" s="20"/>
      <c r="C1335" s="2" t="s">
        <v>641</v>
      </c>
      <c r="D1335" s="6" t="s">
        <v>649</v>
      </c>
      <c r="E1335" s="32" t="s">
        <v>651</v>
      </c>
      <c r="F1335" s="7"/>
      <c r="G1335" s="7"/>
      <c r="H1335" s="7"/>
      <c r="I1335" s="7"/>
      <c r="J1335" s="7"/>
      <c r="K1335" s="7"/>
      <c r="L1335" s="7" t="s">
        <v>662</v>
      </c>
      <c r="M1335" s="8">
        <v>44409</v>
      </c>
      <c r="N1335" s="8">
        <v>44409</v>
      </c>
      <c r="O1335" s="13">
        <v>62142.86</v>
      </c>
      <c r="P1335" s="13"/>
      <c r="Q1335" s="33"/>
      <c r="R1335" s="22"/>
      <c r="S1335" s="22"/>
      <c r="T1335" s="22"/>
      <c r="U1335" s="22"/>
      <c r="X1335" s="15" t="str">
        <f>IF(B1335="",VLOOKUP(A1335,items_lookup!A:B,2,FALSE),B1335)</f>
        <v>_1. Item _1</v>
      </c>
      <c r="Y1335" s="15">
        <f t="shared" si="117"/>
        <v>8</v>
      </c>
      <c r="Z1335" s="15">
        <f t="shared" si="117"/>
        <v>8</v>
      </c>
      <c r="AA1335" s="15">
        <f t="shared" si="113"/>
        <v>2021</v>
      </c>
      <c r="AB1335" s="15">
        <f t="shared" si="114"/>
        <v>2021</v>
      </c>
      <c r="AC1335" s="15">
        <f t="shared" si="115"/>
        <v>2021</v>
      </c>
      <c r="AD1335" s="18" t="b">
        <f t="shared" si="116"/>
        <v>1</v>
      </c>
    </row>
    <row r="1336" spans="1:30" ht="13.5" hidden="1" customHeight="1" x14ac:dyDescent="0.2">
      <c r="A1336" s="7" t="s">
        <v>675</v>
      </c>
      <c r="B1336" s="20"/>
      <c r="C1336" s="2" t="s">
        <v>641</v>
      </c>
      <c r="D1336" s="6" t="s">
        <v>649</v>
      </c>
      <c r="E1336" s="32" t="s">
        <v>651</v>
      </c>
      <c r="F1336" s="7"/>
      <c r="G1336" s="7"/>
      <c r="H1336" s="7"/>
      <c r="I1336" s="7"/>
      <c r="J1336" s="7"/>
      <c r="K1336" s="7"/>
      <c r="L1336" s="7" t="s">
        <v>662</v>
      </c>
      <c r="M1336" s="8">
        <v>44440</v>
      </c>
      <c r="N1336" s="8">
        <v>44440</v>
      </c>
      <c r="O1336" s="13">
        <v>63333.33</v>
      </c>
      <c r="P1336" s="13"/>
      <c r="Q1336" s="33"/>
      <c r="R1336" s="22"/>
      <c r="S1336" s="22"/>
      <c r="T1336" s="22"/>
      <c r="U1336" s="22"/>
      <c r="X1336" s="15" t="str">
        <f>IF(B1336="",VLOOKUP(A1336,items_lookup!A:B,2,FALSE),B1336)</f>
        <v>09. Item 09</v>
      </c>
      <c r="Y1336" s="15">
        <f t="shared" si="117"/>
        <v>9</v>
      </c>
      <c r="Z1336" s="15">
        <f t="shared" si="117"/>
        <v>9</v>
      </c>
      <c r="AA1336" s="15">
        <f t="shared" si="113"/>
        <v>2021</v>
      </c>
      <c r="AB1336" s="15">
        <f t="shared" si="114"/>
        <v>2021</v>
      </c>
      <c r="AC1336" s="15">
        <f t="shared" si="115"/>
        <v>2021</v>
      </c>
      <c r="AD1336" s="18" t="b">
        <f t="shared" si="116"/>
        <v>1</v>
      </c>
    </row>
    <row r="1337" spans="1:30" ht="18.75" hidden="1" customHeight="1" x14ac:dyDescent="0.2">
      <c r="A1337" s="7" t="s">
        <v>682</v>
      </c>
      <c r="B1337" s="7" t="s">
        <v>711</v>
      </c>
      <c r="C1337" s="2" t="s">
        <v>641</v>
      </c>
      <c r="D1337" s="6" t="s">
        <v>649</v>
      </c>
      <c r="E1337" s="32" t="s">
        <v>651</v>
      </c>
      <c r="F1337" s="7"/>
      <c r="G1337" s="7"/>
      <c r="H1337" s="7"/>
      <c r="I1337" s="7"/>
      <c r="J1337" s="7"/>
      <c r="K1337" s="7"/>
      <c r="L1337" s="7" t="s">
        <v>662</v>
      </c>
      <c r="M1337" s="8">
        <v>44378</v>
      </c>
      <c r="N1337" s="8">
        <v>44378</v>
      </c>
      <c r="O1337" s="13">
        <v>369285.71</v>
      </c>
      <c r="P1337" s="13"/>
      <c r="Q1337" s="33"/>
      <c r="R1337" s="22"/>
      <c r="S1337" s="22"/>
      <c r="T1337" s="22"/>
      <c r="U1337" s="22"/>
      <c r="X1337" s="15" t="str">
        <f>IF(B1337="",VLOOKUP(A1337,items_lookup!A:B,2,FALSE),B1337)</f>
        <v>12. Item 12</v>
      </c>
      <c r="Y1337" s="15">
        <f t="shared" si="117"/>
        <v>7</v>
      </c>
      <c r="Z1337" s="15">
        <f t="shared" si="117"/>
        <v>7</v>
      </c>
      <c r="AA1337" s="15">
        <f t="shared" si="113"/>
        <v>2021</v>
      </c>
      <c r="AB1337" s="15">
        <f t="shared" si="114"/>
        <v>2021</v>
      </c>
      <c r="AC1337" s="15">
        <f t="shared" si="115"/>
        <v>2021</v>
      </c>
      <c r="AD1337" s="18" t="b">
        <f t="shared" si="116"/>
        <v>1</v>
      </c>
    </row>
    <row r="1338" spans="1:30" ht="15" hidden="1" customHeight="1" x14ac:dyDescent="0.2">
      <c r="A1338" s="7" t="s">
        <v>688</v>
      </c>
      <c r="B1338" s="7" t="s">
        <v>711</v>
      </c>
      <c r="C1338" s="2" t="s">
        <v>641</v>
      </c>
      <c r="D1338" s="6" t="s">
        <v>649</v>
      </c>
      <c r="E1338" s="32" t="s">
        <v>651</v>
      </c>
      <c r="F1338" s="7"/>
      <c r="G1338" s="7"/>
      <c r="H1338" s="7"/>
      <c r="I1338" s="7"/>
      <c r="J1338" s="7"/>
      <c r="K1338" s="7"/>
      <c r="L1338" s="7" t="s">
        <v>662</v>
      </c>
      <c r="M1338" s="8">
        <v>44409</v>
      </c>
      <c r="N1338" s="8">
        <v>44409</v>
      </c>
      <c r="O1338" s="13">
        <v>1967142.86</v>
      </c>
      <c r="P1338" s="13"/>
      <c r="Q1338" s="33"/>
      <c r="R1338" s="22"/>
      <c r="S1338" s="22"/>
      <c r="T1338" s="22"/>
      <c r="U1338" s="22"/>
      <c r="X1338" s="15" t="str">
        <f>IF(B1338="",VLOOKUP(A1338,items_lookup!A:B,2,FALSE),B1338)</f>
        <v>12. Item 12</v>
      </c>
      <c r="Y1338" s="15">
        <f t="shared" si="117"/>
        <v>8</v>
      </c>
      <c r="Z1338" s="15">
        <f t="shared" si="117"/>
        <v>8</v>
      </c>
      <c r="AA1338" s="15">
        <f t="shared" si="113"/>
        <v>2021</v>
      </c>
      <c r="AB1338" s="15">
        <f t="shared" si="114"/>
        <v>2021</v>
      </c>
      <c r="AC1338" s="15">
        <f t="shared" si="115"/>
        <v>2021</v>
      </c>
      <c r="AD1338" s="18" t="b">
        <f t="shared" si="116"/>
        <v>1</v>
      </c>
    </row>
    <row r="1339" spans="1:30" ht="15" hidden="1" customHeight="1" x14ac:dyDescent="0.2">
      <c r="A1339" s="7" t="s">
        <v>683</v>
      </c>
      <c r="B1339" s="7" t="s">
        <v>711</v>
      </c>
      <c r="C1339" s="2" t="s">
        <v>641</v>
      </c>
      <c r="D1339" s="6" t="s">
        <v>649</v>
      </c>
      <c r="E1339" s="32" t="s">
        <v>651</v>
      </c>
      <c r="F1339" s="7"/>
      <c r="G1339" s="7"/>
      <c r="H1339" s="7"/>
      <c r="I1339" s="7"/>
      <c r="J1339" s="7"/>
      <c r="K1339" s="7"/>
      <c r="L1339" s="7" t="s">
        <v>662</v>
      </c>
      <c r="M1339" s="8">
        <v>44440</v>
      </c>
      <c r="N1339" s="8">
        <v>44440</v>
      </c>
      <c r="O1339" s="13">
        <v>330238.09999999998</v>
      </c>
      <c r="P1339" s="13"/>
      <c r="Q1339" s="33"/>
      <c r="R1339" s="22"/>
      <c r="S1339" s="22"/>
      <c r="T1339" s="22"/>
      <c r="U1339" s="22"/>
      <c r="X1339" s="15" t="str">
        <f>IF(B1339="",VLOOKUP(A1339,items_lookup!A:B,2,FALSE),B1339)</f>
        <v>12. Item 12</v>
      </c>
      <c r="Y1339" s="15">
        <f t="shared" si="117"/>
        <v>9</v>
      </c>
      <c r="Z1339" s="15">
        <f t="shared" si="117"/>
        <v>9</v>
      </c>
      <c r="AA1339" s="15">
        <f t="shared" ref="AA1339:AA1390" si="118">YEAR(N1339)</f>
        <v>2021</v>
      </c>
      <c r="AB1339" s="15">
        <f t="shared" ref="AB1339:AB1390" si="119">YEAR(M1339)</f>
        <v>2021</v>
      </c>
      <c r="AC1339" s="15">
        <f t="shared" ref="AC1339:AC1390" si="120">IF(F1339="X",AA1339-1,AA1339)</f>
        <v>2021</v>
      </c>
      <c r="AD1339" s="18" t="b">
        <f t="shared" si="116"/>
        <v>1</v>
      </c>
    </row>
    <row r="1340" spans="1:30" ht="15" hidden="1" customHeight="1" x14ac:dyDescent="0.2">
      <c r="A1340" s="7" t="s">
        <v>678</v>
      </c>
      <c r="B1340" s="7" t="s">
        <v>710</v>
      </c>
      <c r="C1340" s="2" t="s">
        <v>641</v>
      </c>
      <c r="D1340" s="6" t="s">
        <v>649</v>
      </c>
      <c r="E1340" s="32" t="s">
        <v>651</v>
      </c>
      <c r="F1340" s="7"/>
      <c r="G1340" s="7"/>
      <c r="H1340" s="7"/>
      <c r="I1340" s="7"/>
      <c r="J1340" s="7"/>
      <c r="K1340" s="7"/>
      <c r="L1340" s="7" t="s">
        <v>662</v>
      </c>
      <c r="M1340" s="8">
        <v>44378</v>
      </c>
      <c r="N1340" s="8">
        <v>44378</v>
      </c>
      <c r="O1340" s="13">
        <v>2190476.19</v>
      </c>
      <c r="P1340" s="13"/>
      <c r="Q1340" s="33"/>
      <c r="R1340" s="9"/>
      <c r="S1340" s="9"/>
      <c r="T1340" s="9"/>
      <c r="U1340" s="9"/>
      <c r="X1340" s="15" t="str">
        <f>IF(B1340="",VLOOKUP(A1340,items_lookup!A:B,2,FALSE),B1340)</f>
        <v>13. Item 13</v>
      </c>
      <c r="Y1340" s="15">
        <f t="shared" si="117"/>
        <v>7</v>
      </c>
      <c r="Z1340" s="15">
        <f t="shared" si="117"/>
        <v>7</v>
      </c>
      <c r="AA1340" s="15">
        <f t="shared" si="118"/>
        <v>2021</v>
      </c>
      <c r="AB1340" s="15">
        <f t="shared" si="119"/>
        <v>2021</v>
      </c>
      <c r="AC1340" s="15">
        <f t="shared" si="120"/>
        <v>2021</v>
      </c>
      <c r="AD1340" s="18" t="b">
        <f t="shared" si="116"/>
        <v>1</v>
      </c>
    </row>
    <row r="1341" spans="1:30" ht="15" hidden="1" customHeight="1" x14ac:dyDescent="0.2">
      <c r="A1341" s="7" t="s">
        <v>675</v>
      </c>
      <c r="B1341" s="7" t="s">
        <v>710</v>
      </c>
      <c r="C1341" s="2" t="s">
        <v>641</v>
      </c>
      <c r="D1341" s="6" t="s">
        <v>649</v>
      </c>
      <c r="E1341" s="32" t="s">
        <v>651</v>
      </c>
      <c r="F1341" s="7"/>
      <c r="G1341" s="7"/>
      <c r="H1341" s="7"/>
      <c r="I1341" s="7"/>
      <c r="J1341" s="7"/>
      <c r="K1341" s="7"/>
      <c r="L1341" s="7" t="s">
        <v>662</v>
      </c>
      <c r="M1341" s="8">
        <v>44409</v>
      </c>
      <c r="N1341" s="8">
        <v>44409</v>
      </c>
      <c r="O1341" s="13">
        <v>1428571.43</v>
      </c>
      <c r="P1341" s="13"/>
      <c r="Q1341" s="33"/>
      <c r="R1341" s="9"/>
      <c r="S1341" s="9"/>
      <c r="T1341" s="9"/>
      <c r="U1341" s="9"/>
      <c r="X1341" s="15" t="str">
        <f>IF(B1341="",VLOOKUP(A1341,items_lookup!A:B,2,FALSE),B1341)</f>
        <v>13. Item 13</v>
      </c>
      <c r="Y1341" s="15">
        <f t="shared" si="117"/>
        <v>8</v>
      </c>
      <c r="Z1341" s="15">
        <f t="shared" si="117"/>
        <v>8</v>
      </c>
      <c r="AA1341" s="15">
        <f t="shared" si="118"/>
        <v>2021</v>
      </c>
      <c r="AB1341" s="15">
        <f t="shared" si="119"/>
        <v>2021</v>
      </c>
      <c r="AC1341" s="15">
        <f t="shared" si="120"/>
        <v>2021</v>
      </c>
      <c r="AD1341" s="18" t="b">
        <f t="shared" si="116"/>
        <v>1</v>
      </c>
    </row>
    <row r="1342" spans="1:30" ht="15" hidden="1" customHeight="1" x14ac:dyDescent="0.2">
      <c r="A1342" s="7" t="s">
        <v>670</v>
      </c>
      <c r="B1342" s="7" t="s">
        <v>710</v>
      </c>
      <c r="C1342" s="2" t="s">
        <v>641</v>
      </c>
      <c r="D1342" s="6" t="s">
        <v>649</v>
      </c>
      <c r="E1342" s="32" t="s">
        <v>651</v>
      </c>
      <c r="F1342" s="7"/>
      <c r="G1342" s="7"/>
      <c r="H1342" s="7"/>
      <c r="I1342" s="7"/>
      <c r="J1342" s="7"/>
      <c r="K1342" s="7"/>
      <c r="L1342" s="7" t="s">
        <v>662</v>
      </c>
      <c r="M1342" s="8">
        <v>44440</v>
      </c>
      <c r="N1342" s="8">
        <v>44440</v>
      </c>
      <c r="O1342" s="13">
        <v>1452380.95</v>
      </c>
      <c r="P1342" s="13"/>
      <c r="Q1342" s="33"/>
      <c r="R1342" s="9"/>
      <c r="S1342" s="9"/>
      <c r="T1342" s="9"/>
      <c r="U1342" s="9"/>
      <c r="X1342" s="15" t="str">
        <f>IF(B1342="",VLOOKUP(A1342,items_lookup!A:B,2,FALSE),B1342)</f>
        <v>13. Item 13</v>
      </c>
      <c r="Y1342" s="15">
        <f t="shared" si="117"/>
        <v>9</v>
      </c>
      <c r="Z1342" s="15">
        <f t="shared" si="117"/>
        <v>9</v>
      </c>
      <c r="AA1342" s="15">
        <f t="shared" si="118"/>
        <v>2021</v>
      </c>
      <c r="AB1342" s="15">
        <f t="shared" si="119"/>
        <v>2021</v>
      </c>
      <c r="AC1342" s="15">
        <f t="shared" si="120"/>
        <v>2021</v>
      </c>
      <c r="AD1342" s="18" t="b">
        <f t="shared" si="116"/>
        <v>1</v>
      </c>
    </row>
    <row r="1343" spans="1:30" ht="15" hidden="1" customHeight="1" x14ac:dyDescent="0.2">
      <c r="A1343" s="7" t="s">
        <v>683</v>
      </c>
      <c r="B1343" s="7"/>
      <c r="C1343" s="2" t="s">
        <v>641</v>
      </c>
      <c r="D1343" s="6" t="s">
        <v>649</v>
      </c>
      <c r="E1343" s="32" t="s">
        <v>651</v>
      </c>
      <c r="F1343" s="7"/>
      <c r="G1343" s="7"/>
      <c r="H1343" s="7"/>
      <c r="I1343" s="7"/>
      <c r="J1343" s="7"/>
      <c r="K1343" s="7"/>
      <c r="L1343" s="7" t="s">
        <v>662</v>
      </c>
      <c r="M1343" s="8">
        <v>44378</v>
      </c>
      <c r="N1343" s="8">
        <v>44378</v>
      </c>
      <c r="O1343" s="13">
        <v>34285.71</v>
      </c>
      <c r="P1343" s="13"/>
      <c r="Q1343" s="33"/>
      <c r="R1343" s="22"/>
      <c r="S1343" s="22"/>
      <c r="T1343" s="22"/>
      <c r="U1343" s="22"/>
      <c r="X1343" s="15" t="str">
        <f>IF(B1343="",VLOOKUP(A1343,items_lookup!A:B,2,FALSE),B1343)</f>
        <v>_1. Item _1</v>
      </c>
      <c r="Y1343" s="15">
        <f t="shared" si="117"/>
        <v>7</v>
      </c>
      <c r="Z1343" s="15">
        <f t="shared" si="117"/>
        <v>7</v>
      </c>
      <c r="AA1343" s="15">
        <f t="shared" si="118"/>
        <v>2021</v>
      </c>
      <c r="AB1343" s="15">
        <f t="shared" si="119"/>
        <v>2021</v>
      </c>
      <c r="AC1343" s="15">
        <f t="shared" si="120"/>
        <v>2021</v>
      </c>
      <c r="AD1343" s="18" t="b">
        <f t="shared" si="116"/>
        <v>1</v>
      </c>
    </row>
    <row r="1344" spans="1:30" ht="30" hidden="1" customHeight="1" x14ac:dyDescent="0.2">
      <c r="A1344" s="7" t="s">
        <v>683</v>
      </c>
      <c r="B1344" s="7"/>
      <c r="C1344" s="2" t="s">
        <v>641</v>
      </c>
      <c r="D1344" s="6" t="s">
        <v>649</v>
      </c>
      <c r="E1344" s="32" t="s">
        <v>651</v>
      </c>
      <c r="F1344" s="7"/>
      <c r="G1344" s="7"/>
      <c r="H1344" s="7"/>
      <c r="I1344" s="7"/>
      <c r="J1344" s="7"/>
      <c r="K1344" s="7"/>
      <c r="L1344" s="7" t="s">
        <v>662</v>
      </c>
      <c r="M1344" s="8">
        <v>44409</v>
      </c>
      <c r="N1344" s="8">
        <v>44409</v>
      </c>
      <c r="O1344" s="13">
        <v>380952.38</v>
      </c>
      <c r="P1344" s="13"/>
      <c r="Q1344" s="33"/>
      <c r="R1344" s="22"/>
      <c r="S1344" s="22"/>
      <c r="T1344" s="22"/>
      <c r="U1344" s="22"/>
      <c r="X1344" s="15" t="str">
        <f>IF(B1344="",VLOOKUP(A1344,items_lookup!A:B,2,FALSE),B1344)</f>
        <v>_1. Item _1</v>
      </c>
      <c r="Y1344" s="15">
        <f t="shared" si="117"/>
        <v>8</v>
      </c>
      <c r="Z1344" s="15">
        <f t="shared" si="117"/>
        <v>8</v>
      </c>
      <c r="AA1344" s="15">
        <f t="shared" si="118"/>
        <v>2021</v>
      </c>
      <c r="AB1344" s="15">
        <f t="shared" si="119"/>
        <v>2021</v>
      </c>
      <c r="AC1344" s="15">
        <f t="shared" si="120"/>
        <v>2021</v>
      </c>
      <c r="AD1344" s="18" t="b">
        <f t="shared" si="116"/>
        <v>1</v>
      </c>
    </row>
    <row r="1345" spans="1:30" ht="30" hidden="1" customHeight="1" x14ac:dyDescent="0.2">
      <c r="A1345" s="7" t="s">
        <v>683</v>
      </c>
      <c r="B1345" s="7"/>
      <c r="C1345" s="2" t="s">
        <v>641</v>
      </c>
      <c r="D1345" s="6" t="s">
        <v>649</v>
      </c>
      <c r="E1345" s="32" t="s">
        <v>651</v>
      </c>
      <c r="F1345" s="7"/>
      <c r="G1345" s="7"/>
      <c r="H1345" s="7"/>
      <c r="I1345" s="7"/>
      <c r="J1345" s="7"/>
      <c r="K1345" s="7"/>
      <c r="L1345" s="7" t="s">
        <v>662</v>
      </c>
      <c r="M1345" s="8">
        <v>44440</v>
      </c>
      <c r="N1345" s="8">
        <v>44440</v>
      </c>
      <c r="O1345" s="13">
        <v>157142.85999999999</v>
      </c>
      <c r="P1345" s="13"/>
      <c r="Q1345" s="33"/>
      <c r="R1345" s="22"/>
      <c r="S1345" s="22"/>
      <c r="T1345" s="22"/>
      <c r="U1345" s="22"/>
      <c r="X1345" s="15" t="str">
        <f>IF(B1345="",VLOOKUP(A1345,items_lookup!A:B,2,FALSE),B1345)</f>
        <v>_1. Item _1</v>
      </c>
      <c r="Y1345" s="15">
        <f t="shared" si="117"/>
        <v>9</v>
      </c>
      <c r="Z1345" s="15">
        <f t="shared" si="117"/>
        <v>9</v>
      </c>
      <c r="AA1345" s="15">
        <f t="shared" si="118"/>
        <v>2021</v>
      </c>
      <c r="AB1345" s="15">
        <f t="shared" si="119"/>
        <v>2021</v>
      </c>
      <c r="AC1345" s="15">
        <f t="shared" si="120"/>
        <v>2021</v>
      </c>
      <c r="AD1345" s="18" t="b">
        <f t="shared" si="116"/>
        <v>1</v>
      </c>
    </row>
    <row r="1346" spans="1:30" ht="30" hidden="1" customHeight="1" x14ac:dyDescent="0.2">
      <c r="A1346" s="7" t="s">
        <v>683</v>
      </c>
      <c r="B1346" s="7"/>
      <c r="C1346" s="2" t="s">
        <v>641</v>
      </c>
      <c r="D1346" s="6" t="s">
        <v>649</v>
      </c>
      <c r="E1346" s="32" t="s">
        <v>651</v>
      </c>
      <c r="F1346" s="7"/>
      <c r="G1346" s="7"/>
      <c r="H1346" s="7"/>
      <c r="I1346" s="7"/>
      <c r="J1346" s="7"/>
      <c r="K1346" s="7"/>
      <c r="L1346" s="7" t="s">
        <v>662</v>
      </c>
      <c r="M1346" s="8">
        <v>44378</v>
      </c>
      <c r="N1346" s="8">
        <v>44378</v>
      </c>
      <c r="O1346" s="13">
        <v>369047.62</v>
      </c>
      <c r="P1346" s="13"/>
      <c r="Q1346" s="33"/>
      <c r="R1346" s="9"/>
      <c r="S1346" s="9"/>
      <c r="T1346" s="9"/>
      <c r="U1346" s="9"/>
      <c r="X1346" s="15" t="str">
        <f>IF(B1346="",VLOOKUP(A1346,items_lookup!A:B,2,FALSE),B1346)</f>
        <v>_1. Item _1</v>
      </c>
      <c r="Y1346" s="15">
        <f t="shared" si="117"/>
        <v>7</v>
      </c>
      <c r="Z1346" s="15">
        <f t="shared" si="117"/>
        <v>7</v>
      </c>
      <c r="AA1346" s="15">
        <f t="shared" si="118"/>
        <v>2021</v>
      </c>
      <c r="AB1346" s="15">
        <f t="shared" si="119"/>
        <v>2021</v>
      </c>
      <c r="AC1346" s="15">
        <f t="shared" si="120"/>
        <v>2021</v>
      </c>
      <c r="AD1346" s="18" t="b">
        <f t="shared" si="116"/>
        <v>1</v>
      </c>
    </row>
    <row r="1347" spans="1:30" ht="15" hidden="1" customHeight="1" x14ac:dyDescent="0.2">
      <c r="A1347" s="7" t="s">
        <v>671</v>
      </c>
      <c r="B1347" s="7"/>
      <c r="C1347" s="2" t="s">
        <v>641</v>
      </c>
      <c r="D1347" s="6" t="s">
        <v>649</v>
      </c>
      <c r="E1347" s="32" t="s">
        <v>651</v>
      </c>
      <c r="F1347" s="7"/>
      <c r="G1347" s="7"/>
      <c r="H1347" s="7"/>
      <c r="I1347" s="7"/>
      <c r="J1347" s="7"/>
      <c r="K1347" s="7"/>
      <c r="L1347" s="7" t="s">
        <v>662</v>
      </c>
      <c r="M1347" s="8">
        <v>44409</v>
      </c>
      <c r="N1347" s="8">
        <v>44409</v>
      </c>
      <c r="O1347" s="13">
        <v>510238.1</v>
      </c>
      <c r="P1347" s="13"/>
      <c r="Q1347" s="33"/>
      <c r="R1347" s="9"/>
      <c r="S1347" s="9"/>
      <c r="T1347" s="9"/>
      <c r="U1347" s="9"/>
      <c r="X1347" s="15" t="str">
        <f>IF(B1347="",VLOOKUP(A1347,items_lookup!A:B,2,FALSE),B1347)</f>
        <v>05. Item 05</v>
      </c>
      <c r="Y1347" s="15">
        <f t="shared" si="117"/>
        <v>8</v>
      </c>
      <c r="Z1347" s="15">
        <f t="shared" si="117"/>
        <v>8</v>
      </c>
      <c r="AA1347" s="15">
        <f t="shared" si="118"/>
        <v>2021</v>
      </c>
      <c r="AB1347" s="15">
        <f t="shared" si="119"/>
        <v>2021</v>
      </c>
      <c r="AC1347" s="15">
        <f t="shared" si="120"/>
        <v>2021</v>
      </c>
      <c r="AD1347" s="18" t="b">
        <f t="shared" ref="AD1347:AD1410" si="121">AND(ROUND(O1347,2)=O1347,ROUND(P1347,2)=P1347,OR(AND(O1347&lt;&gt;0,L1347="p"),AND(P1347&lt;&gt;0,L1347="f")),_xlfn.ISFORMULA(X1347),_xlfn.ISFORMULA(Y1347),_xlfn.ISFORMULA(Z1347),_xlfn.ISFORMULA(AA1347),_xlfn.ISFORMULA(AB1347),_xlfn.ISFORMULA(AC1347),NOT(_xlfn.ISFORMULA(O1347)),NOT(_xlfn.ISFORMULA(P1347)),M1347&lt;&gt;0,N1347&lt;&gt;0)</f>
        <v>1</v>
      </c>
    </row>
    <row r="1348" spans="1:30" ht="15" hidden="1" customHeight="1" x14ac:dyDescent="0.2">
      <c r="A1348" s="7" t="s">
        <v>671</v>
      </c>
      <c r="B1348" s="7"/>
      <c r="C1348" s="2" t="s">
        <v>641</v>
      </c>
      <c r="D1348" s="6" t="s">
        <v>649</v>
      </c>
      <c r="E1348" s="32" t="s">
        <v>651</v>
      </c>
      <c r="F1348" s="7"/>
      <c r="G1348" s="7"/>
      <c r="H1348" s="7"/>
      <c r="I1348" s="7"/>
      <c r="J1348" s="7"/>
      <c r="K1348" s="7"/>
      <c r="L1348" s="7" t="s">
        <v>662</v>
      </c>
      <c r="M1348" s="8">
        <v>44440</v>
      </c>
      <c r="N1348" s="8">
        <v>44440</v>
      </c>
      <c r="O1348" s="13">
        <v>557380.94999999995</v>
      </c>
      <c r="P1348" s="13"/>
      <c r="Q1348" s="33"/>
      <c r="R1348" s="9"/>
      <c r="S1348" s="9"/>
      <c r="T1348" s="9"/>
      <c r="U1348" s="9"/>
      <c r="X1348" s="15" t="str">
        <f>IF(B1348="",VLOOKUP(A1348,items_lookup!A:B,2,FALSE),B1348)</f>
        <v>05. Item 05</v>
      </c>
      <c r="Y1348" s="15">
        <f t="shared" si="117"/>
        <v>9</v>
      </c>
      <c r="Z1348" s="15">
        <f t="shared" si="117"/>
        <v>9</v>
      </c>
      <c r="AA1348" s="15">
        <f t="shared" si="118"/>
        <v>2021</v>
      </c>
      <c r="AB1348" s="15">
        <f t="shared" si="119"/>
        <v>2021</v>
      </c>
      <c r="AC1348" s="15">
        <f t="shared" si="120"/>
        <v>2021</v>
      </c>
      <c r="AD1348" s="18" t="b">
        <f t="shared" si="121"/>
        <v>1</v>
      </c>
    </row>
    <row r="1349" spans="1:30" ht="15" hidden="1" customHeight="1" x14ac:dyDescent="0.2">
      <c r="A1349" s="7" t="s">
        <v>671</v>
      </c>
      <c r="B1349" s="20"/>
      <c r="C1349" s="2" t="s">
        <v>641</v>
      </c>
      <c r="D1349" s="6" t="s">
        <v>649</v>
      </c>
      <c r="E1349" s="32" t="s">
        <v>651</v>
      </c>
      <c r="F1349" s="7"/>
      <c r="G1349" s="7"/>
      <c r="H1349" s="7"/>
      <c r="I1349" s="7"/>
      <c r="J1349" s="7"/>
      <c r="K1349" s="7"/>
      <c r="L1349" s="7" t="s">
        <v>662</v>
      </c>
      <c r="M1349" s="8">
        <v>44378</v>
      </c>
      <c r="N1349" s="8">
        <v>44378</v>
      </c>
      <c r="O1349" s="13">
        <v>5656428.5700000003</v>
      </c>
      <c r="P1349" s="13"/>
      <c r="Q1349" s="33"/>
      <c r="R1349" s="9"/>
      <c r="S1349" s="9"/>
      <c r="T1349" s="9"/>
      <c r="U1349" s="9"/>
      <c r="X1349" s="15" t="str">
        <f>IF(B1349="",VLOOKUP(A1349,items_lookup!A:B,2,FALSE),B1349)</f>
        <v>05. Item 05</v>
      </c>
      <c r="Y1349" s="15">
        <f t="shared" si="117"/>
        <v>7</v>
      </c>
      <c r="Z1349" s="15">
        <f t="shared" si="117"/>
        <v>7</v>
      </c>
      <c r="AA1349" s="15">
        <f t="shared" si="118"/>
        <v>2021</v>
      </c>
      <c r="AB1349" s="15">
        <f t="shared" si="119"/>
        <v>2021</v>
      </c>
      <c r="AC1349" s="15">
        <f t="shared" si="120"/>
        <v>2021</v>
      </c>
      <c r="AD1349" s="18" t="b">
        <f t="shared" si="121"/>
        <v>1</v>
      </c>
    </row>
    <row r="1350" spans="1:30" ht="15" hidden="1" customHeight="1" x14ac:dyDescent="0.2">
      <c r="A1350" s="7" t="s">
        <v>668</v>
      </c>
      <c r="B1350" s="20"/>
      <c r="C1350" s="2" t="s">
        <v>641</v>
      </c>
      <c r="D1350" s="6" t="s">
        <v>649</v>
      </c>
      <c r="E1350" s="32" t="s">
        <v>651</v>
      </c>
      <c r="F1350" s="7"/>
      <c r="G1350" s="7"/>
      <c r="H1350" s="7"/>
      <c r="I1350" s="7"/>
      <c r="J1350" s="7"/>
      <c r="K1350" s="7"/>
      <c r="L1350" s="7" t="s">
        <v>662</v>
      </c>
      <c r="M1350" s="8">
        <v>44409</v>
      </c>
      <c r="N1350" s="8">
        <v>44409</v>
      </c>
      <c r="O1350" s="13">
        <v>533333.32999999996</v>
      </c>
      <c r="P1350" s="13"/>
      <c r="Q1350" s="33"/>
      <c r="R1350" s="9"/>
      <c r="S1350" s="9"/>
      <c r="T1350" s="9"/>
      <c r="U1350" s="9"/>
      <c r="X1350" s="15" t="str">
        <f>IF(B1350="",VLOOKUP(A1350,items_lookup!A:B,2,FALSE),B1350)</f>
        <v>01. Item 01</v>
      </c>
      <c r="Y1350" s="15">
        <f t="shared" si="117"/>
        <v>8</v>
      </c>
      <c r="Z1350" s="15">
        <f t="shared" si="117"/>
        <v>8</v>
      </c>
      <c r="AA1350" s="15">
        <f t="shared" si="118"/>
        <v>2021</v>
      </c>
      <c r="AB1350" s="15">
        <f t="shared" si="119"/>
        <v>2021</v>
      </c>
      <c r="AC1350" s="15">
        <f t="shared" si="120"/>
        <v>2021</v>
      </c>
      <c r="AD1350" s="18" t="b">
        <f t="shared" si="121"/>
        <v>1</v>
      </c>
    </row>
    <row r="1351" spans="1:30" ht="15" hidden="1" customHeight="1" x14ac:dyDescent="0.2">
      <c r="A1351" s="7" t="s">
        <v>668</v>
      </c>
      <c r="B1351" s="20"/>
      <c r="C1351" s="2" t="s">
        <v>641</v>
      </c>
      <c r="D1351" s="6" t="s">
        <v>649</v>
      </c>
      <c r="E1351" s="32" t="s">
        <v>651</v>
      </c>
      <c r="F1351" s="7"/>
      <c r="G1351" s="7"/>
      <c r="H1351" s="7"/>
      <c r="I1351" s="7"/>
      <c r="J1351" s="7"/>
      <c r="K1351" s="7"/>
      <c r="L1351" s="7" t="s">
        <v>662</v>
      </c>
      <c r="M1351" s="8">
        <v>44440</v>
      </c>
      <c r="N1351" s="8">
        <v>44440</v>
      </c>
      <c r="O1351" s="13">
        <v>507857.14</v>
      </c>
      <c r="P1351" s="13"/>
      <c r="Q1351" s="33"/>
      <c r="R1351" s="9"/>
      <c r="S1351" s="9"/>
      <c r="T1351" s="9"/>
      <c r="U1351" s="9"/>
      <c r="X1351" s="15" t="str">
        <f>IF(B1351="",VLOOKUP(A1351,items_lookup!A:B,2,FALSE),B1351)</f>
        <v>01. Item 01</v>
      </c>
      <c r="Y1351" s="15">
        <f t="shared" si="117"/>
        <v>9</v>
      </c>
      <c r="Z1351" s="15">
        <f t="shared" si="117"/>
        <v>9</v>
      </c>
      <c r="AA1351" s="15">
        <f t="shared" si="118"/>
        <v>2021</v>
      </c>
      <c r="AB1351" s="15">
        <f t="shared" si="119"/>
        <v>2021</v>
      </c>
      <c r="AC1351" s="15">
        <f t="shared" si="120"/>
        <v>2021</v>
      </c>
      <c r="AD1351" s="18" t="b">
        <f t="shared" si="121"/>
        <v>1</v>
      </c>
    </row>
    <row r="1352" spans="1:30" ht="15" hidden="1" customHeight="1" x14ac:dyDescent="0.2">
      <c r="A1352" s="7" t="s">
        <v>668</v>
      </c>
      <c r="B1352" s="7"/>
      <c r="C1352" s="2" t="s">
        <v>641</v>
      </c>
      <c r="D1352" s="6" t="s">
        <v>649</v>
      </c>
      <c r="E1352" s="32" t="s">
        <v>651</v>
      </c>
      <c r="F1352" s="7"/>
      <c r="G1352" s="7"/>
      <c r="H1352" s="7"/>
      <c r="I1352" s="7"/>
      <c r="J1352" s="7"/>
      <c r="K1352" s="7"/>
      <c r="L1352" s="7" t="s">
        <v>662</v>
      </c>
      <c r="M1352" s="8">
        <v>44378</v>
      </c>
      <c r="N1352" s="8">
        <v>44378</v>
      </c>
      <c r="O1352" s="13">
        <v>372706.2</v>
      </c>
      <c r="P1352" s="13"/>
      <c r="Q1352" s="33"/>
      <c r="R1352" s="9"/>
      <c r="S1352" s="9"/>
      <c r="T1352" s="9"/>
      <c r="U1352" s="9"/>
      <c r="X1352" s="15" t="str">
        <f>IF(B1352="",VLOOKUP(A1352,items_lookup!A:B,2,FALSE),B1352)</f>
        <v>01. Item 01</v>
      </c>
      <c r="Y1352" s="15">
        <f t="shared" si="117"/>
        <v>7</v>
      </c>
      <c r="Z1352" s="15">
        <f t="shared" si="117"/>
        <v>7</v>
      </c>
      <c r="AA1352" s="15">
        <f t="shared" si="118"/>
        <v>2021</v>
      </c>
      <c r="AB1352" s="15">
        <f t="shared" si="119"/>
        <v>2021</v>
      </c>
      <c r="AC1352" s="15">
        <f t="shared" si="120"/>
        <v>2021</v>
      </c>
      <c r="AD1352" s="18" t="b">
        <f t="shared" si="121"/>
        <v>1</v>
      </c>
    </row>
    <row r="1353" spans="1:30" ht="15" hidden="1" customHeight="1" x14ac:dyDescent="0.2">
      <c r="A1353" s="7" t="s">
        <v>669</v>
      </c>
      <c r="B1353" s="7"/>
      <c r="C1353" s="2" t="s">
        <v>641</v>
      </c>
      <c r="D1353" s="6" t="s">
        <v>649</v>
      </c>
      <c r="E1353" s="32" t="s">
        <v>651</v>
      </c>
      <c r="F1353" s="7"/>
      <c r="G1353" s="7"/>
      <c r="H1353" s="7"/>
      <c r="I1353" s="7"/>
      <c r="J1353" s="7"/>
      <c r="K1353" s="7"/>
      <c r="L1353" s="7" t="s">
        <v>662</v>
      </c>
      <c r="M1353" s="8">
        <v>44409</v>
      </c>
      <c r="N1353" s="8">
        <v>44409</v>
      </c>
      <c r="O1353" s="13">
        <v>666666.67000000004</v>
      </c>
      <c r="P1353" s="13"/>
      <c r="Q1353" s="33"/>
      <c r="R1353" s="9"/>
      <c r="S1353" s="9"/>
      <c r="T1353" s="9"/>
      <c r="U1353" s="9"/>
      <c r="X1353" s="15" t="str">
        <f>IF(B1353="",VLOOKUP(A1353,items_lookup!A:B,2,FALSE),B1353)</f>
        <v>02. Item 02</v>
      </c>
      <c r="Y1353" s="15">
        <f t="shared" si="117"/>
        <v>8</v>
      </c>
      <c r="Z1353" s="15">
        <f t="shared" si="117"/>
        <v>8</v>
      </c>
      <c r="AA1353" s="15">
        <f t="shared" si="118"/>
        <v>2021</v>
      </c>
      <c r="AB1353" s="15">
        <f t="shared" si="119"/>
        <v>2021</v>
      </c>
      <c r="AC1353" s="15">
        <f t="shared" si="120"/>
        <v>2021</v>
      </c>
      <c r="AD1353" s="18" t="b">
        <f t="shared" si="121"/>
        <v>1</v>
      </c>
    </row>
    <row r="1354" spans="1:30" ht="15" hidden="1" customHeight="1" x14ac:dyDescent="0.2">
      <c r="A1354" s="7" t="s">
        <v>669</v>
      </c>
      <c r="B1354" s="7"/>
      <c r="C1354" s="2" t="s">
        <v>641</v>
      </c>
      <c r="D1354" s="6" t="s">
        <v>649</v>
      </c>
      <c r="E1354" s="32" t="s">
        <v>651</v>
      </c>
      <c r="F1354" s="7"/>
      <c r="G1354" s="7"/>
      <c r="H1354" s="7"/>
      <c r="I1354" s="7"/>
      <c r="J1354" s="7"/>
      <c r="K1354" s="7"/>
      <c r="L1354" s="7" t="s">
        <v>662</v>
      </c>
      <c r="M1354" s="8">
        <v>44440</v>
      </c>
      <c r="N1354" s="8">
        <v>44440</v>
      </c>
      <c r="O1354" s="13">
        <v>23809.52</v>
      </c>
      <c r="P1354" s="13"/>
      <c r="Q1354" s="33"/>
      <c r="R1354" s="9"/>
      <c r="S1354" s="9"/>
      <c r="T1354" s="9"/>
      <c r="U1354" s="9"/>
      <c r="X1354" s="15" t="str">
        <f>IF(B1354="",VLOOKUP(A1354,items_lookup!A:B,2,FALSE),B1354)</f>
        <v>02. Item 02</v>
      </c>
      <c r="Y1354" s="15">
        <f t="shared" si="117"/>
        <v>9</v>
      </c>
      <c r="Z1354" s="15">
        <f t="shared" si="117"/>
        <v>9</v>
      </c>
      <c r="AA1354" s="15">
        <f t="shared" si="118"/>
        <v>2021</v>
      </c>
      <c r="AB1354" s="15">
        <f t="shared" si="119"/>
        <v>2021</v>
      </c>
      <c r="AC1354" s="15">
        <f t="shared" si="120"/>
        <v>2021</v>
      </c>
      <c r="AD1354" s="18" t="b">
        <f t="shared" si="121"/>
        <v>1</v>
      </c>
    </row>
    <row r="1355" spans="1:30" ht="15" hidden="1" customHeight="1" x14ac:dyDescent="0.2">
      <c r="A1355" s="7" t="s">
        <v>669</v>
      </c>
      <c r="B1355" s="7"/>
      <c r="C1355" s="2" t="s">
        <v>641</v>
      </c>
      <c r="D1355" s="6" t="s">
        <v>649</v>
      </c>
      <c r="E1355" s="32" t="s">
        <v>651</v>
      </c>
      <c r="F1355" s="7"/>
      <c r="G1355" s="7"/>
      <c r="H1355" s="7"/>
      <c r="I1355" s="7"/>
      <c r="J1355" s="7"/>
      <c r="K1355" s="7"/>
      <c r="L1355" s="7" t="s">
        <v>662</v>
      </c>
      <c r="M1355" s="8">
        <v>44378</v>
      </c>
      <c r="N1355" s="8">
        <v>44378</v>
      </c>
      <c r="O1355" s="13">
        <v>42771190.479999997</v>
      </c>
      <c r="P1355" s="13"/>
      <c r="Q1355" s="33"/>
      <c r="R1355" s="22"/>
      <c r="S1355" s="22"/>
      <c r="T1355" s="22"/>
      <c r="U1355" s="22"/>
      <c r="X1355" s="15" t="str">
        <f>IF(B1355="",VLOOKUP(A1355,items_lookup!A:B,2,FALSE),B1355)</f>
        <v>02. Item 02</v>
      </c>
      <c r="Y1355" s="15">
        <f t="shared" ref="Y1355:Z1406" si="122">MONTH(M1355)</f>
        <v>7</v>
      </c>
      <c r="Z1355" s="15">
        <f t="shared" si="122"/>
        <v>7</v>
      </c>
      <c r="AA1355" s="15">
        <f t="shared" si="118"/>
        <v>2021</v>
      </c>
      <c r="AB1355" s="15">
        <f t="shared" si="119"/>
        <v>2021</v>
      </c>
      <c r="AC1355" s="15">
        <f t="shared" si="120"/>
        <v>2021</v>
      </c>
      <c r="AD1355" s="18" t="b">
        <f t="shared" si="121"/>
        <v>1</v>
      </c>
    </row>
    <row r="1356" spans="1:30" ht="15" hidden="1" customHeight="1" x14ac:dyDescent="0.2">
      <c r="A1356" s="7" t="s">
        <v>689</v>
      </c>
      <c r="B1356" s="7"/>
      <c r="C1356" s="2" t="s">
        <v>641</v>
      </c>
      <c r="D1356" s="6" t="s">
        <v>650</v>
      </c>
      <c r="E1356" s="32" t="s">
        <v>651</v>
      </c>
      <c r="F1356" s="7"/>
      <c r="G1356" s="7"/>
      <c r="H1356" s="7"/>
      <c r="I1356" s="7"/>
      <c r="J1356" s="7"/>
      <c r="K1356" s="7"/>
      <c r="L1356" s="7" t="s">
        <v>662</v>
      </c>
      <c r="M1356" s="8">
        <v>44409</v>
      </c>
      <c r="N1356" s="8">
        <v>44409</v>
      </c>
      <c r="O1356" s="13">
        <v>52619.05</v>
      </c>
      <c r="P1356" s="13"/>
      <c r="Q1356" s="33"/>
      <c r="R1356" s="22"/>
      <c r="S1356" s="22"/>
      <c r="T1356" s="22"/>
      <c r="U1356" s="22"/>
      <c r="X1356" s="15" t="str">
        <f>IF(B1356="",VLOOKUP(A1356,items_lookup!A:B,2,FALSE),B1356)</f>
        <v>04. Item 04</v>
      </c>
      <c r="Y1356" s="15">
        <f t="shared" si="122"/>
        <v>8</v>
      </c>
      <c r="Z1356" s="15">
        <f t="shared" si="122"/>
        <v>8</v>
      </c>
      <c r="AA1356" s="15">
        <f t="shared" si="118"/>
        <v>2021</v>
      </c>
      <c r="AB1356" s="15">
        <f t="shared" si="119"/>
        <v>2021</v>
      </c>
      <c r="AC1356" s="15">
        <f t="shared" si="120"/>
        <v>2021</v>
      </c>
      <c r="AD1356" s="18" t="b">
        <f t="shared" si="121"/>
        <v>1</v>
      </c>
    </row>
    <row r="1357" spans="1:30" ht="15" hidden="1" customHeight="1" x14ac:dyDescent="0.2">
      <c r="A1357" s="7" t="s">
        <v>689</v>
      </c>
      <c r="B1357" s="7"/>
      <c r="C1357" s="2" t="s">
        <v>641</v>
      </c>
      <c r="D1357" s="6" t="s">
        <v>650</v>
      </c>
      <c r="E1357" s="32" t="s">
        <v>651</v>
      </c>
      <c r="F1357" s="7"/>
      <c r="G1357" s="7"/>
      <c r="H1357" s="7"/>
      <c r="I1357" s="7"/>
      <c r="J1357" s="7"/>
      <c r="K1357" s="7"/>
      <c r="L1357" s="7" t="s">
        <v>662</v>
      </c>
      <c r="M1357" s="8">
        <v>44409</v>
      </c>
      <c r="N1357" s="8">
        <v>44409</v>
      </c>
      <c r="O1357" s="13">
        <v>553809.52</v>
      </c>
      <c r="P1357" s="13"/>
      <c r="Q1357" s="33"/>
      <c r="R1357" s="22"/>
      <c r="S1357" s="22"/>
      <c r="T1357" s="22"/>
      <c r="U1357" s="22"/>
      <c r="X1357" s="15" t="str">
        <f>IF(B1357="",VLOOKUP(A1357,items_lookup!A:B,2,FALSE),B1357)</f>
        <v>04. Item 04</v>
      </c>
      <c r="Y1357" s="15">
        <f t="shared" si="122"/>
        <v>8</v>
      </c>
      <c r="Z1357" s="15">
        <f t="shared" si="122"/>
        <v>8</v>
      </c>
      <c r="AA1357" s="15">
        <f t="shared" si="118"/>
        <v>2021</v>
      </c>
      <c r="AB1357" s="15">
        <f t="shared" si="119"/>
        <v>2021</v>
      </c>
      <c r="AC1357" s="15">
        <f t="shared" si="120"/>
        <v>2021</v>
      </c>
      <c r="AD1357" s="18" t="b">
        <f t="shared" si="121"/>
        <v>1</v>
      </c>
    </row>
    <row r="1358" spans="1:30" ht="15" hidden="1" customHeight="1" x14ac:dyDescent="0.2">
      <c r="A1358" s="7" t="s">
        <v>689</v>
      </c>
      <c r="B1358" s="7"/>
      <c r="C1358" s="2" t="s">
        <v>641</v>
      </c>
      <c r="D1358" s="6" t="s">
        <v>649</v>
      </c>
      <c r="E1358" s="32" t="s">
        <v>651</v>
      </c>
      <c r="F1358" s="7"/>
      <c r="G1358" s="7"/>
      <c r="H1358" s="7"/>
      <c r="I1358" s="7"/>
      <c r="J1358" s="7"/>
      <c r="K1358" s="7"/>
      <c r="L1358" s="7" t="s">
        <v>662</v>
      </c>
      <c r="M1358" s="8">
        <v>44440</v>
      </c>
      <c r="N1358" s="8">
        <v>44440</v>
      </c>
      <c r="O1358" s="13">
        <v>58548095.240000002</v>
      </c>
      <c r="P1358" s="13"/>
      <c r="Q1358" s="33"/>
      <c r="R1358" s="22"/>
      <c r="S1358" s="22"/>
      <c r="T1358" s="22"/>
      <c r="U1358" s="22"/>
      <c r="X1358" s="15" t="str">
        <f>IF(B1358="",VLOOKUP(A1358,items_lookup!A:B,2,FALSE),B1358)</f>
        <v>04. Item 04</v>
      </c>
      <c r="Y1358" s="15">
        <f t="shared" si="122"/>
        <v>9</v>
      </c>
      <c r="Z1358" s="15">
        <f t="shared" si="122"/>
        <v>9</v>
      </c>
      <c r="AA1358" s="15">
        <f t="shared" si="118"/>
        <v>2021</v>
      </c>
      <c r="AB1358" s="15">
        <f t="shared" si="119"/>
        <v>2021</v>
      </c>
      <c r="AC1358" s="15">
        <f t="shared" si="120"/>
        <v>2021</v>
      </c>
      <c r="AD1358" s="18" t="b">
        <f t="shared" si="121"/>
        <v>1</v>
      </c>
    </row>
    <row r="1359" spans="1:30" ht="15" hidden="1" customHeight="1" x14ac:dyDescent="0.2">
      <c r="A1359" s="7" t="s">
        <v>670</v>
      </c>
      <c r="B1359" s="7"/>
      <c r="C1359" s="2" t="s">
        <v>641</v>
      </c>
      <c r="D1359" s="6" t="s">
        <v>650</v>
      </c>
      <c r="E1359" s="32" t="s">
        <v>651</v>
      </c>
      <c r="F1359" s="7"/>
      <c r="G1359" s="7"/>
      <c r="H1359" s="7"/>
      <c r="I1359" s="7"/>
      <c r="J1359" s="7"/>
      <c r="K1359" s="7"/>
      <c r="L1359" s="7" t="s">
        <v>662</v>
      </c>
      <c r="M1359" s="8">
        <v>44440</v>
      </c>
      <c r="N1359" s="8">
        <v>44440</v>
      </c>
      <c r="O1359" s="13">
        <v>55238.1</v>
      </c>
      <c r="P1359" s="13"/>
      <c r="Q1359" s="33"/>
      <c r="R1359" s="22"/>
      <c r="S1359" s="22"/>
      <c r="T1359" s="22"/>
      <c r="U1359" s="22"/>
      <c r="X1359" s="15" t="str">
        <f>IF(B1359="",VLOOKUP(A1359,items_lookup!A:B,2,FALSE),B1359)</f>
        <v>04. Item 04</v>
      </c>
      <c r="Y1359" s="15">
        <f t="shared" si="122"/>
        <v>9</v>
      </c>
      <c r="Z1359" s="15">
        <f t="shared" si="122"/>
        <v>9</v>
      </c>
      <c r="AA1359" s="15">
        <f t="shared" si="118"/>
        <v>2021</v>
      </c>
      <c r="AB1359" s="15">
        <f t="shared" si="119"/>
        <v>2021</v>
      </c>
      <c r="AC1359" s="15">
        <f t="shared" si="120"/>
        <v>2021</v>
      </c>
      <c r="AD1359" s="18" t="b">
        <f t="shared" si="121"/>
        <v>1</v>
      </c>
    </row>
    <row r="1360" spans="1:30" ht="15" hidden="1" customHeight="1" x14ac:dyDescent="0.2">
      <c r="A1360" s="7" t="s">
        <v>670</v>
      </c>
      <c r="B1360" s="7"/>
      <c r="C1360" s="2" t="s">
        <v>641</v>
      </c>
      <c r="D1360" s="6" t="s">
        <v>650</v>
      </c>
      <c r="E1360" s="32" t="s">
        <v>651</v>
      </c>
      <c r="F1360" s="7"/>
      <c r="G1360" s="7"/>
      <c r="H1360" s="7"/>
      <c r="I1360" s="7"/>
      <c r="J1360" s="7"/>
      <c r="K1360" s="7"/>
      <c r="L1360" s="7" t="s">
        <v>662</v>
      </c>
      <c r="M1360" s="8">
        <v>44440</v>
      </c>
      <c r="N1360" s="8">
        <v>44440</v>
      </c>
      <c r="O1360" s="13">
        <v>553571.43000000005</v>
      </c>
      <c r="P1360" s="13"/>
      <c r="Q1360" s="33"/>
      <c r="R1360" s="22"/>
      <c r="S1360" s="22"/>
      <c r="T1360" s="22"/>
      <c r="U1360" s="22"/>
      <c r="X1360" s="15" t="str">
        <f>IF(B1360="",VLOOKUP(A1360,items_lookup!A:B,2,FALSE),B1360)</f>
        <v>04. Item 04</v>
      </c>
      <c r="Y1360" s="15">
        <f t="shared" si="122"/>
        <v>9</v>
      </c>
      <c r="Z1360" s="15">
        <f t="shared" si="122"/>
        <v>9</v>
      </c>
      <c r="AA1360" s="15">
        <f t="shared" si="118"/>
        <v>2021</v>
      </c>
      <c r="AB1360" s="15">
        <f t="shared" si="119"/>
        <v>2021</v>
      </c>
      <c r="AC1360" s="15">
        <f t="shared" si="120"/>
        <v>2021</v>
      </c>
      <c r="AD1360" s="18" t="b">
        <f t="shared" si="121"/>
        <v>1</v>
      </c>
    </row>
    <row r="1361" spans="1:30" ht="15" hidden="1" customHeight="1" x14ac:dyDescent="0.2">
      <c r="A1361" s="7" t="s">
        <v>670</v>
      </c>
      <c r="B1361" s="20"/>
      <c r="C1361" s="2" t="s">
        <v>641</v>
      </c>
      <c r="D1361" s="6" t="s">
        <v>649</v>
      </c>
      <c r="E1361" s="32" t="s">
        <v>651</v>
      </c>
      <c r="F1361" s="7"/>
      <c r="G1361" s="7"/>
      <c r="H1361" s="7"/>
      <c r="I1361" s="7"/>
      <c r="J1361" s="7">
        <v>3</v>
      </c>
      <c r="K1361" s="7" t="s">
        <v>660</v>
      </c>
      <c r="L1361" s="7" t="s">
        <v>663</v>
      </c>
      <c r="M1361" s="8">
        <v>44371</v>
      </c>
      <c r="N1361" s="8">
        <v>44383</v>
      </c>
      <c r="O1361" s="13"/>
      <c r="P1361" s="13">
        <v>4.71</v>
      </c>
      <c r="Q1361" s="33"/>
      <c r="R1361" s="22"/>
      <c r="S1361" s="22"/>
      <c r="T1361" s="22"/>
      <c r="U1361" s="22"/>
      <c r="X1361" s="15" t="str">
        <f>IF(B1361="",VLOOKUP(A1361,items_lookup!A:B,2,FALSE),B1361)</f>
        <v>04. Item 04</v>
      </c>
      <c r="Y1361" s="15">
        <f t="shared" si="122"/>
        <v>6</v>
      </c>
      <c r="Z1361" s="15">
        <f t="shared" si="122"/>
        <v>7</v>
      </c>
      <c r="AA1361" s="15">
        <f t="shared" si="118"/>
        <v>2021</v>
      </c>
      <c r="AB1361" s="15">
        <f t="shared" si="119"/>
        <v>2021</v>
      </c>
      <c r="AC1361" s="15">
        <f t="shared" si="120"/>
        <v>2021</v>
      </c>
      <c r="AD1361" s="18" t="b">
        <f t="shared" si="121"/>
        <v>1</v>
      </c>
    </row>
    <row r="1362" spans="1:30" ht="15.75" hidden="1" customHeight="1" x14ac:dyDescent="0.2">
      <c r="A1362" s="7" t="s">
        <v>671</v>
      </c>
      <c r="B1362" s="20"/>
      <c r="C1362" s="2" t="s">
        <v>641</v>
      </c>
      <c r="D1362" s="6" t="s">
        <v>649</v>
      </c>
      <c r="E1362" s="32" t="s">
        <v>651</v>
      </c>
      <c r="F1362" s="7"/>
      <c r="G1362" s="7"/>
      <c r="H1362" s="7"/>
      <c r="I1362" s="7"/>
      <c r="J1362" s="7">
        <v>3</v>
      </c>
      <c r="K1362" s="7" t="s">
        <v>660</v>
      </c>
      <c r="L1362" s="7" t="s">
        <v>663</v>
      </c>
      <c r="M1362" s="8">
        <v>44371</v>
      </c>
      <c r="N1362" s="8">
        <v>44385</v>
      </c>
      <c r="O1362" s="13"/>
      <c r="P1362" s="13">
        <v>7783.95</v>
      </c>
      <c r="Q1362" s="33"/>
      <c r="R1362" s="22"/>
      <c r="S1362" s="22"/>
      <c r="T1362" s="22"/>
      <c r="U1362" s="22"/>
      <c r="X1362" s="15" t="str">
        <f>IF(B1362="",VLOOKUP(A1362,items_lookup!A:B,2,FALSE),B1362)</f>
        <v>05. Item 05</v>
      </c>
      <c r="Y1362" s="15">
        <f t="shared" si="122"/>
        <v>6</v>
      </c>
      <c r="Z1362" s="15">
        <f t="shared" si="122"/>
        <v>7</v>
      </c>
      <c r="AA1362" s="15">
        <f t="shared" si="118"/>
        <v>2021</v>
      </c>
      <c r="AB1362" s="15">
        <f t="shared" si="119"/>
        <v>2021</v>
      </c>
      <c r="AC1362" s="15">
        <f t="shared" si="120"/>
        <v>2021</v>
      </c>
      <c r="AD1362" s="18" t="b">
        <f t="shared" si="121"/>
        <v>1</v>
      </c>
    </row>
    <row r="1363" spans="1:30" ht="15.75" hidden="1" customHeight="1" x14ac:dyDescent="0.2">
      <c r="A1363" s="7" t="s">
        <v>671</v>
      </c>
      <c r="B1363" s="20"/>
      <c r="C1363" s="2" t="s">
        <v>641</v>
      </c>
      <c r="D1363" s="6" t="s">
        <v>649</v>
      </c>
      <c r="E1363" s="32" t="s">
        <v>651</v>
      </c>
      <c r="F1363" s="7"/>
      <c r="G1363" s="7"/>
      <c r="H1363" s="7"/>
      <c r="I1363" s="7"/>
      <c r="J1363" s="7">
        <v>3</v>
      </c>
      <c r="K1363" s="7" t="s">
        <v>660</v>
      </c>
      <c r="L1363" s="7" t="s">
        <v>663</v>
      </c>
      <c r="M1363" s="8">
        <v>44378</v>
      </c>
      <c r="N1363" s="8">
        <v>44386</v>
      </c>
      <c r="O1363" s="13"/>
      <c r="P1363" s="13">
        <v>3445.91</v>
      </c>
      <c r="Q1363" s="33"/>
      <c r="R1363" s="22"/>
      <c r="S1363" s="22"/>
      <c r="T1363" s="22"/>
      <c r="U1363" s="22"/>
      <c r="X1363" s="15" t="str">
        <f>IF(B1363="",VLOOKUP(A1363,items_lookup!A:B,2,FALSE),B1363)</f>
        <v>05. Item 05</v>
      </c>
      <c r="Y1363" s="15">
        <f t="shared" si="122"/>
        <v>7</v>
      </c>
      <c r="Z1363" s="15">
        <f t="shared" si="122"/>
        <v>7</v>
      </c>
      <c r="AA1363" s="15">
        <f t="shared" si="118"/>
        <v>2021</v>
      </c>
      <c r="AB1363" s="15">
        <f t="shared" si="119"/>
        <v>2021</v>
      </c>
      <c r="AC1363" s="15">
        <f t="shared" si="120"/>
        <v>2021</v>
      </c>
      <c r="AD1363" s="18" t="b">
        <f t="shared" si="121"/>
        <v>1</v>
      </c>
    </row>
    <row r="1364" spans="1:30" ht="15.75" hidden="1" customHeight="1" x14ac:dyDescent="0.2">
      <c r="A1364" s="7" t="s">
        <v>671</v>
      </c>
      <c r="B1364" s="7"/>
      <c r="C1364" s="2" t="s">
        <v>641</v>
      </c>
      <c r="D1364" s="6" t="s">
        <v>649</v>
      </c>
      <c r="E1364" s="32" t="s">
        <v>651</v>
      </c>
      <c r="F1364" s="7"/>
      <c r="G1364" s="7"/>
      <c r="H1364" s="7"/>
      <c r="I1364" s="7"/>
      <c r="J1364" s="7"/>
      <c r="K1364" s="7" t="s">
        <v>660</v>
      </c>
      <c r="L1364" s="7" t="s">
        <v>663</v>
      </c>
      <c r="M1364" s="8">
        <v>44378</v>
      </c>
      <c r="N1364" s="8">
        <v>44378</v>
      </c>
      <c r="O1364" s="13"/>
      <c r="P1364" s="13">
        <v>2082.34</v>
      </c>
      <c r="Q1364" s="33"/>
      <c r="R1364" s="22"/>
      <c r="S1364" s="22"/>
      <c r="T1364" s="22"/>
      <c r="U1364" s="22"/>
      <c r="X1364" s="15" t="str">
        <f>IF(B1364="",VLOOKUP(A1364,items_lookup!A:B,2,FALSE),B1364)</f>
        <v>05. Item 05</v>
      </c>
      <c r="Y1364" s="15">
        <f t="shared" si="122"/>
        <v>7</v>
      </c>
      <c r="Z1364" s="15">
        <f t="shared" si="122"/>
        <v>7</v>
      </c>
      <c r="AA1364" s="15">
        <f t="shared" si="118"/>
        <v>2021</v>
      </c>
      <c r="AB1364" s="15">
        <f t="shared" si="119"/>
        <v>2021</v>
      </c>
      <c r="AC1364" s="15">
        <f t="shared" si="120"/>
        <v>2021</v>
      </c>
      <c r="AD1364" s="18" t="b">
        <f t="shared" si="121"/>
        <v>1</v>
      </c>
    </row>
    <row r="1365" spans="1:30" ht="15" hidden="1" customHeight="1" x14ac:dyDescent="0.2">
      <c r="A1365" s="7" t="s">
        <v>672</v>
      </c>
      <c r="B1365" s="7"/>
      <c r="C1365" s="2" t="s">
        <v>641</v>
      </c>
      <c r="D1365" s="6" t="s">
        <v>650</v>
      </c>
      <c r="E1365" s="32" t="s">
        <v>651</v>
      </c>
      <c r="F1365" s="7"/>
      <c r="G1365" s="7"/>
      <c r="H1365" s="7"/>
      <c r="I1365" s="7"/>
      <c r="J1365" s="7">
        <v>4</v>
      </c>
      <c r="K1365" s="7" t="s">
        <v>660</v>
      </c>
      <c r="L1365" s="7" t="s">
        <v>663</v>
      </c>
      <c r="M1365" s="8">
        <v>44371</v>
      </c>
      <c r="N1365" s="8">
        <v>44378</v>
      </c>
      <c r="O1365" s="13"/>
      <c r="P1365" s="13">
        <v>2082.34</v>
      </c>
      <c r="Q1365" s="33"/>
      <c r="R1365" s="22"/>
      <c r="S1365" s="22"/>
      <c r="T1365" s="22"/>
      <c r="U1365" s="22"/>
      <c r="X1365" s="15" t="str">
        <f>IF(B1365="",VLOOKUP(A1365,items_lookup!A:B,2,FALSE),B1365)</f>
        <v>05. Item 05</v>
      </c>
      <c r="Y1365" s="15">
        <f t="shared" si="122"/>
        <v>6</v>
      </c>
      <c r="Z1365" s="15">
        <f t="shared" si="122"/>
        <v>7</v>
      </c>
      <c r="AA1365" s="15">
        <f t="shared" si="118"/>
        <v>2021</v>
      </c>
      <c r="AB1365" s="15">
        <f t="shared" si="119"/>
        <v>2021</v>
      </c>
      <c r="AC1365" s="15">
        <f t="shared" si="120"/>
        <v>2021</v>
      </c>
      <c r="AD1365" s="18" t="b">
        <f t="shared" si="121"/>
        <v>1</v>
      </c>
    </row>
    <row r="1366" spans="1:30" ht="12.6" hidden="1" customHeight="1" x14ac:dyDescent="0.2">
      <c r="A1366" s="7" t="s">
        <v>672</v>
      </c>
      <c r="B1366" s="7"/>
      <c r="C1366" s="2" t="s">
        <v>641</v>
      </c>
      <c r="D1366" s="6" t="s">
        <v>649</v>
      </c>
      <c r="E1366" s="32" t="s">
        <v>651</v>
      </c>
      <c r="F1366" s="7"/>
      <c r="G1366" s="7"/>
      <c r="H1366" s="7"/>
      <c r="I1366" s="7"/>
      <c r="J1366" s="7">
        <v>1</v>
      </c>
      <c r="K1366" s="7" t="s">
        <v>660</v>
      </c>
      <c r="L1366" s="7" t="s">
        <v>663</v>
      </c>
      <c r="M1366" s="8">
        <v>44379</v>
      </c>
      <c r="N1366" s="8">
        <v>44390</v>
      </c>
      <c r="O1366" s="13"/>
      <c r="P1366" s="13">
        <v>67137.320000000007</v>
      </c>
      <c r="Q1366" s="33"/>
      <c r="R1366" s="22"/>
      <c r="S1366" s="22"/>
      <c r="T1366" s="22"/>
      <c r="U1366" s="22"/>
      <c r="X1366" s="15" t="str">
        <f>IF(B1366="",VLOOKUP(A1366,items_lookup!A:B,2,FALSE),B1366)</f>
        <v>05. Item 05</v>
      </c>
      <c r="Y1366" s="15">
        <f t="shared" si="122"/>
        <v>7</v>
      </c>
      <c r="Z1366" s="15">
        <f t="shared" si="122"/>
        <v>7</v>
      </c>
      <c r="AA1366" s="15">
        <f t="shared" si="118"/>
        <v>2021</v>
      </c>
      <c r="AB1366" s="15">
        <f t="shared" si="119"/>
        <v>2021</v>
      </c>
      <c r="AC1366" s="15">
        <f t="shared" si="120"/>
        <v>2021</v>
      </c>
      <c r="AD1366" s="18" t="b">
        <f t="shared" si="121"/>
        <v>1</v>
      </c>
    </row>
    <row r="1367" spans="1:30" ht="11.25" hidden="1" customHeight="1" x14ac:dyDescent="0.2">
      <c r="A1367" s="7" t="s">
        <v>682</v>
      </c>
      <c r="B1367" s="7"/>
      <c r="C1367" s="2" t="s">
        <v>641</v>
      </c>
      <c r="D1367" s="6" t="s">
        <v>649</v>
      </c>
      <c r="E1367" s="32" t="s">
        <v>651</v>
      </c>
      <c r="F1367" s="7"/>
      <c r="G1367" s="7"/>
      <c r="H1367" s="7"/>
      <c r="I1367" s="7"/>
      <c r="J1367" s="7">
        <v>1</v>
      </c>
      <c r="K1367" s="7" t="s">
        <v>660</v>
      </c>
      <c r="L1367" s="7" t="s">
        <v>663</v>
      </c>
      <c r="M1367" s="8">
        <v>44379</v>
      </c>
      <c r="N1367" s="8">
        <v>44391</v>
      </c>
      <c r="O1367" s="13"/>
      <c r="P1367" s="13">
        <v>3095238.1</v>
      </c>
      <c r="Q1367" s="33"/>
      <c r="R1367" s="22"/>
      <c r="S1367" s="22"/>
      <c r="T1367" s="22"/>
      <c r="U1367" s="22"/>
      <c r="X1367" s="15" t="str">
        <f>IF(B1367="",VLOOKUP(A1367,items_lookup!A:B,2,FALSE),B1367)</f>
        <v>06. Item 06</v>
      </c>
      <c r="Y1367" s="15">
        <f t="shared" si="122"/>
        <v>7</v>
      </c>
      <c r="Z1367" s="15">
        <f t="shared" si="122"/>
        <v>7</v>
      </c>
      <c r="AA1367" s="15">
        <f t="shared" si="118"/>
        <v>2021</v>
      </c>
      <c r="AB1367" s="15">
        <f t="shared" si="119"/>
        <v>2021</v>
      </c>
      <c r="AC1367" s="15">
        <f t="shared" si="120"/>
        <v>2021</v>
      </c>
      <c r="AD1367" s="18" t="b">
        <f t="shared" si="121"/>
        <v>1</v>
      </c>
    </row>
    <row r="1368" spans="1:30" ht="15" hidden="1" customHeight="1" x14ac:dyDescent="0.2">
      <c r="A1368" s="7" t="s">
        <v>682</v>
      </c>
      <c r="B1368" s="20"/>
      <c r="C1368" s="2" t="s">
        <v>641</v>
      </c>
      <c r="D1368" s="6" t="s">
        <v>649</v>
      </c>
      <c r="E1368" s="32" t="s">
        <v>651</v>
      </c>
      <c r="F1368" s="7"/>
      <c r="G1368" s="7"/>
      <c r="H1368" s="7"/>
      <c r="I1368" s="7"/>
      <c r="J1368" s="7">
        <v>1</v>
      </c>
      <c r="K1368" s="7" t="s">
        <v>660</v>
      </c>
      <c r="L1368" s="7" t="s">
        <v>663</v>
      </c>
      <c r="M1368" s="8">
        <v>44379</v>
      </c>
      <c r="N1368" s="8">
        <v>44393</v>
      </c>
      <c r="O1368" s="13"/>
      <c r="P1368" s="13">
        <v>163969.01999999999</v>
      </c>
      <c r="Q1368" s="33"/>
      <c r="R1368" s="22"/>
      <c r="S1368" s="22"/>
      <c r="T1368" s="22"/>
      <c r="U1368" s="22"/>
      <c r="X1368" s="15" t="str">
        <f>IF(B1368="",VLOOKUP(A1368,items_lookup!A:B,2,FALSE),B1368)</f>
        <v>06. Item 06</v>
      </c>
      <c r="Y1368" s="15">
        <f t="shared" si="122"/>
        <v>7</v>
      </c>
      <c r="Z1368" s="15">
        <f t="shared" si="122"/>
        <v>7</v>
      </c>
      <c r="AA1368" s="15">
        <f t="shared" si="118"/>
        <v>2021</v>
      </c>
      <c r="AB1368" s="15">
        <f t="shared" si="119"/>
        <v>2021</v>
      </c>
      <c r="AC1368" s="15">
        <f t="shared" si="120"/>
        <v>2021</v>
      </c>
      <c r="AD1368" s="18" t="b">
        <f t="shared" si="121"/>
        <v>1</v>
      </c>
    </row>
    <row r="1369" spans="1:30" ht="15.75" hidden="1" customHeight="1" x14ac:dyDescent="0.2">
      <c r="A1369" s="7" t="s">
        <v>682</v>
      </c>
      <c r="B1369" s="7"/>
      <c r="C1369" s="2" t="s">
        <v>641</v>
      </c>
      <c r="D1369" s="6" t="s">
        <v>649</v>
      </c>
      <c r="E1369" s="32" t="s">
        <v>651</v>
      </c>
      <c r="F1369" s="7"/>
      <c r="G1369" s="7"/>
      <c r="H1369" s="7"/>
      <c r="I1369" s="7"/>
      <c r="J1369" s="7"/>
      <c r="K1369" s="7" t="s">
        <v>660</v>
      </c>
      <c r="L1369" s="7" t="s">
        <v>663</v>
      </c>
      <c r="M1369" s="8">
        <v>44379</v>
      </c>
      <c r="N1369" s="8">
        <v>44379</v>
      </c>
      <c r="O1369" s="13"/>
      <c r="P1369" s="13">
        <v>35631.81</v>
      </c>
      <c r="Q1369" s="33"/>
      <c r="R1369" s="22"/>
      <c r="S1369" s="22"/>
      <c r="T1369" s="22"/>
      <c r="U1369" s="22"/>
      <c r="X1369" s="15" t="str">
        <f>IF(B1369="",VLOOKUP(A1369,items_lookup!A:B,2,FALSE),B1369)</f>
        <v>06. Item 06</v>
      </c>
      <c r="Y1369" s="15">
        <f t="shared" si="122"/>
        <v>7</v>
      </c>
      <c r="Z1369" s="15">
        <f t="shared" si="122"/>
        <v>7</v>
      </c>
      <c r="AA1369" s="15">
        <f t="shared" si="118"/>
        <v>2021</v>
      </c>
      <c r="AB1369" s="15">
        <f t="shared" si="119"/>
        <v>2021</v>
      </c>
      <c r="AC1369" s="15">
        <f t="shared" si="120"/>
        <v>2021</v>
      </c>
      <c r="AD1369" s="18" t="b">
        <f t="shared" si="121"/>
        <v>1</v>
      </c>
    </row>
    <row r="1370" spans="1:30" ht="15" hidden="1" customHeight="1" x14ac:dyDescent="0.2">
      <c r="A1370" s="7" t="s">
        <v>673</v>
      </c>
      <c r="B1370" s="20"/>
      <c r="C1370" s="2" t="s">
        <v>641</v>
      </c>
      <c r="D1370" s="6" t="s">
        <v>649</v>
      </c>
      <c r="E1370" s="32" t="s">
        <v>651</v>
      </c>
      <c r="F1370" s="7"/>
      <c r="G1370" s="7"/>
      <c r="H1370" s="7"/>
      <c r="I1370" s="7" t="s">
        <v>20</v>
      </c>
      <c r="J1370" s="7">
        <v>1</v>
      </c>
      <c r="K1370" s="7" t="s">
        <v>660</v>
      </c>
      <c r="L1370" s="7" t="s">
        <v>663</v>
      </c>
      <c r="M1370" s="8">
        <v>44379</v>
      </c>
      <c r="N1370" s="8">
        <v>44393</v>
      </c>
      <c r="O1370" s="13"/>
      <c r="P1370" s="13">
        <v>15140.28</v>
      </c>
      <c r="Q1370" s="33"/>
      <c r="R1370" s="9"/>
      <c r="S1370" s="9"/>
      <c r="T1370" s="9"/>
      <c r="U1370" s="9"/>
      <c r="X1370" s="15" t="str">
        <f>IF(B1370="",VLOOKUP(A1370,items_lookup!A:B,2,FALSE),B1370)</f>
        <v>07. Item 07</v>
      </c>
      <c r="Y1370" s="15">
        <f t="shared" si="122"/>
        <v>7</v>
      </c>
      <c r="Z1370" s="15">
        <f t="shared" si="122"/>
        <v>7</v>
      </c>
      <c r="AA1370" s="15">
        <f t="shared" si="118"/>
        <v>2021</v>
      </c>
      <c r="AB1370" s="15">
        <f t="shared" si="119"/>
        <v>2021</v>
      </c>
      <c r="AC1370" s="15">
        <f t="shared" si="120"/>
        <v>2021</v>
      </c>
      <c r="AD1370" s="18" t="b">
        <f t="shared" si="121"/>
        <v>1</v>
      </c>
    </row>
    <row r="1371" spans="1:30" ht="15" hidden="1" customHeight="1" x14ac:dyDescent="0.2">
      <c r="A1371" s="7" t="s">
        <v>673</v>
      </c>
      <c r="B1371" s="20"/>
      <c r="C1371" s="2" t="s">
        <v>641</v>
      </c>
      <c r="D1371" s="6" t="s">
        <v>649</v>
      </c>
      <c r="E1371" s="32" t="s">
        <v>651</v>
      </c>
      <c r="F1371" s="7"/>
      <c r="G1371" s="7"/>
      <c r="H1371" s="7"/>
      <c r="I1371" s="7"/>
      <c r="J1371" s="7">
        <v>1</v>
      </c>
      <c r="K1371" s="7" t="s">
        <v>660</v>
      </c>
      <c r="L1371" s="7" t="s">
        <v>663</v>
      </c>
      <c r="M1371" s="8">
        <v>44379</v>
      </c>
      <c r="N1371" s="8">
        <v>44393</v>
      </c>
      <c r="O1371" s="13"/>
      <c r="P1371" s="13">
        <v>1189.6400000000001</v>
      </c>
      <c r="Q1371" s="33"/>
      <c r="R1371" s="9"/>
      <c r="S1371" s="9"/>
      <c r="T1371" s="9"/>
      <c r="U1371" s="9"/>
      <c r="X1371" s="15" t="str">
        <f>IF(B1371="",VLOOKUP(A1371,items_lookup!A:B,2,FALSE),B1371)</f>
        <v>07. Item 07</v>
      </c>
      <c r="Y1371" s="15">
        <f t="shared" si="122"/>
        <v>7</v>
      </c>
      <c r="Z1371" s="15">
        <f t="shared" si="122"/>
        <v>7</v>
      </c>
      <c r="AA1371" s="15">
        <f t="shared" si="118"/>
        <v>2021</v>
      </c>
      <c r="AB1371" s="15">
        <f t="shared" si="119"/>
        <v>2021</v>
      </c>
      <c r="AC1371" s="15">
        <f t="shared" si="120"/>
        <v>2021</v>
      </c>
      <c r="AD1371" s="18" t="b">
        <f t="shared" si="121"/>
        <v>1</v>
      </c>
    </row>
    <row r="1372" spans="1:30" ht="15" hidden="1" customHeight="1" x14ac:dyDescent="0.2">
      <c r="A1372" s="7" t="s">
        <v>673</v>
      </c>
      <c r="B1372" s="7"/>
      <c r="C1372" s="2" t="s">
        <v>641</v>
      </c>
      <c r="D1372" s="6" t="s">
        <v>649</v>
      </c>
      <c r="E1372" s="32" t="s">
        <v>651</v>
      </c>
      <c r="F1372" s="7"/>
      <c r="G1372" s="7"/>
      <c r="H1372" s="7"/>
      <c r="I1372" s="7" t="s">
        <v>20</v>
      </c>
      <c r="J1372" s="7">
        <v>1</v>
      </c>
      <c r="K1372" s="7" t="s">
        <v>660</v>
      </c>
      <c r="L1372" s="7" t="s">
        <v>663</v>
      </c>
      <c r="M1372" s="8">
        <v>44379</v>
      </c>
      <c r="N1372" s="8">
        <v>44391</v>
      </c>
      <c r="O1372" s="13"/>
      <c r="P1372" s="13">
        <v>11439.3</v>
      </c>
      <c r="Q1372" s="33"/>
      <c r="R1372" s="22"/>
      <c r="S1372" s="22"/>
      <c r="T1372" s="22"/>
      <c r="U1372" s="22"/>
      <c r="X1372" s="15" t="str">
        <f>IF(B1372="",VLOOKUP(A1372,items_lookup!A:B,2,FALSE),B1372)</f>
        <v>07. Item 07</v>
      </c>
      <c r="Y1372" s="15">
        <f t="shared" si="122"/>
        <v>7</v>
      </c>
      <c r="Z1372" s="15">
        <f t="shared" si="122"/>
        <v>7</v>
      </c>
      <c r="AA1372" s="15">
        <f t="shared" si="118"/>
        <v>2021</v>
      </c>
      <c r="AB1372" s="15">
        <f t="shared" si="119"/>
        <v>2021</v>
      </c>
      <c r="AC1372" s="15">
        <f t="shared" si="120"/>
        <v>2021</v>
      </c>
      <c r="AD1372" s="18" t="b">
        <f t="shared" si="121"/>
        <v>1</v>
      </c>
    </row>
    <row r="1373" spans="1:30" ht="15" hidden="1" customHeight="1" x14ac:dyDescent="0.2">
      <c r="A1373" s="7" t="s">
        <v>674</v>
      </c>
      <c r="B1373" s="7"/>
      <c r="C1373" s="2" t="s">
        <v>641</v>
      </c>
      <c r="D1373" s="6" t="s">
        <v>649</v>
      </c>
      <c r="E1373" s="32" t="s">
        <v>651</v>
      </c>
      <c r="F1373" s="7"/>
      <c r="G1373" s="7"/>
      <c r="H1373" s="7"/>
      <c r="I1373" s="7"/>
      <c r="J1373" s="7">
        <v>1</v>
      </c>
      <c r="K1373" s="7" t="s">
        <v>660</v>
      </c>
      <c r="L1373" s="7" t="s">
        <v>663</v>
      </c>
      <c r="M1373" s="8">
        <v>44379</v>
      </c>
      <c r="N1373" s="8">
        <v>44386</v>
      </c>
      <c r="O1373" s="13"/>
      <c r="P1373" s="13">
        <v>5693.97</v>
      </c>
      <c r="Q1373" s="33"/>
      <c r="X1373" s="15" t="str">
        <f>IF(B1373="",VLOOKUP(A1373,items_lookup!A:B,2,FALSE),B1373)</f>
        <v>08. Item 08</v>
      </c>
      <c r="Y1373" s="15">
        <f t="shared" si="122"/>
        <v>7</v>
      </c>
      <c r="Z1373" s="15">
        <f t="shared" si="122"/>
        <v>7</v>
      </c>
      <c r="AA1373" s="15">
        <f t="shared" si="118"/>
        <v>2021</v>
      </c>
      <c r="AB1373" s="15">
        <f t="shared" si="119"/>
        <v>2021</v>
      </c>
      <c r="AC1373" s="15">
        <f t="shared" si="120"/>
        <v>2021</v>
      </c>
      <c r="AD1373" s="18" t="b">
        <f t="shared" si="121"/>
        <v>1</v>
      </c>
    </row>
    <row r="1374" spans="1:30" ht="14.25" hidden="1" customHeight="1" x14ac:dyDescent="0.2">
      <c r="A1374" s="7" t="s">
        <v>674</v>
      </c>
      <c r="B1374" s="7"/>
      <c r="C1374" s="2" t="s">
        <v>641</v>
      </c>
      <c r="D1374" s="6" t="s">
        <v>649</v>
      </c>
      <c r="E1374" s="32" t="s">
        <v>651</v>
      </c>
      <c r="F1374" s="7"/>
      <c r="G1374" s="7"/>
      <c r="H1374" s="7"/>
      <c r="I1374" s="7"/>
      <c r="J1374" s="7">
        <v>1</v>
      </c>
      <c r="K1374" s="7" t="s">
        <v>660</v>
      </c>
      <c r="L1374" s="7" t="s">
        <v>663</v>
      </c>
      <c r="M1374" s="8">
        <v>44379</v>
      </c>
      <c r="N1374" s="8">
        <v>44389</v>
      </c>
      <c r="O1374" s="13"/>
      <c r="P1374" s="13">
        <v>25092.95</v>
      </c>
      <c r="Q1374" s="33"/>
      <c r="X1374" s="15" t="str">
        <f>IF(B1374="",VLOOKUP(A1374,items_lookup!A:B,2,FALSE),B1374)</f>
        <v>08. Item 08</v>
      </c>
      <c r="Y1374" s="15">
        <f t="shared" si="122"/>
        <v>7</v>
      </c>
      <c r="Z1374" s="15">
        <f t="shared" si="122"/>
        <v>7</v>
      </c>
      <c r="AA1374" s="15">
        <f t="shared" si="118"/>
        <v>2021</v>
      </c>
      <c r="AB1374" s="15">
        <f t="shared" si="119"/>
        <v>2021</v>
      </c>
      <c r="AC1374" s="15">
        <f t="shared" si="120"/>
        <v>2021</v>
      </c>
      <c r="AD1374" s="18" t="b">
        <f t="shared" si="121"/>
        <v>1</v>
      </c>
    </row>
    <row r="1375" spans="1:30" ht="14.25" hidden="1" customHeight="1" x14ac:dyDescent="0.2">
      <c r="A1375" s="7" t="s">
        <v>674</v>
      </c>
      <c r="B1375" s="7"/>
      <c r="C1375" s="2" t="s">
        <v>641</v>
      </c>
      <c r="D1375" s="6" t="s">
        <v>649</v>
      </c>
      <c r="E1375" s="32" t="s">
        <v>651</v>
      </c>
      <c r="F1375" s="7"/>
      <c r="G1375" s="7"/>
      <c r="H1375" s="7"/>
      <c r="I1375" s="7"/>
      <c r="J1375" s="7">
        <v>1</v>
      </c>
      <c r="K1375" s="7" t="s">
        <v>660</v>
      </c>
      <c r="L1375" s="7" t="s">
        <v>663</v>
      </c>
      <c r="M1375" s="8">
        <v>44379</v>
      </c>
      <c r="N1375" s="8">
        <v>44390</v>
      </c>
      <c r="O1375" s="13"/>
      <c r="P1375" s="13">
        <v>27049.01</v>
      </c>
      <c r="Q1375" s="33"/>
      <c r="X1375" s="15" t="str">
        <f>IF(B1375="",VLOOKUP(A1375,items_lookup!A:B,2,FALSE),B1375)</f>
        <v>08. Item 08</v>
      </c>
      <c r="Y1375" s="15">
        <f t="shared" si="122"/>
        <v>7</v>
      </c>
      <c r="Z1375" s="15">
        <f t="shared" si="122"/>
        <v>7</v>
      </c>
      <c r="AA1375" s="15">
        <f t="shared" si="118"/>
        <v>2021</v>
      </c>
      <c r="AB1375" s="15">
        <f t="shared" si="119"/>
        <v>2021</v>
      </c>
      <c r="AC1375" s="15">
        <f t="shared" si="120"/>
        <v>2021</v>
      </c>
      <c r="AD1375" s="18" t="b">
        <f t="shared" si="121"/>
        <v>1</v>
      </c>
    </row>
    <row r="1376" spans="1:30" ht="12.6" hidden="1" customHeight="1" x14ac:dyDescent="0.2">
      <c r="A1376" s="7" t="s">
        <v>677</v>
      </c>
      <c r="B1376" s="20"/>
      <c r="C1376" s="2" t="s">
        <v>641</v>
      </c>
      <c r="D1376" s="6" t="s">
        <v>649</v>
      </c>
      <c r="E1376" s="32" t="s">
        <v>651</v>
      </c>
      <c r="F1376" s="7"/>
      <c r="G1376" s="7"/>
      <c r="H1376" s="7"/>
      <c r="I1376" s="7" t="s">
        <v>20</v>
      </c>
      <c r="J1376" s="7">
        <v>1</v>
      </c>
      <c r="K1376" s="7" t="s">
        <v>660</v>
      </c>
      <c r="L1376" s="7" t="s">
        <v>663</v>
      </c>
      <c r="M1376" s="8">
        <v>44379</v>
      </c>
      <c r="N1376" s="8">
        <v>44391</v>
      </c>
      <c r="O1376" s="13"/>
      <c r="P1376" s="13">
        <v>1114.06</v>
      </c>
      <c r="Q1376" s="33"/>
      <c r="R1376" s="9"/>
      <c r="S1376" s="9"/>
      <c r="T1376" s="9"/>
      <c r="U1376" s="9"/>
      <c r="X1376" s="15" t="str">
        <f>IF(B1376="",VLOOKUP(A1376,items_lookup!A:B,2,FALSE),B1376)</f>
        <v>11. Item 11</v>
      </c>
      <c r="Y1376" s="15">
        <f t="shared" si="122"/>
        <v>7</v>
      </c>
      <c r="Z1376" s="15">
        <f t="shared" si="122"/>
        <v>7</v>
      </c>
      <c r="AA1376" s="15">
        <f t="shared" si="118"/>
        <v>2021</v>
      </c>
      <c r="AB1376" s="15">
        <f t="shared" si="119"/>
        <v>2021</v>
      </c>
      <c r="AC1376" s="15">
        <f t="shared" si="120"/>
        <v>2021</v>
      </c>
      <c r="AD1376" s="18" t="b">
        <f t="shared" si="121"/>
        <v>1</v>
      </c>
    </row>
    <row r="1377" spans="1:30" ht="15" hidden="1" customHeight="1" x14ac:dyDescent="0.2">
      <c r="A1377" s="7" t="s">
        <v>677</v>
      </c>
      <c r="B1377" s="20"/>
      <c r="C1377" s="2" t="s">
        <v>641</v>
      </c>
      <c r="D1377" s="6" t="s">
        <v>649</v>
      </c>
      <c r="E1377" s="32" t="s">
        <v>651</v>
      </c>
      <c r="F1377" s="7"/>
      <c r="G1377" s="7"/>
      <c r="H1377" s="7"/>
      <c r="I1377" s="7"/>
      <c r="J1377" s="7">
        <v>1</v>
      </c>
      <c r="K1377" s="7" t="s">
        <v>660</v>
      </c>
      <c r="L1377" s="7" t="s">
        <v>663</v>
      </c>
      <c r="M1377" s="8">
        <v>44379</v>
      </c>
      <c r="N1377" s="8">
        <v>44391</v>
      </c>
      <c r="O1377" s="13"/>
      <c r="P1377" s="13">
        <v>119246.87</v>
      </c>
      <c r="Q1377" s="33"/>
      <c r="R1377" s="9"/>
      <c r="S1377" s="9"/>
      <c r="T1377" s="9"/>
      <c r="U1377" s="9"/>
      <c r="X1377" s="15" t="str">
        <f>IF(B1377="",VLOOKUP(A1377,items_lookup!A:B,2,FALSE),B1377)</f>
        <v>11. Item 11</v>
      </c>
      <c r="Y1377" s="15">
        <f t="shared" si="122"/>
        <v>7</v>
      </c>
      <c r="Z1377" s="15">
        <f t="shared" si="122"/>
        <v>7</v>
      </c>
      <c r="AA1377" s="15">
        <f t="shared" si="118"/>
        <v>2021</v>
      </c>
      <c r="AB1377" s="15">
        <f t="shared" si="119"/>
        <v>2021</v>
      </c>
      <c r="AC1377" s="15">
        <f t="shared" si="120"/>
        <v>2021</v>
      </c>
      <c r="AD1377" s="18" t="b">
        <f t="shared" si="121"/>
        <v>1</v>
      </c>
    </row>
    <row r="1378" spans="1:30" ht="15" hidden="1" customHeight="1" x14ac:dyDescent="0.2">
      <c r="A1378" s="7" t="s">
        <v>677</v>
      </c>
      <c r="B1378" s="7"/>
      <c r="C1378" s="2" t="s">
        <v>641</v>
      </c>
      <c r="D1378" s="6" t="s">
        <v>649</v>
      </c>
      <c r="E1378" s="32" t="s">
        <v>651</v>
      </c>
      <c r="F1378" s="7"/>
      <c r="G1378" s="7"/>
      <c r="H1378" s="7"/>
      <c r="I1378" s="7"/>
      <c r="J1378" s="7"/>
      <c r="K1378" s="7" t="s">
        <v>660</v>
      </c>
      <c r="L1378" s="7" t="s">
        <v>663</v>
      </c>
      <c r="M1378" s="8">
        <v>44383</v>
      </c>
      <c r="N1378" s="8">
        <v>44398</v>
      </c>
      <c r="O1378" s="13"/>
      <c r="P1378" s="13">
        <v>230.95</v>
      </c>
      <c r="Q1378" s="33"/>
      <c r="X1378" s="15" t="str">
        <f>IF(B1378="",VLOOKUP(A1378,items_lookup!A:B,2,FALSE),B1378)</f>
        <v>11. Item 11</v>
      </c>
      <c r="Y1378" s="15">
        <f t="shared" si="122"/>
        <v>7</v>
      </c>
      <c r="Z1378" s="15">
        <f t="shared" si="122"/>
        <v>7</v>
      </c>
      <c r="AA1378" s="15">
        <f t="shared" si="118"/>
        <v>2021</v>
      </c>
      <c r="AB1378" s="15">
        <f t="shared" si="119"/>
        <v>2021</v>
      </c>
      <c r="AC1378" s="15">
        <f t="shared" si="120"/>
        <v>2021</v>
      </c>
      <c r="AD1378" s="18" t="b">
        <f t="shared" si="121"/>
        <v>1</v>
      </c>
    </row>
    <row r="1379" spans="1:30" ht="14.25" hidden="1" customHeight="1" x14ac:dyDescent="0.2">
      <c r="A1379" s="7" t="s">
        <v>690</v>
      </c>
      <c r="B1379" s="7"/>
      <c r="C1379" s="2" t="s">
        <v>641</v>
      </c>
      <c r="D1379" s="6" t="s">
        <v>649</v>
      </c>
      <c r="E1379" s="32" t="s">
        <v>651</v>
      </c>
      <c r="F1379" s="7"/>
      <c r="G1379" s="7"/>
      <c r="H1379" s="7"/>
      <c r="I1379" s="7"/>
      <c r="J1379" s="7"/>
      <c r="K1379" s="7" t="s">
        <v>660</v>
      </c>
      <c r="L1379" s="7" t="s">
        <v>663</v>
      </c>
      <c r="M1379" s="8">
        <v>44383</v>
      </c>
      <c r="N1379" s="8">
        <v>44383</v>
      </c>
      <c r="O1379" s="13"/>
      <c r="P1379" s="13">
        <v>4.71</v>
      </c>
      <c r="Q1379" s="33"/>
      <c r="R1379" s="22"/>
      <c r="S1379" s="22"/>
      <c r="T1379" s="22"/>
      <c r="U1379" s="22"/>
      <c r="X1379" s="15" t="str">
        <f>IF(B1379="",VLOOKUP(A1379,items_lookup!A:B,2,FALSE),B1379)</f>
        <v>21. Item 21</v>
      </c>
      <c r="Y1379" s="15">
        <f t="shared" si="122"/>
        <v>7</v>
      </c>
      <c r="Z1379" s="15">
        <f t="shared" si="122"/>
        <v>7</v>
      </c>
      <c r="AA1379" s="15">
        <f t="shared" si="118"/>
        <v>2021</v>
      </c>
      <c r="AB1379" s="15">
        <f t="shared" si="119"/>
        <v>2021</v>
      </c>
      <c r="AC1379" s="15">
        <f t="shared" si="120"/>
        <v>2021</v>
      </c>
      <c r="AD1379" s="18" t="b">
        <f t="shared" si="121"/>
        <v>1</v>
      </c>
    </row>
    <row r="1380" spans="1:30" ht="15" hidden="1" customHeight="1" x14ac:dyDescent="0.2">
      <c r="A1380" s="7" t="s">
        <v>690</v>
      </c>
      <c r="B1380" s="7"/>
      <c r="C1380" s="2" t="s">
        <v>641</v>
      </c>
      <c r="D1380" s="6" t="s">
        <v>649</v>
      </c>
      <c r="E1380" s="32" t="s">
        <v>651</v>
      </c>
      <c r="F1380" s="7"/>
      <c r="G1380" s="7"/>
      <c r="H1380" s="7"/>
      <c r="I1380" s="7"/>
      <c r="J1380" s="7">
        <v>1</v>
      </c>
      <c r="K1380" s="7" t="s">
        <v>660</v>
      </c>
      <c r="L1380" s="7" t="s">
        <v>663</v>
      </c>
      <c r="M1380" s="8">
        <v>44382</v>
      </c>
      <c r="N1380" s="8">
        <v>44392</v>
      </c>
      <c r="O1380" s="13"/>
      <c r="P1380" s="13">
        <v>7417.45</v>
      </c>
      <c r="Q1380" s="33"/>
      <c r="R1380" s="22"/>
      <c r="S1380" s="22"/>
      <c r="T1380" s="22"/>
      <c r="U1380" s="22"/>
      <c r="X1380" s="15" t="str">
        <f>IF(B1380="",VLOOKUP(A1380,items_lookup!A:B,2,FALSE),B1380)</f>
        <v>21. Item 21</v>
      </c>
      <c r="Y1380" s="15">
        <f t="shared" si="122"/>
        <v>7</v>
      </c>
      <c r="Z1380" s="15">
        <f t="shared" si="122"/>
        <v>7</v>
      </c>
      <c r="AA1380" s="15">
        <f t="shared" si="118"/>
        <v>2021</v>
      </c>
      <c r="AB1380" s="15">
        <f t="shared" si="119"/>
        <v>2021</v>
      </c>
      <c r="AC1380" s="15">
        <f t="shared" si="120"/>
        <v>2021</v>
      </c>
      <c r="AD1380" s="18" t="b">
        <f t="shared" si="121"/>
        <v>1</v>
      </c>
    </row>
    <row r="1381" spans="1:30" ht="15" hidden="1" customHeight="1" x14ac:dyDescent="0.2">
      <c r="A1381" s="7" t="s">
        <v>690</v>
      </c>
      <c r="B1381" s="7"/>
      <c r="C1381" s="2" t="s">
        <v>641</v>
      </c>
      <c r="D1381" s="6" t="s">
        <v>649</v>
      </c>
      <c r="E1381" s="32" t="s">
        <v>651</v>
      </c>
      <c r="F1381" s="7"/>
      <c r="G1381" s="7"/>
      <c r="H1381" s="7"/>
      <c r="I1381" s="7"/>
      <c r="J1381" s="7"/>
      <c r="K1381" s="7" t="s">
        <v>660</v>
      </c>
      <c r="L1381" s="7" t="s">
        <v>663</v>
      </c>
      <c r="M1381" s="8">
        <v>44384</v>
      </c>
      <c r="N1381" s="8">
        <v>44384</v>
      </c>
      <c r="O1381" s="13"/>
      <c r="P1381" s="13">
        <v>989285.71</v>
      </c>
      <c r="Q1381" s="33"/>
      <c r="R1381" s="22"/>
      <c r="S1381" s="22"/>
      <c r="T1381" s="22"/>
      <c r="U1381" s="22"/>
      <c r="X1381" s="15" t="str">
        <f>IF(B1381="",VLOOKUP(A1381,items_lookup!A:B,2,FALSE),B1381)</f>
        <v>21. Item 21</v>
      </c>
      <c r="Y1381" s="15">
        <f t="shared" si="122"/>
        <v>7</v>
      </c>
      <c r="Z1381" s="15">
        <f t="shared" si="122"/>
        <v>7</v>
      </c>
      <c r="AA1381" s="15">
        <f t="shared" si="118"/>
        <v>2021</v>
      </c>
      <c r="AB1381" s="15">
        <f t="shared" si="119"/>
        <v>2021</v>
      </c>
      <c r="AC1381" s="15">
        <f t="shared" si="120"/>
        <v>2021</v>
      </c>
      <c r="AD1381" s="18" t="b">
        <f t="shared" si="121"/>
        <v>1</v>
      </c>
    </row>
    <row r="1382" spans="1:30" ht="12.6" hidden="1" customHeight="1" x14ac:dyDescent="0.2">
      <c r="A1382" s="7" t="s">
        <v>687</v>
      </c>
      <c r="B1382" s="7"/>
      <c r="C1382" s="2" t="s">
        <v>641</v>
      </c>
      <c r="D1382" s="6" t="s">
        <v>649</v>
      </c>
      <c r="E1382" s="32" t="s">
        <v>651</v>
      </c>
      <c r="F1382" s="7"/>
      <c r="G1382" s="7"/>
      <c r="H1382" s="7"/>
      <c r="I1382" s="7"/>
      <c r="J1382" s="7"/>
      <c r="K1382" s="7"/>
      <c r="L1382" s="7" t="s">
        <v>662</v>
      </c>
      <c r="M1382" s="8">
        <v>44378</v>
      </c>
      <c r="N1382" s="8">
        <v>44378</v>
      </c>
      <c r="O1382" s="13">
        <v>23.81</v>
      </c>
      <c r="P1382" s="13"/>
      <c r="Q1382" s="33"/>
      <c r="R1382" s="22"/>
      <c r="S1382" s="22"/>
      <c r="T1382" s="22"/>
      <c r="U1382" s="22"/>
      <c r="X1382" s="15" t="str">
        <f>IF(B1382="",VLOOKUP(A1382,items_lookup!A:B,2,FALSE),B1382)</f>
        <v>14. Item 14</v>
      </c>
      <c r="Y1382" s="15">
        <f t="shared" si="122"/>
        <v>7</v>
      </c>
      <c r="Z1382" s="15">
        <f t="shared" si="122"/>
        <v>7</v>
      </c>
      <c r="AA1382" s="15">
        <f t="shared" si="118"/>
        <v>2021</v>
      </c>
      <c r="AB1382" s="15">
        <f t="shared" si="119"/>
        <v>2021</v>
      </c>
      <c r="AC1382" s="15">
        <f t="shared" si="120"/>
        <v>2021</v>
      </c>
      <c r="AD1382" s="18" t="b">
        <f t="shared" si="121"/>
        <v>1</v>
      </c>
    </row>
    <row r="1383" spans="1:30" ht="15" hidden="1" customHeight="1" x14ac:dyDescent="0.2">
      <c r="A1383" s="7" t="s">
        <v>687</v>
      </c>
      <c r="B1383" s="20"/>
      <c r="C1383" s="2" t="s">
        <v>641</v>
      </c>
      <c r="D1383" s="6" t="s">
        <v>649</v>
      </c>
      <c r="E1383" s="32" t="s">
        <v>651</v>
      </c>
      <c r="F1383" s="7"/>
      <c r="G1383" s="7"/>
      <c r="H1383" s="7"/>
      <c r="I1383" s="7"/>
      <c r="J1383" s="7">
        <v>3</v>
      </c>
      <c r="K1383" s="7" t="s">
        <v>660</v>
      </c>
      <c r="L1383" s="7" t="s">
        <v>663</v>
      </c>
      <c r="M1383" s="8">
        <v>44378</v>
      </c>
      <c r="N1383" s="8">
        <v>44393</v>
      </c>
      <c r="O1383" s="13"/>
      <c r="P1383" s="13">
        <v>6941.46</v>
      </c>
      <c r="Q1383" s="33"/>
      <c r="R1383" s="22"/>
      <c r="S1383" s="22"/>
      <c r="T1383" s="22"/>
      <c r="U1383" s="22"/>
      <c r="X1383" s="15" t="str">
        <f>IF(B1383="",VLOOKUP(A1383,items_lookup!A:B,2,FALSE),B1383)</f>
        <v>14. Item 14</v>
      </c>
      <c r="Y1383" s="15">
        <f t="shared" si="122"/>
        <v>7</v>
      </c>
      <c r="Z1383" s="15">
        <f t="shared" si="122"/>
        <v>7</v>
      </c>
      <c r="AA1383" s="15">
        <f t="shared" si="118"/>
        <v>2021</v>
      </c>
      <c r="AB1383" s="15">
        <f t="shared" si="119"/>
        <v>2021</v>
      </c>
      <c r="AC1383" s="15">
        <f t="shared" si="120"/>
        <v>2021</v>
      </c>
      <c r="AD1383" s="18" t="b">
        <f t="shared" si="121"/>
        <v>1</v>
      </c>
    </row>
    <row r="1384" spans="1:30" ht="15.75" hidden="1" customHeight="1" x14ac:dyDescent="0.2">
      <c r="A1384" s="7" t="s">
        <v>687</v>
      </c>
      <c r="B1384" s="20"/>
      <c r="C1384" s="2" t="s">
        <v>641</v>
      </c>
      <c r="D1384" s="6" t="s">
        <v>649</v>
      </c>
      <c r="E1384" s="32" t="s">
        <v>651</v>
      </c>
      <c r="F1384" s="7"/>
      <c r="G1384" s="7"/>
      <c r="H1384" s="7"/>
      <c r="I1384" s="7"/>
      <c r="J1384" s="7">
        <v>3</v>
      </c>
      <c r="K1384" s="7" t="s">
        <v>660</v>
      </c>
      <c r="L1384" s="7" t="s">
        <v>663</v>
      </c>
      <c r="M1384" s="8">
        <v>44378</v>
      </c>
      <c r="N1384" s="8">
        <v>44397</v>
      </c>
      <c r="O1384" s="13"/>
      <c r="P1384" s="13">
        <v>49567.85</v>
      </c>
      <c r="Q1384" s="33"/>
      <c r="R1384" s="22"/>
      <c r="S1384" s="22"/>
      <c r="T1384" s="22"/>
      <c r="U1384" s="22"/>
      <c r="X1384" s="15" t="str">
        <f>IF(B1384="",VLOOKUP(A1384,items_lookup!A:B,2,FALSE),B1384)</f>
        <v>14. Item 14</v>
      </c>
      <c r="Y1384" s="15">
        <f t="shared" si="122"/>
        <v>7</v>
      </c>
      <c r="Z1384" s="15">
        <f t="shared" si="122"/>
        <v>7</v>
      </c>
      <c r="AA1384" s="15">
        <f t="shared" si="118"/>
        <v>2021</v>
      </c>
      <c r="AB1384" s="15">
        <f t="shared" si="119"/>
        <v>2021</v>
      </c>
      <c r="AC1384" s="15">
        <f t="shared" si="120"/>
        <v>2021</v>
      </c>
      <c r="AD1384" s="18" t="b">
        <f t="shared" si="121"/>
        <v>1</v>
      </c>
    </row>
    <row r="1385" spans="1:30" ht="15.75" hidden="1" customHeight="1" x14ac:dyDescent="0.2">
      <c r="A1385" s="7" t="s">
        <v>676</v>
      </c>
      <c r="B1385" s="7"/>
      <c r="C1385" s="2" t="s">
        <v>641</v>
      </c>
      <c r="D1385" s="6" t="s">
        <v>649</v>
      </c>
      <c r="E1385" s="32" t="s">
        <v>651</v>
      </c>
      <c r="F1385" s="7"/>
      <c r="G1385" s="7"/>
      <c r="H1385" s="7"/>
      <c r="I1385" s="7"/>
      <c r="J1385" s="7">
        <v>4</v>
      </c>
      <c r="K1385" s="7" t="s">
        <v>660</v>
      </c>
      <c r="L1385" s="7" t="s">
        <v>663</v>
      </c>
      <c r="M1385" s="8">
        <v>44378</v>
      </c>
      <c r="N1385" s="8">
        <v>44405</v>
      </c>
      <c r="O1385" s="13"/>
      <c r="P1385" s="13">
        <v>3551.99</v>
      </c>
      <c r="Q1385" s="33"/>
      <c r="R1385" s="22"/>
      <c r="S1385" s="22"/>
      <c r="T1385" s="22"/>
      <c r="U1385" s="22"/>
      <c r="X1385" s="15" t="str">
        <f>IF(B1385="",VLOOKUP(A1385,items_lookup!A:B,2,FALSE),B1385)</f>
        <v>09. Item 09</v>
      </c>
      <c r="Y1385" s="15">
        <f t="shared" si="122"/>
        <v>7</v>
      </c>
      <c r="Z1385" s="15">
        <f t="shared" si="122"/>
        <v>7</v>
      </c>
      <c r="AA1385" s="15">
        <f t="shared" si="118"/>
        <v>2021</v>
      </c>
      <c r="AB1385" s="15">
        <f t="shared" si="119"/>
        <v>2021</v>
      </c>
      <c r="AC1385" s="15">
        <f t="shared" si="120"/>
        <v>2021</v>
      </c>
      <c r="AD1385" s="18" t="b">
        <f t="shared" si="121"/>
        <v>1</v>
      </c>
    </row>
    <row r="1386" spans="1:30" ht="12.6" hidden="1" customHeight="1" x14ac:dyDescent="0.2">
      <c r="A1386" s="7" t="s">
        <v>676</v>
      </c>
      <c r="B1386" s="7"/>
      <c r="C1386" s="2" t="s">
        <v>641</v>
      </c>
      <c r="D1386" s="6" t="s">
        <v>649</v>
      </c>
      <c r="E1386" s="32" t="s">
        <v>651</v>
      </c>
      <c r="F1386" s="7"/>
      <c r="G1386" s="7"/>
      <c r="H1386" s="7"/>
      <c r="I1386" s="7"/>
      <c r="J1386" s="7">
        <v>4</v>
      </c>
      <c r="K1386" s="7" t="s">
        <v>660</v>
      </c>
      <c r="L1386" s="7" t="s">
        <v>663</v>
      </c>
      <c r="M1386" s="8">
        <v>44389</v>
      </c>
      <c r="N1386" s="8">
        <v>44399</v>
      </c>
      <c r="O1386" s="13"/>
      <c r="P1386" s="13">
        <v>21110.15</v>
      </c>
      <c r="Q1386" s="33"/>
      <c r="R1386" s="22"/>
      <c r="S1386" s="22"/>
      <c r="T1386" s="22"/>
      <c r="U1386" s="22"/>
      <c r="X1386" s="15" t="str">
        <f>IF(B1386="",VLOOKUP(A1386,items_lookup!A:B,2,FALSE),B1386)</f>
        <v>09. Item 09</v>
      </c>
      <c r="Y1386" s="15">
        <f t="shared" si="122"/>
        <v>7</v>
      </c>
      <c r="Z1386" s="15">
        <f t="shared" si="122"/>
        <v>7</v>
      </c>
      <c r="AA1386" s="15">
        <f t="shared" si="118"/>
        <v>2021</v>
      </c>
      <c r="AB1386" s="15">
        <f t="shared" si="119"/>
        <v>2021</v>
      </c>
      <c r="AC1386" s="15">
        <f t="shared" si="120"/>
        <v>2021</v>
      </c>
      <c r="AD1386" s="18" t="b">
        <f t="shared" si="121"/>
        <v>1</v>
      </c>
    </row>
    <row r="1387" spans="1:30" ht="12.6" hidden="1" customHeight="1" x14ac:dyDescent="0.2">
      <c r="A1387" s="7" t="s">
        <v>676</v>
      </c>
      <c r="B1387" s="7"/>
      <c r="C1387" s="2" t="s">
        <v>641</v>
      </c>
      <c r="D1387" s="6" t="s">
        <v>649</v>
      </c>
      <c r="E1387" s="32" t="s">
        <v>651</v>
      </c>
      <c r="F1387" s="7"/>
      <c r="G1387" s="7"/>
      <c r="H1387" s="7"/>
      <c r="I1387" s="7"/>
      <c r="J1387" s="7"/>
      <c r="K1387" s="7" t="s">
        <v>660</v>
      </c>
      <c r="L1387" s="7" t="s">
        <v>663</v>
      </c>
      <c r="M1387" s="8">
        <v>44389</v>
      </c>
      <c r="N1387" s="8">
        <v>44389</v>
      </c>
      <c r="O1387" s="13"/>
      <c r="P1387" s="13">
        <v>25092.95</v>
      </c>
      <c r="Q1387" s="33"/>
      <c r="R1387" s="22"/>
      <c r="S1387" s="22"/>
      <c r="T1387" s="22"/>
      <c r="U1387" s="22"/>
      <c r="X1387" s="15" t="str">
        <f>IF(B1387="",VLOOKUP(A1387,items_lookup!A:B,2,FALSE),B1387)</f>
        <v>09. Item 09</v>
      </c>
      <c r="Y1387" s="15">
        <f t="shared" si="122"/>
        <v>7</v>
      </c>
      <c r="Z1387" s="15">
        <f t="shared" si="122"/>
        <v>7</v>
      </c>
      <c r="AA1387" s="15">
        <f t="shared" si="118"/>
        <v>2021</v>
      </c>
      <c r="AB1387" s="15">
        <f t="shared" si="119"/>
        <v>2021</v>
      </c>
      <c r="AC1387" s="15">
        <f t="shared" si="120"/>
        <v>2021</v>
      </c>
      <c r="AD1387" s="18" t="b">
        <f t="shared" si="121"/>
        <v>1</v>
      </c>
    </row>
    <row r="1388" spans="1:30" ht="15" hidden="1" customHeight="1" x14ac:dyDescent="0.2">
      <c r="A1388" s="7" t="s">
        <v>688</v>
      </c>
      <c r="B1388" s="7"/>
      <c r="C1388" s="2" t="s">
        <v>648</v>
      </c>
      <c r="D1388" s="6" t="s">
        <v>649</v>
      </c>
      <c r="E1388" s="32" t="s">
        <v>651</v>
      </c>
      <c r="F1388" s="7"/>
      <c r="G1388" s="7"/>
      <c r="H1388" s="7"/>
      <c r="I1388" s="7"/>
      <c r="J1388" s="7"/>
      <c r="K1388" s="7"/>
      <c r="L1388" s="7" t="s">
        <v>663</v>
      </c>
      <c r="M1388" s="8">
        <v>44377</v>
      </c>
      <c r="N1388" s="8">
        <v>44377</v>
      </c>
      <c r="O1388" s="13"/>
      <c r="P1388" s="13">
        <v>42615113.75</v>
      </c>
      <c r="Q1388" s="33"/>
      <c r="R1388" s="22"/>
      <c r="S1388" s="22"/>
      <c r="T1388" s="22"/>
      <c r="U1388" s="22"/>
      <c r="X1388" s="15" t="str">
        <f>IF(B1388="",VLOOKUP(A1388,items_lookup!A:B,2,FALSE),B1388)</f>
        <v>09. Item 09</v>
      </c>
      <c r="Y1388" s="15">
        <f t="shared" si="122"/>
        <v>6</v>
      </c>
      <c r="Z1388" s="15">
        <f t="shared" si="122"/>
        <v>6</v>
      </c>
      <c r="AA1388" s="15">
        <f t="shared" si="118"/>
        <v>2021</v>
      </c>
      <c r="AB1388" s="15">
        <f t="shared" si="119"/>
        <v>2021</v>
      </c>
      <c r="AC1388" s="15">
        <f t="shared" si="120"/>
        <v>2021</v>
      </c>
      <c r="AD1388" s="18" t="b">
        <f t="shared" si="121"/>
        <v>1</v>
      </c>
    </row>
    <row r="1389" spans="1:30" ht="15" hidden="1" customHeight="1" x14ac:dyDescent="0.2">
      <c r="A1389" s="7" t="s">
        <v>688</v>
      </c>
      <c r="B1389" s="7"/>
      <c r="C1389" s="2" t="s">
        <v>641</v>
      </c>
      <c r="D1389" s="6" t="s">
        <v>649</v>
      </c>
      <c r="E1389" s="32" t="s">
        <v>651</v>
      </c>
      <c r="F1389" s="7"/>
      <c r="G1389" s="7"/>
      <c r="H1389" s="7"/>
      <c r="I1389" s="7"/>
      <c r="J1389" s="7"/>
      <c r="K1389" s="7" t="s">
        <v>660</v>
      </c>
      <c r="L1389" s="7" t="s">
        <v>663</v>
      </c>
      <c r="M1389" s="8">
        <v>44390</v>
      </c>
      <c r="N1389" s="8">
        <v>44390</v>
      </c>
      <c r="O1389" s="13"/>
      <c r="P1389" s="13">
        <v>97043.47</v>
      </c>
      <c r="Q1389" s="33"/>
      <c r="R1389" s="22"/>
      <c r="S1389" s="22"/>
      <c r="T1389" s="22"/>
      <c r="U1389" s="22"/>
      <c r="X1389" s="15" t="str">
        <f>IF(B1389="",VLOOKUP(A1389,items_lookup!A:B,2,FALSE),B1389)</f>
        <v>09. Item 09</v>
      </c>
      <c r="Y1389" s="15">
        <f t="shared" si="122"/>
        <v>7</v>
      </c>
      <c r="Z1389" s="15">
        <f t="shared" si="122"/>
        <v>7</v>
      </c>
      <c r="AA1389" s="15">
        <f t="shared" si="118"/>
        <v>2021</v>
      </c>
      <c r="AB1389" s="15">
        <f t="shared" si="119"/>
        <v>2021</v>
      </c>
      <c r="AC1389" s="15">
        <f t="shared" si="120"/>
        <v>2021</v>
      </c>
      <c r="AD1389" s="18" t="b">
        <f t="shared" si="121"/>
        <v>1</v>
      </c>
    </row>
    <row r="1390" spans="1:30" ht="15" hidden="1" customHeight="1" x14ac:dyDescent="0.2">
      <c r="A1390" s="7" t="s">
        <v>688</v>
      </c>
      <c r="B1390" s="7"/>
      <c r="C1390" s="2" t="s">
        <v>641</v>
      </c>
      <c r="D1390" s="6" t="s">
        <v>649</v>
      </c>
      <c r="E1390" s="32" t="s">
        <v>651</v>
      </c>
      <c r="F1390" s="7"/>
      <c r="G1390" s="7"/>
      <c r="H1390" s="7"/>
      <c r="I1390" s="7"/>
      <c r="J1390" s="7"/>
      <c r="K1390" s="7" t="s">
        <v>660</v>
      </c>
      <c r="L1390" s="7" t="s">
        <v>663</v>
      </c>
      <c r="M1390" s="8">
        <v>44391</v>
      </c>
      <c r="N1390" s="8">
        <v>44391</v>
      </c>
      <c r="O1390" s="13"/>
      <c r="P1390" s="13">
        <v>3371449.98</v>
      </c>
      <c r="Q1390" s="33"/>
      <c r="R1390" s="22"/>
      <c r="S1390" s="22"/>
      <c r="T1390" s="22"/>
      <c r="U1390" s="22"/>
      <c r="X1390" s="15" t="str">
        <f>IF(B1390="",VLOOKUP(A1390,items_lookup!A:B,2,FALSE),B1390)</f>
        <v>09. Item 09</v>
      </c>
      <c r="Y1390" s="15">
        <f t="shared" si="122"/>
        <v>7</v>
      </c>
      <c r="Z1390" s="15">
        <f t="shared" si="122"/>
        <v>7</v>
      </c>
      <c r="AA1390" s="15">
        <f t="shared" si="118"/>
        <v>2021</v>
      </c>
      <c r="AB1390" s="15">
        <f t="shared" si="119"/>
        <v>2021</v>
      </c>
      <c r="AC1390" s="15">
        <f t="shared" si="120"/>
        <v>2021</v>
      </c>
      <c r="AD1390" s="18" t="b">
        <f t="shared" si="121"/>
        <v>1</v>
      </c>
    </row>
    <row r="1391" spans="1:30" ht="15" hidden="1" customHeight="1" x14ac:dyDescent="0.2">
      <c r="A1391" s="7" t="s">
        <v>675</v>
      </c>
      <c r="B1391" s="7"/>
      <c r="C1391" s="2" t="s">
        <v>641</v>
      </c>
      <c r="D1391" s="6" t="s">
        <v>649</v>
      </c>
      <c r="E1391" s="32" t="s">
        <v>651</v>
      </c>
      <c r="F1391" s="7"/>
      <c r="G1391" s="7"/>
      <c r="H1391" s="7"/>
      <c r="I1391" s="7"/>
      <c r="J1391" s="7">
        <v>3</v>
      </c>
      <c r="K1391" s="7" t="s">
        <v>660</v>
      </c>
      <c r="L1391" s="7" t="s">
        <v>663</v>
      </c>
      <c r="M1391" s="8">
        <v>44392</v>
      </c>
      <c r="N1391" s="8">
        <v>44407</v>
      </c>
      <c r="O1391" s="13"/>
      <c r="P1391" s="13">
        <v>9822136.75</v>
      </c>
      <c r="Q1391" s="33"/>
      <c r="R1391" s="22"/>
      <c r="S1391" s="22"/>
      <c r="T1391" s="22"/>
      <c r="U1391" s="22"/>
      <c r="X1391" s="15" t="str">
        <f>IF(B1391="",VLOOKUP(A1391,items_lookup!A:B,2,FALSE),B1391)</f>
        <v>09. Item 09</v>
      </c>
      <c r="Y1391" s="15">
        <f t="shared" si="122"/>
        <v>7</v>
      </c>
      <c r="Z1391" s="15">
        <f t="shared" si="122"/>
        <v>7</v>
      </c>
      <c r="AA1391" s="15">
        <f t="shared" ref="AA1391:AA1454" si="123">YEAR(N1391)</f>
        <v>2021</v>
      </c>
      <c r="AB1391" s="15">
        <f t="shared" ref="AB1391:AB1454" si="124">YEAR(M1391)</f>
        <v>2021</v>
      </c>
      <c r="AC1391" s="15">
        <f t="shared" ref="AC1391:AC1454" si="125">IF(F1391="X",AA1391-1,AA1391)</f>
        <v>2021</v>
      </c>
      <c r="AD1391" s="18" t="b">
        <f t="shared" si="121"/>
        <v>1</v>
      </c>
    </row>
    <row r="1392" spans="1:30" ht="15" hidden="1" customHeight="1" x14ac:dyDescent="0.2">
      <c r="A1392" s="7" t="s">
        <v>675</v>
      </c>
      <c r="B1392" s="7"/>
      <c r="C1392" s="2" t="s">
        <v>641</v>
      </c>
      <c r="D1392" s="6" t="s">
        <v>649</v>
      </c>
      <c r="E1392" s="32" t="s">
        <v>651</v>
      </c>
      <c r="F1392" s="7"/>
      <c r="G1392" s="7"/>
      <c r="H1392" s="7"/>
      <c r="I1392" s="7"/>
      <c r="J1392" s="7">
        <v>3</v>
      </c>
      <c r="K1392" s="7" t="s">
        <v>660</v>
      </c>
      <c r="L1392" s="7" t="s">
        <v>663</v>
      </c>
      <c r="M1392" s="8">
        <v>44392</v>
      </c>
      <c r="N1392" s="8">
        <v>44407</v>
      </c>
      <c r="O1392" s="13"/>
      <c r="P1392" s="13">
        <v>6268148.2000000002</v>
      </c>
      <c r="Q1392" s="33"/>
      <c r="R1392" s="22"/>
      <c r="S1392" s="22"/>
      <c r="T1392" s="22"/>
      <c r="U1392" s="22"/>
      <c r="X1392" s="15" t="str">
        <f>IF(B1392="",VLOOKUP(A1392,items_lookup!A:B,2,FALSE),B1392)</f>
        <v>09. Item 09</v>
      </c>
      <c r="Y1392" s="15">
        <f t="shared" si="122"/>
        <v>7</v>
      </c>
      <c r="Z1392" s="15">
        <f t="shared" si="122"/>
        <v>7</v>
      </c>
      <c r="AA1392" s="15">
        <f t="shared" si="123"/>
        <v>2021</v>
      </c>
      <c r="AB1392" s="15">
        <f t="shared" si="124"/>
        <v>2021</v>
      </c>
      <c r="AC1392" s="15">
        <f t="shared" si="125"/>
        <v>2021</v>
      </c>
      <c r="AD1392" s="18" t="b">
        <f t="shared" si="121"/>
        <v>1</v>
      </c>
    </row>
    <row r="1393" spans="1:30" ht="12.6" hidden="1" customHeight="1" x14ac:dyDescent="0.2">
      <c r="A1393" s="7" t="s">
        <v>675</v>
      </c>
      <c r="B1393" s="7"/>
      <c r="C1393" s="2" t="s">
        <v>641</v>
      </c>
      <c r="D1393" s="6" t="s">
        <v>649</v>
      </c>
      <c r="E1393" s="32" t="s">
        <v>651</v>
      </c>
      <c r="F1393" s="7"/>
      <c r="G1393" s="7"/>
      <c r="H1393" s="7"/>
      <c r="I1393" s="7"/>
      <c r="J1393" s="7">
        <v>3</v>
      </c>
      <c r="K1393" s="7" t="s">
        <v>660</v>
      </c>
      <c r="L1393" s="7" t="s">
        <v>663</v>
      </c>
      <c r="M1393" s="8">
        <v>44392</v>
      </c>
      <c r="N1393" s="8">
        <v>44404</v>
      </c>
      <c r="O1393" s="13"/>
      <c r="P1393" s="13">
        <v>857281.19</v>
      </c>
      <c r="Q1393" s="33"/>
      <c r="R1393" s="22"/>
      <c r="S1393" s="22"/>
      <c r="T1393" s="22"/>
      <c r="U1393" s="22"/>
      <c r="X1393" s="15" t="str">
        <f>IF(B1393="",VLOOKUP(A1393,items_lookup!A:B,2,FALSE),B1393)</f>
        <v>09. Item 09</v>
      </c>
      <c r="Y1393" s="15">
        <f t="shared" si="122"/>
        <v>7</v>
      </c>
      <c r="Z1393" s="15">
        <f t="shared" si="122"/>
        <v>7</v>
      </c>
      <c r="AA1393" s="15">
        <f t="shared" si="123"/>
        <v>2021</v>
      </c>
      <c r="AB1393" s="15">
        <f t="shared" si="124"/>
        <v>2021</v>
      </c>
      <c r="AC1393" s="15">
        <f t="shared" si="125"/>
        <v>2021</v>
      </c>
      <c r="AD1393" s="18" t="b">
        <f t="shared" si="121"/>
        <v>1</v>
      </c>
    </row>
    <row r="1394" spans="1:30" ht="15" hidden="1" customHeight="1" x14ac:dyDescent="0.2">
      <c r="A1394" s="7" t="s">
        <v>683</v>
      </c>
      <c r="B1394" s="7"/>
      <c r="C1394" s="2" t="s">
        <v>641</v>
      </c>
      <c r="D1394" s="6" t="s">
        <v>649</v>
      </c>
      <c r="E1394" s="32" t="s">
        <v>651</v>
      </c>
      <c r="F1394" s="7"/>
      <c r="G1394" s="7"/>
      <c r="H1394" s="7"/>
      <c r="I1394" s="7"/>
      <c r="J1394" s="7">
        <v>3</v>
      </c>
      <c r="K1394" s="7" t="s">
        <v>660</v>
      </c>
      <c r="L1394" s="7" t="s">
        <v>663</v>
      </c>
      <c r="M1394" s="8">
        <v>44392</v>
      </c>
      <c r="N1394" s="8">
        <v>44404</v>
      </c>
      <c r="O1394" s="13"/>
      <c r="P1394" s="13">
        <v>2845179.14</v>
      </c>
      <c r="Q1394" s="33"/>
      <c r="R1394" s="22"/>
      <c r="S1394" s="22"/>
      <c r="T1394" s="22"/>
      <c r="U1394" s="22"/>
      <c r="X1394" s="15" t="str">
        <f>IF(B1394="",VLOOKUP(A1394,items_lookup!A:B,2,FALSE),B1394)</f>
        <v>_1. Item _1</v>
      </c>
      <c r="Y1394" s="15">
        <f t="shared" si="122"/>
        <v>7</v>
      </c>
      <c r="Z1394" s="15">
        <f t="shared" si="122"/>
        <v>7</v>
      </c>
      <c r="AA1394" s="15">
        <f t="shared" si="123"/>
        <v>2021</v>
      </c>
      <c r="AB1394" s="15">
        <f t="shared" si="124"/>
        <v>2021</v>
      </c>
      <c r="AC1394" s="15">
        <f t="shared" si="125"/>
        <v>2021</v>
      </c>
      <c r="AD1394" s="18" t="b">
        <f t="shared" si="121"/>
        <v>1</v>
      </c>
    </row>
    <row r="1395" spans="1:30" ht="15" hidden="1" customHeight="1" x14ac:dyDescent="0.2">
      <c r="A1395" s="7" t="s">
        <v>683</v>
      </c>
      <c r="B1395" s="20"/>
      <c r="C1395" s="2" t="s">
        <v>641</v>
      </c>
      <c r="D1395" s="6" t="s">
        <v>649</v>
      </c>
      <c r="E1395" s="32" t="s">
        <v>651</v>
      </c>
      <c r="F1395" s="7"/>
      <c r="G1395" s="7"/>
      <c r="H1395" s="7"/>
      <c r="I1395" s="7"/>
      <c r="J1395" s="7">
        <v>3</v>
      </c>
      <c r="K1395" s="7" t="s">
        <v>660</v>
      </c>
      <c r="L1395" s="7" t="s">
        <v>663</v>
      </c>
      <c r="M1395" s="8">
        <v>44392</v>
      </c>
      <c r="N1395" s="8">
        <v>44404</v>
      </c>
      <c r="O1395" s="13"/>
      <c r="P1395" s="13">
        <v>2362.15</v>
      </c>
      <c r="Q1395" s="33"/>
      <c r="R1395" s="9"/>
      <c r="S1395" s="9"/>
      <c r="T1395" s="9"/>
      <c r="U1395" s="9"/>
      <c r="X1395" s="15" t="str">
        <f>IF(B1395="",VLOOKUP(A1395,items_lookup!A:B,2,FALSE),B1395)</f>
        <v>_1. Item _1</v>
      </c>
      <c r="Y1395" s="15">
        <f t="shared" si="122"/>
        <v>7</v>
      </c>
      <c r="Z1395" s="15">
        <f t="shared" si="122"/>
        <v>7</v>
      </c>
      <c r="AA1395" s="15">
        <f t="shared" si="123"/>
        <v>2021</v>
      </c>
      <c r="AB1395" s="15">
        <f t="shared" si="124"/>
        <v>2021</v>
      </c>
      <c r="AC1395" s="15">
        <f t="shared" si="125"/>
        <v>2021</v>
      </c>
      <c r="AD1395" s="18" t="b">
        <f t="shared" si="121"/>
        <v>1</v>
      </c>
    </row>
    <row r="1396" spans="1:30" ht="15" hidden="1" customHeight="1" x14ac:dyDescent="0.2">
      <c r="A1396" s="7" t="s">
        <v>686</v>
      </c>
      <c r="B1396" s="7"/>
      <c r="C1396" s="2" t="s">
        <v>641</v>
      </c>
      <c r="D1396" s="6" t="s">
        <v>649</v>
      </c>
      <c r="E1396" s="32" t="s">
        <v>651</v>
      </c>
      <c r="F1396" s="7"/>
      <c r="G1396" s="7"/>
      <c r="H1396" s="7"/>
      <c r="I1396" s="7"/>
      <c r="J1396" s="7">
        <v>3</v>
      </c>
      <c r="K1396" s="7" t="s">
        <v>660</v>
      </c>
      <c r="L1396" s="7" t="s">
        <v>663</v>
      </c>
      <c r="M1396" s="8">
        <v>44392</v>
      </c>
      <c r="N1396" s="8">
        <v>44403</v>
      </c>
      <c r="O1396" s="13"/>
      <c r="P1396" s="13">
        <v>50873.43</v>
      </c>
      <c r="Q1396" s="33"/>
      <c r="R1396" s="22"/>
      <c r="S1396" s="22"/>
      <c r="T1396" s="22"/>
      <c r="U1396" s="22"/>
      <c r="X1396" s="15" t="str">
        <f>IF(B1396="",VLOOKUP(A1396,items_lookup!A:B,2,FALSE),B1396)</f>
        <v>_2. Item _2</v>
      </c>
      <c r="Y1396" s="15">
        <f t="shared" si="122"/>
        <v>7</v>
      </c>
      <c r="Z1396" s="15">
        <f t="shared" si="122"/>
        <v>7</v>
      </c>
      <c r="AA1396" s="15">
        <f t="shared" si="123"/>
        <v>2021</v>
      </c>
      <c r="AB1396" s="15">
        <f t="shared" si="124"/>
        <v>2021</v>
      </c>
      <c r="AC1396" s="15">
        <f t="shared" si="125"/>
        <v>2021</v>
      </c>
      <c r="AD1396" s="18" t="b">
        <f t="shared" si="121"/>
        <v>1</v>
      </c>
    </row>
    <row r="1397" spans="1:30" ht="16.5" hidden="1" customHeight="1" x14ac:dyDescent="0.2">
      <c r="A1397" s="7" t="s">
        <v>683</v>
      </c>
      <c r="B1397" s="7"/>
      <c r="C1397" s="2" t="s">
        <v>641</v>
      </c>
      <c r="D1397" s="6" t="s">
        <v>649</v>
      </c>
      <c r="E1397" s="32" t="s">
        <v>651</v>
      </c>
      <c r="F1397" s="7"/>
      <c r="G1397" s="7"/>
      <c r="H1397" s="7"/>
      <c r="I1397" s="7"/>
      <c r="J1397" s="7">
        <v>3</v>
      </c>
      <c r="K1397" s="7" t="s">
        <v>660</v>
      </c>
      <c r="L1397" s="7" t="s">
        <v>663</v>
      </c>
      <c r="M1397" s="8">
        <v>44392</v>
      </c>
      <c r="N1397" s="8">
        <v>44404</v>
      </c>
      <c r="O1397" s="13"/>
      <c r="P1397" s="13">
        <v>1004424.04</v>
      </c>
      <c r="Q1397" s="33"/>
      <c r="R1397" s="22"/>
      <c r="S1397" s="22"/>
      <c r="T1397" s="22"/>
      <c r="U1397" s="22"/>
      <c r="X1397" s="15" t="str">
        <f>IF(B1397="",VLOOKUP(A1397,items_lookup!A:B,2,FALSE),B1397)</f>
        <v>_1. Item _1</v>
      </c>
      <c r="Y1397" s="15">
        <f t="shared" si="122"/>
        <v>7</v>
      </c>
      <c r="Z1397" s="15">
        <f t="shared" si="122"/>
        <v>7</v>
      </c>
      <c r="AA1397" s="15">
        <f t="shared" si="123"/>
        <v>2021</v>
      </c>
      <c r="AB1397" s="15">
        <f t="shared" si="124"/>
        <v>2021</v>
      </c>
      <c r="AC1397" s="15">
        <f t="shared" si="125"/>
        <v>2021</v>
      </c>
      <c r="AD1397" s="18" t="b">
        <f t="shared" si="121"/>
        <v>1</v>
      </c>
    </row>
    <row r="1398" spans="1:30" ht="15" hidden="1" customHeight="1" x14ac:dyDescent="0.2">
      <c r="A1398" s="7" t="s">
        <v>683</v>
      </c>
      <c r="B1398" s="7"/>
      <c r="C1398" s="2" t="s">
        <v>641</v>
      </c>
      <c r="D1398" s="6" t="s">
        <v>649</v>
      </c>
      <c r="E1398" s="32" t="s">
        <v>651</v>
      </c>
      <c r="F1398" s="7"/>
      <c r="G1398" s="7"/>
      <c r="H1398" s="7"/>
      <c r="I1398" s="7"/>
      <c r="J1398" s="7">
        <v>3</v>
      </c>
      <c r="K1398" s="7" t="s">
        <v>660</v>
      </c>
      <c r="L1398" s="7" t="s">
        <v>663</v>
      </c>
      <c r="M1398" s="8">
        <v>44392</v>
      </c>
      <c r="N1398" s="8">
        <v>44404</v>
      </c>
      <c r="O1398" s="13"/>
      <c r="P1398" s="13">
        <v>148823.53</v>
      </c>
      <c r="Q1398" s="33"/>
      <c r="R1398" s="22"/>
      <c r="S1398" s="22"/>
      <c r="T1398" s="22"/>
      <c r="U1398" s="22"/>
      <c r="X1398" s="15" t="str">
        <f>IF(B1398="",VLOOKUP(A1398,items_lookup!A:B,2,FALSE),B1398)</f>
        <v>_1. Item _1</v>
      </c>
      <c r="Y1398" s="15">
        <f t="shared" si="122"/>
        <v>7</v>
      </c>
      <c r="Z1398" s="15">
        <f t="shared" si="122"/>
        <v>7</v>
      </c>
      <c r="AA1398" s="15">
        <f t="shared" si="123"/>
        <v>2021</v>
      </c>
      <c r="AB1398" s="15">
        <f t="shared" si="124"/>
        <v>2021</v>
      </c>
      <c r="AC1398" s="15">
        <f t="shared" si="125"/>
        <v>2021</v>
      </c>
      <c r="AD1398" s="18" t="b">
        <f t="shared" si="121"/>
        <v>1</v>
      </c>
    </row>
    <row r="1399" spans="1:30" ht="15" hidden="1" customHeight="1" x14ac:dyDescent="0.2">
      <c r="A1399" s="7" t="s">
        <v>686</v>
      </c>
      <c r="B1399" s="20"/>
      <c r="C1399" s="2" t="s">
        <v>641</v>
      </c>
      <c r="D1399" s="6" t="s">
        <v>649</v>
      </c>
      <c r="E1399" s="32" t="s">
        <v>651</v>
      </c>
      <c r="F1399" s="7"/>
      <c r="G1399" s="7"/>
      <c r="H1399" s="7"/>
      <c r="I1399" s="7" t="s">
        <v>20</v>
      </c>
      <c r="J1399" s="7">
        <v>3</v>
      </c>
      <c r="K1399" s="7" t="s">
        <v>660</v>
      </c>
      <c r="L1399" s="7" t="s">
        <v>663</v>
      </c>
      <c r="M1399" s="8">
        <v>44392</v>
      </c>
      <c r="N1399" s="8">
        <v>44406</v>
      </c>
      <c r="O1399" s="13"/>
      <c r="P1399" s="13">
        <v>463342.86</v>
      </c>
      <c r="Q1399" s="33"/>
      <c r="R1399" s="22"/>
      <c r="S1399" s="22"/>
      <c r="T1399" s="22"/>
      <c r="U1399" s="22"/>
      <c r="X1399" s="15" t="str">
        <f>IF(B1399="",VLOOKUP(A1399,items_lookup!A:B,2,FALSE),B1399)</f>
        <v>_2. Item _2</v>
      </c>
      <c r="Y1399" s="15">
        <f t="shared" si="122"/>
        <v>7</v>
      </c>
      <c r="Z1399" s="15">
        <f t="shared" si="122"/>
        <v>7</v>
      </c>
      <c r="AA1399" s="15">
        <f t="shared" si="123"/>
        <v>2021</v>
      </c>
      <c r="AB1399" s="15">
        <f t="shared" si="124"/>
        <v>2021</v>
      </c>
      <c r="AC1399" s="15">
        <f t="shared" si="125"/>
        <v>2021</v>
      </c>
      <c r="AD1399" s="18" t="b">
        <f t="shared" si="121"/>
        <v>1</v>
      </c>
    </row>
    <row r="1400" spans="1:30" ht="15.75" hidden="1" customHeight="1" x14ac:dyDescent="0.2">
      <c r="A1400" s="7" t="s">
        <v>683</v>
      </c>
      <c r="B1400" s="20"/>
      <c r="C1400" s="2" t="s">
        <v>641</v>
      </c>
      <c r="D1400" s="6" t="s">
        <v>649</v>
      </c>
      <c r="E1400" s="32" t="s">
        <v>651</v>
      </c>
      <c r="F1400" s="7"/>
      <c r="G1400" s="7"/>
      <c r="H1400" s="7"/>
      <c r="I1400" s="7"/>
      <c r="J1400" s="7">
        <v>1</v>
      </c>
      <c r="K1400" s="7" t="s">
        <v>660</v>
      </c>
      <c r="L1400" s="7" t="s">
        <v>663</v>
      </c>
      <c r="M1400" s="8">
        <v>44392</v>
      </c>
      <c r="N1400" s="8">
        <v>44407</v>
      </c>
      <c r="O1400" s="13"/>
      <c r="P1400" s="13">
        <v>1995499.69</v>
      </c>
      <c r="Q1400" s="33"/>
      <c r="R1400" s="22"/>
      <c r="S1400" s="22"/>
      <c r="T1400" s="22"/>
      <c r="U1400" s="22"/>
      <c r="X1400" s="15" t="str">
        <f>IF(B1400="",VLOOKUP(A1400,items_lookup!A:B,2,FALSE),B1400)</f>
        <v>_1. Item _1</v>
      </c>
      <c r="Y1400" s="15">
        <f t="shared" si="122"/>
        <v>7</v>
      </c>
      <c r="Z1400" s="15">
        <f t="shared" si="122"/>
        <v>7</v>
      </c>
      <c r="AA1400" s="15">
        <f t="shared" si="123"/>
        <v>2021</v>
      </c>
      <c r="AB1400" s="15">
        <f t="shared" si="124"/>
        <v>2021</v>
      </c>
      <c r="AC1400" s="15">
        <f t="shared" si="125"/>
        <v>2021</v>
      </c>
      <c r="AD1400" s="18" t="b">
        <f t="shared" si="121"/>
        <v>1</v>
      </c>
    </row>
    <row r="1401" spans="1:30" ht="15.75" hidden="1" customHeight="1" x14ac:dyDescent="0.2">
      <c r="A1401" s="7" t="s">
        <v>683</v>
      </c>
      <c r="B1401" s="20"/>
      <c r="C1401" s="2" t="s">
        <v>641</v>
      </c>
      <c r="D1401" s="6" t="s">
        <v>649</v>
      </c>
      <c r="E1401" s="32" t="s">
        <v>651</v>
      </c>
      <c r="F1401" s="7"/>
      <c r="G1401" s="7"/>
      <c r="H1401" s="7"/>
      <c r="I1401" s="7"/>
      <c r="J1401" s="7">
        <v>3</v>
      </c>
      <c r="K1401" s="7" t="s">
        <v>660</v>
      </c>
      <c r="L1401" s="7" t="s">
        <v>663</v>
      </c>
      <c r="M1401" s="8">
        <v>44392</v>
      </c>
      <c r="N1401" s="8">
        <v>44407</v>
      </c>
      <c r="O1401" s="13"/>
      <c r="P1401" s="13">
        <v>846055.61</v>
      </c>
      <c r="Q1401" s="33"/>
      <c r="R1401" s="22"/>
      <c r="S1401" s="22"/>
      <c r="T1401" s="22"/>
      <c r="U1401" s="22"/>
      <c r="X1401" s="15" t="str">
        <f>IF(B1401="",VLOOKUP(A1401,items_lookup!A:B,2,FALSE),B1401)</f>
        <v>_1. Item _1</v>
      </c>
      <c r="Y1401" s="15">
        <f t="shared" si="122"/>
        <v>7</v>
      </c>
      <c r="Z1401" s="15">
        <f t="shared" si="122"/>
        <v>7</v>
      </c>
      <c r="AA1401" s="15">
        <f t="shared" si="123"/>
        <v>2021</v>
      </c>
      <c r="AB1401" s="15">
        <f t="shared" si="124"/>
        <v>2021</v>
      </c>
      <c r="AC1401" s="15">
        <f t="shared" si="125"/>
        <v>2021</v>
      </c>
      <c r="AD1401" s="18" t="b">
        <f t="shared" si="121"/>
        <v>1</v>
      </c>
    </row>
    <row r="1402" spans="1:30" ht="15.75" hidden="1" customHeight="1" x14ac:dyDescent="0.2">
      <c r="A1402" s="7" t="s">
        <v>686</v>
      </c>
      <c r="B1402" s="20"/>
      <c r="C1402" s="2" t="s">
        <v>641</v>
      </c>
      <c r="D1402" s="6" t="s">
        <v>649</v>
      </c>
      <c r="E1402" s="32" t="s">
        <v>651</v>
      </c>
      <c r="F1402" s="7"/>
      <c r="G1402" s="7"/>
      <c r="H1402" s="7"/>
      <c r="I1402" s="7"/>
      <c r="J1402" s="7">
        <v>3</v>
      </c>
      <c r="K1402" s="7" t="s">
        <v>660</v>
      </c>
      <c r="L1402" s="7" t="s">
        <v>663</v>
      </c>
      <c r="M1402" s="8">
        <v>44392</v>
      </c>
      <c r="N1402" s="8">
        <v>44398</v>
      </c>
      <c r="O1402" s="13"/>
      <c r="P1402" s="13">
        <v>10021.18</v>
      </c>
      <c r="Q1402" s="33"/>
      <c r="R1402" s="22"/>
      <c r="S1402" s="22"/>
      <c r="T1402" s="22"/>
      <c r="U1402" s="22"/>
      <c r="X1402" s="15" t="str">
        <f>IF(B1402="",VLOOKUP(A1402,items_lookup!A:B,2,FALSE),B1402)</f>
        <v>_2. Item _2</v>
      </c>
      <c r="Y1402" s="15">
        <f t="shared" si="122"/>
        <v>7</v>
      </c>
      <c r="Z1402" s="15">
        <f t="shared" si="122"/>
        <v>7</v>
      </c>
      <c r="AA1402" s="15">
        <f t="shared" si="123"/>
        <v>2021</v>
      </c>
      <c r="AB1402" s="15">
        <f t="shared" si="124"/>
        <v>2021</v>
      </c>
      <c r="AC1402" s="15">
        <f t="shared" si="125"/>
        <v>2021</v>
      </c>
      <c r="AD1402" s="18" t="b">
        <f t="shared" si="121"/>
        <v>1</v>
      </c>
    </row>
    <row r="1403" spans="1:30" ht="15.75" hidden="1" customHeight="1" x14ac:dyDescent="0.2">
      <c r="A1403" s="7" t="s">
        <v>675</v>
      </c>
      <c r="B1403" s="20"/>
      <c r="C1403" s="2" t="s">
        <v>641</v>
      </c>
      <c r="D1403" s="6" t="s">
        <v>649</v>
      </c>
      <c r="E1403" s="32" t="s">
        <v>651</v>
      </c>
      <c r="F1403" s="7"/>
      <c r="G1403" s="7"/>
      <c r="H1403" s="7"/>
      <c r="I1403" s="7"/>
      <c r="J1403" s="7">
        <v>3</v>
      </c>
      <c r="K1403" s="7" t="s">
        <v>660</v>
      </c>
      <c r="L1403" s="7" t="s">
        <v>663</v>
      </c>
      <c r="M1403" s="8">
        <v>44392</v>
      </c>
      <c r="N1403" s="8">
        <v>44403</v>
      </c>
      <c r="O1403" s="13"/>
      <c r="P1403" s="13">
        <v>1864.95</v>
      </c>
      <c r="Q1403" s="33"/>
      <c r="R1403" s="22"/>
      <c r="S1403" s="22"/>
      <c r="T1403" s="22"/>
      <c r="U1403" s="22"/>
      <c r="X1403" s="15" t="str">
        <f>IF(B1403="",VLOOKUP(A1403,items_lookup!A:B,2,FALSE),B1403)</f>
        <v>09. Item 09</v>
      </c>
      <c r="Y1403" s="15">
        <f t="shared" si="122"/>
        <v>7</v>
      </c>
      <c r="Z1403" s="15">
        <f t="shared" si="122"/>
        <v>7</v>
      </c>
      <c r="AA1403" s="15">
        <f t="shared" si="123"/>
        <v>2021</v>
      </c>
      <c r="AB1403" s="15">
        <f t="shared" si="124"/>
        <v>2021</v>
      </c>
      <c r="AC1403" s="15">
        <f t="shared" si="125"/>
        <v>2021</v>
      </c>
      <c r="AD1403" s="18" t="b">
        <f t="shared" si="121"/>
        <v>1</v>
      </c>
    </row>
    <row r="1404" spans="1:30" ht="15.75" hidden="1" customHeight="1" x14ac:dyDescent="0.2">
      <c r="A1404" s="7" t="s">
        <v>675</v>
      </c>
      <c r="B1404" s="7"/>
      <c r="C1404" s="2" t="s">
        <v>641</v>
      </c>
      <c r="D1404" s="6" t="s">
        <v>649</v>
      </c>
      <c r="E1404" s="32" t="s">
        <v>651</v>
      </c>
      <c r="F1404" s="7"/>
      <c r="G1404" s="7"/>
      <c r="H1404" s="7"/>
      <c r="I1404" s="7"/>
      <c r="J1404" s="7">
        <v>3</v>
      </c>
      <c r="K1404" s="7" t="s">
        <v>660</v>
      </c>
      <c r="L1404" s="7" t="s">
        <v>663</v>
      </c>
      <c r="M1404" s="8">
        <v>44392</v>
      </c>
      <c r="N1404" s="8">
        <v>44403</v>
      </c>
      <c r="O1404" s="13"/>
      <c r="P1404" s="13">
        <v>2583333.33</v>
      </c>
      <c r="Q1404" s="33"/>
      <c r="R1404" s="22"/>
      <c r="S1404" s="22"/>
      <c r="T1404" s="22"/>
      <c r="U1404" s="22"/>
      <c r="X1404" s="15" t="str">
        <f>IF(B1404="",VLOOKUP(A1404,items_lookup!A:B,2,FALSE),B1404)</f>
        <v>09. Item 09</v>
      </c>
      <c r="Y1404" s="15">
        <f t="shared" si="122"/>
        <v>7</v>
      </c>
      <c r="Z1404" s="15">
        <f t="shared" si="122"/>
        <v>7</v>
      </c>
      <c r="AA1404" s="15">
        <f t="shared" si="123"/>
        <v>2021</v>
      </c>
      <c r="AB1404" s="15">
        <f t="shared" si="124"/>
        <v>2021</v>
      </c>
      <c r="AC1404" s="15">
        <f t="shared" si="125"/>
        <v>2021</v>
      </c>
      <c r="AD1404" s="18" t="b">
        <f t="shared" si="121"/>
        <v>1</v>
      </c>
    </row>
    <row r="1405" spans="1:30" ht="15" hidden="1" customHeight="1" x14ac:dyDescent="0.2">
      <c r="A1405" s="7" t="s">
        <v>675</v>
      </c>
      <c r="B1405" s="20"/>
      <c r="C1405" s="2" t="s">
        <v>641</v>
      </c>
      <c r="D1405" s="6" t="s">
        <v>649</v>
      </c>
      <c r="E1405" s="32" t="s">
        <v>651</v>
      </c>
      <c r="F1405" s="7"/>
      <c r="G1405" s="7"/>
      <c r="H1405" s="7"/>
      <c r="I1405" s="7"/>
      <c r="J1405" s="7">
        <v>3</v>
      </c>
      <c r="K1405" s="7" t="s">
        <v>660</v>
      </c>
      <c r="L1405" s="7" t="s">
        <v>663</v>
      </c>
      <c r="M1405" s="8">
        <v>44389</v>
      </c>
      <c r="N1405" s="8">
        <v>44397</v>
      </c>
      <c r="O1405" s="13"/>
      <c r="P1405" s="13">
        <v>313.39999999999998</v>
      </c>
      <c r="Q1405" s="33"/>
      <c r="R1405" s="22"/>
      <c r="S1405" s="22"/>
      <c r="T1405" s="22"/>
      <c r="U1405" s="22"/>
      <c r="X1405" s="15" t="str">
        <f>IF(B1405="",VLOOKUP(A1405,items_lookup!A:B,2,FALSE),B1405)</f>
        <v>09. Item 09</v>
      </c>
      <c r="Y1405" s="15">
        <f t="shared" si="122"/>
        <v>7</v>
      </c>
      <c r="Z1405" s="15">
        <f t="shared" si="122"/>
        <v>7</v>
      </c>
      <c r="AA1405" s="15">
        <f t="shared" si="123"/>
        <v>2021</v>
      </c>
      <c r="AB1405" s="15">
        <f t="shared" si="124"/>
        <v>2021</v>
      </c>
      <c r="AC1405" s="15">
        <f t="shared" si="125"/>
        <v>2021</v>
      </c>
      <c r="AD1405" s="18" t="b">
        <f t="shared" si="121"/>
        <v>1</v>
      </c>
    </row>
    <row r="1406" spans="1:30" ht="15.75" hidden="1" customHeight="1" x14ac:dyDescent="0.2">
      <c r="A1406" s="7" t="s">
        <v>703</v>
      </c>
      <c r="B1406" s="20"/>
      <c r="C1406" s="2" t="s">
        <v>641</v>
      </c>
      <c r="D1406" s="6" t="s">
        <v>649</v>
      </c>
      <c r="E1406" s="32" t="s">
        <v>651</v>
      </c>
      <c r="F1406" s="7"/>
      <c r="G1406" s="7"/>
      <c r="H1406" s="7"/>
      <c r="I1406" s="7"/>
      <c r="J1406" s="7">
        <v>3</v>
      </c>
      <c r="K1406" s="7" t="s">
        <v>660</v>
      </c>
      <c r="L1406" s="7" t="s">
        <v>663</v>
      </c>
      <c r="M1406" s="8">
        <v>44389</v>
      </c>
      <c r="N1406" s="8">
        <v>44397</v>
      </c>
      <c r="O1406" s="13"/>
      <c r="P1406" s="13">
        <v>19799.25</v>
      </c>
      <c r="Q1406" s="33"/>
      <c r="R1406" s="22"/>
      <c r="S1406" s="22"/>
      <c r="T1406" s="22"/>
      <c r="U1406" s="22"/>
      <c r="X1406" s="15" t="str">
        <f>IF(B1406="",VLOOKUP(A1406,items_lookup!A:B,2,FALSE),B1406)</f>
        <v>_3. Item _3</v>
      </c>
      <c r="Y1406" s="15">
        <f t="shared" si="122"/>
        <v>7</v>
      </c>
      <c r="Z1406" s="15">
        <f t="shared" si="122"/>
        <v>7</v>
      </c>
      <c r="AA1406" s="15">
        <f t="shared" si="123"/>
        <v>2021</v>
      </c>
      <c r="AB1406" s="15">
        <f t="shared" si="124"/>
        <v>2021</v>
      </c>
      <c r="AC1406" s="15">
        <f t="shared" si="125"/>
        <v>2021</v>
      </c>
      <c r="AD1406" s="18" t="b">
        <f t="shared" si="121"/>
        <v>1</v>
      </c>
    </row>
    <row r="1407" spans="1:30" ht="15.75" hidden="1" customHeight="1" x14ac:dyDescent="0.2">
      <c r="A1407" s="7" t="s">
        <v>702</v>
      </c>
      <c r="B1407" s="7"/>
      <c r="C1407" s="2" t="s">
        <v>641</v>
      </c>
      <c r="D1407" s="6" t="s">
        <v>649</v>
      </c>
      <c r="E1407" s="32" t="s">
        <v>651</v>
      </c>
      <c r="F1407" s="7"/>
      <c r="G1407" s="7"/>
      <c r="H1407" s="7"/>
      <c r="I1407" s="7"/>
      <c r="J1407" s="7">
        <v>3</v>
      </c>
      <c r="K1407" s="7" t="s">
        <v>660</v>
      </c>
      <c r="L1407" s="7" t="s">
        <v>663</v>
      </c>
      <c r="M1407" s="8">
        <v>44391</v>
      </c>
      <c r="N1407" s="8">
        <v>44407</v>
      </c>
      <c r="O1407" s="13"/>
      <c r="P1407" s="13">
        <v>19324.88</v>
      </c>
      <c r="Q1407" s="33"/>
      <c r="R1407" s="22"/>
      <c r="S1407" s="22"/>
      <c r="T1407" s="22"/>
      <c r="U1407" s="22"/>
      <c r="X1407" s="15" t="str">
        <f>IF(B1407="",VLOOKUP(A1407,items_lookup!A:B,2,FALSE),B1407)</f>
        <v>17. Item 17</v>
      </c>
      <c r="Y1407" s="15">
        <f t="shared" ref="Y1407:Z1470" si="126">MONTH(M1407)</f>
        <v>7</v>
      </c>
      <c r="Z1407" s="15">
        <f t="shared" si="126"/>
        <v>7</v>
      </c>
      <c r="AA1407" s="15">
        <f t="shared" si="123"/>
        <v>2021</v>
      </c>
      <c r="AB1407" s="15">
        <f t="shared" si="124"/>
        <v>2021</v>
      </c>
      <c r="AC1407" s="15">
        <f t="shared" si="125"/>
        <v>2021</v>
      </c>
      <c r="AD1407" s="18" t="b">
        <f t="shared" si="121"/>
        <v>1</v>
      </c>
    </row>
    <row r="1408" spans="1:30" ht="15" hidden="1" customHeight="1" x14ac:dyDescent="0.2">
      <c r="A1408" s="7" t="s">
        <v>678</v>
      </c>
      <c r="B1408" s="20"/>
      <c r="C1408" s="2" t="s">
        <v>641</v>
      </c>
      <c r="D1408" s="6" t="s">
        <v>649</v>
      </c>
      <c r="E1408" s="32" t="s">
        <v>651</v>
      </c>
      <c r="F1408" s="7"/>
      <c r="G1408" s="7"/>
      <c r="H1408" s="7"/>
      <c r="I1408" s="7"/>
      <c r="J1408" s="7">
        <v>3</v>
      </c>
      <c r="K1408" s="7" t="s">
        <v>660</v>
      </c>
      <c r="L1408" s="7" t="s">
        <v>663</v>
      </c>
      <c r="M1408" s="8">
        <v>44392</v>
      </c>
      <c r="N1408" s="8">
        <v>44404</v>
      </c>
      <c r="O1408" s="13"/>
      <c r="P1408" s="13">
        <v>37965.019999999997</v>
      </c>
      <c r="Q1408" s="33"/>
      <c r="R1408" s="9"/>
      <c r="S1408" s="9"/>
      <c r="T1408" s="9"/>
      <c r="U1408" s="9"/>
      <c r="X1408" s="15" t="str">
        <f>IF(B1408="",VLOOKUP(A1408,items_lookup!A:B,2,FALSE),B1408)</f>
        <v>13. Item 13</v>
      </c>
      <c r="Y1408" s="15">
        <f t="shared" si="126"/>
        <v>7</v>
      </c>
      <c r="Z1408" s="15">
        <f t="shared" si="126"/>
        <v>7</v>
      </c>
      <c r="AA1408" s="15">
        <f t="shared" si="123"/>
        <v>2021</v>
      </c>
      <c r="AB1408" s="15">
        <f t="shared" si="124"/>
        <v>2021</v>
      </c>
      <c r="AC1408" s="15">
        <f t="shared" si="125"/>
        <v>2021</v>
      </c>
      <c r="AD1408" s="18" t="b">
        <f t="shared" si="121"/>
        <v>1</v>
      </c>
    </row>
    <row r="1409" spans="1:30" ht="15" hidden="1" customHeight="1" x14ac:dyDescent="0.2">
      <c r="A1409" s="7" t="s">
        <v>682</v>
      </c>
      <c r="B1409" s="7"/>
      <c r="C1409" s="2" t="s">
        <v>641</v>
      </c>
      <c r="D1409" s="6" t="s">
        <v>649</v>
      </c>
      <c r="E1409" s="32" t="s">
        <v>651</v>
      </c>
      <c r="F1409" s="7"/>
      <c r="G1409" s="7"/>
      <c r="H1409" s="7"/>
      <c r="I1409" s="7"/>
      <c r="J1409" s="7">
        <v>3</v>
      </c>
      <c r="K1409" s="7" t="s">
        <v>660</v>
      </c>
      <c r="L1409" s="7" t="s">
        <v>663</v>
      </c>
      <c r="M1409" s="8">
        <v>44392</v>
      </c>
      <c r="N1409" s="8">
        <v>44403</v>
      </c>
      <c r="O1409" s="13"/>
      <c r="P1409" s="13">
        <v>41701.379999999997</v>
      </c>
      <c r="Q1409" s="33"/>
      <c r="R1409" s="22"/>
      <c r="S1409" s="22"/>
      <c r="T1409" s="22"/>
      <c r="U1409" s="22"/>
      <c r="X1409" s="15" t="str">
        <f>IF(B1409="",VLOOKUP(A1409,items_lookup!A:B,2,FALSE),B1409)</f>
        <v>06. Item 06</v>
      </c>
      <c r="Y1409" s="15">
        <f t="shared" si="126"/>
        <v>7</v>
      </c>
      <c r="Z1409" s="15">
        <f t="shared" si="126"/>
        <v>7</v>
      </c>
      <c r="AA1409" s="15">
        <f t="shared" si="123"/>
        <v>2021</v>
      </c>
      <c r="AB1409" s="15">
        <f t="shared" si="124"/>
        <v>2021</v>
      </c>
      <c r="AC1409" s="15">
        <f t="shared" si="125"/>
        <v>2021</v>
      </c>
      <c r="AD1409" s="18" t="b">
        <f t="shared" si="121"/>
        <v>1</v>
      </c>
    </row>
    <row r="1410" spans="1:30" ht="15" hidden="1" customHeight="1" x14ac:dyDescent="0.2">
      <c r="A1410" s="7" t="s">
        <v>688</v>
      </c>
      <c r="B1410" s="7"/>
      <c r="C1410" s="2" t="s">
        <v>641</v>
      </c>
      <c r="D1410" s="6" t="s">
        <v>649</v>
      </c>
      <c r="E1410" s="32" t="s">
        <v>651</v>
      </c>
      <c r="F1410" s="7"/>
      <c r="G1410" s="7"/>
      <c r="H1410" s="7"/>
      <c r="I1410" s="7" t="s">
        <v>20</v>
      </c>
      <c r="J1410" s="7">
        <v>3</v>
      </c>
      <c r="K1410" s="7" t="s">
        <v>660</v>
      </c>
      <c r="L1410" s="7" t="s">
        <v>663</v>
      </c>
      <c r="M1410" s="8">
        <v>44392</v>
      </c>
      <c r="N1410" s="8">
        <v>44403</v>
      </c>
      <c r="O1410" s="13"/>
      <c r="P1410" s="13">
        <v>1119.05</v>
      </c>
      <c r="Q1410" s="33"/>
      <c r="R1410" s="22"/>
      <c r="S1410" s="22"/>
      <c r="T1410" s="22"/>
      <c r="U1410" s="22"/>
      <c r="X1410" s="15" t="str">
        <f>IF(B1410="",VLOOKUP(A1410,items_lookup!A:B,2,FALSE),B1410)</f>
        <v>09. Item 09</v>
      </c>
      <c r="Y1410" s="15">
        <f t="shared" si="126"/>
        <v>7</v>
      </c>
      <c r="Z1410" s="15">
        <f t="shared" si="126"/>
        <v>7</v>
      </c>
      <c r="AA1410" s="15">
        <f t="shared" si="123"/>
        <v>2021</v>
      </c>
      <c r="AB1410" s="15">
        <f t="shared" si="124"/>
        <v>2021</v>
      </c>
      <c r="AC1410" s="15">
        <f t="shared" si="125"/>
        <v>2021</v>
      </c>
      <c r="AD1410" s="18" t="b">
        <f t="shared" si="121"/>
        <v>1</v>
      </c>
    </row>
    <row r="1411" spans="1:30" ht="15" hidden="1" customHeight="1" x14ac:dyDescent="0.2">
      <c r="A1411" s="7" t="s">
        <v>683</v>
      </c>
      <c r="B1411" s="7"/>
      <c r="C1411" s="2" t="s">
        <v>641</v>
      </c>
      <c r="D1411" s="6" t="s">
        <v>649</v>
      </c>
      <c r="E1411" s="32" t="s">
        <v>651</v>
      </c>
      <c r="F1411" s="7"/>
      <c r="G1411" s="7"/>
      <c r="H1411" s="7"/>
      <c r="I1411" s="7" t="s">
        <v>20</v>
      </c>
      <c r="J1411" s="7">
        <v>3</v>
      </c>
      <c r="K1411" s="7" t="s">
        <v>660</v>
      </c>
      <c r="L1411" s="7" t="s">
        <v>663</v>
      </c>
      <c r="M1411" s="8">
        <v>44392</v>
      </c>
      <c r="N1411" s="8">
        <v>44403</v>
      </c>
      <c r="O1411" s="13"/>
      <c r="P1411" s="13">
        <v>189769.36</v>
      </c>
      <c r="Q1411" s="33"/>
      <c r="X1411" s="15" t="str">
        <f>IF(B1411="",VLOOKUP(A1411,items_lookup!A:B,2,FALSE),B1411)</f>
        <v>_1. Item _1</v>
      </c>
      <c r="Y1411" s="15">
        <f t="shared" si="126"/>
        <v>7</v>
      </c>
      <c r="Z1411" s="15">
        <f t="shared" si="126"/>
        <v>7</v>
      </c>
      <c r="AA1411" s="15">
        <f t="shared" si="123"/>
        <v>2021</v>
      </c>
      <c r="AB1411" s="15">
        <f t="shared" si="124"/>
        <v>2021</v>
      </c>
      <c r="AC1411" s="15">
        <f t="shared" si="125"/>
        <v>2021</v>
      </c>
      <c r="AD1411" s="18" t="b">
        <f t="shared" ref="AD1411:AD1474" si="127">AND(ROUND(O1411,2)=O1411,ROUND(P1411,2)=P1411,OR(AND(O1411&lt;&gt;0,L1411="p"),AND(P1411&lt;&gt;0,L1411="f")),_xlfn.ISFORMULA(X1411),_xlfn.ISFORMULA(Y1411),_xlfn.ISFORMULA(Z1411),_xlfn.ISFORMULA(AA1411),_xlfn.ISFORMULA(AB1411),_xlfn.ISFORMULA(AC1411),NOT(_xlfn.ISFORMULA(O1411)),NOT(_xlfn.ISFORMULA(P1411)),M1411&lt;&gt;0,N1411&lt;&gt;0)</f>
        <v>1</v>
      </c>
    </row>
    <row r="1412" spans="1:30" ht="14.25" hidden="1" customHeight="1" x14ac:dyDescent="0.2">
      <c r="A1412" s="7" t="s">
        <v>672</v>
      </c>
      <c r="B1412" s="7"/>
      <c r="C1412" s="2" t="s">
        <v>641</v>
      </c>
      <c r="D1412" s="6" t="s">
        <v>649</v>
      </c>
      <c r="E1412" s="32" t="s">
        <v>651</v>
      </c>
      <c r="F1412" s="7"/>
      <c r="G1412" s="7"/>
      <c r="H1412" s="7"/>
      <c r="I1412" s="7"/>
      <c r="J1412" s="7">
        <v>3</v>
      </c>
      <c r="K1412" s="7" t="s">
        <v>660</v>
      </c>
      <c r="L1412" s="7" t="s">
        <v>663</v>
      </c>
      <c r="M1412" s="8">
        <v>44392</v>
      </c>
      <c r="N1412" s="8">
        <v>44400</v>
      </c>
      <c r="O1412" s="13"/>
      <c r="P1412" s="13">
        <v>1190.48</v>
      </c>
      <c r="Q1412" s="33"/>
      <c r="X1412" s="15" t="str">
        <f>IF(B1412="",VLOOKUP(A1412,items_lookup!A:B,2,FALSE),B1412)</f>
        <v>05. Item 05</v>
      </c>
      <c r="Y1412" s="15">
        <f t="shared" si="126"/>
        <v>7</v>
      </c>
      <c r="Z1412" s="15">
        <f t="shared" si="126"/>
        <v>7</v>
      </c>
      <c r="AA1412" s="15">
        <f t="shared" si="123"/>
        <v>2021</v>
      </c>
      <c r="AB1412" s="15">
        <f t="shared" si="124"/>
        <v>2021</v>
      </c>
      <c r="AC1412" s="15">
        <f t="shared" si="125"/>
        <v>2021</v>
      </c>
      <c r="AD1412" s="18" t="b">
        <f t="shared" si="127"/>
        <v>1</v>
      </c>
    </row>
    <row r="1413" spans="1:30" ht="14.25" hidden="1" customHeight="1" x14ac:dyDescent="0.2">
      <c r="A1413" s="7" t="s">
        <v>672</v>
      </c>
      <c r="B1413" s="7"/>
      <c r="C1413" s="2" t="s">
        <v>641</v>
      </c>
      <c r="D1413" s="6" t="s">
        <v>649</v>
      </c>
      <c r="E1413" s="32" t="s">
        <v>651</v>
      </c>
      <c r="F1413" s="7"/>
      <c r="G1413" s="7"/>
      <c r="H1413" s="7"/>
      <c r="I1413" s="7"/>
      <c r="J1413" s="7">
        <v>3</v>
      </c>
      <c r="K1413" s="7" t="s">
        <v>660</v>
      </c>
      <c r="L1413" s="7" t="s">
        <v>663</v>
      </c>
      <c r="M1413" s="8">
        <v>44392</v>
      </c>
      <c r="N1413" s="8">
        <v>44403</v>
      </c>
      <c r="O1413" s="13"/>
      <c r="P1413" s="13">
        <v>453635.94</v>
      </c>
      <c r="Q1413" s="33"/>
      <c r="X1413" s="15" t="str">
        <f>IF(B1413="",VLOOKUP(A1413,items_lookup!A:B,2,FALSE),B1413)</f>
        <v>05. Item 05</v>
      </c>
      <c r="Y1413" s="15">
        <f t="shared" si="126"/>
        <v>7</v>
      </c>
      <c r="Z1413" s="15">
        <f t="shared" si="126"/>
        <v>7</v>
      </c>
      <c r="AA1413" s="15">
        <f t="shared" si="123"/>
        <v>2021</v>
      </c>
      <c r="AB1413" s="15">
        <f t="shared" si="124"/>
        <v>2021</v>
      </c>
      <c r="AC1413" s="15">
        <f t="shared" si="125"/>
        <v>2021</v>
      </c>
      <c r="AD1413" s="18" t="b">
        <f t="shared" si="127"/>
        <v>1</v>
      </c>
    </row>
    <row r="1414" spans="1:30" ht="14.25" hidden="1" customHeight="1" x14ac:dyDescent="0.2">
      <c r="A1414" s="7" t="s">
        <v>677</v>
      </c>
      <c r="B1414" s="7"/>
      <c r="C1414" s="2" t="s">
        <v>641</v>
      </c>
      <c r="D1414" s="6" t="s">
        <v>649</v>
      </c>
      <c r="E1414" s="32" t="s">
        <v>651</v>
      </c>
      <c r="F1414" s="7"/>
      <c r="G1414" s="7"/>
      <c r="H1414" s="7"/>
      <c r="I1414" s="7"/>
      <c r="J1414" s="7">
        <v>3</v>
      </c>
      <c r="K1414" s="7" t="s">
        <v>660</v>
      </c>
      <c r="L1414" s="7" t="s">
        <v>663</v>
      </c>
      <c r="M1414" s="8">
        <v>44392</v>
      </c>
      <c r="N1414" s="8">
        <v>44403</v>
      </c>
      <c r="O1414" s="13"/>
      <c r="P1414" s="13">
        <v>17529.52</v>
      </c>
      <c r="Q1414" s="33"/>
      <c r="R1414" s="22"/>
      <c r="S1414" s="22"/>
      <c r="T1414" s="22"/>
      <c r="U1414" s="22"/>
      <c r="X1414" s="15" t="str">
        <f>IF(B1414="",VLOOKUP(A1414,items_lookup!A:B,2,FALSE),B1414)</f>
        <v>11. Item 11</v>
      </c>
      <c r="Y1414" s="15">
        <f t="shared" si="126"/>
        <v>7</v>
      </c>
      <c r="Z1414" s="15">
        <f t="shared" si="126"/>
        <v>7</v>
      </c>
      <c r="AA1414" s="15">
        <f t="shared" si="123"/>
        <v>2021</v>
      </c>
      <c r="AB1414" s="15">
        <f t="shared" si="124"/>
        <v>2021</v>
      </c>
      <c r="AC1414" s="15">
        <f t="shared" si="125"/>
        <v>2021</v>
      </c>
      <c r="AD1414" s="18" t="b">
        <f t="shared" si="127"/>
        <v>1</v>
      </c>
    </row>
    <row r="1415" spans="1:30" ht="12.6" hidden="1" customHeight="1" x14ac:dyDescent="0.2">
      <c r="A1415" s="7" t="s">
        <v>680</v>
      </c>
      <c r="B1415" s="7"/>
      <c r="C1415" s="2" t="s">
        <v>641</v>
      </c>
      <c r="D1415" s="6" t="s">
        <v>649</v>
      </c>
      <c r="E1415" s="32" t="s">
        <v>651</v>
      </c>
      <c r="F1415" s="7"/>
      <c r="G1415" s="7"/>
      <c r="H1415" s="7"/>
      <c r="I1415" s="7"/>
      <c r="J1415" s="7">
        <v>4</v>
      </c>
      <c r="K1415" s="7" t="s">
        <v>660</v>
      </c>
      <c r="L1415" s="7" t="s">
        <v>663</v>
      </c>
      <c r="M1415" s="8">
        <v>44393</v>
      </c>
      <c r="N1415" s="8">
        <v>44404</v>
      </c>
      <c r="O1415" s="13"/>
      <c r="P1415" s="13">
        <v>68279.179999999993</v>
      </c>
      <c r="Q1415" s="33"/>
      <c r="R1415" s="22"/>
      <c r="S1415" s="22"/>
      <c r="T1415" s="22"/>
      <c r="U1415" s="22"/>
      <c r="X1415" s="15" t="str">
        <f>IF(B1415="",VLOOKUP(A1415,items_lookup!A:B,2,FALSE),B1415)</f>
        <v>13. Item 13</v>
      </c>
      <c r="Y1415" s="15">
        <f t="shared" si="126"/>
        <v>7</v>
      </c>
      <c r="Z1415" s="15">
        <f t="shared" si="126"/>
        <v>7</v>
      </c>
      <c r="AA1415" s="15">
        <f t="shared" si="123"/>
        <v>2021</v>
      </c>
      <c r="AB1415" s="15">
        <f t="shared" si="124"/>
        <v>2021</v>
      </c>
      <c r="AC1415" s="15">
        <f t="shared" si="125"/>
        <v>2021</v>
      </c>
      <c r="AD1415" s="18" t="b">
        <f t="shared" si="127"/>
        <v>1</v>
      </c>
    </row>
    <row r="1416" spans="1:30" ht="15" hidden="1" customHeight="1" x14ac:dyDescent="0.2">
      <c r="A1416" s="7" t="s">
        <v>680</v>
      </c>
      <c r="B1416" s="7"/>
      <c r="C1416" s="2" t="s">
        <v>641</v>
      </c>
      <c r="D1416" s="6" t="s">
        <v>649</v>
      </c>
      <c r="E1416" s="32" t="s">
        <v>651</v>
      </c>
      <c r="F1416" s="7"/>
      <c r="G1416" s="7"/>
      <c r="H1416" s="7"/>
      <c r="I1416" s="7"/>
      <c r="J1416" s="7"/>
      <c r="K1416" s="7" t="s">
        <v>660</v>
      </c>
      <c r="L1416" s="7" t="s">
        <v>663</v>
      </c>
      <c r="M1416" s="8">
        <v>44392</v>
      </c>
      <c r="N1416" s="8">
        <v>44392</v>
      </c>
      <c r="O1416" s="13"/>
      <c r="P1416" s="13">
        <v>7417.45</v>
      </c>
      <c r="Q1416" s="33"/>
      <c r="R1416" s="22"/>
      <c r="S1416" s="22"/>
      <c r="T1416" s="22"/>
      <c r="U1416" s="22"/>
      <c r="X1416" s="15" t="str">
        <f>IF(B1416="",VLOOKUP(A1416,items_lookup!A:B,2,FALSE),B1416)</f>
        <v>13. Item 13</v>
      </c>
      <c r="Y1416" s="15">
        <f t="shared" si="126"/>
        <v>7</v>
      </c>
      <c r="Z1416" s="15">
        <f t="shared" si="126"/>
        <v>7</v>
      </c>
      <c r="AA1416" s="15">
        <f t="shared" si="123"/>
        <v>2021</v>
      </c>
      <c r="AB1416" s="15">
        <f t="shared" si="124"/>
        <v>2021</v>
      </c>
      <c r="AC1416" s="15">
        <f t="shared" si="125"/>
        <v>2021</v>
      </c>
      <c r="AD1416" s="18" t="b">
        <f t="shared" si="127"/>
        <v>1</v>
      </c>
    </row>
    <row r="1417" spans="1:30" ht="15" hidden="1" customHeight="1" x14ac:dyDescent="0.2">
      <c r="A1417" s="7" t="s">
        <v>680</v>
      </c>
      <c r="B1417" s="7"/>
      <c r="C1417" s="2" t="s">
        <v>648</v>
      </c>
      <c r="D1417" s="6" t="s">
        <v>649</v>
      </c>
      <c r="E1417" s="32" t="s">
        <v>651</v>
      </c>
      <c r="F1417" s="7"/>
      <c r="G1417" s="7"/>
      <c r="H1417" s="7"/>
      <c r="I1417" s="7"/>
      <c r="J1417" s="7"/>
      <c r="K1417" s="7"/>
      <c r="L1417" s="7" t="s">
        <v>663</v>
      </c>
      <c r="M1417" s="8">
        <v>44378</v>
      </c>
      <c r="N1417" s="8">
        <v>44378</v>
      </c>
      <c r="O1417" s="13"/>
      <c r="P1417" s="13">
        <v>121815.33</v>
      </c>
      <c r="Q1417" s="33"/>
      <c r="R1417" s="22"/>
      <c r="S1417" s="22"/>
      <c r="T1417" s="22"/>
      <c r="U1417" s="22"/>
      <c r="X1417" s="15" t="str">
        <f>IF(B1417="",VLOOKUP(A1417,items_lookup!A:B,2,FALSE),B1417)</f>
        <v>13. Item 13</v>
      </c>
      <c r="Y1417" s="15">
        <f t="shared" si="126"/>
        <v>7</v>
      </c>
      <c r="Z1417" s="15">
        <f t="shared" si="126"/>
        <v>7</v>
      </c>
      <c r="AA1417" s="15">
        <f t="shared" si="123"/>
        <v>2021</v>
      </c>
      <c r="AB1417" s="15">
        <f t="shared" si="124"/>
        <v>2021</v>
      </c>
      <c r="AC1417" s="15">
        <f t="shared" si="125"/>
        <v>2021</v>
      </c>
      <c r="AD1417" s="18" t="b">
        <f t="shared" si="127"/>
        <v>1</v>
      </c>
    </row>
    <row r="1418" spans="1:30" ht="15" hidden="1" customHeight="1" x14ac:dyDescent="0.2">
      <c r="A1418" s="7" t="s">
        <v>680</v>
      </c>
      <c r="B1418" s="7"/>
      <c r="C1418" s="2" t="s">
        <v>648</v>
      </c>
      <c r="D1418" s="6" t="s">
        <v>649</v>
      </c>
      <c r="E1418" s="32" t="s">
        <v>651</v>
      </c>
      <c r="F1418" s="7"/>
      <c r="G1418" s="7"/>
      <c r="H1418" s="7"/>
      <c r="I1418" s="7"/>
      <c r="J1418" s="7"/>
      <c r="K1418" s="7"/>
      <c r="L1418" s="7" t="s">
        <v>663</v>
      </c>
      <c r="M1418" s="8">
        <v>44378</v>
      </c>
      <c r="N1418" s="8">
        <v>44378</v>
      </c>
      <c r="O1418" s="13"/>
      <c r="P1418" s="13">
        <v>2845179.14</v>
      </c>
      <c r="Q1418" s="33"/>
      <c r="R1418" s="22"/>
      <c r="S1418" s="22"/>
      <c r="T1418" s="22"/>
      <c r="U1418" s="22"/>
      <c r="X1418" s="15" t="str">
        <f>IF(B1418="",VLOOKUP(A1418,items_lookup!A:B,2,FALSE),B1418)</f>
        <v>13. Item 13</v>
      </c>
      <c r="Y1418" s="15">
        <f t="shared" si="126"/>
        <v>7</v>
      </c>
      <c r="Z1418" s="15">
        <f t="shared" si="126"/>
        <v>7</v>
      </c>
      <c r="AA1418" s="15">
        <f t="shared" si="123"/>
        <v>2021</v>
      </c>
      <c r="AB1418" s="15">
        <f t="shared" si="124"/>
        <v>2021</v>
      </c>
      <c r="AC1418" s="15">
        <f t="shared" si="125"/>
        <v>2021</v>
      </c>
      <c r="AD1418" s="18" t="b">
        <f t="shared" si="127"/>
        <v>1</v>
      </c>
    </row>
    <row r="1419" spans="1:30" ht="15" hidden="1" customHeight="1" x14ac:dyDescent="0.2">
      <c r="A1419" s="7" t="s">
        <v>680</v>
      </c>
      <c r="B1419" s="7"/>
      <c r="C1419" s="2" t="s">
        <v>648</v>
      </c>
      <c r="D1419" s="6" t="s">
        <v>649</v>
      </c>
      <c r="E1419" s="32" t="s">
        <v>651</v>
      </c>
      <c r="F1419" s="7"/>
      <c r="G1419" s="7"/>
      <c r="H1419" s="7"/>
      <c r="I1419" s="7"/>
      <c r="J1419" s="7"/>
      <c r="K1419" s="7"/>
      <c r="L1419" s="7" t="s">
        <v>663</v>
      </c>
      <c r="M1419" s="8">
        <v>44378</v>
      </c>
      <c r="N1419" s="8">
        <v>44378</v>
      </c>
      <c r="O1419" s="13"/>
      <c r="P1419" s="13">
        <v>6768862.4900000002</v>
      </c>
      <c r="Q1419" s="33"/>
      <c r="R1419" s="22"/>
      <c r="S1419" s="22"/>
      <c r="T1419" s="22"/>
      <c r="U1419" s="22"/>
      <c r="X1419" s="15" t="str">
        <f>IF(B1419="",VLOOKUP(A1419,items_lookup!A:B,2,FALSE),B1419)</f>
        <v>13. Item 13</v>
      </c>
      <c r="Y1419" s="15">
        <f t="shared" si="126"/>
        <v>7</v>
      </c>
      <c r="Z1419" s="15">
        <f t="shared" si="126"/>
        <v>7</v>
      </c>
      <c r="AA1419" s="15">
        <f t="shared" si="123"/>
        <v>2021</v>
      </c>
      <c r="AB1419" s="15">
        <f t="shared" si="124"/>
        <v>2021</v>
      </c>
      <c r="AC1419" s="15">
        <f t="shared" si="125"/>
        <v>2021</v>
      </c>
      <c r="AD1419" s="18" t="b">
        <f t="shared" si="127"/>
        <v>1</v>
      </c>
    </row>
    <row r="1420" spans="1:30" ht="15" hidden="1" customHeight="1" x14ac:dyDescent="0.2">
      <c r="A1420" s="7" t="s">
        <v>701</v>
      </c>
      <c r="B1420" s="7"/>
      <c r="C1420" s="2" t="s">
        <v>648</v>
      </c>
      <c r="D1420" s="6" t="s">
        <v>649</v>
      </c>
      <c r="E1420" s="32" t="s">
        <v>651</v>
      </c>
      <c r="F1420" s="7"/>
      <c r="G1420" s="7"/>
      <c r="H1420" s="7"/>
      <c r="I1420" s="7"/>
      <c r="J1420" s="7"/>
      <c r="K1420" s="7"/>
      <c r="L1420" s="7" t="s">
        <v>663</v>
      </c>
      <c r="M1420" s="8">
        <v>44378</v>
      </c>
      <c r="N1420" s="8">
        <v>44378</v>
      </c>
      <c r="O1420" s="13"/>
      <c r="P1420" s="13">
        <v>39362.92</v>
      </c>
      <c r="Q1420" s="33"/>
      <c r="R1420" s="22"/>
      <c r="S1420" s="22"/>
      <c r="T1420" s="22"/>
      <c r="U1420" s="22"/>
      <c r="X1420" s="15" t="str">
        <f>IF(B1420="",VLOOKUP(A1420,items_lookup!A:B,2,FALSE),B1420)</f>
        <v>13. Item 13</v>
      </c>
      <c r="Y1420" s="15">
        <f t="shared" si="126"/>
        <v>7</v>
      </c>
      <c r="Z1420" s="15">
        <f t="shared" si="126"/>
        <v>7</v>
      </c>
      <c r="AA1420" s="15">
        <f t="shared" si="123"/>
        <v>2021</v>
      </c>
      <c r="AB1420" s="15">
        <f t="shared" si="124"/>
        <v>2021</v>
      </c>
      <c r="AC1420" s="15">
        <f t="shared" si="125"/>
        <v>2021</v>
      </c>
      <c r="AD1420" s="18" t="b">
        <f t="shared" si="127"/>
        <v>1</v>
      </c>
    </row>
    <row r="1421" spans="1:30" ht="15" hidden="1" customHeight="1" x14ac:dyDescent="0.2">
      <c r="A1421" s="7" t="s">
        <v>670</v>
      </c>
      <c r="B1421" s="7"/>
      <c r="C1421" s="2" t="s">
        <v>648</v>
      </c>
      <c r="D1421" s="6" t="s">
        <v>649</v>
      </c>
      <c r="E1421" s="32" t="s">
        <v>651</v>
      </c>
      <c r="F1421" s="7"/>
      <c r="G1421" s="7"/>
      <c r="H1421" s="7"/>
      <c r="I1421" s="7"/>
      <c r="J1421" s="7"/>
      <c r="K1421" s="7"/>
      <c r="L1421" s="7" t="s">
        <v>663</v>
      </c>
      <c r="M1421" s="8">
        <v>44378</v>
      </c>
      <c r="N1421" s="8">
        <v>44378</v>
      </c>
      <c r="O1421" s="13"/>
      <c r="P1421" s="13">
        <v>2233627.11</v>
      </c>
      <c r="Q1421" s="33"/>
      <c r="R1421" s="22"/>
      <c r="S1421" s="22"/>
      <c r="T1421" s="22"/>
      <c r="U1421" s="22"/>
      <c r="X1421" s="15" t="str">
        <f>IF(B1421="",VLOOKUP(A1421,items_lookup!A:B,2,FALSE),B1421)</f>
        <v>04. Item 04</v>
      </c>
      <c r="Y1421" s="15">
        <f t="shared" si="126"/>
        <v>7</v>
      </c>
      <c r="Z1421" s="15">
        <f t="shared" si="126"/>
        <v>7</v>
      </c>
      <c r="AA1421" s="15">
        <f t="shared" si="123"/>
        <v>2021</v>
      </c>
      <c r="AB1421" s="15">
        <f t="shared" si="124"/>
        <v>2021</v>
      </c>
      <c r="AC1421" s="15">
        <f t="shared" si="125"/>
        <v>2021</v>
      </c>
      <c r="AD1421" s="18" t="b">
        <f t="shared" si="127"/>
        <v>1</v>
      </c>
    </row>
    <row r="1422" spans="1:30" ht="15" hidden="1" customHeight="1" x14ac:dyDescent="0.2">
      <c r="A1422" s="7" t="s">
        <v>670</v>
      </c>
      <c r="B1422" s="7"/>
      <c r="C1422" s="2" t="s">
        <v>648</v>
      </c>
      <c r="D1422" s="6" t="s">
        <v>649</v>
      </c>
      <c r="E1422" s="32" t="s">
        <v>651</v>
      </c>
      <c r="F1422" s="7"/>
      <c r="G1422" s="7"/>
      <c r="H1422" s="7"/>
      <c r="I1422" s="7"/>
      <c r="J1422" s="7"/>
      <c r="K1422" s="7"/>
      <c r="L1422" s="7" t="s">
        <v>663</v>
      </c>
      <c r="M1422" s="8">
        <v>44378</v>
      </c>
      <c r="N1422" s="8">
        <v>44378</v>
      </c>
      <c r="O1422" s="13"/>
      <c r="P1422" s="13">
        <v>9822136.75</v>
      </c>
      <c r="Q1422" s="33"/>
      <c r="R1422" s="22"/>
      <c r="S1422" s="22"/>
      <c r="T1422" s="22"/>
      <c r="U1422" s="22"/>
      <c r="X1422" s="15" t="str">
        <f>IF(B1422="",VLOOKUP(A1422,items_lookup!A:B,2,FALSE),B1422)</f>
        <v>04. Item 04</v>
      </c>
      <c r="Y1422" s="15">
        <f t="shared" si="126"/>
        <v>7</v>
      </c>
      <c r="Z1422" s="15">
        <f t="shared" si="126"/>
        <v>7</v>
      </c>
      <c r="AA1422" s="15">
        <f t="shared" si="123"/>
        <v>2021</v>
      </c>
      <c r="AB1422" s="15">
        <f t="shared" si="124"/>
        <v>2021</v>
      </c>
      <c r="AC1422" s="15">
        <f t="shared" si="125"/>
        <v>2021</v>
      </c>
      <c r="AD1422" s="18" t="b">
        <f t="shared" si="127"/>
        <v>1</v>
      </c>
    </row>
    <row r="1423" spans="1:30" ht="15" hidden="1" customHeight="1" x14ac:dyDescent="0.2">
      <c r="A1423" s="7" t="s">
        <v>680</v>
      </c>
      <c r="B1423" s="7"/>
      <c r="C1423" s="2" t="s">
        <v>648</v>
      </c>
      <c r="D1423" s="6" t="s">
        <v>649</v>
      </c>
      <c r="E1423" s="32" t="s">
        <v>651</v>
      </c>
      <c r="F1423" s="7"/>
      <c r="G1423" s="7"/>
      <c r="H1423" s="7"/>
      <c r="I1423" s="7"/>
      <c r="J1423" s="7"/>
      <c r="K1423" s="7"/>
      <c r="L1423" s="7" t="s">
        <v>663</v>
      </c>
      <c r="M1423" s="8">
        <v>44378</v>
      </c>
      <c r="N1423" s="8">
        <v>44378</v>
      </c>
      <c r="O1423" s="13"/>
      <c r="P1423" s="13">
        <v>870335.79</v>
      </c>
      <c r="Q1423" s="33"/>
      <c r="R1423" s="22"/>
      <c r="S1423" s="22"/>
      <c r="T1423" s="22"/>
      <c r="U1423" s="22"/>
      <c r="X1423" s="15" t="str">
        <f>IF(B1423="",VLOOKUP(A1423,items_lookup!A:B,2,FALSE),B1423)</f>
        <v>13. Item 13</v>
      </c>
      <c r="Y1423" s="15">
        <f t="shared" si="126"/>
        <v>7</v>
      </c>
      <c r="Z1423" s="15">
        <f t="shared" si="126"/>
        <v>7</v>
      </c>
      <c r="AA1423" s="15">
        <f t="shared" si="123"/>
        <v>2021</v>
      </c>
      <c r="AB1423" s="15">
        <f t="shared" si="124"/>
        <v>2021</v>
      </c>
      <c r="AC1423" s="15">
        <f t="shared" si="125"/>
        <v>2021</v>
      </c>
      <c r="AD1423" s="18" t="b">
        <f t="shared" si="127"/>
        <v>1</v>
      </c>
    </row>
    <row r="1424" spans="1:30" ht="15" hidden="1" customHeight="1" x14ac:dyDescent="0.2">
      <c r="A1424" s="7" t="s">
        <v>683</v>
      </c>
      <c r="B1424" s="7"/>
      <c r="C1424" s="2" t="s">
        <v>648</v>
      </c>
      <c r="D1424" s="6" t="s">
        <v>649</v>
      </c>
      <c r="E1424" s="32" t="s">
        <v>651</v>
      </c>
      <c r="F1424" s="7"/>
      <c r="G1424" s="7"/>
      <c r="H1424" s="7"/>
      <c r="I1424" s="7"/>
      <c r="J1424" s="7"/>
      <c r="K1424" s="7"/>
      <c r="L1424" s="7" t="s">
        <v>663</v>
      </c>
      <c r="M1424" s="8">
        <v>44378</v>
      </c>
      <c r="N1424" s="8">
        <v>44378</v>
      </c>
      <c r="O1424" s="13"/>
      <c r="P1424" s="13">
        <v>2225767.59</v>
      </c>
      <c r="Q1424" s="33"/>
      <c r="X1424" s="15" t="str">
        <f>IF(B1424="",VLOOKUP(A1424,items_lookup!A:B,2,FALSE),B1424)</f>
        <v>_1. Item _1</v>
      </c>
      <c r="Y1424" s="15">
        <f t="shared" si="126"/>
        <v>7</v>
      </c>
      <c r="Z1424" s="15">
        <f t="shared" si="126"/>
        <v>7</v>
      </c>
      <c r="AA1424" s="15">
        <f t="shared" si="123"/>
        <v>2021</v>
      </c>
      <c r="AB1424" s="15">
        <f t="shared" si="124"/>
        <v>2021</v>
      </c>
      <c r="AC1424" s="15">
        <f t="shared" si="125"/>
        <v>2021</v>
      </c>
      <c r="AD1424" s="18" t="b">
        <f t="shared" si="127"/>
        <v>1</v>
      </c>
    </row>
    <row r="1425" spans="1:30" ht="15" hidden="1" customHeight="1" x14ac:dyDescent="0.2">
      <c r="A1425" s="7" t="s">
        <v>697</v>
      </c>
      <c r="B1425" s="7"/>
      <c r="C1425" s="2" t="s">
        <v>648</v>
      </c>
      <c r="D1425" s="6" t="s">
        <v>649</v>
      </c>
      <c r="E1425" s="32" t="s">
        <v>651</v>
      </c>
      <c r="F1425" s="7"/>
      <c r="G1425" s="7"/>
      <c r="H1425" s="7"/>
      <c r="I1425" s="7"/>
      <c r="J1425" s="7"/>
      <c r="K1425" s="7"/>
      <c r="L1425" s="7" t="s">
        <v>663</v>
      </c>
      <c r="M1425" s="8">
        <v>44378</v>
      </c>
      <c r="N1425" s="8">
        <v>44378</v>
      </c>
      <c r="O1425" s="13"/>
      <c r="P1425" s="13">
        <v>377892.33</v>
      </c>
      <c r="Q1425" s="33"/>
      <c r="X1425" s="15" t="str">
        <f>IF(B1425="",VLOOKUP(A1425,items_lookup!A:B,2,FALSE),B1425)</f>
        <v>10. Item 10</v>
      </c>
      <c r="Y1425" s="15">
        <f t="shared" si="126"/>
        <v>7</v>
      </c>
      <c r="Z1425" s="15">
        <f t="shared" si="126"/>
        <v>7</v>
      </c>
      <c r="AA1425" s="15">
        <f t="shared" si="123"/>
        <v>2021</v>
      </c>
      <c r="AB1425" s="15">
        <f t="shared" si="124"/>
        <v>2021</v>
      </c>
      <c r="AC1425" s="15">
        <f t="shared" si="125"/>
        <v>2021</v>
      </c>
      <c r="AD1425" s="18" t="b">
        <f t="shared" si="127"/>
        <v>1</v>
      </c>
    </row>
    <row r="1426" spans="1:30" ht="15" hidden="1" customHeight="1" x14ac:dyDescent="0.2">
      <c r="A1426" s="7" t="s">
        <v>683</v>
      </c>
      <c r="B1426" s="7"/>
      <c r="C1426" s="2" t="s">
        <v>648</v>
      </c>
      <c r="D1426" s="6" t="s">
        <v>649</v>
      </c>
      <c r="E1426" s="32" t="s">
        <v>651</v>
      </c>
      <c r="F1426" s="7"/>
      <c r="G1426" s="7"/>
      <c r="H1426" s="7"/>
      <c r="I1426" s="7"/>
      <c r="J1426" s="7"/>
      <c r="K1426" s="7"/>
      <c r="L1426" s="7" t="s">
        <v>663</v>
      </c>
      <c r="M1426" s="8">
        <v>44378</v>
      </c>
      <c r="N1426" s="8">
        <v>44378</v>
      </c>
      <c r="O1426" s="13"/>
      <c r="P1426" s="13">
        <v>349345.9</v>
      </c>
      <c r="Q1426" s="33"/>
      <c r="X1426" s="15" t="str">
        <f>IF(B1426="",VLOOKUP(A1426,items_lookup!A:B,2,FALSE),B1426)</f>
        <v>_1. Item _1</v>
      </c>
      <c r="Y1426" s="15">
        <f t="shared" si="126"/>
        <v>7</v>
      </c>
      <c r="Z1426" s="15">
        <f t="shared" si="126"/>
        <v>7</v>
      </c>
      <c r="AA1426" s="15">
        <f t="shared" si="123"/>
        <v>2021</v>
      </c>
      <c r="AB1426" s="15">
        <f t="shared" si="124"/>
        <v>2021</v>
      </c>
      <c r="AC1426" s="15">
        <f t="shared" si="125"/>
        <v>2021</v>
      </c>
      <c r="AD1426" s="18" t="b">
        <f t="shared" si="127"/>
        <v>1</v>
      </c>
    </row>
    <row r="1427" spans="1:30" ht="12.75" hidden="1" customHeight="1" x14ac:dyDescent="0.2">
      <c r="A1427" s="7" t="s">
        <v>683</v>
      </c>
      <c r="B1427" s="7"/>
      <c r="C1427" s="2" t="s">
        <v>648</v>
      </c>
      <c r="D1427" s="6" t="s">
        <v>649</v>
      </c>
      <c r="E1427" s="32" t="s">
        <v>651</v>
      </c>
      <c r="F1427" s="7"/>
      <c r="G1427" s="7"/>
      <c r="H1427" s="7"/>
      <c r="I1427" s="7"/>
      <c r="J1427" s="7"/>
      <c r="K1427" s="7"/>
      <c r="L1427" s="7" t="s">
        <v>663</v>
      </c>
      <c r="M1427" s="8">
        <v>44378</v>
      </c>
      <c r="N1427" s="8">
        <v>44378</v>
      </c>
      <c r="O1427" s="13"/>
      <c r="P1427" s="13">
        <v>7417.45</v>
      </c>
      <c r="Q1427" s="33"/>
      <c r="R1427" s="22"/>
      <c r="S1427" s="22"/>
      <c r="T1427" s="22"/>
      <c r="U1427" s="22"/>
      <c r="X1427" s="15" t="str">
        <f>IF(B1427="",VLOOKUP(A1427,items_lookup!A:B,2,FALSE),B1427)</f>
        <v>_1. Item _1</v>
      </c>
      <c r="Y1427" s="15">
        <f t="shared" si="126"/>
        <v>7</v>
      </c>
      <c r="Z1427" s="15">
        <f t="shared" si="126"/>
        <v>7</v>
      </c>
      <c r="AA1427" s="15">
        <f t="shared" si="123"/>
        <v>2021</v>
      </c>
      <c r="AB1427" s="15">
        <f t="shared" si="124"/>
        <v>2021</v>
      </c>
      <c r="AC1427" s="15">
        <f t="shared" si="125"/>
        <v>2021</v>
      </c>
      <c r="AD1427" s="18" t="b">
        <f t="shared" si="127"/>
        <v>1</v>
      </c>
    </row>
    <row r="1428" spans="1:30" ht="15.75" hidden="1" customHeight="1" x14ac:dyDescent="0.2">
      <c r="A1428" s="7" t="s">
        <v>683</v>
      </c>
      <c r="B1428" s="7"/>
      <c r="C1428" s="2" t="s">
        <v>648</v>
      </c>
      <c r="D1428" s="6" t="s">
        <v>649</v>
      </c>
      <c r="E1428" s="32" t="s">
        <v>651</v>
      </c>
      <c r="F1428" s="7"/>
      <c r="G1428" s="7"/>
      <c r="H1428" s="7"/>
      <c r="I1428" s="7"/>
      <c r="J1428" s="7"/>
      <c r="K1428" s="7"/>
      <c r="L1428" s="7" t="s">
        <v>663</v>
      </c>
      <c r="M1428" s="8">
        <v>44378</v>
      </c>
      <c r="N1428" s="8">
        <v>44378</v>
      </c>
      <c r="O1428" s="13"/>
      <c r="P1428" s="13">
        <v>68279.179999999993</v>
      </c>
      <c r="Q1428" s="33"/>
      <c r="R1428" s="22"/>
      <c r="S1428" s="22"/>
      <c r="T1428" s="22"/>
      <c r="U1428" s="22"/>
      <c r="X1428" s="15" t="str">
        <f>IF(B1428="",VLOOKUP(A1428,items_lookup!A:B,2,FALSE),B1428)</f>
        <v>_1. Item _1</v>
      </c>
      <c r="Y1428" s="15">
        <f t="shared" si="126"/>
        <v>7</v>
      </c>
      <c r="Z1428" s="15">
        <f t="shared" si="126"/>
        <v>7</v>
      </c>
      <c r="AA1428" s="15">
        <f t="shared" si="123"/>
        <v>2021</v>
      </c>
      <c r="AB1428" s="15">
        <f t="shared" si="124"/>
        <v>2021</v>
      </c>
      <c r="AC1428" s="15">
        <f t="shared" si="125"/>
        <v>2021</v>
      </c>
      <c r="AD1428" s="18" t="b">
        <f t="shared" si="127"/>
        <v>1</v>
      </c>
    </row>
    <row r="1429" spans="1:30" ht="15.75" hidden="1" customHeight="1" x14ac:dyDescent="0.2">
      <c r="A1429" s="7" t="s">
        <v>690</v>
      </c>
      <c r="B1429" s="7"/>
      <c r="C1429" s="2" t="s">
        <v>648</v>
      </c>
      <c r="D1429" s="6" t="s">
        <v>649</v>
      </c>
      <c r="E1429" s="32" t="s">
        <v>651</v>
      </c>
      <c r="F1429" s="7"/>
      <c r="G1429" s="7"/>
      <c r="H1429" s="7"/>
      <c r="I1429" s="7"/>
      <c r="J1429" s="7"/>
      <c r="K1429" s="7"/>
      <c r="L1429" s="7" t="s">
        <v>663</v>
      </c>
      <c r="M1429" s="8">
        <v>44378</v>
      </c>
      <c r="N1429" s="8">
        <v>44378</v>
      </c>
      <c r="O1429" s="13"/>
      <c r="P1429" s="13">
        <v>33066.21</v>
      </c>
      <c r="Q1429" s="33"/>
      <c r="R1429" s="22"/>
      <c r="S1429" s="22"/>
      <c r="T1429" s="22"/>
      <c r="U1429" s="22"/>
      <c r="X1429" s="15" t="str">
        <f>IF(B1429="",VLOOKUP(A1429,items_lookup!A:B,2,FALSE),B1429)</f>
        <v>21. Item 21</v>
      </c>
      <c r="Y1429" s="15">
        <f t="shared" si="126"/>
        <v>7</v>
      </c>
      <c r="Z1429" s="15">
        <f t="shared" si="126"/>
        <v>7</v>
      </c>
      <c r="AA1429" s="15">
        <f t="shared" si="123"/>
        <v>2021</v>
      </c>
      <c r="AB1429" s="15">
        <f t="shared" si="124"/>
        <v>2021</v>
      </c>
      <c r="AC1429" s="15">
        <f t="shared" si="125"/>
        <v>2021</v>
      </c>
      <c r="AD1429" s="18" t="b">
        <f t="shared" si="127"/>
        <v>1</v>
      </c>
    </row>
    <row r="1430" spans="1:30" ht="15" hidden="1" customHeight="1" x14ac:dyDescent="0.2">
      <c r="A1430" s="7" t="s">
        <v>699</v>
      </c>
      <c r="B1430" s="7"/>
      <c r="C1430" s="2" t="s">
        <v>648</v>
      </c>
      <c r="D1430" s="6" t="s">
        <v>649</v>
      </c>
      <c r="E1430" s="32" t="s">
        <v>651</v>
      </c>
      <c r="F1430" s="7"/>
      <c r="G1430" s="7"/>
      <c r="H1430" s="7"/>
      <c r="I1430" s="7"/>
      <c r="J1430" s="7"/>
      <c r="K1430" s="7"/>
      <c r="L1430" s="7" t="s">
        <v>663</v>
      </c>
      <c r="M1430" s="8">
        <v>44378</v>
      </c>
      <c r="N1430" s="8">
        <v>44378</v>
      </c>
      <c r="O1430" s="13"/>
      <c r="P1430" s="13">
        <v>1321823.78</v>
      </c>
      <c r="Q1430" s="33"/>
      <c r="R1430" s="22"/>
      <c r="S1430" s="22"/>
      <c r="T1430" s="22"/>
      <c r="U1430" s="22"/>
      <c r="X1430" s="15" t="str">
        <f>IF(B1430="",VLOOKUP(A1430,items_lookup!A:B,2,FALSE),B1430)</f>
        <v>12. Item 12</v>
      </c>
      <c r="Y1430" s="15">
        <f t="shared" si="126"/>
        <v>7</v>
      </c>
      <c r="Z1430" s="15">
        <f t="shared" si="126"/>
        <v>7</v>
      </c>
      <c r="AA1430" s="15">
        <f t="shared" si="123"/>
        <v>2021</v>
      </c>
      <c r="AB1430" s="15">
        <f t="shared" si="124"/>
        <v>2021</v>
      </c>
      <c r="AC1430" s="15">
        <f t="shared" si="125"/>
        <v>2021</v>
      </c>
      <c r="AD1430" s="18" t="b">
        <f t="shared" si="127"/>
        <v>1</v>
      </c>
    </row>
    <row r="1431" spans="1:30" ht="15" hidden="1" customHeight="1" x14ac:dyDescent="0.2">
      <c r="A1431" s="7" t="s">
        <v>699</v>
      </c>
      <c r="B1431" s="7"/>
      <c r="C1431" s="2" t="s">
        <v>648</v>
      </c>
      <c r="D1431" s="6" t="s">
        <v>649</v>
      </c>
      <c r="E1431" s="32" t="s">
        <v>651</v>
      </c>
      <c r="F1431" s="7"/>
      <c r="G1431" s="7"/>
      <c r="H1431" s="7"/>
      <c r="I1431" s="7"/>
      <c r="J1431" s="7"/>
      <c r="K1431" s="7"/>
      <c r="L1431" s="7" t="s">
        <v>663</v>
      </c>
      <c r="M1431" s="8">
        <v>44378</v>
      </c>
      <c r="N1431" s="8">
        <v>44378</v>
      </c>
      <c r="O1431" s="13"/>
      <c r="P1431" s="13">
        <v>1004424.04</v>
      </c>
      <c r="Q1431" s="33"/>
      <c r="R1431" s="22"/>
      <c r="S1431" s="22"/>
      <c r="T1431" s="22"/>
      <c r="U1431" s="22"/>
      <c r="X1431" s="15" t="str">
        <f>IF(B1431="",VLOOKUP(A1431,items_lookup!A:B,2,FALSE),B1431)</f>
        <v>12. Item 12</v>
      </c>
      <c r="Y1431" s="15">
        <f t="shared" si="126"/>
        <v>7</v>
      </c>
      <c r="Z1431" s="15">
        <f t="shared" si="126"/>
        <v>7</v>
      </c>
      <c r="AA1431" s="15">
        <f t="shared" si="123"/>
        <v>2021</v>
      </c>
      <c r="AB1431" s="15">
        <f t="shared" si="124"/>
        <v>2021</v>
      </c>
      <c r="AC1431" s="15">
        <f t="shared" si="125"/>
        <v>2021</v>
      </c>
      <c r="AD1431" s="18" t="b">
        <f t="shared" si="127"/>
        <v>1</v>
      </c>
    </row>
    <row r="1432" spans="1:30" ht="17.25" hidden="1" customHeight="1" x14ac:dyDescent="0.2">
      <c r="A1432" s="7" t="s">
        <v>699</v>
      </c>
      <c r="B1432" s="7"/>
      <c r="C1432" s="2" t="s">
        <v>648</v>
      </c>
      <c r="D1432" s="6" t="s">
        <v>649</v>
      </c>
      <c r="E1432" s="32" t="s">
        <v>651</v>
      </c>
      <c r="F1432" s="7"/>
      <c r="G1432" s="7"/>
      <c r="H1432" s="7"/>
      <c r="I1432" s="7"/>
      <c r="J1432" s="7"/>
      <c r="K1432" s="7"/>
      <c r="L1432" s="7" t="s">
        <v>663</v>
      </c>
      <c r="M1432" s="8">
        <v>44378</v>
      </c>
      <c r="N1432" s="8">
        <v>44378</v>
      </c>
      <c r="O1432" s="13"/>
      <c r="P1432" s="13">
        <v>118033.41</v>
      </c>
      <c r="Q1432" s="33"/>
      <c r="R1432" s="22"/>
      <c r="S1432" s="22"/>
      <c r="T1432" s="22"/>
      <c r="U1432" s="22"/>
      <c r="X1432" s="15" t="str">
        <f>IF(B1432="",VLOOKUP(A1432,items_lookup!A:B,2,FALSE),B1432)</f>
        <v>12. Item 12</v>
      </c>
      <c r="Y1432" s="15">
        <f t="shared" si="126"/>
        <v>7</v>
      </c>
      <c r="Z1432" s="15">
        <f t="shared" si="126"/>
        <v>7</v>
      </c>
      <c r="AA1432" s="15">
        <f t="shared" si="123"/>
        <v>2021</v>
      </c>
      <c r="AB1432" s="15">
        <f t="shared" si="124"/>
        <v>2021</v>
      </c>
      <c r="AC1432" s="15">
        <f t="shared" si="125"/>
        <v>2021</v>
      </c>
      <c r="AD1432" s="18" t="b">
        <f t="shared" si="127"/>
        <v>1</v>
      </c>
    </row>
    <row r="1433" spans="1:30" ht="15" hidden="1" customHeight="1" x14ac:dyDescent="0.2">
      <c r="A1433" s="7" t="s">
        <v>681</v>
      </c>
      <c r="B1433" s="7"/>
      <c r="C1433" s="2" t="s">
        <v>648</v>
      </c>
      <c r="D1433" s="6" t="s">
        <v>649</v>
      </c>
      <c r="E1433" s="32" t="s">
        <v>651</v>
      </c>
      <c r="F1433" s="7"/>
      <c r="G1433" s="7"/>
      <c r="H1433" s="7"/>
      <c r="I1433" s="7"/>
      <c r="J1433" s="7"/>
      <c r="K1433" s="7"/>
      <c r="L1433" s="7" t="s">
        <v>663</v>
      </c>
      <c r="M1433" s="8">
        <v>44378</v>
      </c>
      <c r="N1433" s="8">
        <v>44378</v>
      </c>
      <c r="O1433" s="13"/>
      <c r="P1433" s="13">
        <v>129.29</v>
      </c>
      <c r="Q1433" s="33"/>
      <c r="R1433" s="22"/>
      <c r="S1433" s="22"/>
      <c r="T1433" s="22"/>
      <c r="U1433" s="22"/>
      <c r="X1433" s="15" t="str">
        <f>IF(B1433="",VLOOKUP(A1433,items_lookup!A:B,2,FALSE),B1433)</f>
        <v>19. Item 19</v>
      </c>
      <c r="Y1433" s="15">
        <f t="shared" si="126"/>
        <v>7</v>
      </c>
      <c r="Z1433" s="15">
        <f t="shared" si="126"/>
        <v>7</v>
      </c>
      <c r="AA1433" s="15">
        <f t="shared" si="123"/>
        <v>2021</v>
      </c>
      <c r="AB1433" s="15">
        <f t="shared" si="124"/>
        <v>2021</v>
      </c>
      <c r="AC1433" s="15">
        <f t="shared" si="125"/>
        <v>2021</v>
      </c>
      <c r="AD1433" s="18" t="b">
        <f t="shared" si="127"/>
        <v>1</v>
      </c>
    </row>
    <row r="1434" spans="1:30" ht="15" hidden="1" customHeight="1" x14ac:dyDescent="0.2">
      <c r="A1434" s="7" t="s">
        <v>675</v>
      </c>
      <c r="B1434" s="7"/>
      <c r="C1434" s="2" t="s">
        <v>648</v>
      </c>
      <c r="D1434" s="6" t="s">
        <v>649</v>
      </c>
      <c r="E1434" s="32" t="s">
        <v>651</v>
      </c>
      <c r="F1434" s="7"/>
      <c r="G1434" s="7"/>
      <c r="H1434" s="7"/>
      <c r="I1434" s="7"/>
      <c r="J1434" s="7"/>
      <c r="K1434" s="7"/>
      <c r="L1434" s="7" t="s">
        <v>663</v>
      </c>
      <c r="M1434" s="8">
        <v>44378</v>
      </c>
      <c r="N1434" s="8">
        <v>44378</v>
      </c>
      <c r="O1434" s="13"/>
      <c r="P1434" s="13">
        <v>18622.38</v>
      </c>
      <c r="Q1434" s="33"/>
      <c r="R1434" s="22"/>
      <c r="S1434" s="22"/>
      <c r="T1434" s="22"/>
      <c r="U1434" s="22"/>
      <c r="X1434" s="15" t="str">
        <f>IF(B1434="",VLOOKUP(A1434,items_lookup!A:B,2,FALSE),B1434)</f>
        <v>09. Item 09</v>
      </c>
      <c r="Y1434" s="15">
        <f t="shared" si="126"/>
        <v>7</v>
      </c>
      <c r="Z1434" s="15">
        <f t="shared" si="126"/>
        <v>7</v>
      </c>
      <c r="AA1434" s="15">
        <f t="shared" si="123"/>
        <v>2021</v>
      </c>
      <c r="AB1434" s="15">
        <f t="shared" si="124"/>
        <v>2021</v>
      </c>
      <c r="AC1434" s="15">
        <f t="shared" si="125"/>
        <v>2021</v>
      </c>
      <c r="AD1434" s="18" t="b">
        <f t="shared" si="127"/>
        <v>1</v>
      </c>
    </row>
    <row r="1435" spans="1:30" ht="25.5" hidden="1" customHeight="1" x14ac:dyDescent="0.2">
      <c r="A1435" s="7" t="s">
        <v>675</v>
      </c>
      <c r="B1435" s="7"/>
      <c r="C1435" s="2" t="s">
        <v>648</v>
      </c>
      <c r="D1435" s="6" t="s">
        <v>649</v>
      </c>
      <c r="E1435" s="32" t="s">
        <v>651</v>
      </c>
      <c r="F1435" s="7"/>
      <c r="G1435" s="7"/>
      <c r="H1435" s="7"/>
      <c r="I1435" s="7"/>
      <c r="J1435" s="7"/>
      <c r="K1435" s="7"/>
      <c r="L1435" s="7" t="s">
        <v>663</v>
      </c>
      <c r="M1435" s="8">
        <v>44378</v>
      </c>
      <c r="N1435" s="8">
        <v>44378</v>
      </c>
      <c r="O1435" s="13"/>
      <c r="P1435" s="13">
        <v>609486.74</v>
      </c>
      <c r="Q1435" s="33"/>
      <c r="R1435" s="22"/>
      <c r="S1435" s="22"/>
      <c r="T1435" s="22"/>
      <c r="U1435" s="22"/>
      <c r="X1435" s="15" t="str">
        <f>IF(B1435="",VLOOKUP(A1435,items_lookup!A:B,2,FALSE),B1435)</f>
        <v>09. Item 09</v>
      </c>
      <c r="Y1435" s="15">
        <f t="shared" si="126"/>
        <v>7</v>
      </c>
      <c r="Z1435" s="15">
        <f t="shared" si="126"/>
        <v>7</v>
      </c>
      <c r="AA1435" s="15">
        <f t="shared" si="123"/>
        <v>2021</v>
      </c>
      <c r="AB1435" s="15">
        <f t="shared" si="124"/>
        <v>2021</v>
      </c>
      <c r="AC1435" s="15">
        <f t="shared" si="125"/>
        <v>2021</v>
      </c>
      <c r="AD1435" s="18" t="b">
        <f t="shared" si="127"/>
        <v>1</v>
      </c>
    </row>
    <row r="1436" spans="1:30" ht="15" hidden="1" customHeight="1" x14ac:dyDescent="0.2">
      <c r="A1436" s="7" t="s">
        <v>687</v>
      </c>
      <c r="B1436" s="7"/>
      <c r="C1436" s="2" t="s">
        <v>648</v>
      </c>
      <c r="D1436" s="6" t="s">
        <v>649</v>
      </c>
      <c r="E1436" s="32" t="s">
        <v>651</v>
      </c>
      <c r="F1436" s="7"/>
      <c r="G1436" s="7"/>
      <c r="H1436" s="7"/>
      <c r="I1436" s="7"/>
      <c r="J1436" s="7"/>
      <c r="K1436" s="7"/>
      <c r="L1436" s="7" t="s">
        <v>663</v>
      </c>
      <c r="M1436" s="8">
        <v>44409</v>
      </c>
      <c r="N1436" s="8">
        <v>44409</v>
      </c>
      <c r="O1436" s="13"/>
      <c r="P1436" s="13">
        <v>191721.74</v>
      </c>
      <c r="Q1436" s="33"/>
      <c r="R1436" s="22"/>
      <c r="S1436" s="22"/>
      <c r="T1436" s="22"/>
      <c r="U1436" s="22"/>
      <c r="X1436" s="15" t="str">
        <f>IF(B1436="",VLOOKUP(A1436,items_lookup!A:B,2,FALSE),B1436)</f>
        <v>14. Item 14</v>
      </c>
      <c r="Y1436" s="15">
        <f t="shared" si="126"/>
        <v>8</v>
      </c>
      <c r="Z1436" s="15">
        <f t="shared" si="126"/>
        <v>8</v>
      </c>
      <c r="AA1436" s="15">
        <f t="shared" si="123"/>
        <v>2021</v>
      </c>
      <c r="AB1436" s="15">
        <f t="shared" si="124"/>
        <v>2021</v>
      </c>
      <c r="AC1436" s="15">
        <f t="shared" si="125"/>
        <v>2021</v>
      </c>
      <c r="AD1436" s="18" t="b">
        <f t="shared" si="127"/>
        <v>1</v>
      </c>
    </row>
    <row r="1437" spans="1:30" ht="15" hidden="1" customHeight="1" x14ac:dyDescent="0.2">
      <c r="A1437" s="7" t="s">
        <v>687</v>
      </c>
      <c r="B1437" s="7"/>
      <c r="C1437" s="2" t="s">
        <v>641</v>
      </c>
      <c r="D1437" s="6" t="s">
        <v>649</v>
      </c>
      <c r="E1437" s="32" t="s">
        <v>651</v>
      </c>
      <c r="F1437" s="7"/>
      <c r="G1437" s="7"/>
      <c r="H1437" s="7"/>
      <c r="I1437" s="7" t="s">
        <v>20</v>
      </c>
      <c r="J1437" s="7">
        <v>4</v>
      </c>
      <c r="K1437" s="7" t="s">
        <v>660</v>
      </c>
      <c r="L1437" s="7" t="s">
        <v>663</v>
      </c>
      <c r="M1437" s="8">
        <v>44393</v>
      </c>
      <c r="N1437" s="8">
        <v>44404</v>
      </c>
      <c r="O1437" s="13"/>
      <c r="P1437" s="13">
        <v>4866356.4000000004</v>
      </c>
      <c r="Q1437" s="33"/>
      <c r="R1437" s="22"/>
      <c r="S1437" s="22"/>
      <c r="T1437" s="22"/>
      <c r="U1437" s="22"/>
      <c r="X1437" s="15" t="str">
        <f>IF(B1437="",VLOOKUP(A1437,items_lookup!A:B,2,FALSE),B1437)</f>
        <v>14. Item 14</v>
      </c>
      <c r="Y1437" s="15">
        <f t="shared" si="126"/>
        <v>7</v>
      </c>
      <c r="Z1437" s="15">
        <f t="shared" si="126"/>
        <v>7</v>
      </c>
      <c r="AA1437" s="15">
        <f t="shared" si="123"/>
        <v>2021</v>
      </c>
      <c r="AB1437" s="15">
        <f t="shared" si="124"/>
        <v>2021</v>
      </c>
      <c r="AC1437" s="15">
        <f t="shared" si="125"/>
        <v>2021</v>
      </c>
      <c r="AD1437" s="18" t="b">
        <f t="shared" si="127"/>
        <v>1</v>
      </c>
    </row>
    <row r="1438" spans="1:30" ht="15" hidden="1" customHeight="1" x14ac:dyDescent="0.2">
      <c r="A1438" s="7" t="s">
        <v>683</v>
      </c>
      <c r="B1438" s="7"/>
      <c r="C1438" s="2" t="s">
        <v>641</v>
      </c>
      <c r="D1438" s="6" t="s">
        <v>649</v>
      </c>
      <c r="E1438" s="32" t="s">
        <v>651</v>
      </c>
      <c r="F1438" s="7"/>
      <c r="G1438" s="7"/>
      <c r="H1438" s="7"/>
      <c r="I1438" s="7"/>
      <c r="J1438" s="7">
        <v>4</v>
      </c>
      <c r="K1438" s="7" t="s">
        <v>660</v>
      </c>
      <c r="L1438" s="7" t="s">
        <v>663</v>
      </c>
      <c r="M1438" s="8">
        <v>44393</v>
      </c>
      <c r="N1438" s="8">
        <v>44404</v>
      </c>
      <c r="O1438" s="13"/>
      <c r="P1438" s="13">
        <v>2231262.65</v>
      </c>
      <c r="Q1438" s="33"/>
      <c r="R1438" s="22"/>
      <c r="S1438" s="22"/>
      <c r="T1438" s="22"/>
      <c r="U1438" s="22"/>
      <c r="X1438" s="15" t="str">
        <f>IF(B1438="",VLOOKUP(A1438,items_lookup!A:B,2,FALSE),B1438)</f>
        <v>_1. Item _1</v>
      </c>
      <c r="Y1438" s="15">
        <f t="shared" si="126"/>
        <v>7</v>
      </c>
      <c r="Z1438" s="15">
        <f t="shared" si="126"/>
        <v>7</v>
      </c>
      <c r="AA1438" s="15">
        <f t="shared" si="123"/>
        <v>2021</v>
      </c>
      <c r="AB1438" s="15">
        <f t="shared" si="124"/>
        <v>2021</v>
      </c>
      <c r="AC1438" s="15">
        <f t="shared" si="125"/>
        <v>2021</v>
      </c>
      <c r="AD1438" s="18" t="b">
        <f t="shared" si="127"/>
        <v>1</v>
      </c>
    </row>
    <row r="1439" spans="1:30" ht="15" hidden="1" customHeight="1" x14ac:dyDescent="0.2">
      <c r="A1439" s="7" t="s">
        <v>683</v>
      </c>
      <c r="B1439" s="7"/>
      <c r="C1439" s="2" t="s">
        <v>641</v>
      </c>
      <c r="D1439" s="6" t="s">
        <v>649</v>
      </c>
      <c r="E1439" s="32" t="s">
        <v>651</v>
      </c>
      <c r="F1439" s="7"/>
      <c r="G1439" s="7"/>
      <c r="H1439" s="7"/>
      <c r="I1439" s="7"/>
      <c r="J1439" s="7"/>
      <c r="K1439" s="7" t="s">
        <v>660</v>
      </c>
      <c r="L1439" s="7" t="s">
        <v>663</v>
      </c>
      <c r="M1439" s="8">
        <v>44393</v>
      </c>
      <c r="N1439" s="8">
        <v>44393</v>
      </c>
      <c r="O1439" s="13"/>
      <c r="P1439" s="13">
        <v>187240.4</v>
      </c>
      <c r="Q1439" s="33"/>
      <c r="R1439" s="22"/>
      <c r="S1439" s="22"/>
      <c r="T1439" s="22"/>
      <c r="U1439" s="22"/>
      <c r="X1439" s="15" t="str">
        <f>IF(B1439="",VLOOKUP(A1439,items_lookup!A:B,2,FALSE),B1439)</f>
        <v>_1. Item _1</v>
      </c>
      <c r="Y1439" s="15">
        <f t="shared" si="126"/>
        <v>7</v>
      </c>
      <c r="Z1439" s="15">
        <f t="shared" si="126"/>
        <v>7</v>
      </c>
      <c r="AA1439" s="15">
        <f t="shared" si="123"/>
        <v>2021</v>
      </c>
      <c r="AB1439" s="15">
        <f t="shared" si="124"/>
        <v>2021</v>
      </c>
      <c r="AC1439" s="15">
        <f t="shared" si="125"/>
        <v>2021</v>
      </c>
      <c r="AD1439" s="18" t="b">
        <f t="shared" si="127"/>
        <v>1</v>
      </c>
    </row>
    <row r="1440" spans="1:30" ht="15" hidden="1" customHeight="1" x14ac:dyDescent="0.2">
      <c r="A1440" s="7" t="s">
        <v>683</v>
      </c>
      <c r="B1440" s="7"/>
      <c r="C1440" s="2" t="s">
        <v>641</v>
      </c>
      <c r="D1440" s="6" t="s">
        <v>649</v>
      </c>
      <c r="E1440" s="32" t="s">
        <v>651</v>
      </c>
      <c r="F1440" s="7"/>
      <c r="G1440" s="7"/>
      <c r="H1440" s="7"/>
      <c r="I1440" s="7"/>
      <c r="J1440" s="7"/>
      <c r="K1440" s="7" t="s">
        <v>660</v>
      </c>
      <c r="L1440" s="7" t="s">
        <v>663</v>
      </c>
      <c r="M1440" s="8">
        <v>44397</v>
      </c>
      <c r="N1440" s="8">
        <v>44397</v>
      </c>
      <c r="O1440" s="13"/>
      <c r="P1440" s="13">
        <v>181945.41</v>
      </c>
      <c r="Q1440" s="33"/>
      <c r="R1440" s="22"/>
      <c r="S1440" s="22"/>
      <c r="T1440" s="22"/>
      <c r="U1440" s="22"/>
      <c r="X1440" s="15" t="str">
        <f>IF(B1440="",VLOOKUP(A1440,items_lookup!A:B,2,FALSE),B1440)</f>
        <v>_1. Item _1</v>
      </c>
      <c r="Y1440" s="15">
        <f t="shared" si="126"/>
        <v>7</v>
      </c>
      <c r="Z1440" s="15">
        <f t="shared" si="126"/>
        <v>7</v>
      </c>
      <c r="AA1440" s="15">
        <f t="shared" si="123"/>
        <v>2021</v>
      </c>
      <c r="AB1440" s="15">
        <f t="shared" si="124"/>
        <v>2021</v>
      </c>
      <c r="AC1440" s="15">
        <f t="shared" si="125"/>
        <v>2021</v>
      </c>
      <c r="AD1440" s="18" t="b">
        <f t="shared" si="127"/>
        <v>1</v>
      </c>
    </row>
    <row r="1441" spans="1:30" ht="15" hidden="1" customHeight="1" x14ac:dyDescent="0.2">
      <c r="A1441" s="7" t="s">
        <v>683</v>
      </c>
      <c r="B1441" s="7"/>
      <c r="C1441" s="2" t="s">
        <v>641</v>
      </c>
      <c r="D1441" s="6" t="s">
        <v>649</v>
      </c>
      <c r="E1441" s="32" t="s">
        <v>651</v>
      </c>
      <c r="F1441" s="7"/>
      <c r="G1441" s="7"/>
      <c r="H1441" s="7"/>
      <c r="I1441" s="7"/>
      <c r="J1441" s="7"/>
      <c r="K1441" s="7" t="s">
        <v>660</v>
      </c>
      <c r="L1441" s="7" t="s">
        <v>663</v>
      </c>
      <c r="M1441" s="8">
        <v>44383</v>
      </c>
      <c r="N1441" s="8">
        <v>44399</v>
      </c>
      <c r="O1441" s="13"/>
      <c r="P1441" s="13">
        <v>567.86</v>
      </c>
      <c r="Q1441" s="33"/>
      <c r="X1441" s="15" t="str">
        <f>IF(B1441="",VLOOKUP(A1441,items_lookup!A:B,2,FALSE),B1441)</f>
        <v>_1. Item _1</v>
      </c>
      <c r="Y1441" s="15">
        <f t="shared" si="126"/>
        <v>7</v>
      </c>
      <c r="Z1441" s="15">
        <f t="shared" si="126"/>
        <v>7</v>
      </c>
      <c r="AA1441" s="15">
        <f t="shared" si="123"/>
        <v>2021</v>
      </c>
      <c r="AB1441" s="15">
        <f t="shared" si="124"/>
        <v>2021</v>
      </c>
      <c r="AC1441" s="15">
        <f t="shared" si="125"/>
        <v>2021</v>
      </c>
      <c r="AD1441" s="18" t="b">
        <f t="shared" si="127"/>
        <v>1</v>
      </c>
    </row>
    <row r="1442" spans="1:30" ht="14.25" hidden="1" customHeight="1" x14ac:dyDescent="0.2">
      <c r="A1442" s="7" t="s">
        <v>673</v>
      </c>
      <c r="B1442" s="7"/>
      <c r="C1442" s="2" t="s">
        <v>641</v>
      </c>
      <c r="D1442" s="6" t="s">
        <v>649</v>
      </c>
      <c r="E1442" s="32" t="s">
        <v>651</v>
      </c>
      <c r="F1442" s="7"/>
      <c r="G1442" s="7"/>
      <c r="H1442" s="7"/>
      <c r="I1442" s="7"/>
      <c r="J1442" s="7"/>
      <c r="K1442" s="7" t="s">
        <v>660</v>
      </c>
      <c r="L1442" s="7" t="s">
        <v>663</v>
      </c>
      <c r="M1442" s="8">
        <v>44383</v>
      </c>
      <c r="N1442" s="8">
        <v>44400</v>
      </c>
      <c r="O1442" s="13"/>
      <c r="P1442" s="13">
        <v>3616.67</v>
      </c>
      <c r="Q1442" s="33"/>
      <c r="X1442" s="15" t="str">
        <f>IF(B1442="",VLOOKUP(A1442,items_lookup!A:B,2,FALSE),B1442)</f>
        <v>07. Item 07</v>
      </c>
      <c r="Y1442" s="15">
        <f t="shared" si="126"/>
        <v>7</v>
      </c>
      <c r="Z1442" s="15">
        <f t="shared" si="126"/>
        <v>7</v>
      </c>
      <c r="AA1442" s="15">
        <f t="shared" si="123"/>
        <v>2021</v>
      </c>
      <c r="AB1442" s="15">
        <f t="shared" si="124"/>
        <v>2021</v>
      </c>
      <c r="AC1442" s="15">
        <f t="shared" si="125"/>
        <v>2021</v>
      </c>
      <c r="AD1442" s="18" t="b">
        <f t="shared" si="127"/>
        <v>1</v>
      </c>
    </row>
    <row r="1443" spans="1:30" ht="14.25" hidden="1" customHeight="1" x14ac:dyDescent="0.2">
      <c r="A1443" s="7" t="s">
        <v>671</v>
      </c>
      <c r="B1443" s="7"/>
      <c r="C1443" s="2" t="s">
        <v>641</v>
      </c>
      <c r="D1443" s="6" t="s">
        <v>649</v>
      </c>
      <c r="E1443" s="32" t="s">
        <v>651</v>
      </c>
      <c r="F1443" s="7"/>
      <c r="G1443" s="7"/>
      <c r="H1443" s="7"/>
      <c r="I1443" s="7"/>
      <c r="J1443" s="7"/>
      <c r="K1443" s="7" t="s">
        <v>660</v>
      </c>
      <c r="L1443" s="7" t="s">
        <v>663</v>
      </c>
      <c r="M1443" s="8">
        <v>44398</v>
      </c>
      <c r="N1443" s="8">
        <v>44398</v>
      </c>
      <c r="O1443" s="13"/>
      <c r="P1443" s="13">
        <v>319775.94</v>
      </c>
      <c r="Q1443" s="33"/>
      <c r="R1443" s="22"/>
      <c r="S1443" s="22"/>
      <c r="T1443" s="22"/>
      <c r="U1443" s="22"/>
      <c r="X1443" s="15" t="str">
        <f>IF(B1443="",VLOOKUP(A1443,items_lookup!A:B,2,FALSE),B1443)</f>
        <v>05. Item 05</v>
      </c>
      <c r="Y1443" s="15">
        <f t="shared" si="126"/>
        <v>7</v>
      </c>
      <c r="Z1443" s="15">
        <f t="shared" si="126"/>
        <v>7</v>
      </c>
      <c r="AA1443" s="15">
        <f t="shared" si="123"/>
        <v>2021</v>
      </c>
      <c r="AB1443" s="15">
        <f t="shared" si="124"/>
        <v>2021</v>
      </c>
      <c r="AC1443" s="15">
        <f t="shared" si="125"/>
        <v>2021</v>
      </c>
      <c r="AD1443" s="18" t="b">
        <f t="shared" si="127"/>
        <v>1</v>
      </c>
    </row>
    <row r="1444" spans="1:30" ht="15" hidden="1" customHeight="1" x14ac:dyDescent="0.2">
      <c r="A1444" s="7" t="s">
        <v>674</v>
      </c>
      <c r="B1444" s="7"/>
      <c r="C1444" s="2" t="s">
        <v>641</v>
      </c>
      <c r="D1444" s="6" t="s">
        <v>649</v>
      </c>
      <c r="E1444" s="32" t="s">
        <v>651</v>
      </c>
      <c r="F1444" s="7"/>
      <c r="G1444" s="7"/>
      <c r="H1444" s="7"/>
      <c r="I1444" s="7"/>
      <c r="J1444" s="7"/>
      <c r="K1444" s="7" t="s">
        <v>660</v>
      </c>
      <c r="L1444" s="7" t="s">
        <v>663</v>
      </c>
      <c r="M1444" s="8">
        <v>44399</v>
      </c>
      <c r="N1444" s="8">
        <v>44399</v>
      </c>
      <c r="O1444" s="13"/>
      <c r="P1444" s="13">
        <v>21678.01</v>
      </c>
      <c r="Q1444" s="33"/>
      <c r="R1444" s="22"/>
      <c r="S1444" s="22"/>
      <c r="T1444" s="22"/>
      <c r="U1444" s="22"/>
      <c r="X1444" s="15" t="str">
        <f>IF(B1444="",VLOOKUP(A1444,items_lookup!A:B,2,FALSE),B1444)</f>
        <v>08. Item 08</v>
      </c>
      <c r="Y1444" s="15">
        <f t="shared" si="126"/>
        <v>7</v>
      </c>
      <c r="Z1444" s="15">
        <f t="shared" si="126"/>
        <v>7</v>
      </c>
      <c r="AA1444" s="15">
        <f t="shared" si="123"/>
        <v>2021</v>
      </c>
      <c r="AB1444" s="15">
        <f t="shared" si="124"/>
        <v>2021</v>
      </c>
      <c r="AC1444" s="15">
        <f t="shared" si="125"/>
        <v>2021</v>
      </c>
      <c r="AD1444" s="18" t="b">
        <f t="shared" si="127"/>
        <v>1</v>
      </c>
    </row>
    <row r="1445" spans="1:30" ht="15" hidden="1" customHeight="1" x14ac:dyDescent="0.2">
      <c r="A1445" s="7" t="s">
        <v>689</v>
      </c>
      <c r="B1445" s="7"/>
      <c r="C1445" s="2" t="s">
        <v>641</v>
      </c>
      <c r="D1445" s="6" t="s">
        <v>649</v>
      </c>
      <c r="E1445" s="32" t="s">
        <v>651</v>
      </c>
      <c r="F1445" s="7"/>
      <c r="G1445" s="7"/>
      <c r="H1445" s="7"/>
      <c r="I1445" s="7"/>
      <c r="J1445" s="7"/>
      <c r="K1445" s="7" t="s">
        <v>660</v>
      </c>
      <c r="L1445" s="7" t="s">
        <v>663</v>
      </c>
      <c r="M1445" s="8">
        <v>44400</v>
      </c>
      <c r="N1445" s="8">
        <v>44400</v>
      </c>
      <c r="O1445" s="13"/>
      <c r="P1445" s="13">
        <v>4807.1400000000003</v>
      </c>
      <c r="Q1445" s="33"/>
      <c r="R1445" s="22"/>
      <c r="S1445" s="22"/>
      <c r="T1445" s="22"/>
      <c r="U1445" s="22"/>
      <c r="X1445" s="15" t="str">
        <f>IF(B1445="",VLOOKUP(A1445,items_lookup!A:B,2,FALSE),B1445)</f>
        <v>04. Item 04</v>
      </c>
      <c r="Y1445" s="15">
        <f t="shared" si="126"/>
        <v>7</v>
      </c>
      <c r="Z1445" s="15">
        <f t="shared" si="126"/>
        <v>7</v>
      </c>
      <c r="AA1445" s="15">
        <f t="shared" si="123"/>
        <v>2021</v>
      </c>
      <c r="AB1445" s="15">
        <f t="shared" si="124"/>
        <v>2021</v>
      </c>
      <c r="AC1445" s="15">
        <f t="shared" si="125"/>
        <v>2021</v>
      </c>
      <c r="AD1445" s="18" t="b">
        <f t="shared" si="127"/>
        <v>1</v>
      </c>
    </row>
    <row r="1446" spans="1:30" ht="15" hidden="1" customHeight="1" x14ac:dyDescent="0.2">
      <c r="A1446" s="7" t="s">
        <v>670</v>
      </c>
      <c r="B1446" s="7"/>
      <c r="C1446" s="2" t="s">
        <v>641</v>
      </c>
      <c r="D1446" s="6" t="s">
        <v>649</v>
      </c>
      <c r="E1446" s="32" t="s">
        <v>651</v>
      </c>
      <c r="F1446" s="7"/>
      <c r="G1446" s="7"/>
      <c r="H1446" s="7"/>
      <c r="I1446" s="7"/>
      <c r="J1446" s="7">
        <v>3</v>
      </c>
      <c r="K1446" s="7" t="s">
        <v>660</v>
      </c>
      <c r="L1446" s="7" t="s">
        <v>663</v>
      </c>
      <c r="M1446" s="8">
        <v>44392</v>
      </c>
      <c r="N1446" s="8">
        <v>44404</v>
      </c>
      <c r="O1446" s="13"/>
      <c r="P1446" s="13">
        <v>22.69</v>
      </c>
      <c r="Q1446" s="33"/>
      <c r="R1446" s="22"/>
      <c r="S1446" s="22"/>
      <c r="T1446" s="22"/>
      <c r="U1446" s="22"/>
      <c r="X1446" s="15" t="str">
        <f>IF(B1446="",VLOOKUP(A1446,items_lookup!A:B,2,FALSE),B1446)</f>
        <v>04. Item 04</v>
      </c>
      <c r="Y1446" s="15">
        <f t="shared" si="126"/>
        <v>7</v>
      </c>
      <c r="Z1446" s="15">
        <f t="shared" si="126"/>
        <v>7</v>
      </c>
      <c r="AA1446" s="15">
        <f t="shared" si="123"/>
        <v>2021</v>
      </c>
      <c r="AB1446" s="15">
        <f t="shared" si="124"/>
        <v>2021</v>
      </c>
      <c r="AC1446" s="15">
        <f t="shared" si="125"/>
        <v>2021</v>
      </c>
      <c r="AD1446" s="18" t="b">
        <f t="shared" si="127"/>
        <v>1</v>
      </c>
    </row>
    <row r="1447" spans="1:30" ht="16.5" hidden="1" customHeight="1" x14ac:dyDescent="0.2">
      <c r="A1447" s="7" t="s">
        <v>678</v>
      </c>
      <c r="B1447" s="7"/>
      <c r="C1447" s="2" t="s">
        <v>641</v>
      </c>
      <c r="D1447" s="6" t="s">
        <v>649</v>
      </c>
      <c r="E1447" s="32" t="s">
        <v>651</v>
      </c>
      <c r="F1447" s="7"/>
      <c r="G1447" s="7"/>
      <c r="H1447" s="7"/>
      <c r="I1447" s="7"/>
      <c r="J1447" s="7">
        <v>3</v>
      </c>
      <c r="K1447" s="7" t="s">
        <v>660</v>
      </c>
      <c r="L1447" s="7" t="s">
        <v>663</v>
      </c>
      <c r="M1447" s="8">
        <v>44392</v>
      </c>
      <c r="N1447" s="8">
        <v>44405</v>
      </c>
      <c r="O1447" s="13"/>
      <c r="P1447" s="13">
        <v>220224.09</v>
      </c>
      <c r="Q1447" s="33"/>
      <c r="R1447" s="22"/>
      <c r="S1447" s="22"/>
      <c r="T1447" s="22"/>
      <c r="U1447" s="22"/>
      <c r="X1447" s="15" t="str">
        <f>IF(B1447="",VLOOKUP(A1447,items_lookup!A:B,2,FALSE),B1447)</f>
        <v>13. Item 13</v>
      </c>
      <c r="Y1447" s="15">
        <f t="shared" si="126"/>
        <v>7</v>
      </c>
      <c r="Z1447" s="15">
        <f t="shared" si="126"/>
        <v>7</v>
      </c>
      <c r="AA1447" s="15">
        <f t="shared" si="123"/>
        <v>2021</v>
      </c>
      <c r="AB1447" s="15">
        <f t="shared" si="124"/>
        <v>2021</v>
      </c>
      <c r="AC1447" s="15">
        <f t="shared" si="125"/>
        <v>2021</v>
      </c>
      <c r="AD1447" s="18" t="b">
        <f t="shared" si="127"/>
        <v>1</v>
      </c>
    </row>
    <row r="1448" spans="1:30" ht="15" hidden="1" customHeight="1" x14ac:dyDescent="0.2">
      <c r="A1448" s="7" t="s">
        <v>696</v>
      </c>
      <c r="B1448" s="20"/>
      <c r="C1448" s="2" t="s">
        <v>641</v>
      </c>
      <c r="D1448" s="6" t="s">
        <v>649</v>
      </c>
      <c r="E1448" s="32" t="s">
        <v>651</v>
      </c>
      <c r="F1448" s="7"/>
      <c r="G1448" s="7"/>
      <c r="H1448" s="7"/>
      <c r="I1448" s="7"/>
      <c r="J1448" s="7">
        <v>1</v>
      </c>
      <c r="K1448" s="7" t="s">
        <v>660</v>
      </c>
      <c r="L1448" s="7" t="s">
        <v>663</v>
      </c>
      <c r="M1448" s="8">
        <v>44409</v>
      </c>
      <c r="N1448" s="8">
        <v>44426</v>
      </c>
      <c r="O1448" s="13"/>
      <c r="P1448" s="13">
        <v>148306.67000000001</v>
      </c>
      <c r="Q1448" s="33"/>
      <c r="R1448" s="22"/>
      <c r="S1448" s="22"/>
      <c r="T1448" s="22"/>
      <c r="U1448" s="22"/>
      <c r="X1448" s="15" t="str">
        <f>IF(B1448="",VLOOKUP(A1448,items_lookup!A:B,2,FALSE),B1448)</f>
        <v>13. Item 13</v>
      </c>
      <c r="Y1448" s="15">
        <f t="shared" si="126"/>
        <v>8</v>
      </c>
      <c r="Z1448" s="15">
        <f t="shared" si="126"/>
        <v>8</v>
      </c>
      <c r="AA1448" s="15">
        <f t="shared" si="123"/>
        <v>2021</v>
      </c>
      <c r="AB1448" s="15">
        <f t="shared" si="124"/>
        <v>2021</v>
      </c>
      <c r="AC1448" s="15">
        <f t="shared" si="125"/>
        <v>2021</v>
      </c>
      <c r="AD1448" s="18" t="b">
        <f t="shared" si="127"/>
        <v>1</v>
      </c>
    </row>
    <row r="1449" spans="1:30" ht="15.75" hidden="1" customHeight="1" x14ac:dyDescent="0.2">
      <c r="A1449" s="7" t="s">
        <v>676</v>
      </c>
      <c r="B1449" s="20"/>
      <c r="C1449" s="2" t="s">
        <v>641</v>
      </c>
      <c r="D1449" s="6" t="s">
        <v>649</v>
      </c>
      <c r="E1449" s="32" t="s">
        <v>651</v>
      </c>
      <c r="F1449" s="7"/>
      <c r="G1449" s="7"/>
      <c r="H1449" s="7"/>
      <c r="I1449" s="7"/>
      <c r="J1449" s="7">
        <v>3</v>
      </c>
      <c r="K1449" s="7" t="s">
        <v>660</v>
      </c>
      <c r="L1449" s="7" t="s">
        <v>663</v>
      </c>
      <c r="M1449" s="8">
        <v>44392</v>
      </c>
      <c r="N1449" s="8">
        <v>44404</v>
      </c>
      <c r="O1449" s="13"/>
      <c r="P1449" s="13">
        <v>236.24</v>
      </c>
      <c r="Q1449" s="33"/>
      <c r="R1449" s="22"/>
      <c r="S1449" s="22"/>
      <c r="T1449" s="22"/>
      <c r="U1449" s="22"/>
      <c r="X1449" s="15" t="str">
        <f>IF(B1449="",VLOOKUP(A1449,items_lookup!A:B,2,FALSE),B1449)</f>
        <v>09. Item 09</v>
      </c>
      <c r="Y1449" s="15">
        <f t="shared" si="126"/>
        <v>7</v>
      </c>
      <c r="Z1449" s="15">
        <f t="shared" si="126"/>
        <v>7</v>
      </c>
      <c r="AA1449" s="15">
        <f t="shared" si="123"/>
        <v>2021</v>
      </c>
      <c r="AB1449" s="15">
        <f t="shared" si="124"/>
        <v>2021</v>
      </c>
      <c r="AC1449" s="15">
        <f t="shared" si="125"/>
        <v>2021</v>
      </c>
      <c r="AD1449" s="18" t="b">
        <f t="shared" si="127"/>
        <v>1</v>
      </c>
    </row>
    <row r="1450" spans="1:30" ht="15.75" hidden="1" customHeight="1" x14ac:dyDescent="0.2">
      <c r="A1450" s="7" t="s">
        <v>688</v>
      </c>
      <c r="B1450" s="20"/>
      <c r="C1450" s="2" t="s">
        <v>641</v>
      </c>
      <c r="D1450" s="6" t="s">
        <v>649</v>
      </c>
      <c r="E1450" s="32" t="s">
        <v>651</v>
      </c>
      <c r="F1450" s="7"/>
      <c r="G1450" s="7"/>
      <c r="H1450" s="7"/>
      <c r="I1450" s="7"/>
      <c r="J1450" s="7">
        <v>3</v>
      </c>
      <c r="K1450" s="7" t="s">
        <v>660</v>
      </c>
      <c r="L1450" s="7" t="s">
        <v>663</v>
      </c>
      <c r="M1450" s="8">
        <v>44392</v>
      </c>
      <c r="N1450" s="8">
        <v>44406</v>
      </c>
      <c r="O1450" s="13"/>
      <c r="P1450" s="13">
        <v>136296.51</v>
      </c>
      <c r="Q1450" s="33"/>
      <c r="R1450" s="22"/>
      <c r="S1450" s="22"/>
      <c r="T1450" s="22"/>
      <c r="U1450" s="22"/>
      <c r="X1450" s="15" t="str">
        <f>IF(B1450="",VLOOKUP(A1450,items_lookup!A:B,2,FALSE),B1450)</f>
        <v>09. Item 09</v>
      </c>
      <c r="Y1450" s="15">
        <f t="shared" si="126"/>
        <v>7</v>
      </c>
      <c r="Z1450" s="15">
        <f t="shared" si="126"/>
        <v>7</v>
      </c>
      <c r="AA1450" s="15">
        <f t="shared" si="123"/>
        <v>2021</v>
      </c>
      <c r="AB1450" s="15">
        <f t="shared" si="124"/>
        <v>2021</v>
      </c>
      <c r="AC1450" s="15">
        <f t="shared" si="125"/>
        <v>2021</v>
      </c>
      <c r="AD1450" s="18" t="b">
        <f t="shared" si="127"/>
        <v>1</v>
      </c>
    </row>
    <row r="1451" spans="1:30" ht="15.75" hidden="1" customHeight="1" x14ac:dyDescent="0.2">
      <c r="A1451" s="7" t="s">
        <v>688</v>
      </c>
      <c r="B1451" s="7"/>
      <c r="C1451" s="2" t="s">
        <v>641</v>
      </c>
      <c r="D1451" s="6" t="s">
        <v>649</v>
      </c>
      <c r="E1451" s="32" t="s">
        <v>651</v>
      </c>
      <c r="F1451" s="7"/>
      <c r="G1451" s="7"/>
      <c r="H1451" s="7"/>
      <c r="I1451" s="7"/>
      <c r="J1451" s="7">
        <v>3</v>
      </c>
      <c r="K1451" s="7" t="s">
        <v>660</v>
      </c>
      <c r="L1451" s="7" t="s">
        <v>663</v>
      </c>
      <c r="M1451" s="8">
        <v>44397</v>
      </c>
      <c r="N1451" s="8">
        <v>44407</v>
      </c>
      <c r="O1451" s="13"/>
      <c r="P1451" s="13">
        <v>44319.57</v>
      </c>
      <c r="Q1451" s="33"/>
      <c r="R1451" s="22"/>
      <c r="S1451" s="22"/>
      <c r="T1451" s="22"/>
      <c r="U1451" s="22"/>
      <c r="X1451" s="15" t="str">
        <f>IF(B1451="",VLOOKUP(A1451,items_lookup!A:B,2,FALSE),B1451)</f>
        <v>09. Item 09</v>
      </c>
      <c r="Y1451" s="15">
        <f t="shared" si="126"/>
        <v>7</v>
      </c>
      <c r="Z1451" s="15">
        <f t="shared" si="126"/>
        <v>7</v>
      </c>
      <c r="AA1451" s="15">
        <f t="shared" si="123"/>
        <v>2021</v>
      </c>
      <c r="AB1451" s="15">
        <f t="shared" si="124"/>
        <v>2021</v>
      </c>
      <c r="AC1451" s="15">
        <f t="shared" si="125"/>
        <v>2021</v>
      </c>
      <c r="AD1451" s="18" t="b">
        <f t="shared" si="127"/>
        <v>1</v>
      </c>
    </row>
    <row r="1452" spans="1:30" ht="15" hidden="1" customHeight="1" x14ac:dyDescent="0.2">
      <c r="A1452" s="7" t="s">
        <v>688</v>
      </c>
      <c r="B1452" s="7"/>
      <c r="C1452" s="2" t="s">
        <v>641</v>
      </c>
      <c r="D1452" s="6" t="s">
        <v>649</v>
      </c>
      <c r="E1452" s="32" t="s">
        <v>651</v>
      </c>
      <c r="F1452" s="7"/>
      <c r="G1452" s="7"/>
      <c r="H1452" s="7"/>
      <c r="I1452" s="7"/>
      <c r="J1452" s="7">
        <v>4</v>
      </c>
      <c r="K1452" s="7" t="s">
        <v>660</v>
      </c>
      <c r="L1452" s="7" t="s">
        <v>663</v>
      </c>
      <c r="M1452" s="8">
        <v>44396</v>
      </c>
      <c r="N1452" s="8">
        <v>44405</v>
      </c>
      <c r="O1452" s="13"/>
      <c r="P1452" s="13">
        <v>191.64</v>
      </c>
      <c r="Q1452" s="33"/>
      <c r="R1452" s="22"/>
      <c r="S1452" s="22"/>
      <c r="T1452" s="22"/>
      <c r="U1452" s="22"/>
      <c r="X1452" s="15" t="str">
        <f>IF(B1452="",VLOOKUP(A1452,items_lookup!A:B,2,FALSE),B1452)</f>
        <v>09. Item 09</v>
      </c>
      <c r="Y1452" s="15">
        <f t="shared" si="126"/>
        <v>7</v>
      </c>
      <c r="Z1452" s="15">
        <f t="shared" si="126"/>
        <v>7</v>
      </c>
      <c r="AA1452" s="15">
        <f t="shared" si="123"/>
        <v>2021</v>
      </c>
      <c r="AB1452" s="15">
        <f t="shared" si="124"/>
        <v>2021</v>
      </c>
      <c r="AC1452" s="15">
        <f t="shared" si="125"/>
        <v>2021</v>
      </c>
      <c r="AD1452" s="18" t="b">
        <f t="shared" si="127"/>
        <v>1</v>
      </c>
    </row>
    <row r="1453" spans="1:30" ht="15" hidden="1" customHeight="1" x14ac:dyDescent="0.2">
      <c r="A1453" s="7" t="s">
        <v>675</v>
      </c>
      <c r="B1453" s="7"/>
      <c r="C1453" s="2" t="s">
        <v>641</v>
      </c>
      <c r="D1453" s="6" t="s">
        <v>649</v>
      </c>
      <c r="E1453" s="32" t="s">
        <v>651</v>
      </c>
      <c r="F1453" s="7"/>
      <c r="G1453" s="7"/>
      <c r="H1453" s="7"/>
      <c r="I1453" s="7"/>
      <c r="J1453" s="7">
        <v>4</v>
      </c>
      <c r="K1453" s="7" t="s">
        <v>660</v>
      </c>
      <c r="L1453" s="7" t="s">
        <v>663</v>
      </c>
      <c r="M1453" s="8">
        <v>44396</v>
      </c>
      <c r="N1453" s="8">
        <v>44407</v>
      </c>
      <c r="O1453" s="13"/>
      <c r="P1453" s="13">
        <v>303869.05</v>
      </c>
      <c r="Q1453" s="33"/>
      <c r="R1453" s="22"/>
      <c r="S1453" s="22"/>
      <c r="T1453" s="22"/>
      <c r="U1453" s="22"/>
      <c r="X1453" s="15" t="str">
        <f>IF(B1453="",VLOOKUP(A1453,items_lookup!A:B,2,FALSE),B1453)</f>
        <v>09. Item 09</v>
      </c>
      <c r="Y1453" s="15">
        <f t="shared" si="126"/>
        <v>7</v>
      </c>
      <c r="Z1453" s="15">
        <f t="shared" si="126"/>
        <v>7</v>
      </c>
      <c r="AA1453" s="15">
        <f t="shared" si="123"/>
        <v>2021</v>
      </c>
      <c r="AB1453" s="15">
        <f t="shared" si="124"/>
        <v>2021</v>
      </c>
      <c r="AC1453" s="15">
        <f t="shared" si="125"/>
        <v>2021</v>
      </c>
      <c r="AD1453" s="18" t="b">
        <f t="shared" si="127"/>
        <v>1</v>
      </c>
    </row>
    <row r="1454" spans="1:30" ht="15" hidden="1" customHeight="1" x14ac:dyDescent="0.2">
      <c r="A1454" s="7" t="s">
        <v>675</v>
      </c>
      <c r="B1454" s="7"/>
      <c r="C1454" s="2" t="s">
        <v>641</v>
      </c>
      <c r="D1454" s="6" t="s">
        <v>650</v>
      </c>
      <c r="E1454" s="32" t="s">
        <v>651</v>
      </c>
      <c r="F1454" s="7"/>
      <c r="G1454" s="7"/>
      <c r="H1454" s="7"/>
      <c r="I1454" s="7"/>
      <c r="J1454" s="7">
        <v>4</v>
      </c>
      <c r="K1454" s="7" t="s">
        <v>660</v>
      </c>
      <c r="L1454" s="7" t="s">
        <v>663</v>
      </c>
      <c r="M1454" s="8">
        <v>44392</v>
      </c>
      <c r="N1454" s="8">
        <v>44405</v>
      </c>
      <c r="O1454" s="13"/>
      <c r="P1454" s="13">
        <v>529.05999999999995</v>
      </c>
      <c r="Q1454" s="33"/>
      <c r="R1454" s="22"/>
      <c r="S1454" s="22"/>
      <c r="T1454" s="22"/>
      <c r="U1454" s="22"/>
      <c r="X1454" s="15" t="str">
        <f>IF(B1454="",VLOOKUP(A1454,items_lookup!A:B,2,FALSE),B1454)</f>
        <v>09. Item 09</v>
      </c>
      <c r="Y1454" s="15">
        <f t="shared" si="126"/>
        <v>7</v>
      </c>
      <c r="Z1454" s="15">
        <f t="shared" si="126"/>
        <v>7</v>
      </c>
      <c r="AA1454" s="15">
        <f t="shared" si="123"/>
        <v>2021</v>
      </c>
      <c r="AB1454" s="15">
        <f t="shared" si="124"/>
        <v>2021</v>
      </c>
      <c r="AC1454" s="15">
        <f t="shared" si="125"/>
        <v>2021</v>
      </c>
      <c r="AD1454" s="18" t="b">
        <f t="shared" si="127"/>
        <v>1</v>
      </c>
    </row>
    <row r="1455" spans="1:30" ht="12.6" hidden="1" customHeight="1" x14ac:dyDescent="0.2">
      <c r="A1455" s="7" t="s">
        <v>692</v>
      </c>
      <c r="B1455" s="7"/>
      <c r="C1455" s="2" t="s">
        <v>641</v>
      </c>
      <c r="D1455" s="6" t="s">
        <v>649</v>
      </c>
      <c r="E1455" s="32" t="s">
        <v>651</v>
      </c>
      <c r="F1455" s="7"/>
      <c r="G1455" s="7"/>
      <c r="H1455" s="7"/>
      <c r="I1455" s="7"/>
      <c r="J1455" s="7">
        <v>4</v>
      </c>
      <c r="K1455" s="7" t="s">
        <v>660</v>
      </c>
      <c r="L1455" s="7" t="s">
        <v>663</v>
      </c>
      <c r="M1455" s="8">
        <v>44409</v>
      </c>
      <c r="N1455" s="8">
        <v>44421</v>
      </c>
      <c r="O1455" s="13"/>
      <c r="P1455" s="13">
        <v>35623.760000000002</v>
      </c>
      <c r="Q1455" s="33"/>
      <c r="R1455" s="22"/>
      <c r="S1455" s="22"/>
      <c r="T1455" s="22"/>
      <c r="U1455" s="22"/>
      <c r="X1455" s="15" t="str">
        <f>IF(B1455="",VLOOKUP(A1455,items_lookup!A:B,2,FALSE),B1455)</f>
        <v>03. Item 03</v>
      </c>
      <c r="Y1455" s="15">
        <f t="shared" si="126"/>
        <v>8</v>
      </c>
      <c r="Z1455" s="15">
        <f t="shared" si="126"/>
        <v>8</v>
      </c>
      <c r="AA1455" s="15">
        <f t="shared" ref="AA1455:AA1518" si="128">YEAR(N1455)</f>
        <v>2021</v>
      </c>
      <c r="AB1455" s="15">
        <f t="shared" ref="AB1455:AB1518" si="129">YEAR(M1455)</f>
        <v>2021</v>
      </c>
      <c r="AC1455" s="15">
        <f t="shared" ref="AC1455:AC1518" si="130">IF(F1455="X",AA1455-1,AA1455)</f>
        <v>2021</v>
      </c>
      <c r="AD1455" s="18" t="b">
        <f t="shared" si="127"/>
        <v>1</v>
      </c>
    </row>
    <row r="1456" spans="1:30" ht="12.6" hidden="1" customHeight="1" x14ac:dyDescent="0.2">
      <c r="A1456" s="7" t="s">
        <v>691</v>
      </c>
      <c r="B1456" s="7"/>
      <c r="C1456" s="2" t="s">
        <v>641</v>
      </c>
      <c r="D1456" s="6" t="s">
        <v>649</v>
      </c>
      <c r="E1456" s="32" t="s">
        <v>651</v>
      </c>
      <c r="F1456" s="7"/>
      <c r="G1456" s="7"/>
      <c r="H1456" s="7"/>
      <c r="I1456" s="7"/>
      <c r="J1456" s="7"/>
      <c r="K1456" s="7" t="s">
        <v>660</v>
      </c>
      <c r="L1456" s="7" t="s">
        <v>663</v>
      </c>
      <c r="M1456" s="8">
        <v>44403</v>
      </c>
      <c r="N1456" s="8">
        <v>44403</v>
      </c>
      <c r="O1456" s="13"/>
      <c r="P1456" s="13">
        <v>3339826.96</v>
      </c>
      <c r="Q1456" s="33"/>
      <c r="R1456" s="22"/>
      <c r="S1456" s="22"/>
      <c r="T1456" s="22"/>
      <c r="U1456" s="22"/>
      <c r="X1456" s="15" t="str">
        <f>IF(B1456="",VLOOKUP(A1456,items_lookup!A:B,2,FALSE),B1456)</f>
        <v>03. Item 03</v>
      </c>
      <c r="Y1456" s="15">
        <f t="shared" si="126"/>
        <v>7</v>
      </c>
      <c r="Z1456" s="15">
        <f t="shared" si="126"/>
        <v>7</v>
      </c>
      <c r="AA1456" s="15">
        <f t="shared" si="128"/>
        <v>2021</v>
      </c>
      <c r="AB1456" s="15">
        <f t="shared" si="129"/>
        <v>2021</v>
      </c>
      <c r="AC1456" s="15">
        <f t="shared" si="130"/>
        <v>2021</v>
      </c>
      <c r="AD1456" s="18" t="b">
        <f t="shared" si="127"/>
        <v>1</v>
      </c>
    </row>
    <row r="1457" spans="1:30" ht="15" hidden="1" customHeight="1" x14ac:dyDescent="0.2">
      <c r="A1457" s="7" t="s">
        <v>695</v>
      </c>
      <c r="B1457" s="20"/>
      <c r="C1457" s="2" t="s">
        <v>641</v>
      </c>
      <c r="D1457" s="6" t="s">
        <v>649</v>
      </c>
      <c r="E1457" s="32" t="s">
        <v>651</v>
      </c>
      <c r="F1457" s="7"/>
      <c r="G1457" s="7"/>
      <c r="H1457" s="7"/>
      <c r="I1457" s="7"/>
      <c r="J1457" s="7">
        <v>3</v>
      </c>
      <c r="K1457" s="7" t="s">
        <v>660</v>
      </c>
      <c r="L1457" s="7" t="s">
        <v>663</v>
      </c>
      <c r="M1457" s="8">
        <v>44403</v>
      </c>
      <c r="N1457" s="8">
        <v>44407</v>
      </c>
      <c r="O1457" s="13"/>
      <c r="P1457" s="13">
        <v>25195.05</v>
      </c>
      <c r="Q1457" s="33"/>
      <c r="R1457" s="22"/>
      <c r="S1457" s="22"/>
      <c r="T1457" s="22"/>
      <c r="U1457" s="22"/>
      <c r="X1457" s="15" t="str">
        <f>IF(B1457="",VLOOKUP(A1457,items_lookup!A:B,2,FALSE),B1457)</f>
        <v>03. Item 03</v>
      </c>
      <c r="Y1457" s="15">
        <f t="shared" si="126"/>
        <v>7</v>
      </c>
      <c r="Z1457" s="15">
        <f t="shared" si="126"/>
        <v>7</v>
      </c>
      <c r="AA1457" s="15">
        <f t="shared" si="128"/>
        <v>2021</v>
      </c>
      <c r="AB1457" s="15">
        <f t="shared" si="129"/>
        <v>2021</v>
      </c>
      <c r="AC1457" s="15">
        <f t="shared" si="130"/>
        <v>2021</v>
      </c>
      <c r="AD1457" s="18" t="b">
        <f t="shared" si="127"/>
        <v>1</v>
      </c>
    </row>
    <row r="1458" spans="1:30" ht="15.75" hidden="1" customHeight="1" x14ac:dyDescent="0.2">
      <c r="A1458" s="7" t="s">
        <v>705</v>
      </c>
      <c r="B1458" s="7"/>
      <c r="C1458" s="2" t="s">
        <v>641</v>
      </c>
      <c r="D1458" s="6" t="s">
        <v>649</v>
      </c>
      <c r="E1458" s="32" t="s">
        <v>651</v>
      </c>
      <c r="F1458" s="7"/>
      <c r="G1458" s="7"/>
      <c r="H1458" s="7"/>
      <c r="I1458" s="7"/>
      <c r="J1458" s="7"/>
      <c r="K1458" s="7" t="s">
        <v>660</v>
      </c>
      <c r="L1458" s="7" t="s">
        <v>663</v>
      </c>
      <c r="M1458" s="8">
        <v>44404</v>
      </c>
      <c r="N1458" s="8">
        <v>44404</v>
      </c>
      <c r="O1458" s="13"/>
      <c r="P1458" s="13">
        <v>12062287.470000001</v>
      </c>
      <c r="Q1458" s="33"/>
      <c r="R1458" s="22"/>
      <c r="S1458" s="22"/>
      <c r="T1458" s="22"/>
      <c r="U1458" s="22"/>
      <c r="X1458" s="15" t="str">
        <f>IF(B1458="",VLOOKUP(A1458,items_lookup!A:B,2,FALSE),B1458)</f>
        <v>03. Item 03</v>
      </c>
      <c r="Y1458" s="15">
        <f t="shared" si="126"/>
        <v>7</v>
      </c>
      <c r="Z1458" s="15">
        <f t="shared" si="126"/>
        <v>7</v>
      </c>
      <c r="AA1458" s="15">
        <f t="shared" si="128"/>
        <v>2021</v>
      </c>
      <c r="AB1458" s="15">
        <f t="shared" si="129"/>
        <v>2021</v>
      </c>
      <c r="AC1458" s="15">
        <f t="shared" si="130"/>
        <v>2021</v>
      </c>
      <c r="AD1458" s="18" t="b">
        <f t="shared" si="127"/>
        <v>1</v>
      </c>
    </row>
    <row r="1459" spans="1:30" ht="15" hidden="1" customHeight="1" x14ac:dyDescent="0.2">
      <c r="A1459" s="7" t="s">
        <v>672</v>
      </c>
      <c r="B1459" s="7"/>
      <c r="C1459" s="2" t="s">
        <v>641</v>
      </c>
      <c r="D1459" s="6" t="s">
        <v>649</v>
      </c>
      <c r="E1459" s="32" t="s">
        <v>651</v>
      </c>
      <c r="F1459" s="7"/>
      <c r="G1459" s="7"/>
      <c r="H1459" s="7"/>
      <c r="I1459" s="7"/>
      <c r="J1459" s="7"/>
      <c r="K1459" s="7" t="s">
        <v>660</v>
      </c>
      <c r="L1459" s="7" t="s">
        <v>663</v>
      </c>
      <c r="M1459" s="8">
        <v>44405</v>
      </c>
      <c r="N1459" s="8">
        <v>44405</v>
      </c>
      <c r="O1459" s="13"/>
      <c r="P1459" s="13">
        <v>223967.72</v>
      </c>
      <c r="Q1459" s="33"/>
      <c r="R1459" s="22"/>
      <c r="S1459" s="22"/>
      <c r="T1459" s="22"/>
      <c r="U1459" s="22"/>
      <c r="X1459" s="15" t="str">
        <f>IF(B1459="",VLOOKUP(A1459,items_lookup!A:B,2,FALSE),B1459)</f>
        <v>05. Item 05</v>
      </c>
      <c r="Y1459" s="15">
        <f t="shared" si="126"/>
        <v>7</v>
      </c>
      <c r="Z1459" s="15">
        <f t="shared" si="126"/>
        <v>7</v>
      </c>
      <c r="AA1459" s="15">
        <f t="shared" si="128"/>
        <v>2021</v>
      </c>
      <c r="AB1459" s="15">
        <f t="shared" si="129"/>
        <v>2021</v>
      </c>
      <c r="AC1459" s="15">
        <f t="shared" si="130"/>
        <v>2021</v>
      </c>
      <c r="AD1459" s="18" t="b">
        <f t="shared" si="127"/>
        <v>1</v>
      </c>
    </row>
    <row r="1460" spans="1:30" ht="15" hidden="1" customHeight="1" x14ac:dyDescent="0.2">
      <c r="A1460" s="7" t="s">
        <v>677</v>
      </c>
      <c r="B1460" s="7"/>
      <c r="C1460" s="2" t="s">
        <v>641</v>
      </c>
      <c r="D1460" s="6" t="s">
        <v>649</v>
      </c>
      <c r="E1460" s="32" t="s">
        <v>651</v>
      </c>
      <c r="F1460" s="7"/>
      <c r="G1460" s="7"/>
      <c r="H1460" s="7"/>
      <c r="I1460" s="7"/>
      <c r="J1460" s="7"/>
      <c r="K1460" s="7" t="s">
        <v>660</v>
      </c>
      <c r="L1460" s="7" t="s">
        <v>663</v>
      </c>
      <c r="M1460" s="8">
        <v>44405</v>
      </c>
      <c r="N1460" s="8">
        <v>44405</v>
      </c>
      <c r="O1460" s="13"/>
      <c r="P1460" s="13">
        <v>529.05999999999995</v>
      </c>
      <c r="Q1460" s="33"/>
      <c r="R1460" s="22"/>
      <c r="S1460" s="22"/>
      <c r="T1460" s="22"/>
      <c r="U1460" s="22"/>
      <c r="X1460" s="15" t="str">
        <f>IF(B1460="",VLOOKUP(A1460,items_lookup!A:B,2,FALSE),B1460)</f>
        <v>11. Item 11</v>
      </c>
      <c r="Y1460" s="15">
        <f t="shared" si="126"/>
        <v>7</v>
      </c>
      <c r="Z1460" s="15">
        <f t="shared" si="126"/>
        <v>7</v>
      </c>
      <c r="AA1460" s="15">
        <f t="shared" si="128"/>
        <v>2021</v>
      </c>
      <c r="AB1460" s="15">
        <f t="shared" si="129"/>
        <v>2021</v>
      </c>
      <c r="AC1460" s="15">
        <f t="shared" si="130"/>
        <v>2021</v>
      </c>
      <c r="AD1460" s="18" t="b">
        <f t="shared" si="127"/>
        <v>1</v>
      </c>
    </row>
    <row r="1461" spans="1:30" ht="15" hidden="1" customHeight="1" x14ac:dyDescent="0.2">
      <c r="A1461" s="7" t="s">
        <v>677</v>
      </c>
      <c r="B1461" s="7"/>
      <c r="C1461" s="2" t="s">
        <v>641</v>
      </c>
      <c r="D1461" s="6" t="s">
        <v>649</v>
      </c>
      <c r="E1461" s="32" t="s">
        <v>651</v>
      </c>
      <c r="F1461" s="7"/>
      <c r="G1461" s="7"/>
      <c r="H1461" s="7"/>
      <c r="I1461" s="7"/>
      <c r="J1461" s="7"/>
      <c r="K1461" s="7" t="s">
        <v>660</v>
      </c>
      <c r="L1461" s="7" t="s">
        <v>663</v>
      </c>
      <c r="M1461" s="8">
        <v>44406</v>
      </c>
      <c r="N1461" s="8">
        <v>44406</v>
      </c>
      <c r="O1461" s="13"/>
      <c r="P1461" s="13">
        <v>599639.37</v>
      </c>
      <c r="Q1461" s="33"/>
      <c r="R1461" s="22"/>
      <c r="S1461" s="22"/>
      <c r="T1461" s="22"/>
      <c r="U1461" s="22"/>
      <c r="X1461" s="15" t="str">
        <f>IF(B1461="",VLOOKUP(A1461,items_lookup!A:B,2,FALSE),B1461)</f>
        <v>11. Item 11</v>
      </c>
      <c r="Y1461" s="15">
        <f t="shared" si="126"/>
        <v>7</v>
      </c>
      <c r="Z1461" s="15">
        <f t="shared" si="126"/>
        <v>7</v>
      </c>
      <c r="AA1461" s="15">
        <f t="shared" si="128"/>
        <v>2021</v>
      </c>
      <c r="AB1461" s="15">
        <f t="shared" si="129"/>
        <v>2021</v>
      </c>
      <c r="AC1461" s="15">
        <f t="shared" si="130"/>
        <v>2021</v>
      </c>
      <c r="AD1461" s="18" t="b">
        <f t="shared" si="127"/>
        <v>1</v>
      </c>
    </row>
    <row r="1462" spans="1:30" ht="15" hidden="1" customHeight="1" x14ac:dyDescent="0.2">
      <c r="A1462" s="7" t="s">
        <v>680</v>
      </c>
      <c r="B1462" s="7"/>
      <c r="C1462" s="2" t="s">
        <v>641</v>
      </c>
      <c r="D1462" s="6" t="s">
        <v>649</v>
      </c>
      <c r="E1462" s="32" t="s">
        <v>651</v>
      </c>
      <c r="F1462" s="7"/>
      <c r="G1462" s="7"/>
      <c r="H1462" s="7"/>
      <c r="I1462" s="7"/>
      <c r="J1462" s="7"/>
      <c r="K1462" s="7" t="s">
        <v>660</v>
      </c>
      <c r="L1462" s="7" t="s">
        <v>663</v>
      </c>
      <c r="M1462" s="8">
        <v>44407</v>
      </c>
      <c r="N1462" s="8">
        <v>44407</v>
      </c>
      <c r="O1462" s="13"/>
      <c r="P1462" s="13">
        <v>19324548.789999999</v>
      </c>
      <c r="Q1462" s="33"/>
      <c r="R1462" s="22"/>
      <c r="S1462" s="22"/>
      <c r="T1462" s="22"/>
      <c r="U1462" s="22"/>
      <c r="X1462" s="15" t="str">
        <f>IF(B1462="",VLOOKUP(A1462,items_lookup!A:B,2,FALSE),B1462)</f>
        <v>13. Item 13</v>
      </c>
      <c r="Y1462" s="15">
        <f t="shared" si="126"/>
        <v>7</v>
      </c>
      <c r="Z1462" s="15">
        <f t="shared" si="126"/>
        <v>7</v>
      </c>
      <c r="AA1462" s="15">
        <f t="shared" si="128"/>
        <v>2021</v>
      </c>
      <c r="AB1462" s="15">
        <f t="shared" si="129"/>
        <v>2021</v>
      </c>
      <c r="AC1462" s="15">
        <f t="shared" si="130"/>
        <v>2021</v>
      </c>
      <c r="AD1462" s="18" t="b">
        <f t="shared" si="127"/>
        <v>1</v>
      </c>
    </row>
    <row r="1463" spans="1:30" ht="15" hidden="1" customHeight="1" x14ac:dyDescent="0.2">
      <c r="A1463" s="7" t="s">
        <v>680</v>
      </c>
      <c r="B1463" s="7"/>
      <c r="C1463" s="2" t="s">
        <v>641</v>
      </c>
      <c r="D1463" s="6" t="s">
        <v>649</v>
      </c>
      <c r="E1463" s="32" t="s">
        <v>651</v>
      </c>
      <c r="F1463" s="7"/>
      <c r="G1463" s="7"/>
      <c r="H1463" s="7"/>
      <c r="I1463" s="7"/>
      <c r="J1463" s="7"/>
      <c r="K1463" s="7"/>
      <c r="L1463" s="7" t="s">
        <v>662</v>
      </c>
      <c r="M1463" s="8">
        <v>44409</v>
      </c>
      <c r="N1463" s="8">
        <v>44409</v>
      </c>
      <c r="O1463" s="13">
        <v>19047619.050000001</v>
      </c>
      <c r="P1463" s="13"/>
      <c r="Q1463" s="33"/>
      <c r="R1463" s="9"/>
      <c r="S1463" s="9"/>
      <c r="T1463" s="9"/>
      <c r="U1463" s="9"/>
      <c r="X1463" s="15" t="str">
        <f>IF(B1463="",VLOOKUP(A1463,items_lookup!A:B,2,FALSE),B1463)</f>
        <v>13. Item 13</v>
      </c>
      <c r="Y1463" s="15">
        <f t="shared" si="126"/>
        <v>8</v>
      </c>
      <c r="Z1463" s="15">
        <f t="shared" si="126"/>
        <v>8</v>
      </c>
      <c r="AA1463" s="15">
        <f t="shared" si="128"/>
        <v>2021</v>
      </c>
      <c r="AB1463" s="15">
        <f t="shared" si="129"/>
        <v>2021</v>
      </c>
      <c r="AC1463" s="15">
        <f t="shared" si="130"/>
        <v>2021</v>
      </c>
      <c r="AD1463" s="18" t="b">
        <f t="shared" si="127"/>
        <v>1</v>
      </c>
    </row>
    <row r="1464" spans="1:30" ht="15" hidden="1" customHeight="1" x14ac:dyDescent="0.2">
      <c r="A1464" s="7" t="s">
        <v>680</v>
      </c>
      <c r="B1464" s="7"/>
      <c r="C1464" s="2" t="s">
        <v>641</v>
      </c>
      <c r="D1464" s="6" t="s">
        <v>649</v>
      </c>
      <c r="E1464" s="32" t="s">
        <v>651</v>
      </c>
      <c r="F1464" s="7"/>
      <c r="G1464" s="7"/>
      <c r="H1464" s="7"/>
      <c r="I1464" s="7"/>
      <c r="J1464" s="7">
        <v>1</v>
      </c>
      <c r="K1464" s="7" t="s">
        <v>660</v>
      </c>
      <c r="L1464" s="7" t="s">
        <v>663</v>
      </c>
      <c r="M1464" s="8">
        <v>44409</v>
      </c>
      <c r="N1464" s="8">
        <v>44439</v>
      </c>
      <c r="O1464" s="13"/>
      <c r="P1464" s="13">
        <v>19047619.050000001</v>
      </c>
      <c r="Q1464" s="33"/>
      <c r="R1464" s="9"/>
      <c r="S1464" s="9"/>
      <c r="T1464" s="9"/>
      <c r="U1464" s="9"/>
      <c r="X1464" s="15" t="str">
        <f>IF(B1464="",VLOOKUP(A1464,items_lookup!A:B,2,FALSE),B1464)</f>
        <v>13. Item 13</v>
      </c>
      <c r="Y1464" s="15">
        <f t="shared" si="126"/>
        <v>8</v>
      </c>
      <c r="Z1464" s="15">
        <f t="shared" si="126"/>
        <v>8</v>
      </c>
      <c r="AA1464" s="15">
        <f t="shared" si="128"/>
        <v>2021</v>
      </c>
      <c r="AB1464" s="15">
        <f t="shared" si="129"/>
        <v>2021</v>
      </c>
      <c r="AC1464" s="15">
        <f t="shared" si="130"/>
        <v>2021</v>
      </c>
      <c r="AD1464" s="18" t="b">
        <f t="shared" si="127"/>
        <v>1</v>
      </c>
    </row>
    <row r="1465" spans="1:30" ht="15" hidden="1" customHeight="1" x14ac:dyDescent="0.2">
      <c r="A1465" s="7" t="s">
        <v>701</v>
      </c>
      <c r="B1465" s="7"/>
      <c r="C1465" s="2" t="s">
        <v>641</v>
      </c>
      <c r="D1465" s="6" t="s">
        <v>649</v>
      </c>
      <c r="E1465" s="32" t="s">
        <v>651</v>
      </c>
      <c r="F1465" s="7"/>
      <c r="G1465" s="7"/>
      <c r="H1465" s="7"/>
      <c r="I1465" s="7"/>
      <c r="J1465" s="7"/>
      <c r="K1465" s="7" t="s">
        <v>660</v>
      </c>
      <c r="L1465" s="7" t="s">
        <v>663</v>
      </c>
      <c r="M1465" s="8">
        <v>44410</v>
      </c>
      <c r="N1465" s="8">
        <v>44410</v>
      </c>
      <c r="O1465" s="13"/>
      <c r="P1465" s="13">
        <v>145354.09</v>
      </c>
      <c r="Q1465" s="33"/>
      <c r="R1465" s="22"/>
      <c r="S1465" s="22"/>
      <c r="T1465" s="22"/>
      <c r="U1465" s="22"/>
      <c r="X1465" s="15" t="str">
        <f>IF(B1465="",VLOOKUP(A1465,items_lookup!A:B,2,FALSE),B1465)</f>
        <v>13. Item 13</v>
      </c>
      <c r="Y1465" s="15">
        <f t="shared" si="126"/>
        <v>8</v>
      </c>
      <c r="Z1465" s="15">
        <f t="shared" si="126"/>
        <v>8</v>
      </c>
      <c r="AA1465" s="15">
        <f t="shared" si="128"/>
        <v>2021</v>
      </c>
      <c r="AB1465" s="15">
        <f t="shared" si="129"/>
        <v>2021</v>
      </c>
      <c r="AC1465" s="15">
        <f t="shared" si="130"/>
        <v>2021</v>
      </c>
      <c r="AD1465" s="18" t="b">
        <f t="shared" si="127"/>
        <v>1</v>
      </c>
    </row>
    <row r="1466" spans="1:30" ht="15" hidden="1" customHeight="1" x14ac:dyDescent="0.2">
      <c r="A1466" s="7" t="s">
        <v>698</v>
      </c>
      <c r="B1466" s="7"/>
      <c r="C1466" s="2" t="s">
        <v>641</v>
      </c>
      <c r="D1466" s="6" t="s">
        <v>650</v>
      </c>
      <c r="E1466" s="32" t="s">
        <v>651</v>
      </c>
      <c r="F1466" s="7"/>
      <c r="G1466" s="7"/>
      <c r="H1466" s="7"/>
      <c r="I1466" s="7"/>
      <c r="J1466" s="7">
        <v>4</v>
      </c>
      <c r="K1466" s="7" t="s">
        <v>660</v>
      </c>
      <c r="L1466" s="7" t="s">
        <v>663</v>
      </c>
      <c r="M1466" s="8">
        <v>44403</v>
      </c>
      <c r="N1466" s="8">
        <v>44410</v>
      </c>
      <c r="O1466" s="13"/>
      <c r="P1466" s="13">
        <v>145354.09</v>
      </c>
      <c r="Q1466" s="33"/>
      <c r="R1466" s="22"/>
      <c r="S1466" s="22"/>
      <c r="T1466" s="22"/>
      <c r="U1466" s="22"/>
      <c r="X1466" s="15" t="str">
        <f>IF(B1466="",VLOOKUP(A1466,items_lookup!A:B,2,FALSE),B1466)</f>
        <v>10. Item 10</v>
      </c>
      <c r="Y1466" s="15">
        <f t="shared" si="126"/>
        <v>7</v>
      </c>
      <c r="Z1466" s="15">
        <f t="shared" si="126"/>
        <v>8</v>
      </c>
      <c r="AA1466" s="15">
        <f t="shared" si="128"/>
        <v>2021</v>
      </c>
      <c r="AB1466" s="15">
        <f t="shared" si="129"/>
        <v>2021</v>
      </c>
      <c r="AC1466" s="15">
        <f t="shared" si="130"/>
        <v>2021</v>
      </c>
      <c r="AD1466" s="18" t="b">
        <f t="shared" si="127"/>
        <v>1</v>
      </c>
    </row>
    <row r="1467" spans="1:30" ht="12.6" hidden="1" customHeight="1" x14ac:dyDescent="0.2">
      <c r="A1467" s="7" t="s">
        <v>683</v>
      </c>
      <c r="B1467" s="7"/>
      <c r="C1467" s="2" t="s">
        <v>641</v>
      </c>
      <c r="D1467" s="6" t="s">
        <v>649</v>
      </c>
      <c r="E1467" s="32" t="s">
        <v>651</v>
      </c>
      <c r="F1467" s="7"/>
      <c r="G1467" s="7"/>
      <c r="H1467" s="7"/>
      <c r="I1467" s="7" t="s">
        <v>20</v>
      </c>
      <c r="J1467" s="7">
        <v>1</v>
      </c>
      <c r="K1467" s="7" t="s">
        <v>660</v>
      </c>
      <c r="L1467" s="7" t="s">
        <v>663</v>
      </c>
      <c r="M1467" s="8">
        <v>44412</v>
      </c>
      <c r="N1467" s="8">
        <v>44421</v>
      </c>
      <c r="O1467" s="13"/>
      <c r="P1467" s="13">
        <v>3214285.71</v>
      </c>
      <c r="Q1467" s="33"/>
      <c r="R1467" s="22"/>
      <c r="S1467" s="22"/>
      <c r="T1467" s="22"/>
      <c r="U1467" s="22"/>
      <c r="X1467" s="15" t="str">
        <f>IF(B1467="",VLOOKUP(A1467,items_lookup!A:B,2,FALSE),B1467)</f>
        <v>_1. Item _1</v>
      </c>
      <c r="Y1467" s="15">
        <f t="shared" si="126"/>
        <v>8</v>
      </c>
      <c r="Z1467" s="15">
        <f t="shared" si="126"/>
        <v>8</v>
      </c>
      <c r="AA1467" s="15">
        <f t="shared" si="128"/>
        <v>2021</v>
      </c>
      <c r="AB1467" s="15">
        <f t="shared" si="129"/>
        <v>2021</v>
      </c>
      <c r="AC1467" s="15">
        <f t="shared" si="130"/>
        <v>2021</v>
      </c>
      <c r="AD1467" s="18" t="b">
        <f t="shared" si="127"/>
        <v>1</v>
      </c>
    </row>
    <row r="1468" spans="1:30" ht="15" hidden="1" customHeight="1" x14ac:dyDescent="0.2">
      <c r="A1468" s="7" t="s">
        <v>670</v>
      </c>
      <c r="B1468" s="20"/>
      <c r="C1468" s="2" t="s">
        <v>641</v>
      </c>
      <c r="D1468" s="6" t="s">
        <v>649</v>
      </c>
      <c r="E1468" s="32" t="s">
        <v>651</v>
      </c>
      <c r="F1468" s="7"/>
      <c r="G1468" s="7"/>
      <c r="H1468" s="7"/>
      <c r="I1468" s="7"/>
      <c r="J1468" s="7">
        <v>1</v>
      </c>
      <c r="K1468" s="7" t="s">
        <v>660</v>
      </c>
      <c r="L1468" s="7" t="s">
        <v>663</v>
      </c>
      <c r="M1468" s="8">
        <v>44409</v>
      </c>
      <c r="N1468" s="8">
        <v>44418</v>
      </c>
      <c r="O1468" s="13"/>
      <c r="P1468" s="13">
        <v>3387.57</v>
      </c>
      <c r="Q1468" s="33"/>
      <c r="R1468" s="22"/>
      <c r="S1468" s="22"/>
      <c r="T1468" s="22"/>
      <c r="U1468" s="22"/>
      <c r="X1468" s="15" t="str">
        <f>IF(B1468="",VLOOKUP(A1468,items_lookup!A:B,2,FALSE),B1468)</f>
        <v>04. Item 04</v>
      </c>
      <c r="Y1468" s="15">
        <f t="shared" si="126"/>
        <v>8</v>
      </c>
      <c r="Z1468" s="15">
        <f t="shared" si="126"/>
        <v>8</v>
      </c>
      <c r="AA1468" s="15">
        <f t="shared" si="128"/>
        <v>2021</v>
      </c>
      <c r="AB1468" s="15">
        <f t="shared" si="129"/>
        <v>2021</v>
      </c>
      <c r="AC1468" s="15">
        <f t="shared" si="130"/>
        <v>2021</v>
      </c>
      <c r="AD1468" s="18" t="b">
        <f t="shared" si="127"/>
        <v>1</v>
      </c>
    </row>
    <row r="1469" spans="1:30" ht="15.75" hidden="1" customHeight="1" x14ac:dyDescent="0.2">
      <c r="A1469" s="7" t="s">
        <v>689</v>
      </c>
      <c r="B1469" s="7"/>
      <c r="C1469" s="2" t="s">
        <v>641</v>
      </c>
      <c r="D1469" s="6" t="s">
        <v>649</v>
      </c>
      <c r="E1469" s="32" t="s">
        <v>651</v>
      </c>
      <c r="F1469" s="7"/>
      <c r="G1469" s="7"/>
      <c r="H1469" s="7"/>
      <c r="I1469" s="7"/>
      <c r="J1469" s="7">
        <v>1</v>
      </c>
      <c r="K1469" s="7" t="s">
        <v>660</v>
      </c>
      <c r="L1469" s="7" t="s">
        <v>663</v>
      </c>
      <c r="M1469" s="8">
        <v>44412</v>
      </c>
      <c r="N1469" s="8">
        <v>44425</v>
      </c>
      <c r="O1469" s="13"/>
      <c r="P1469" s="13">
        <v>14043.51</v>
      </c>
      <c r="Q1469" s="33"/>
      <c r="R1469" s="22"/>
      <c r="S1469" s="22"/>
      <c r="T1469" s="22"/>
      <c r="U1469" s="22"/>
      <c r="X1469" s="15" t="str">
        <f>IF(B1469="",VLOOKUP(A1469,items_lookup!A:B,2,FALSE),B1469)</f>
        <v>04. Item 04</v>
      </c>
      <c r="Y1469" s="15">
        <f t="shared" si="126"/>
        <v>8</v>
      </c>
      <c r="Z1469" s="15">
        <f t="shared" si="126"/>
        <v>8</v>
      </c>
      <c r="AA1469" s="15">
        <f t="shared" si="128"/>
        <v>2021</v>
      </c>
      <c r="AB1469" s="15">
        <f t="shared" si="129"/>
        <v>2021</v>
      </c>
      <c r="AC1469" s="15">
        <f t="shared" si="130"/>
        <v>2021</v>
      </c>
      <c r="AD1469" s="18" t="b">
        <f t="shared" si="127"/>
        <v>1</v>
      </c>
    </row>
    <row r="1470" spans="1:30" ht="15" hidden="1" customHeight="1" x14ac:dyDescent="0.2">
      <c r="A1470" s="7" t="s">
        <v>671</v>
      </c>
      <c r="B1470" s="7"/>
      <c r="C1470" s="2" t="s">
        <v>641</v>
      </c>
      <c r="D1470" s="6" t="s">
        <v>649</v>
      </c>
      <c r="E1470" s="32" t="s">
        <v>651</v>
      </c>
      <c r="F1470" s="7"/>
      <c r="G1470" s="7"/>
      <c r="H1470" s="7"/>
      <c r="I1470" s="7"/>
      <c r="J1470" s="7">
        <v>1</v>
      </c>
      <c r="K1470" s="7" t="s">
        <v>660</v>
      </c>
      <c r="L1470" s="7" t="s">
        <v>663</v>
      </c>
      <c r="M1470" s="8">
        <v>44412</v>
      </c>
      <c r="N1470" s="8">
        <v>44424</v>
      </c>
      <c r="O1470" s="13"/>
      <c r="P1470" s="13">
        <v>1650202.29</v>
      </c>
      <c r="Q1470" s="33"/>
      <c r="R1470" s="22"/>
      <c r="S1470" s="22"/>
      <c r="T1470" s="22"/>
      <c r="U1470" s="22"/>
      <c r="X1470" s="15" t="str">
        <f>IF(B1470="",VLOOKUP(A1470,items_lookup!A:B,2,FALSE),B1470)</f>
        <v>05. Item 05</v>
      </c>
      <c r="Y1470" s="15">
        <f t="shared" si="126"/>
        <v>8</v>
      </c>
      <c r="Z1470" s="15">
        <f t="shared" si="126"/>
        <v>8</v>
      </c>
      <c r="AA1470" s="15">
        <f t="shared" si="128"/>
        <v>2021</v>
      </c>
      <c r="AB1470" s="15">
        <f t="shared" si="129"/>
        <v>2021</v>
      </c>
      <c r="AC1470" s="15">
        <f t="shared" si="130"/>
        <v>2021</v>
      </c>
      <c r="AD1470" s="18" t="b">
        <f t="shared" si="127"/>
        <v>1</v>
      </c>
    </row>
    <row r="1471" spans="1:30" ht="12.6" hidden="1" customHeight="1" x14ac:dyDescent="0.2">
      <c r="A1471" s="7" t="s">
        <v>672</v>
      </c>
      <c r="B1471" s="7"/>
      <c r="C1471" s="2" t="s">
        <v>641</v>
      </c>
      <c r="D1471" s="6" t="s">
        <v>649</v>
      </c>
      <c r="E1471" s="32" t="s">
        <v>651</v>
      </c>
      <c r="F1471" s="7"/>
      <c r="G1471" s="7"/>
      <c r="H1471" s="7"/>
      <c r="I1471" s="7" t="s">
        <v>20</v>
      </c>
      <c r="J1471" s="7">
        <v>2</v>
      </c>
      <c r="K1471" s="7" t="s">
        <v>660</v>
      </c>
      <c r="L1471" s="7" t="s">
        <v>663</v>
      </c>
      <c r="M1471" s="8">
        <v>44412</v>
      </c>
      <c r="N1471" s="8">
        <v>44428</v>
      </c>
      <c r="O1471" s="13"/>
      <c r="P1471" s="13">
        <v>4386.13</v>
      </c>
      <c r="Q1471" s="33"/>
      <c r="R1471" s="22"/>
      <c r="S1471" s="22"/>
      <c r="T1471" s="22"/>
      <c r="U1471" s="22"/>
      <c r="X1471" s="15" t="str">
        <f>IF(B1471="",VLOOKUP(A1471,items_lookup!A:B,2,FALSE),B1471)</f>
        <v>05. Item 05</v>
      </c>
      <c r="Y1471" s="15">
        <f t="shared" ref="Y1471:Z1534" si="131">MONTH(M1471)</f>
        <v>8</v>
      </c>
      <c r="Z1471" s="15">
        <f t="shared" si="131"/>
        <v>8</v>
      </c>
      <c r="AA1471" s="15">
        <f t="shared" si="128"/>
        <v>2021</v>
      </c>
      <c r="AB1471" s="15">
        <f t="shared" si="129"/>
        <v>2021</v>
      </c>
      <c r="AC1471" s="15">
        <f t="shared" si="130"/>
        <v>2021</v>
      </c>
      <c r="AD1471" s="18" t="b">
        <f t="shared" si="127"/>
        <v>1</v>
      </c>
    </row>
    <row r="1472" spans="1:30" ht="12.6" hidden="1" customHeight="1" x14ac:dyDescent="0.2">
      <c r="A1472" s="7" t="s">
        <v>682</v>
      </c>
      <c r="B1472" s="7"/>
      <c r="C1472" s="2" t="s">
        <v>641</v>
      </c>
      <c r="D1472" s="6" t="s">
        <v>649</v>
      </c>
      <c r="E1472" s="32" t="s">
        <v>651</v>
      </c>
      <c r="F1472" s="7"/>
      <c r="G1472" s="7"/>
      <c r="H1472" s="7"/>
      <c r="I1472" s="7"/>
      <c r="J1472" s="7">
        <v>2</v>
      </c>
      <c r="K1472" s="7" t="s">
        <v>660</v>
      </c>
      <c r="L1472" s="7" t="s">
        <v>663</v>
      </c>
      <c r="M1472" s="8">
        <v>44412</v>
      </c>
      <c r="N1472" s="8">
        <v>44428</v>
      </c>
      <c r="O1472" s="13"/>
      <c r="P1472" s="13">
        <v>305137.68</v>
      </c>
      <c r="Q1472" s="33"/>
      <c r="R1472" s="22"/>
      <c r="S1472" s="22"/>
      <c r="T1472" s="22"/>
      <c r="U1472" s="22"/>
      <c r="X1472" s="15" t="str">
        <f>IF(B1472="",VLOOKUP(A1472,items_lookup!A:B,2,FALSE),B1472)</f>
        <v>06. Item 06</v>
      </c>
      <c r="Y1472" s="15">
        <f t="shared" si="131"/>
        <v>8</v>
      </c>
      <c r="Z1472" s="15">
        <f t="shared" si="131"/>
        <v>8</v>
      </c>
      <c r="AA1472" s="15">
        <f t="shared" si="128"/>
        <v>2021</v>
      </c>
      <c r="AB1472" s="15">
        <f t="shared" si="129"/>
        <v>2021</v>
      </c>
      <c r="AC1472" s="15">
        <f t="shared" si="130"/>
        <v>2021</v>
      </c>
      <c r="AD1472" s="18" t="b">
        <f t="shared" si="127"/>
        <v>1</v>
      </c>
    </row>
    <row r="1473" spans="1:30" ht="12.6" hidden="1" customHeight="1" x14ac:dyDescent="0.2">
      <c r="A1473" s="7" t="s">
        <v>673</v>
      </c>
      <c r="B1473" s="20"/>
      <c r="C1473" s="2" t="s">
        <v>641</v>
      </c>
      <c r="D1473" s="6" t="s">
        <v>649</v>
      </c>
      <c r="E1473" s="32" t="s">
        <v>651</v>
      </c>
      <c r="F1473" s="7"/>
      <c r="G1473" s="7"/>
      <c r="H1473" s="7"/>
      <c r="I1473" s="7" t="s">
        <v>20</v>
      </c>
      <c r="J1473" s="7">
        <v>3</v>
      </c>
      <c r="K1473" s="7" t="s">
        <v>660</v>
      </c>
      <c r="L1473" s="7" t="s">
        <v>663</v>
      </c>
      <c r="M1473" s="8">
        <v>44378</v>
      </c>
      <c r="N1473" s="8">
        <v>44391</v>
      </c>
      <c r="O1473" s="13"/>
      <c r="P1473" s="13">
        <v>7142.86</v>
      </c>
      <c r="Q1473" s="33"/>
      <c r="R1473" s="22"/>
      <c r="S1473" s="22"/>
      <c r="T1473" s="22"/>
      <c r="U1473" s="22"/>
      <c r="X1473" s="15" t="str">
        <f>IF(B1473="",VLOOKUP(A1473,items_lookup!A:B,2,FALSE),B1473)</f>
        <v>07. Item 07</v>
      </c>
      <c r="Y1473" s="15">
        <f t="shared" si="131"/>
        <v>7</v>
      </c>
      <c r="Z1473" s="15">
        <f t="shared" si="131"/>
        <v>7</v>
      </c>
      <c r="AA1473" s="15">
        <f t="shared" si="128"/>
        <v>2021</v>
      </c>
      <c r="AB1473" s="15">
        <f t="shared" si="129"/>
        <v>2021</v>
      </c>
      <c r="AC1473" s="15">
        <f t="shared" si="130"/>
        <v>2021</v>
      </c>
      <c r="AD1473" s="18" t="b">
        <f t="shared" si="127"/>
        <v>1</v>
      </c>
    </row>
    <row r="1474" spans="1:30" ht="15.75" hidden="1" customHeight="1" x14ac:dyDescent="0.2">
      <c r="A1474" s="7" t="s">
        <v>674</v>
      </c>
      <c r="B1474" s="20"/>
      <c r="C1474" s="2" t="s">
        <v>641</v>
      </c>
      <c r="D1474" s="6" t="s">
        <v>649</v>
      </c>
      <c r="E1474" s="32" t="s">
        <v>651</v>
      </c>
      <c r="F1474" s="7"/>
      <c r="G1474" s="7"/>
      <c r="H1474" s="7"/>
      <c r="I1474" s="7" t="s">
        <v>20</v>
      </c>
      <c r="J1474" s="7">
        <v>3</v>
      </c>
      <c r="K1474" s="7" t="s">
        <v>660</v>
      </c>
      <c r="L1474" s="7" t="s">
        <v>663</v>
      </c>
      <c r="M1474" s="8">
        <v>44392</v>
      </c>
      <c r="N1474" s="8">
        <v>44404</v>
      </c>
      <c r="O1474" s="13"/>
      <c r="P1474" s="13">
        <v>95.24</v>
      </c>
      <c r="Q1474" s="33"/>
      <c r="R1474" s="22"/>
      <c r="S1474" s="22"/>
      <c r="T1474" s="22"/>
      <c r="U1474" s="22"/>
      <c r="X1474" s="15" t="str">
        <f>IF(B1474="",VLOOKUP(A1474,items_lookup!A:B,2,FALSE),B1474)</f>
        <v>08. Item 08</v>
      </c>
      <c r="Y1474" s="15">
        <f t="shared" si="131"/>
        <v>7</v>
      </c>
      <c r="Z1474" s="15">
        <f t="shared" si="131"/>
        <v>7</v>
      </c>
      <c r="AA1474" s="15">
        <f t="shared" si="128"/>
        <v>2021</v>
      </c>
      <c r="AB1474" s="15">
        <f t="shared" si="129"/>
        <v>2021</v>
      </c>
      <c r="AC1474" s="15">
        <f t="shared" si="130"/>
        <v>2021</v>
      </c>
      <c r="AD1474" s="18" t="b">
        <f t="shared" si="127"/>
        <v>1</v>
      </c>
    </row>
    <row r="1475" spans="1:30" ht="15.75" hidden="1" customHeight="1" x14ac:dyDescent="0.2">
      <c r="A1475" s="7" t="s">
        <v>688</v>
      </c>
      <c r="B1475" s="20"/>
      <c r="C1475" s="2" t="s">
        <v>641</v>
      </c>
      <c r="D1475" s="6" t="s">
        <v>649</v>
      </c>
      <c r="E1475" s="32" t="s">
        <v>651</v>
      </c>
      <c r="F1475" s="7"/>
      <c r="G1475" s="7"/>
      <c r="H1475" s="7"/>
      <c r="I1475" s="7" t="s">
        <v>20</v>
      </c>
      <c r="J1475" s="7">
        <v>1</v>
      </c>
      <c r="K1475" s="7" t="s">
        <v>660</v>
      </c>
      <c r="L1475" s="7" t="s">
        <v>663</v>
      </c>
      <c r="M1475" s="8">
        <v>44412</v>
      </c>
      <c r="N1475" s="8">
        <v>44425</v>
      </c>
      <c r="O1475" s="13"/>
      <c r="P1475" s="13">
        <v>15159.65</v>
      </c>
      <c r="Q1475" s="33"/>
      <c r="R1475" s="9"/>
      <c r="S1475" s="9"/>
      <c r="T1475" s="9"/>
      <c r="U1475" s="9"/>
      <c r="X1475" s="15" t="str">
        <f>IF(B1475="",VLOOKUP(A1475,items_lookup!A:B,2,FALSE),B1475)</f>
        <v>09. Item 09</v>
      </c>
      <c r="Y1475" s="15">
        <f t="shared" si="131"/>
        <v>8</v>
      </c>
      <c r="Z1475" s="15">
        <f t="shared" si="131"/>
        <v>8</v>
      </c>
      <c r="AA1475" s="15">
        <f t="shared" si="128"/>
        <v>2021</v>
      </c>
      <c r="AB1475" s="15">
        <f t="shared" si="129"/>
        <v>2021</v>
      </c>
      <c r="AC1475" s="15">
        <f t="shared" si="130"/>
        <v>2021</v>
      </c>
      <c r="AD1475" s="18" t="b">
        <f t="shared" ref="AD1475:AD1538" si="132">AND(ROUND(O1475,2)=O1475,ROUND(P1475,2)=P1475,OR(AND(O1475&lt;&gt;0,L1475="p"),AND(P1475&lt;&gt;0,L1475="f")),_xlfn.ISFORMULA(X1475),_xlfn.ISFORMULA(Y1475),_xlfn.ISFORMULA(Z1475),_xlfn.ISFORMULA(AA1475),_xlfn.ISFORMULA(AB1475),_xlfn.ISFORMULA(AC1475),NOT(_xlfn.ISFORMULA(O1475)),NOT(_xlfn.ISFORMULA(P1475)),M1475&lt;&gt;0,N1475&lt;&gt;0)</f>
        <v>1</v>
      </c>
    </row>
    <row r="1476" spans="1:30" ht="15" hidden="1" customHeight="1" x14ac:dyDescent="0.2">
      <c r="A1476" s="7" t="s">
        <v>676</v>
      </c>
      <c r="B1476" s="7"/>
      <c r="C1476" s="2" t="s">
        <v>641</v>
      </c>
      <c r="D1476" s="6" t="s">
        <v>649</v>
      </c>
      <c r="E1476" s="32" t="s">
        <v>651</v>
      </c>
      <c r="F1476" s="7"/>
      <c r="G1476" s="7"/>
      <c r="H1476" s="7"/>
      <c r="I1476" s="7" t="s">
        <v>20</v>
      </c>
      <c r="J1476" s="7">
        <v>1</v>
      </c>
      <c r="K1476" s="7" t="s">
        <v>660</v>
      </c>
      <c r="L1476" s="7" t="s">
        <v>663</v>
      </c>
      <c r="M1476" s="8">
        <v>44412</v>
      </c>
      <c r="N1476" s="8">
        <v>44425</v>
      </c>
      <c r="O1476" s="13"/>
      <c r="P1476" s="13">
        <v>8820.25</v>
      </c>
      <c r="Q1476" s="33"/>
      <c r="R1476" s="22"/>
      <c r="S1476" s="22"/>
      <c r="T1476" s="22"/>
      <c r="U1476" s="22"/>
      <c r="X1476" s="15" t="str">
        <f>IF(B1476="",VLOOKUP(A1476,items_lookup!A:B,2,FALSE),B1476)</f>
        <v>09. Item 09</v>
      </c>
      <c r="Y1476" s="15">
        <f t="shared" si="131"/>
        <v>8</v>
      </c>
      <c r="Z1476" s="15">
        <f t="shared" si="131"/>
        <v>8</v>
      </c>
      <c r="AA1476" s="15">
        <f t="shared" si="128"/>
        <v>2021</v>
      </c>
      <c r="AB1476" s="15">
        <f t="shared" si="129"/>
        <v>2021</v>
      </c>
      <c r="AC1476" s="15">
        <f t="shared" si="130"/>
        <v>2021</v>
      </c>
      <c r="AD1476" s="18" t="b">
        <f t="shared" si="132"/>
        <v>1</v>
      </c>
    </row>
    <row r="1477" spans="1:30" ht="15" hidden="1" customHeight="1" x14ac:dyDescent="0.2">
      <c r="A1477" s="7" t="s">
        <v>675</v>
      </c>
      <c r="B1477" s="7"/>
      <c r="C1477" s="2" t="s">
        <v>641</v>
      </c>
      <c r="D1477" s="6" t="s">
        <v>649</v>
      </c>
      <c r="E1477" s="32" t="s">
        <v>651</v>
      </c>
      <c r="F1477" s="7"/>
      <c r="G1477" s="7"/>
      <c r="H1477" s="7"/>
      <c r="I1477" s="7" t="s">
        <v>20</v>
      </c>
      <c r="J1477" s="7">
        <v>1</v>
      </c>
      <c r="K1477" s="7" t="s">
        <v>660</v>
      </c>
      <c r="L1477" s="7" t="s">
        <v>663</v>
      </c>
      <c r="M1477" s="8">
        <v>44412</v>
      </c>
      <c r="N1477" s="8">
        <v>44424</v>
      </c>
      <c r="O1477" s="13"/>
      <c r="P1477" s="13">
        <v>41330.870000000003</v>
      </c>
      <c r="Q1477" s="33"/>
      <c r="X1477" s="15" t="str">
        <f>IF(B1477="",VLOOKUP(A1477,items_lookup!A:B,2,FALSE),B1477)</f>
        <v>09. Item 09</v>
      </c>
      <c r="Y1477" s="15">
        <f t="shared" si="131"/>
        <v>8</v>
      </c>
      <c r="Z1477" s="15">
        <f t="shared" si="131"/>
        <v>8</v>
      </c>
      <c r="AA1477" s="15">
        <f t="shared" si="128"/>
        <v>2021</v>
      </c>
      <c r="AB1477" s="15">
        <f t="shared" si="129"/>
        <v>2021</v>
      </c>
      <c r="AC1477" s="15">
        <f t="shared" si="130"/>
        <v>2021</v>
      </c>
      <c r="AD1477" s="18" t="b">
        <f t="shared" si="132"/>
        <v>1</v>
      </c>
    </row>
    <row r="1478" spans="1:30" ht="14.25" hidden="1" customHeight="1" x14ac:dyDescent="0.2">
      <c r="A1478" s="7" t="s">
        <v>697</v>
      </c>
      <c r="B1478" s="7"/>
      <c r="C1478" s="2" t="s">
        <v>641</v>
      </c>
      <c r="D1478" s="6" t="s">
        <v>649</v>
      </c>
      <c r="E1478" s="32" t="s">
        <v>651</v>
      </c>
      <c r="F1478" s="7"/>
      <c r="G1478" s="7"/>
      <c r="H1478" s="7"/>
      <c r="I1478" s="7"/>
      <c r="J1478" s="7">
        <v>1</v>
      </c>
      <c r="K1478" s="7" t="s">
        <v>660</v>
      </c>
      <c r="L1478" s="7" t="s">
        <v>663</v>
      </c>
      <c r="M1478" s="8">
        <v>44412</v>
      </c>
      <c r="N1478" s="8">
        <v>44424</v>
      </c>
      <c r="O1478" s="13"/>
      <c r="P1478" s="13">
        <v>598059.51</v>
      </c>
      <c r="Q1478" s="33"/>
      <c r="X1478" s="15" t="str">
        <f>IF(B1478="",VLOOKUP(A1478,items_lookup!A:B,2,FALSE),B1478)</f>
        <v>10. Item 10</v>
      </c>
      <c r="Y1478" s="15">
        <f t="shared" si="131"/>
        <v>8</v>
      </c>
      <c r="Z1478" s="15">
        <f t="shared" si="131"/>
        <v>8</v>
      </c>
      <c r="AA1478" s="15">
        <f t="shared" si="128"/>
        <v>2021</v>
      </c>
      <c r="AB1478" s="15">
        <f t="shared" si="129"/>
        <v>2021</v>
      </c>
      <c r="AC1478" s="15">
        <f t="shared" si="130"/>
        <v>2021</v>
      </c>
      <c r="AD1478" s="18" t="b">
        <f t="shared" si="132"/>
        <v>1</v>
      </c>
    </row>
    <row r="1479" spans="1:30" ht="14.25" hidden="1" customHeight="1" x14ac:dyDescent="0.2">
      <c r="A1479" s="7" t="s">
        <v>698</v>
      </c>
      <c r="B1479" s="7"/>
      <c r="C1479" s="2" t="s">
        <v>641</v>
      </c>
      <c r="D1479" s="6" t="s">
        <v>649</v>
      </c>
      <c r="E1479" s="32" t="s">
        <v>651</v>
      </c>
      <c r="F1479" s="7"/>
      <c r="G1479" s="7"/>
      <c r="H1479" s="7"/>
      <c r="I1479" s="7"/>
      <c r="J1479" s="7">
        <v>1</v>
      </c>
      <c r="K1479" s="7" t="s">
        <v>660</v>
      </c>
      <c r="L1479" s="7" t="s">
        <v>663</v>
      </c>
      <c r="M1479" s="8">
        <v>44412</v>
      </c>
      <c r="N1479" s="8">
        <v>44424</v>
      </c>
      <c r="O1479" s="13"/>
      <c r="P1479" s="13">
        <v>2050</v>
      </c>
      <c r="Q1479" s="33"/>
      <c r="R1479" s="22"/>
      <c r="S1479" s="22"/>
      <c r="T1479" s="22"/>
      <c r="U1479" s="22"/>
      <c r="X1479" s="15" t="str">
        <f>IF(B1479="",VLOOKUP(A1479,items_lookup!A:B,2,FALSE),B1479)</f>
        <v>10. Item 10</v>
      </c>
      <c r="Y1479" s="15">
        <f t="shared" si="131"/>
        <v>8</v>
      </c>
      <c r="Z1479" s="15">
        <f t="shared" si="131"/>
        <v>8</v>
      </c>
      <c r="AA1479" s="15">
        <f t="shared" si="128"/>
        <v>2021</v>
      </c>
      <c r="AB1479" s="15">
        <f t="shared" si="129"/>
        <v>2021</v>
      </c>
      <c r="AC1479" s="15">
        <f t="shared" si="130"/>
        <v>2021</v>
      </c>
      <c r="AD1479" s="18" t="b">
        <f t="shared" si="132"/>
        <v>1</v>
      </c>
    </row>
    <row r="1480" spans="1:30" ht="12.6" hidden="1" customHeight="1" x14ac:dyDescent="0.2">
      <c r="A1480" s="7" t="s">
        <v>677</v>
      </c>
      <c r="B1480" s="7"/>
      <c r="C1480" s="2" t="s">
        <v>641</v>
      </c>
      <c r="D1480" s="6" t="s">
        <v>650</v>
      </c>
      <c r="E1480" s="32" t="s">
        <v>651</v>
      </c>
      <c r="F1480" s="7"/>
      <c r="G1480" s="7"/>
      <c r="H1480" s="7"/>
      <c r="I1480" s="7"/>
      <c r="J1480" s="7">
        <v>4</v>
      </c>
      <c r="K1480" s="7" t="s">
        <v>660</v>
      </c>
      <c r="L1480" s="7" t="s">
        <v>663</v>
      </c>
      <c r="M1480" s="8">
        <v>44406</v>
      </c>
      <c r="N1480" s="8">
        <v>44414</v>
      </c>
      <c r="O1480" s="13"/>
      <c r="P1480" s="13">
        <v>92848.73</v>
      </c>
      <c r="Q1480" s="33"/>
      <c r="R1480" s="22"/>
      <c r="S1480" s="22"/>
      <c r="T1480" s="22"/>
      <c r="U1480" s="22"/>
      <c r="X1480" s="15" t="str">
        <f>IF(B1480="",VLOOKUP(A1480,items_lookup!A:B,2,FALSE),B1480)</f>
        <v>11. Item 11</v>
      </c>
      <c r="Y1480" s="15">
        <f t="shared" si="131"/>
        <v>7</v>
      </c>
      <c r="Z1480" s="15">
        <f t="shared" si="131"/>
        <v>8</v>
      </c>
      <c r="AA1480" s="15">
        <f t="shared" si="128"/>
        <v>2021</v>
      </c>
      <c r="AB1480" s="15">
        <f t="shared" si="129"/>
        <v>2021</v>
      </c>
      <c r="AC1480" s="15">
        <f t="shared" si="130"/>
        <v>2021</v>
      </c>
      <c r="AD1480" s="18" t="b">
        <f t="shared" si="132"/>
        <v>1</v>
      </c>
    </row>
    <row r="1481" spans="1:30" ht="12.6" hidden="1" customHeight="1" x14ac:dyDescent="0.2">
      <c r="A1481" s="7" t="s">
        <v>699</v>
      </c>
      <c r="B1481" s="7"/>
      <c r="C1481" s="2" t="s">
        <v>641</v>
      </c>
      <c r="D1481" s="6" t="s">
        <v>649</v>
      </c>
      <c r="E1481" s="32" t="s">
        <v>651</v>
      </c>
      <c r="F1481" s="7"/>
      <c r="G1481" s="7"/>
      <c r="H1481" s="7"/>
      <c r="I1481" s="7"/>
      <c r="J1481" s="7"/>
      <c r="K1481" s="7"/>
      <c r="L1481" s="7" t="s">
        <v>662</v>
      </c>
      <c r="M1481" s="8">
        <v>44409</v>
      </c>
      <c r="N1481" s="8">
        <v>44409</v>
      </c>
      <c r="O1481" s="13">
        <v>23.81</v>
      </c>
      <c r="P1481" s="13"/>
      <c r="Q1481" s="33"/>
      <c r="R1481" s="22"/>
      <c r="S1481" s="22"/>
      <c r="T1481" s="22"/>
      <c r="U1481" s="22"/>
      <c r="X1481" s="15" t="str">
        <f>IF(B1481="",VLOOKUP(A1481,items_lookup!A:B,2,FALSE),B1481)</f>
        <v>12. Item 12</v>
      </c>
      <c r="Y1481" s="15">
        <f t="shared" si="131"/>
        <v>8</v>
      </c>
      <c r="Z1481" s="15">
        <f t="shared" si="131"/>
        <v>8</v>
      </c>
      <c r="AA1481" s="15">
        <f t="shared" si="128"/>
        <v>2021</v>
      </c>
      <c r="AB1481" s="15">
        <f t="shared" si="129"/>
        <v>2021</v>
      </c>
      <c r="AC1481" s="15">
        <f t="shared" si="130"/>
        <v>2021</v>
      </c>
      <c r="AD1481" s="18" t="b">
        <f t="shared" si="132"/>
        <v>1</v>
      </c>
    </row>
    <row r="1482" spans="1:30" ht="15" hidden="1" customHeight="1" x14ac:dyDescent="0.2">
      <c r="A1482" s="7" t="s">
        <v>696</v>
      </c>
      <c r="B1482" s="7"/>
      <c r="C1482" s="2" t="s">
        <v>641</v>
      </c>
      <c r="D1482" s="6" t="s">
        <v>649</v>
      </c>
      <c r="E1482" s="32" t="s">
        <v>651</v>
      </c>
      <c r="F1482" s="7"/>
      <c r="G1482" s="7"/>
      <c r="H1482" s="7"/>
      <c r="I1482" s="7"/>
      <c r="J1482" s="7">
        <v>1</v>
      </c>
      <c r="K1482" s="7" t="s">
        <v>660</v>
      </c>
      <c r="L1482" s="7" t="s">
        <v>663</v>
      </c>
      <c r="M1482" s="8">
        <v>44411</v>
      </c>
      <c r="N1482" s="8">
        <v>44421</v>
      </c>
      <c r="O1482" s="13"/>
      <c r="P1482" s="13">
        <v>12098.3</v>
      </c>
      <c r="Q1482" s="33"/>
      <c r="R1482" s="22"/>
      <c r="S1482" s="22"/>
      <c r="T1482" s="22"/>
      <c r="U1482" s="22"/>
      <c r="X1482" s="15" t="str">
        <f>IF(B1482="",VLOOKUP(A1482,items_lookup!A:B,2,FALSE),B1482)</f>
        <v>13. Item 13</v>
      </c>
      <c r="Y1482" s="15">
        <f t="shared" si="131"/>
        <v>8</v>
      </c>
      <c r="Z1482" s="15">
        <f t="shared" si="131"/>
        <v>8</v>
      </c>
      <c r="AA1482" s="15">
        <f t="shared" si="128"/>
        <v>2021</v>
      </c>
      <c r="AB1482" s="15">
        <f t="shared" si="129"/>
        <v>2021</v>
      </c>
      <c r="AC1482" s="15">
        <f t="shared" si="130"/>
        <v>2021</v>
      </c>
      <c r="AD1482" s="18" t="b">
        <f t="shared" si="132"/>
        <v>1</v>
      </c>
    </row>
    <row r="1483" spans="1:30" ht="15" hidden="1" customHeight="1" x14ac:dyDescent="0.2">
      <c r="A1483" s="7" t="s">
        <v>678</v>
      </c>
      <c r="B1483" s="7"/>
      <c r="C1483" s="2" t="s">
        <v>641</v>
      </c>
      <c r="D1483" s="6" t="s">
        <v>649</v>
      </c>
      <c r="E1483" s="32" t="s">
        <v>651</v>
      </c>
      <c r="F1483" s="7"/>
      <c r="G1483" s="7"/>
      <c r="H1483" s="7"/>
      <c r="I1483" s="7"/>
      <c r="J1483" s="7">
        <v>1</v>
      </c>
      <c r="K1483" s="7" t="s">
        <v>660</v>
      </c>
      <c r="L1483" s="7" t="s">
        <v>663</v>
      </c>
      <c r="M1483" s="8">
        <v>44411</v>
      </c>
      <c r="N1483" s="8">
        <v>44424</v>
      </c>
      <c r="O1483" s="13"/>
      <c r="P1483" s="13">
        <v>92855.43</v>
      </c>
      <c r="Q1483" s="33"/>
      <c r="R1483" s="22"/>
      <c r="S1483" s="22"/>
      <c r="T1483" s="22"/>
      <c r="U1483" s="22"/>
      <c r="X1483" s="15" t="str">
        <f>IF(B1483="",VLOOKUP(A1483,items_lookup!A:B,2,FALSE),B1483)</f>
        <v>13. Item 13</v>
      </c>
      <c r="Y1483" s="15">
        <f t="shared" si="131"/>
        <v>8</v>
      </c>
      <c r="Z1483" s="15">
        <f t="shared" si="131"/>
        <v>8</v>
      </c>
      <c r="AA1483" s="15">
        <f t="shared" si="128"/>
        <v>2021</v>
      </c>
      <c r="AB1483" s="15">
        <f t="shared" si="129"/>
        <v>2021</v>
      </c>
      <c r="AC1483" s="15">
        <f t="shared" si="130"/>
        <v>2021</v>
      </c>
      <c r="AD1483" s="18" t="b">
        <f t="shared" si="132"/>
        <v>1</v>
      </c>
    </row>
    <row r="1484" spans="1:30" ht="16.5" hidden="1" customHeight="1" x14ac:dyDescent="0.2">
      <c r="A1484" s="7" t="s">
        <v>700</v>
      </c>
      <c r="B1484" s="7"/>
      <c r="C1484" s="2" t="s">
        <v>641</v>
      </c>
      <c r="D1484" s="6" t="s">
        <v>649</v>
      </c>
      <c r="E1484" s="32" t="s">
        <v>651</v>
      </c>
      <c r="F1484" s="7"/>
      <c r="G1484" s="7"/>
      <c r="H1484" s="7"/>
      <c r="I1484" s="7"/>
      <c r="J1484" s="7">
        <v>4</v>
      </c>
      <c r="K1484" s="7" t="s">
        <v>660</v>
      </c>
      <c r="L1484" s="7" t="s">
        <v>663</v>
      </c>
      <c r="M1484" s="8">
        <v>44409</v>
      </c>
      <c r="N1484" s="8">
        <v>44426</v>
      </c>
      <c r="O1484" s="13"/>
      <c r="P1484" s="13">
        <v>187806.53</v>
      </c>
      <c r="Q1484" s="33"/>
      <c r="R1484" s="22"/>
      <c r="S1484" s="22"/>
      <c r="T1484" s="22"/>
      <c r="U1484" s="22"/>
      <c r="X1484" s="15" t="str">
        <f>IF(B1484="",VLOOKUP(A1484,items_lookup!A:B,2,FALSE),B1484)</f>
        <v>13. Item 13</v>
      </c>
      <c r="Y1484" s="15">
        <f t="shared" si="131"/>
        <v>8</v>
      </c>
      <c r="Z1484" s="15">
        <f t="shared" si="131"/>
        <v>8</v>
      </c>
      <c r="AA1484" s="15">
        <f t="shared" si="128"/>
        <v>2021</v>
      </c>
      <c r="AB1484" s="15">
        <f t="shared" si="129"/>
        <v>2021</v>
      </c>
      <c r="AC1484" s="15">
        <f t="shared" si="130"/>
        <v>2021</v>
      </c>
      <c r="AD1484" s="18" t="b">
        <f t="shared" si="132"/>
        <v>1</v>
      </c>
    </row>
    <row r="1485" spans="1:30" ht="12.6" hidden="1" customHeight="1" x14ac:dyDescent="0.2">
      <c r="A1485" s="7" t="s">
        <v>701</v>
      </c>
      <c r="B1485" s="20"/>
      <c r="C1485" s="2" t="s">
        <v>641</v>
      </c>
      <c r="D1485" s="6" t="s">
        <v>649</v>
      </c>
      <c r="E1485" s="32" t="s">
        <v>651</v>
      </c>
      <c r="F1485" s="7"/>
      <c r="G1485" s="7"/>
      <c r="H1485" s="7"/>
      <c r="I1485" s="7" t="s">
        <v>20</v>
      </c>
      <c r="J1485" s="7">
        <v>1</v>
      </c>
      <c r="K1485" s="7" t="s">
        <v>660</v>
      </c>
      <c r="L1485" s="7" t="s">
        <v>663</v>
      </c>
      <c r="M1485" s="8">
        <v>44410</v>
      </c>
      <c r="N1485" s="8">
        <v>44426</v>
      </c>
      <c r="O1485" s="13"/>
      <c r="P1485" s="13">
        <v>14672.51</v>
      </c>
      <c r="Q1485" s="33"/>
      <c r="R1485" s="9"/>
      <c r="S1485" s="9"/>
      <c r="T1485" s="9"/>
      <c r="U1485" s="9"/>
      <c r="X1485" s="15" t="str">
        <f>IF(B1485="",VLOOKUP(A1485,items_lookup!A:B,2,FALSE),B1485)</f>
        <v>13. Item 13</v>
      </c>
      <c r="Y1485" s="15">
        <f t="shared" si="131"/>
        <v>8</v>
      </c>
      <c r="Z1485" s="15">
        <f t="shared" si="131"/>
        <v>8</v>
      </c>
      <c r="AA1485" s="15">
        <f t="shared" si="128"/>
        <v>2021</v>
      </c>
      <c r="AB1485" s="15">
        <f t="shared" si="129"/>
        <v>2021</v>
      </c>
      <c r="AC1485" s="15">
        <f t="shared" si="130"/>
        <v>2021</v>
      </c>
      <c r="AD1485" s="18" t="b">
        <f t="shared" si="132"/>
        <v>1</v>
      </c>
    </row>
    <row r="1486" spans="1:30" ht="15" hidden="1" customHeight="1" x14ac:dyDescent="0.2">
      <c r="A1486" s="7" t="s">
        <v>680</v>
      </c>
      <c r="B1486" s="20"/>
      <c r="C1486" s="2" t="s">
        <v>641</v>
      </c>
      <c r="D1486" s="6" t="s">
        <v>649</v>
      </c>
      <c r="E1486" s="32" t="s">
        <v>651</v>
      </c>
      <c r="F1486" s="7"/>
      <c r="G1486" s="7"/>
      <c r="H1486" s="7"/>
      <c r="I1486" s="7"/>
      <c r="J1486" s="7">
        <v>1</v>
      </c>
      <c r="K1486" s="7" t="s">
        <v>660</v>
      </c>
      <c r="L1486" s="7" t="s">
        <v>663</v>
      </c>
      <c r="M1486" s="8">
        <v>44410</v>
      </c>
      <c r="N1486" s="8">
        <v>44426</v>
      </c>
      <c r="O1486" s="13"/>
      <c r="P1486" s="13">
        <v>36980.589999999997</v>
      </c>
      <c r="Q1486" s="33"/>
      <c r="R1486" s="9"/>
      <c r="S1486" s="9"/>
      <c r="T1486" s="9"/>
      <c r="U1486" s="9"/>
      <c r="X1486" s="15" t="str">
        <f>IF(B1486="",VLOOKUP(A1486,items_lookup!A:B,2,FALSE),B1486)</f>
        <v>13. Item 13</v>
      </c>
      <c r="Y1486" s="15">
        <f t="shared" si="131"/>
        <v>8</v>
      </c>
      <c r="Z1486" s="15">
        <f t="shared" si="131"/>
        <v>8</v>
      </c>
      <c r="AA1486" s="15">
        <f t="shared" si="128"/>
        <v>2021</v>
      </c>
      <c r="AB1486" s="15">
        <f t="shared" si="129"/>
        <v>2021</v>
      </c>
      <c r="AC1486" s="15">
        <f t="shared" si="130"/>
        <v>2021</v>
      </c>
      <c r="AD1486" s="18" t="b">
        <f t="shared" si="132"/>
        <v>1</v>
      </c>
    </row>
    <row r="1487" spans="1:30" ht="15" hidden="1" customHeight="1" x14ac:dyDescent="0.2">
      <c r="A1487" s="7" t="s">
        <v>687</v>
      </c>
      <c r="B1487" s="7"/>
      <c r="C1487" s="2" t="s">
        <v>641</v>
      </c>
      <c r="D1487" s="6" t="s">
        <v>649</v>
      </c>
      <c r="E1487" s="32" t="s">
        <v>651</v>
      </c>
      <c r="F1487" s="7"/>
      <c r="G1487" s="7"/>
      <c r="H1487" s="7"/>
      <c r="I1487" s="7"/>
      <c r="J1487" s="7">
        <v>3</v>
      </c>
      <c r="K1487" s="7" t="s">
        <v>660</v>
      </c>
      <c r="L1487" s="7" t="s">
        <v>663</v>
      </c>
      <c r="M1487" s="8">
        <v>44410</v>
      </c>
      <c r="N1487" s="8">
        <v>44421</v>
      </c>
      <c r="O1487" s="13"/>
      <c r="P1487" s="13">
        <v>27618.19</v>
      </c>
      <c r="Q1487" s="33"/>
      <c r="R1487" s="22"/>
      <c r="S1487" s="22"/>
      <c r="T1487" s="22"/>
      <c r="U1487" s="22"/>
      <c r="X1487" s="15" t="str">
        <f>IF(B1487="",VLOOKUP(A1487,items_lookup!A:B,2,FALSE),B1487)</f>
        <v>14. Item 14</v>
      </c>
      <c r="Y1487" s="15">
        <f t="shared" si="131"/>
        <v>8</v>
      </c>
      <c r="Z1487" s="15">
        <f t="shared" si="131"/>
        <v>8</v>
      </c>
      <c r="AA1487" s="15">
        <f t="shared" si="128"/>
        <v>2021</v>
      </c>
      <c r="AB1487" s="15">
        <f t="shared" si="129"/>
        <v>2021</v>
      </c>
      <c r="AC1487" s="15">
        <f t="shared" si="130"/>
        <v>2021</v>
      </c>
      <c r="AD1487" s="18" t="b">
        <f t="shared" si="132"/>
        <v>1</v>
      </c>
    </row>
    <row r="1488" spans="1:30" ht="15" hidden="1" customHeight="1" x14ac:dyDescent="0.2">
      <c r="A1488" s="7" t="s">
        <v>682</v>
      </c>
      <c r="B1488" s="20"/>
      <c r="C1488" s="2" t="s">
        <v>641</v>
      </c>
      <c r="D1488" s="6" t="s">
        <v>649</v>
      </c>
      <c r="E1488" s="32" t="s">
        <v>651</v>
      </c>
      <c r="F1488" s="7"/>
      <c r="G1488" s="7"/>
      <c r="H1488" s="7"/>
      <c r="I1488" s="7"/>
      <c r="J1488" s="7">
        <v>1</v>
      </c>
      <c r="K1488" s="7" t="s">
        <v>660</v>
      </c>
      <c r="L1488" s="7" t="s">
        <v>663</v>
      </c>
      <c r="M1488" s="8">
        <v>44409</v>
      </c>
      <c r="N1488" s="8">
        <v>44433</v>
      </c>
      <c r="O1488" s="13"/>
      <c r="P1488" s="13">
        <v>3115.29</v>
      </c>
      <c r="Q1488" s="33"/>
      <c r="R1488" s="22"/>
      <c r="S1488" s="22"/>
      <c r="T1488" s="22"/>
      <c r="U1488" s="22"/>
      <c r="X1488" s="15" t="str">
        <f>IF(B1488="",VLOOKUP(A1488,items_lookup!A:B,2,FALSE),B1488)</f>
        <v>06. Item 06</v>
      </c>
      <c r="Y1488" s="15">
        <f t="shared" si="131"/>
        <v>8</v>
      </c>
      <c r="Z1488" s="15">
        <f t="shared" si="131"/>
        <v>8</v>
      </c>
      <c r="AA1488" s="15">
        <f t="shared" si="128"/>
        <v>2021</v>
      </c>
      <c r="AB1488" s="15">
        <f t="shared" si="129"/>
        <v>2021</v>
      </c>
      <c r="AC1488" s="15">
        <f t="shared" si="130"/>
        <v>2021</v>
      </c>
      <c r="AD1488" s="18" t="b">
        <f t="shared" si="132"/>
        <v>1</v>
      </c>
    </row>
    <row r="1489" spans="1:30" ht="15.75" hidden="1" customHeight="1" x14ac:dyDescent="0.2">
      <c r="A1489" s="7" t="s">
        <v>682</v>
      </c>
      <c r="B1489" s="7"/>
      <c r="C1489" s="2" t="s">
        <v>641</v>
      </c>
      <c r="D1489" s="6" t="s">
        <v>649</v>
      </c>
      <c r="E1489" s="32" t="s">
        <v>651</v>
      </c>
      <c r="F1489" s="7"/>
      <c r="G1489" s="7"/>
      <c r="H1489" s="7"/>
      <c r="I1489" s="7" t="s">
        <v>20</v>
      </c>
      <c r="J1489" s="7">
        <v>2</v>
      </c>
      <c r="K1489" s="7" t="s">
        <v>660</v>
      </c>
      <c r="L1489" s="7" t="s">
        <v>663</v>
      </c>
      <c r="M1489" s="8">
        <v>44418</v>
      </c>
      <c r="N1489" s="8">
        <v>44428</v>
      </c>
      <c r="O1489" s="13"/>
      <c r="P1489" s="13">
        <v>61958.54</v>
      </c>
      <c r="Q1489" s="33"/>
      <c r="R1489" s="9"/>
      <c r="S1489" s="9"/>
      <c r="T1489" s="9"/>
      <c r="U1489" s="9"/>
      <c r="X1489" s="15" t="str">
        <f>IF(B1489="",VLOOKUP(A1489,items_lookup!A:B,2,FALSE),B1489)</f>
        <v>06. Item 06</v>
      </c>
      <c r="Y1489" s="15">
        <f t="shared" si="131"/>
        <v>8</v>
      </c>
      <c r="Z1489" s="15">
        <f t="shared" si="131"/>
        <v>8</v>
      </c>
      <c r="AA1489" s="15">
        <f t="shared" si="128"/>
        <v>2021</v>
      </c>
      <c r="AB1489" s="15">
        <f t="shared" si="129"/>
        <v>2021</v>
      </c>
      <c r="AC1489" s="15">
        <f t="shared" si="130"/>
        <v>2021</v>
      </c>
      <c r="AD1489" s="18" t="b">
        <f t="shared" si="132"/>
        <v>1</v>
      </c>
    </row>
    <row r="1490" spans="1:30" ht="15" hidden="1" customHeight="1" x14ac:dyDescent="0.2">
      <c r="A1490" s="7" t="s">
        <v>683</v>
      </c>
      <c r="B1490" s="7"/>
      <c r="C1490" s="2" t="s">
        <v>641</v>
      </c>
      <c r="D1490" s="6" t="s">
        <v>649</v>
      </c>
      <c r="E1490" s="32" t="s">
        <v>651</v>
      </c>
      <c r="F1490" s="7"/>
      <c r="G1490" s="7"/>
      <c r="H1490" s="7"/>
      <c r="I1490" s="7"/>
      <c r="J1490" s="7">
        <v>1</v>
      </c>
      <c r="K1490" s="7" t="s">
        <v>660</v>
      </c>
      <c r="L1490" s="7" t="s">
        <v>663</v>
      </c>
      <c r="M1490" s="8">
        <v>44418</v>
      </c>
      <c r="N1490" s="8">
        <v>44428</v>
      </c>
      <c r="O1490" s="13"/>
      <c r="P1490" s="13">
        <v>60632</v>
      </c>
      <c r="Q1490" s="33"/>
      <c r="X1490" s="15" t="str">
        <f>IF(B1490="",VLOOKUP(A1490,items_lookup!A:B,2,FALSE),B1490)</f>
        <v>_1. Item _1</v>
      </c>
      <c r="Y1490" s="15">
        <f t="shared" si="131"/>
        <v>8</v>
      </c>
      <c r="Z1490" s="15">
        <f t="shared" si="131"/>
        <v>8</v>
      </c>
      <c r="AA1490" s="15">
        <f t="shared" si="128"/>
        <v>2021</v>
      </c>
      <c r="AB1490" s="15">
        <f t="shared" si="129"/>
        <v>2021</v>
      </c>
      <c r="AC1490" s="15">
        <f t="shared" si="130"/>
        <v>2021</v>
      </c>
      <c r="AD1490" s="18" t="b">
        <f t="shared" si="132"/>
        <v>1</v>
      </c>
    </row>
    <row r="1491" spans="1:30" ht="14.25" hidden="1" customHeight="1" x14ac:dyDescent="0.2">
      <c r="A1491" s="7" t="s">
        <v>683</v>
      </c>
      <c r="B1491" s="7"/>
      <c r="C1491" s="2" t="s">
        <v>641</v>
      </c>
      <c r="D1491" s="6" t="s">
        <v>649</v>
      </c>
      <c r="E1491" s="32" t="s">
        <v>651</v>
      </c>
      <c r="F1491" s="7"/>
      <c r="G1491" s="7"/>
      <c r="H1491" s="7"/>
      <c r="I1491" s="7"/>
      <c r="J1491" s="7"/>
      <c r="K1491" s="7" t="s">
        <v>660</v>
      </c>
      <c r="L1491" s="7" t="s">
        <v>663</v>
      </c>
      <c r="M1491" s="8">
        <v>44418</v>
      </c>
      <c r="N1491" s="8">
        <v>44418</v>
      </c>
      <c r="O1491" s="13"/>
      <c r="P1491" s="13">
        <v>3387.57</v>
      </c>
      <c r="Q1491" s="33"/>
      <c r="R1491" s="22"/>
      <c r="S1491" s="22"/>
      <c r="T1491" s="22"/>
      <c r="U1491" s="22"/>
      <c r="X1491" s="15" t="str">
        <f>IF(B1491="",VLOOKUP(A1491,items_lookup!A:B,2,FALSE),B1491)</f>
        <v>_1. Item _1</v>
      </c>
      <c r="Y1491" s="15">
        <f t="shared" si="131"/>
        <v>8</v>
      </c>
      <c r="Z1491" s="15">
        <f t="shared" si="131"/>
        <v>8</v>
      </c>
      <c r="AA1491" s="15">
        <f t="shared" si="128"/>
        <v>2021</v>
      </c>
      <c r="AB1491" s="15">
        <f t="shared" si="129"/>
        <v>2021</v>
      </c>
      <c r="AC1491" s="15">
        <f t="shared" si="130"/>
        <v>2021</v>
      </c>
      <c r="AD1491" s="18" t="b">
        <f t="shared" si="132"/>
        <v>1</v>
      </c>
    </row>
    <row r="1492" spans="1:30" ht="15" hidden="1" customHeight="1" x14ac:dyDescent="0.2">
      <c r="A1492" s="7" t="s">
        <v>680</v>
      </c>
      <c r="B1492" s="7"/>
      <c r="C1492" s="2" t="s">
        <v>641</v>
      </c>
      <c r="D1492" s="6" t="s">
        <v>649</v>
      </c>
      <c r="E1492" s="32" t="s">
        <v>651</v>
      </c>
      <c r="F1492" s="7"/>
      <c r="G1492" s="7"/>
      <c r="H1492" s="7"/>
      <c r="I1492" s="7"/>
      <c r="J1492" s="7"/>
      <c r="K1492" s="7" t="s">
        <v>660</v>
      </c>
      <c r="L1492" s="7" t="s">
        <v>663</v>
      </c>
      <c r="M1492" s="8">
        <v>44414</v>
      </c>
      <c r="N1492" s="8">
        <v>44414</v>
      </c>
      <c r="O1492" s="13"/>
      <c r="P1492" s="13">
        <v>92848.73</v>
      </c>
      <c r="Q1492" s="33"/>
      <c r="R1492" s="22"/>
      <c r="S1492" s="22"/>
      <c r="T1492" s="22"/>
      <c r="U1492" s="22"/>
      <c r="X1492" s="15" t="str">
        <f>IF(B1492="",VLOOKUP(A1492,items_lookup!A:B,2,FALSE),B1492)</f>
        <v>13. Item 13</v>
      </c>
      <c r="Y1492" s="15">
        <f t="shared" si="131"/>
        <v>8</v>
      </c>
      <c r="Z1492" s="15">
        <f t="shared" si="131"/>
        <v>8</v>
      </c>
      <c r="AA1492" s="15">
        <f t="shared" si="128"/>
        <v>2021</v>
      </c>
      <c r="AB1492" s="15">
        <f t="shared" si="129"/>
        <v>2021</v>
      </c>
      <c r="AC1492" s="15">
        <f t="shared" si="130"/>
        <v>2021</v>
      </c>
      <c r="AD1492" s="18" t="b">
        <f t="shared" si="132"/>
        <v>1</v>
      </c>
    </row>
    <row r="1493" spans="1:30" ht="15" hidden="1" customHeight="1" x14ac:dyDescent="0.2">
      <c r="A1493" s="7" t="s">
        <v>680</v>
      </c>
      <c r="B1493" s="7"/>
      <c r="C1493" s="2" t="s">
        <v>648</v>
      </c>
      <c r="D1493" s="6" t="s">
        <v>649</v>
      </c>
      <c r="E1493" s="32" t="s">
        <v>651</v>
      </c>
      <c r="F1493" s="7"/>
      <c r="G1493" s="7"/>
      <c r="H1493" s="7"/>
      <c r="I1493" s="7"/>
      <c r="J1493" s="7"/>
      <c r="K1493" s="7"/>
      <c r="L1493" s="7" t="s">
        <v>663</v>
      </c>
      <c r="M1493" s="8">
        <v>44409</v>
      </c>
      <c r="N1493" s="8">
        <v>44409</v>
      </c>
      <c r="O1493" s="13"/>
      <c r="P1493" s="13">
        <v>39206.83</v>
      </c>
      <c r="Q1493" s="33"/>
      <c r="R1493" s="22"/>
      <c r="S1493" s="22"/>
      <c r="T1493" s="22"/>
      <c r="U1493" s="22"/>
      <c r="X1493" s="15" t="str">
        <f>IF(B1493="",VLOOKUP(A1493,items_lookup!A:B,2,FALSE),B1493)</f>
        <v>13. Item 13</v>
      </c>
      <c r="Y1493" s="15">
        <f t="shared" si="131"/>
        <v>8</v>
      </c>
      <c r="Z1493" s="15">
        <f t="shared" si="131"/>
        <v>8</v>
      </c>
      <c r="AA1493" s="15">
        <f t="shared" si="128"/>
        <v>2021</v>
      </c>
      <c r="AB1493" s="15">
        <f t="shared" si="129"/>
        <v>2021</v>
      </c>
      <c r="AC1493" s="15">
        <f t="shared" si="130"/>
        <v>2021</v>
      </c>
      <c r="AD1493" s="18" t="b">
        <f t="shared" si="132"/>
        <v>1</v>
      </c>
    </row>
    <row r="1494" spans="1:30" ht="15" hidden="1" customHeight="1" x14ac:dyDescent="0.2">
      <c r="A1494" s="7" t="s">
        <v>683</v>
      </c>
      <c r="B1494" s="7"/>
      <c r="C1494" s="2" t="s">
        <v>648</v>
      </c>
      <c r="D1494" s="6" t="s">
        <v>649</v>
      </c>
      <c r="E1494" s="32" t="s">
        <v>651</v>
      </c>
      <c r="F1494" s="7"/>
      <c r="G1494" s="7"/>
      <c r="H1494" s="7"/>
      <c r="I1494" s="7"/>
      <c r="J1494" s="7"/>
      <c r="K1494" s="7"/>
      <c r="L1494" s="7" t="s">
        <v>663</v>
      </c>
      <c r="M1494" s="8">
        <v>44409</v>
      </c>
      <c r="N1494" s="8">
        <v>44409</v>
      </c>
      <c r="O1494" s="13"/>
      <c r="P1494" s="13">
        <v>2211192.56</v>
      </c>
      <c r="Q1494" s="33"/>
      <c r="R1494" s="22"/>
      <c r="S1494" s="22"/>
      <c r="T1494" s="22"/>
      <c r="U1494" s="22"/>
      <c r="X1494" s="15" t="str">
        <f>IF(B1494="",VLOOKUP(A1494,items_lookup!A:B,2,FALSE),B1494)</f>
        <v>_1. Item _1</v>
      </c>
      <c r="Y1494" s="15">
        <f t="shared" si="131"/>
        <v>8</v>
      </c>
      <c r="Z1494" s="15">
        <f t="shared" si="131"/>
        <v>8</v>
      </c>
      <c r="AA1494" s="15">
        <f t="shared" si="128"/>
        <v>2021</v>
      </c>
      <c r="AB1494" s="15">
        <f t="shared" si="129"/>
        <v>2021</v>
      </c>
      <c r="AC1494" s="15">
        <f t="shared" si="130"/>
        <v>2021</v>
      </c>
      <c r="AD1494" s="18" t="b">
        <f t="shared" si="132"/>
        <v>1</v>
      </c>
    </row>
    <row r="1495" spans="1:30" ht="15" hidden="1" customHeight="1" x14ac:dyDescent="0.2">
      <c r="A1495" s="7" t="s">
        <v>683</v>
      </c>
      <c r="B1495" s="7"/>
      <c r="C1495" s="2" t="s">
        <v>648</v>
      </c>
      <c r="D1495" s="6" t="s">
        <v>649</v>
      </c>
      <c r="E1495" s="32" t="s">
        <v>651</v>
      </c>
      <c r="F1495" s="7"/>
      <c r="G1495" s="7"/>
      <c r="H1495" s="7"/>
      <c r="I1495" s="7"/>
      <c r="J1495" s="7"/>
      <c r="K1495" s="7"/>
      <c r="L1495" s="7" t="s">
        <v>663</v>
      </c>
      <c r="M1495" s="8">
        <v>44409</v>
      </c>
      <c r="N1495" s="8">
        <v>44409</v>
      </c>
      <c r="O1495" s="13"/>
      <c r="P1495" s="13">
        <v>6860616</v>
      </c>
      <c r="Q1495" s="33"/>
      <c r="R1495" s="22"/>
      <c r="S1495" s="22"/>
      <c r="T1495" s="22"/>
      <c r="U1495" s="22"/>
      <c r="X1495" s="15" t="str">
        <f>IF(B1495="",VLOOKUP(A1495,items_lookup!A:B,2,FALSE),B1495)</f>
        <v>_1. Item _1</v>
      </c>
      <c r="Y1495" s="15">
        <f t="shared" si="131"/>
        <v>8</v>
      </c>
      <c r="Z1495" s="15">
        <f t="shared" si="131"/>
        <v>8</v>
      </c>
      <c r="AA1495" s="15">
        <f t="shared" si="128"/>
        <v>2021</v>
      </c>
      <c r="AB1495" s="15">
        <f t="shared" si="129"/>
        <v>2021</v>
      </c>
      <c r="AC1495" s="15">
        <f t="shared" si="130"/>
        <v>2021</v>
      </c>
      <c r="AD1495" s="18" t="b">
        <f t="shared" si="132"/>
        <v>1</v>
      </c>
    </row>
    <row r="1496" spans="1:30" ht="15" hidden="1" customHeight="1" x14ac:dyDescent="0.2">
      <c r="A1496" s="7" t="s">
        <v>683</v>
      </c>
      <c r="B1496" s="7"/>
      <c r="C1496" s="2" t="s">
        <v>648</v>
      </c>
      <c r="D1496" s="6" t="s">
        <v>649</v>
      </c>
      <c r="E1496" s="32" t="s">
        <v>651</v>
      </c>
      <c r="F1496" s="7"/>
      <c r="G1496" s="7"/>
      <c r="H1496" s="7"/>
      <c r="I1496" s="7"/>
      <c r="J1496" s="7"/>
      <c r="K1496" s="7"/>
      <c r="L1496" s="7" t="s">
        <v>663</v>
      </c>
      <c r="M1496" s="8">
        <v>44409</v>
      </c>
      <c r="N1496" s="8">
        <v>44409</v>
      </c>
      <c r="O1496" s="13">
        <v>405.78</v>
      </c>
      <c r="P1496" s="13">
        <v>34265.620000000003</v>
      </c>
      <c r="Q1496" s="33"/>
      <c r="R1496" s="22"/>
      <c r="S1496" s="22"/>
      <c r="T1496" s="22"/>
      <c r="U1496" s="22"/>
      <c r="X1496" s="15" t="str">
        <f>IF(B1496="",VLOOKUP(A1496,items_lookup!A:B,2,FALSE),B1496)</f>
        <v>_1. Item _1</v>
      </c>
      <c r="Y1496" s="15">
        <f t="shared" si="131"/>
        <v>8</v>
      </c>
      <c r="Z1496" s="15">
        <f t="shared" si="131"/>
        <v>8</v>
      </c>
      <c r="AA1496" s="15">
        <f t="shared" si="128"/>
        <v>2021</v>
      </c>
      <c r="AB1496" s="15">
        <f t="shared" si="129"/>
        <v>2021</v>
      </c>
      <c r="AC1496" s="15">
        <f t="shared" si="130"/>
        <v>2021</v>
      </c>
      <c r="AD1496" s="18" t="b">
        <f t="shared" si="132"/>
        <v>1</v>
      </c>
    </row>
    <row r="1497" spans="1:30" ht="15" hidden="1" customHeight="1" x14ac:dyDescent="0.2">
      <c r="A1497" s="7" t="s">
        <v>678</v>
      </c>
      <c r="B1497" s="7"/>
      <c r="C1497" s="2" t="s">
        <v>648</v>
      </c>
      <c r="D1497" s="6" t="s">
        <v>649</v>
      </c>
      <c r="E1497" s="32" t="s">
        <v>651</v>
      </c>
      <c r="F1497" s="7"/>
      <c r="G1497" s="7"/>
      <c r="H1497" s="7"/>
      <c r="I1497" s="7"/>
      <c r="J1497" s="7"/>
      <c r="K1497" s="7"/>
      <c r="L1497" s="7" t="s">
        <v>663</v>
      </c>
      <c r="M1497" s="8">
        <v>44409</v>
      </c>
      <c r="N1497" s="8">
        <v>44409</v>
      </c>
      <c r="O1497" s="13"/>
      <c r="P1497" s="13">
        <v>5380.46</v>
      </c>
      <c r="Q1497" s="33"/>
      <c r="R1497" s="22"/>
      <c r="S1497" s="22"/>
      <c r="T1497" s="22"/>
      <c r="U1497" s="22"/>
      <c r="X1497" s="15" t="str">
        <f>IF(B1497="",VLOOKUP(A1497,items_lookup!A:B,2,FALSE),B1497)</f>
        <v>13. Item 13</v>
      </c>
      <c r="Y1497" s="15">
        <f t="shared" si="131"/>
        <v>8</v>
      </c>
      <c r="Z1497" s="15">
        <f t="shared" si="131"/>
        <v>8</v>
      </c>
      <c r="AA1497" s="15">
        <f t="shared" si="128"/>
        <v>2021</v>
      </c>
      <c r="AB1497" s="15">
        <f t="shared" si="129"/>
        <v>2021</v>
      </c>
      <c r="AC1497" s="15">
        <f t="shared" si="130"/>
        <v>2021</v>
      </c>
      <c r="AD1497" s="18" t="b">
        <f t="shared" si="132"/>
        <v>1</v>
      </c>
    </row>
    <row r="1498" spans="1:30" ht="15" hidden="1" customHeight="1" x14ac:dyDescent="0.2">
      <c r="A1498" s="7" t="s">
        <v>676</v>
      </c>
      <c r="B1498" s="7"/>
      <c r="C1498" s="2" t="s">
        <v>648</v>
      </c>
      <c r="D1498" s="6" t="s">
        <v>649</v>
      </c>
      <c r="E1498" s="32" t="s">
        <v>651</v>
      </c>
      <c r="F1498" s="7"/>
      <c r="G1498" s="7"/>
      <c r="H1498" s="7"/>
      <c r="I1498" s="7"/>
      <c r="J1498" s="7"/>
      <c r="K1498" s="7"/>
      <c r="L1498" s="7" t="s">
        <v>663</v>
      </c>
      <c r="M1498" s="8">
        <v>44409</v>
      </c>
      <c r="N1498" s="8">
        <v>44409</v>
      </c>
      <c r="O1498" s="13"/>
      <c r="P1498" s="13">
        <v>13041454</v>
      </c>
      <c r="Q1498" s="33"/>
      <c r="R1498" s="22"/>
      <c r="S1498" s="22"/>
      <c r="T1498" s="22"/>
      <c r="U1498" s="22"/>
      <c r="X1498" s="15" t="str">
        <f>IF(B1498="",VLOOKUP(A1498,items_lookup!A:B,2,FALSE),B1498)</f>
        <v>09. Item 09</v>
      </c>
      <c r="Y1498" s="15">
        <f t="shared" si="131"/>
        <v>8</v>
      </c>
      <c r="Z1498" s="15">
        <f t="shared" si="131"/>
        <v>8</v>
      </c>
      <c r="AA1498" s="15">
        <f t="shared" si="128"/>
        <v>2021</v>
      </c>
      <c r="AB1498" s="15">
        <f t="shared" si="129"/>
        <v>2021</v>
      </c>
      <c r="AC1498" s="15">
        <f t="shared" si="130"/>
        <v>2021</v>
      </c>
      <c r="AD1498" s="18" t="b">
        <f t="shared" si="132"/>
        <v>1</v>
      </c>
    </row>
    <row r="1499" spans="1:30" ht="15" hidden="1" customHeight="1" x14ac:dyDescent="0.2">
      <c r="A1499" s="7" t="s">
        <v>688</v>
      </c>
      <c r="B1499" s="7"/>
      <c r="C1499" s="2" t="s">
        <v>648</v>
      </c>
      <c r="D1499" s="6" t="s">
        <v>649</v>
      </c>
      <c r="E1499" s="32" t="s">
        <v>651</v>
      </c>
      <c r="F1499" s="7"/>
      <c r="G1499" s="7"/>
      <c r="H1499" s="7"/>
      <c r="I1499" s="7"/>
      <c r="J1499" s="7"/>
      <c r="K1499" s="7"/>
      <c r="L1499" s="7" t="s">
        <v>663</v>
      </c>
      <c r="M1499" s="8">
        <v>44409</v>
      </c>
      <c r="N1499" s="8">
        <v>44409</v>
      </c>
      <c r="O1499" s="13"/>
      <c r="P1499" s="13">
        <v>468145.51</v>
      </c>
      <c r="Q1499" s="33"/>
      <c r="R1499" s="22"/>
      <c r="S1499" s="22"/>
      <c r="T1499" s="22"/>
      <c r="U1499" s="22"/>
      <c r="X1499" s="15" t="str">
        <f>IF(B1499="",VLOOKUP(A1499,items_lookup!A:B,2,FALSE),B1499)</f>
        <v>09. Item 09</v>
      </c>
      <c r="Y1499" s="15">
        <f t="shared" si="131"/>
        <v>8</v>
      </c>
      <c r="Z1499" s="15">
        <f t="shared" si="131"/>
        <v>8</v>
      </c>
      <c r="AA1499" s="15">
        <f t="shared" si="128"/>
        <v>2021</v>
      </c>
      <c r="AB1499" s="15">
        <f t="shared" si="129"/>
        <v>2021</v>
      </c>
      <c r="AC1499" s="15">
        <f t="shared" si="130"/>
        <v>2021</v>
      </c>
      <c r="AD1499" s="18" t="b">
        <f t="shared" si="132"/>
        <v>1</v>
      </c>
    </row>
    <row r="1500" spans="1:30" ht="15" hidden="1" customHeight="1" x14ac:dyDescent="0.2">
      <c r="A1500" s="7" t="s">
        <v>675</v>
      </c>
      <c r="B1500" s="7"/>
      <c r="C1500" s="2" t="s">
        <v>648</v>
      </c>
      <c r="D1500" s="6" t="s">
        <v>649</v>
      </c>
      <c r="E1500" s="32" t="s">
        <v>651</v>
      </c>
      <c r="F1500" s="7"/>
      <c r="G1500" s="7"/>
      <c r="H1500" s="7"/>
      <c r="I1500" s="7"/>
      <c r="J1500" s="7"/>
      <c r="K1500" s="7"/>
      <c r="L1500" s="7" t="s">
        <v>663</v>
      </c>
      <c r="M1500" s="8">
        <v>44409</v>
      </c>
      <c r="N1500" s="8">
        <v>44409</v>
      </c>
      <c r="O1500" s="13"/>
      <c r="P1500" s="13">
        <v>294038.09999999998</v>
      </c>
      <c r="Q1500" s="33"/>
      <c r="X1500" s="15" t="str">
        <f>IF(B1500="",VLOOKUP(A1500,items_lookup!A:B,2,FALSE),B1500)</f>
        <v>09. Item 09</v>
      </c>
      <c r="Y1500" s="15">
        <f t="shared" si="131"/>
        <v>8</v>
      </c>
      <c r="Z1500" s="15">
        <f t="shared" si="131"/>
        <v>8</v>
      </c>
      <c r="AA1500" s="15">
        <f t="shared" si="128"/>
        <v>2021</v>
      </c>
      <c r="AB1500" s="15">
        <f t="shared" si="129"/>
        <v>2021</v>
      </c>
      <c r="AC1500" s="15">
        <f t="shared" si="130"/>
        <v>2021</v>
      </c>
      <c r="AD1500" s="18" t="b">
        <f t="shared" si="132"/>
        <v>1</v>
      </c>
    </row>
    <row r="1501" spans="1:30" ht="15" hidden="1" customHeight="1" x14ac:dyDescent="0.2">
      <c r="A1501" s="7" t="s">
        <v>675</v>
      </c>
      <c r="B1501" s="7"/>
      <c r="C1501" s="2" t="s">
        <v>648</v>
      </c>
      <c r="D1501" s="6" t="s">
        <v>649</v>
      </c>
      <c r="E1501" s="32" t="s">
        <v>651</v>
      </c>
      <c r="F1501" s="7"/>
      <c r="G1501" s="7"/>
      <c r="H1501" s="7"/>
      <c r="I1501" s="7"/>
      <c r="J1501" s="7"/>
      <c r="K1501" s="7"/>
      <c r="L1501" s="7" t="s">
        <v>663</v>
      </c>
      <c r="M1501" s="8">
        <v>44409</v>
      </c>
      <c r="N1501" s="8">
        <v>44409</v>
      </c>
      <c r="O1501" s="13"/>
      <c r="P1501" s="13">
        <v>477033.75</v>
      </c>
      <c r="Q1501" s="33"/>
      <c r="X1501" s="15" t="str">
        <f>IF(B1501="",VLOOKUP(A1501,items_lookup!A:B,2,FALSE),B1501)</f>
        <v>09. Item 09</v>
      </c>
      <c r="Y1501" s="15">
        <f t="shared" si="131"/>
        <v>8</v>
      </c>
      <c r="Z1501" s="15">
        <f t="shared" si="131"/>
        <v>8</v>
      </c>
      <c r="AA1501" s="15">
        <f t="shared" si="128"/>
        <v>2021</v>
      </c>
      <c r="AB1501" s="15">
        <f t="shared" si="129"/>
        <v>2021</v>
      </c>
      <c r="AC1501" s="15">
        <f t="shared" si="130"/>
        <v>2021</v>
      </c>
      <c r="AD1501" s="18" t="b">
        <f t="shared" si="132"/>
        <v>1</v>
      </c>
    </row>
    <row r="1502" spans="1:30" ht="15" hidden="1" customHeight="1" x14ac:dyDescent="0.2">
      <c r="A1502" s="7" t="s">
        <v>694</v>
      </c>
      <c r="B1502" s="7"/>
      <c r="C1502" s="2" t="s">
        <v>648</v>
      </c>
      <c r="D1502" s="6" t="s">
        <v>649</v>
      </c>
      <c r="E1502" s="32" t="s">
        <v>651</v>
      </c>
      <c r="F1502" s="7"/>
      <c r="G1502" s="7"/>
      <c r="H1502" s="7"/>
      <c r="I1502" s="7"/>
      <c r="J1502" s="7"/>
      <c r="K1502" s="7"/>
      <c r="L1502" s="7" t="s">
        <v>663</v>
      </c>
      <c r="M1502" s="8">
        <v>44409</v>
      </c>
      <c r="N1502" s="8">
        <v>44409</v>
      </c>
      <c r="O1502" s="13">
        <v>265607.84999999998</v>
      </c>
      <c r="P1502" s="13">
        <v>299894.82</v>
      </c>
      <c r="Q1502" s="33"/>
      <c r="X1502" s="15" t="str">
        <f>IF(B1502="",VLOOKUP(A1502,items_lookup!A:B,2,FALSE),B1502)</f>
        <v>03. Item 03</v>
      </c>
      <c r="Y1502" s="15">
        <f t="shared" si="131"/>
        <v>8</v>
      </c>
      <c r="Z1502" s="15">
        <f t="shared" si="131"/>
        <v>8</v>
      </c>
      <c r="AA1502" s="15">
        <f t="shared" si="128"/>
        <v>2021</v>
      </c>
      <c r="AB1502" s="15">
        <f t="shared" si="129"/>
        <v>2021</v>
      </c>
      <c r="AC1502" s="15">
        <f t="shared" si="130"/>
        <v>2021</v>
      </c>
      <c r="AD1502" s="18" t="b">
        <f t="shared" si="132"/>
        <v>1</v>
      </c>
    </row>
    <row r="1503" spans="1:30" ht="12.75" hidden="1" customHeight="1" x14ac:dyDescent="0.2">
      <c r="A1503" s="7" t="s">
        <v>706</v>
      </c>
      <c r="B1503" s="7"/>
      <c r="C1503" s="2" t="s">
        <v>648</v>
      </c>
      <c r="D1503" s="6" t="s">
        <v>649</v>
      </c>
      <c r="E1503" s="32" t="s">
        <v>651</v>
      </c>
      <c r="F1503" s="7"/>
      <c r="G1503" s="7"/>
      <c r="H1503" s="7"/>
      <c r="I1503" s="7"/>
      <c r="J1503" s="7"/>
      <c r="K1503" s="7"/>
      <c r="L1503" s="7" t="s">
        <v>663</v>
      </c>
      <c r="M1503" s="8">
        <v>44409</v>
      </c>
      <c r="N1503" s="8">
        <v>44409</v>
      </c>
      <c r="O1503" s="13"/>
      <c r="P1503" s="13">
        <v>16096.08</v>
      </c>
      <c r="Q1503" s="33"/>
      <c r="R1503" s="22"/>
      <c r="S1503" s="22"/>
      <c r="T1503" s="22"/>
      <c r="U1503" s="22"/>
      <c r="X1503" s="15" t="str">
        <f>IF(B1503="",VLOOKUP(A1503,items_lookup!A:B,2,FALSE),B1503)</f>
        <v>03. Item 03</v>
      </c>
      <c r="Y1503" s="15">
        <f t="shared" si="131"/>
        <v>8</v>
      </c>
      <c r="Z1503" s="15">
        <f t="shared" si="131"/>
        <v>8</v>
      </c>
      <c r="AA1503" s="15">
        <f t="shared" si="128"/>
        <v>2021</v>
      </c>
      <c r="AB1503" s="15">
        <f t="shared" si="129"/>
        <v>2021</v>
      </c>
      <c r="AC1503" s="15">
        <f t="shared" si="130"/>
        <v>2021</v>
      </c>
      <c r="AD1503" s="18" t="b">
        <f t="shared" si="132"/>
        <v>1</v>
      </c>
    </row>
    <row r="1504" spans="1:30" ht="15.75" hidden="1" customHeight="1" x14ac:dyDescent="0.2">
      <c r="A1504" s="7" t="s">
        <v>706</v>
      </c>
      <c r="B1504" s="7"/>
      <c r="C1504" s="2" t="s">
        <v>648</v>
      </c>
      <c r="D1504" s="6" t="s">
        <v>649</v>
      </c>
      <c r="E1504" s="32" t="s">
        <v>651</v>
      </c>
      <c r="F1504" s="7"/>
      <c r="G1504" s="7"/>
      <c r="H1504" s="7"/>
      <c r="I1504" s="7"/>
      <c r="J1504" s="7"/>
      <c r="K1504" s="7"/>
      <c r="L1504" s="7" t="s">
        <v>663</v>
      </c>
      <c r="M1504" s="8">
        <v>44409</v>
      </c>
      <c r="N1504" s="8">
        <v>44409</v>
      </c>
      <c r="O1504" s="13"/>
      <c r="P1504" s="13">
        <v>34798.480000000003</v>
      </c>
      <c r="Q1504" s="33"/>
      <c r="R1504" s="22"/>
      <c r="S1504" s="22"/>
      <c r="T1504" s="22"/>
      <c r="U1504" s="22"/>
      <c r="X1504" s="15" t="str">
        <f>IF(B1504="",VLOOKUP(A1504,items_lookup!A:B,2,FALSE),B1504)</f>
        <v>03. Item 03</v>
      </c>
      <c r="Y1504" s="15">
        <f t="shared" si="131"/>
        <v>8</v>
      </c>
      <c r="Z1504" s="15">
        <f t="shared" si="131"/>
        <v>8</v>
      </c>
      <c r="AA1504" s="15">
        <f t="shared" si="128"/>
        <v>2021</v>
      </c>
      <c r="AB1504" s="15">
        <f t="shared" si="129"/>
        <v>2021</v>
      </c>
      <c r="AC1504" s="15">
        <f t="shared" si="130"/>
        <v>2021</v>
      </c>
      <c r="AD1504" s="18" t="b">
        <f t="shared" si="132"/>
        <v>1</v>
      </c>
    </row>
    <row r="1505" spans="1:30" ht="15.75" hidden="1" customHeight="1" x14ac:dyDescent="0.2">
      <c r="A1505" s="7" t="s">
        <v>671</v>
      </c>
      <c r="B1505" s="7"/>
      <c r="C1505" s="2" t="s">
        <v>648</v>
      </c>
      <c r="D1505" s="6" t="s">
        <v>649</v>
      </c>
      <c r="E1505" s="32" t="s">
        <v>651</v>
      </c>
      <c r="F1505" s="7"/>
      <c r="G1505" s="7"/>
      <c r="H1505" s="7"/>
      <c r="I1505" s="7"/>
      <c r="J1505" s="7"/>
      <c r="K1505" s="7"/>
      <c r="L1505" s="7" t="s">
        <v>663</v>
      </c>
      <c r="M1505" s="8">
        <v>44409</v>
      </c>
      <c r="N1505" s="8">
        <v>44409</v>
      </c>
      <c r="O1505" s="13"/>
      <c r="P1505" s="13">
        <v>32652.33</v>
      </c>
      <c r="Q1505" s="33"/>
      <c r="R1505" s="22"/>
      <c r="S1505" s="22"/>
      <c r="T1505" s="22"/>
      <c r="U1505" s="22"/>
      <c r="X1505" s="15" t="str">
        <f>IF(B1505="",VLOOKUP(A1505,items_lookup!A:B,2,FALSE),B1505)</f>
        <v>05. Item 05</v>
      </c>
      <c r="Y1505" s="15">
        <f t="shared" si="131"/>
        <v>8</v>
      </c>
      <c r="Z1505" s="15">
        <f t="shared" si="131"/>
        <v>8</v>
      </c>
      <c r="AA1505" s="15">
        <f t="shared" si="128"/>
        <v>2021</v>
      </c>
      <c r="AB1505" s="15">
        <f t="shared" si="129"/>
        <v>2021</v>
      </c>
      <c r="AC1505" s="15">
        <f t="shared" si="130"/>
        <v>2021</v>
      </c>
      <c r="AD1505" s="18" t="b">
        <f t="shared" si="132"/>
        <v>1</v>
      </c>
    </row>
    <row r="1506" spans="1:30" ht="15" hidden="1" customHeight="1" x14ac:dyDescent="0.2">
      <c r="A1506" s="7" t="s">
        <v>687</v>
      </c>
      <c r="B1506" s="7"/>
      <c r="C1506" s="2" t="s">
        <v>648</v>
      </c>
      <c r="D1506" s="6" t="s">
        <v>649</v>
      </c>
      <c r="E1506" s="32" t="s">
        <v>651</v>
      </c>
      <c r="F1506" s="7"/>
      <c r="G1506" s="7"/>
      <c r="H1506" s="7"/>
      <c r="I1506" s="7"/>
      <c r="J1506" s="7"/>
      <c r="K1506" s="7"/>
      <c r="L1506" s="7" t="s">
        <v>663</v>
      </c>
      <c r="M1506" s="8">
        <v>44409</v>
      </c>
      <c r="N1506" s="8">
        <v>44409</v>
      </c>
      <c r="O1506" s="13"/>
      <c r="P1506" s="13">
        <v>2664682.66</v>
      </c>
      <c r="Q1506" s="33"/>
      <c r="R1506" s="22"/>
      <c r="S1506" s="22"/>
      <c r="T1506" s="22"/>
      <c r="U1506" s="22"/>
      <c r="X1506" s="15" t="str">
        <f>IF(B1506="",VLOOKUP(A1506,items_lookup!A:B,2,FALSE),B1506)</f>
        <v>14. Item 14</v>
      </c>
      <c r="Y1506" s="15">
        <f t="shared" si="131"/>
        <v>8</v>
      </c>
      <c r="Z1506" s="15">
        <f t="shared" si="131"/>
        <v>8</v>
      </c>
      <c r="AA1506" s="15">
        <f t="shared" si="128"/>
        <v>2021</v>
      </c>
      <c r="AB1506" s="15">
        <f t="shared" si="129"/>
        <v>2021</v>
      </c>
      <c r="AC1506" s="15">
        <f t="shared" si="130"/>
        <v>2021</v>
      </c>
      <c r="AD1506" s="18" t="b">
        <f t="shared" si="132"/>
        <v>1</v>
      </c>
    </row>
    <row r="1507" spans="1:30" ht="15" hidden="1" customHeight="1" x14ac:dyDescent="0.2">
      <c r="A1507" s="7" t="s">
        <v>683</v>
      </c>
      <c r="B1507" s="7"/>
      <c r="C1507" s="2" t="s">
        <v>648</v>
      </c>
      <c r="D1507" s="6" t="s">
        <v>649</v>
      </c>
      <c r="E1507" s="32" t="s">
        <v>651</v>
      </c>
      <c r="F1507" s="7"/>
      <c r="G1507" s="7"/>
      <c r="H1507" s="7"/>
      <c r="I1507" s="7"/>
      <c r="J1507" s="7"/>
      <c r="K1507" s="7"/>
      <c r="L1507" s="7" t="s">
        <v>663</v>
      </c>
      <c r="M1507" s="8">
        <v>44409</v>
      </c>
      <c r="N1507" s="8">
        <v>44409</v>
      </c>
      <c r="O1507" s="13"/>
      <c r="P1507" s="13">
        <v>296081.67</v>
      </c>
      <c r="Q1507" s="33"/>
      <c r="R1507" s="22"/>
      <c r="S1507" s="22"/>
      <c r="T1507" s="22"/>
      <c r="U1507" s="22"/>
      <c r="X1507" s="15" t="str">
        <f>IF(B1507="",VLOOKUP(A1507,items_lookup!A:B,2,FALSE),B1507)</f>
        <v>_1. Item _1</v>
      </c>
      <c r="Y1507" s="15">
        <f t="shared" si="131"/>
        <v>8</v>
      </c>
      <c r="Z1507" s="15">
        <f t="shared" si="131"/>
        <v>8</v>
      </c>
      <c r="AA1507" s="15">
        <f t="shared" si="128"/>
        <v>2021</v>
      </c>
      <c r="AB1507" s="15">
        <f t="shared" si="129"/>
        <v>2021</v>
      </c>
      <c r="AC1507" s="15">
        <f t="shared" si="130"/>
        <v>2021</v>
      </c>
      <c r="AD1507" s="18" t="b">
        <f t="shared" si="132"/>
        <v>1</v>
      </c>
    </row>
    <row r="1508" spans="1:30" ht="17.25" hidden="1" customHeight="1" x14ac:dyDescent="0.2">
      <c r="A1508" s="7" t="s">
        <v>675</v>
      </c>
      <c r="B1508" s="7"/>
      <c r="C1508" s="2" t="s">
        <v>648</v>
      </c>
      <c r="D1508" s="6" t="s">
        <v>649</v>
      </c>
      <c r="E1508" s="32" t="s">
        <v>651</v>
      </c>
      <c r="F1508" s="7"/>
      <c r="G1508" s="7"/>
      <c r="H1508" s="7"/>
      <c r="I1508" s="7"/>
      <c r="J1508" s="7"/>
      <c r="K1508" s="7"/>
      <c r="L1508" s="7" t="s">
        <v>663</v>
      </c>
      <c r="M1508" s="8">
        <v>44409</v>
      </c>
      <c r="N1508" s="8">
        <v>44409</v>
      </c>
      <c r="O1508" s="13"/>
      <c r="P1508" s="13">
        <v>117270.98</v>
      </c>
      <c r="Q1508" s="33"/>
      <c r="R1508" s="22"/>
      <c r="S1508" s="22"/>
      <c r="T1508" s="22"/>
      <c r="U1508" s="22"/>
      <c r="X1508" s="15" t="str">
        <f>IF(B1508="",VLOOKUP(A1508,items_lookup!A:B,2,FALSE),B1508)</f>
        <v>09. Item 09</v>
      </c>
      <c r="Y1508" s="15">
        <f t="shared" si="131"/>
        <v>8</v>
      </c>
      <c r="Z1508" s="15">
        <f t="shared" si="131"/>
        <v>8</v>
      </c>
      <c r="AA1508" s="15">
        <f t="shared" si="128"/>
        <v>2021</v>
      </c>
      <c r="AB1508" s="15">
        <f t="shared" si="129"/>
        <v>2021</v>
      </c>
      <c r="AC1508" s="15">
        <f t="shared" si="130"/>
        <v>2021</v>
      </c>
      <c r="AD1508" s="18" t="b">
        <f t="shared" si="132"/>
        <v>1</v>
      </c>
    </row>
    <row r="1509" spans="1:30" ht="15" hidden="1" customHeight="1" x14ac:dyDescent="0.2">
      <c r="A1509" s="7" t="s">
        <v>683</v>
      </c>
      <c r="B1509" s="7"/>
      <c r="C1509" s="2" t="s">
        <v>648</v>
      </c>
      <c r="D1509" s="6" t="s">
        <v>649</v>
      </c>
      <c r="E1509" s="32" t="s">
        <v>651</v>
      </c>
      <c r="F1509" s="7"/>
      <c r="G1509" s="7"/>
      <c r="H1509" s="7"/>
      <c r="I1509" s="7"/>
      <c r="J1509" s="7"/>
      <c r="K1509" s="7"/>
      <c r="L1509" s="7" t="s">
        <v>663</v>
      </c>
      <c r="M1509" s="8">
        <v>44409</v>
      </c>
      <c r="N1509" s="8">
        <v>44409</v>
      </c>
      <c r="O1509" s="13"/>
      <c r="P1509" s="13">
        <v>112000000</v>
      </c>
      <c r="Q1509" s="33"/>
      <c r="R1509" s="22"/>
      <c r="S1509" s="22"/>
      <c r="T1509" s="22"/>
      <c r="U1509" s="22"/>
      <c r="X1509" s="15" t="str">
        <f>IF(B1509="",VLOOKUP(A1509,items_lookup!A:B,2,FALSE),B1509)</f>
        <v>_1. Item _1</v>
      </c>
      <c r="Y1509" s="15">
        <f t="shared" si="131"/>
        <v>8</v>
      </c>
      <c r="Z1509" s="15">
        <f t="shared" si="131"/>
        <v>8</v>
      </c>
      <c r="AA1509" s="15">
        <f t="shared" si="128"/>
        <v>2021</v>
      </c>
      <c r="AB1509" s="15">
        <f t="shared" si="129"/>
        <v>2021</v>
      </c>
      <c r="AC1509" s="15">
        <f t="shared" si="130"/>
        <v>2021</v>
      </c>
      <c r="AD1509" s="18" t="b">
        <f t="shared" si="132"/>
        <v>1</v>
      </c>
    </row>
    <row r="1510" spans="1:30" ht="15" hidden="1" customHeight="1" x14ac:dyDescent="0.2">
      <c r="A1510" s="7" t="s">
        <v>683</v>
      </c>
      <c r="B1510" s="7"/>
      <c r="C1510" s="2" t="s">
        <v>648</v>
      </c>
      <c r="D1510" s="6" t="s">
        <v>649</v>
      </c>
      <c r="E1510" s="32" t="s">
        <v>651</v>
      </c>
      <c r="F1510" s="7"/>
      <c r="G1510" s="7"/>
      <c r="H1510" s="7"/>
      <c r="I1510" s="7"/>
      <c r="J1510" s="7"/>
      <c r="K1510" s="7"/>
      <c r="L1510" s="7" t="s">
        <v>663</v>
      </c>
      <c r="M1510" s="8">
        <v>44409</v>
      </c>
      <c r="N1510" s="8">
        <v>44409</v>
      </c>
      <c r="O1510" s="13"/>
      <c r="P1510" s="13">
        <v>12538.57</v>
      </c>
      <c r="Q1510" s="33"/>
      <c r="R1510" s="22"/>
      <c r="S1510" s="22"/>
      <c r="T1510" s="22"/>
      <c r="U1510" s="22"/>
      <c r="X1510" s="15" t="str">
        <f>IF(B1510="",VLOOKUP(A1510,items_lookup!A:B,2,FALSE),B1510)</f>
        <v>_1. Item _1</v>
      </c>
      <c r="Y1510" s="15">
        <f t="shared" si="131"/>
        <v>8</v>
      </c>
      <c r="Z1510" s="15">
        <f t="shared" si="131"/>
        <v>8</v>
      </c>
      <c r="AA1510" s="15">
        <f t="shared" si="128"/>
        <v>2021</v>
      </c>
      <c r="AB1510" s="15">
        <f t="shared" si="129"/>
        <v>2021</v>
      </c>
      <c r="AC1510" s="15">
        <f t="shared" si="130"/>
        <v>2021</v>
      </c>
      <c r="AD1510" s="18" t="b">
        <f t="shared" si="132"/>
        <v>1</v>
      </c>
    </row>
    <row r="1511" spans="1:30" ht="13.5" hidden="1" x14ac:dyDescent="0.2">
      <c r="A1511" s="7" t="s">
        <v>703</v>
      </c>
      <c r="B1511" s="7"/>
      <c r="C1511" s="2" t="s">
        <v>648</v>
      </c>
      <c r="D1511" s="6" t="s">
        <v>649</v>
      </c>
      <c r="E1511" s="32" t="s">
        <v>651</v>
      </c>
      <c r="F1511" s="7"/>
      <c r="G1511" s="7"/>
      <c r="H1511" s="7"/>
      <c r="I1511" s="7"/>
      <c r="J1511" s="7"/>
      <c r="K1511" s="7"/>
      <c r="L1511" s="7" t="s">
        <v>663</v>
      </c>
      <c r="M1511" s="8">
        <v>44409</v>
      </c>
      <c r="N1511" s="8">
        <v>44409</v>
      </c>
      <c r="O1511" s="13"/>
      <c r="P1511" s="13">
        <v>491749.71</v>
      </c>
      <c r="Q1511" s="33"/>
      <c r="R1511" s="22"/>
      <c r="S1511" s="22"/>
      <c r="T1511" s="22"/>
      <c r="U1511" s="22"/>
      <c r="X1511" s="15" t="str">
        <f>IF(B1511="",VLOOKUP(A1511,items_lookup!A:B,2,FALSE),B1511)</f>
        <v>_3. Item _3</v>
      </c>
      <c r="Y1511" s="15">
        <f t="shared" si="131"/>
        <v>8</v>
      </c>
      <c r="Z1511" s="15">
        <f t="shared" si="131"/>
        <v>8</v>
      </c>
      <c r="AA1511" s="15">
        <f t="shared" si="128"/>
        <v>2021</v>
      </c>
      <c r="AB1511" s="15">
        <f t="shared" si="129"/>
        <v>2021</v>
      </c>
      <c r="AC1511" s="15">
        <f t="shared" si="130"/>
        <v>2021</v>
      </c>
      <c r="AD1511" s="18" t="b">
        <f t="shared" si="132"/>
        <v>1</v>
      </c>
    </row>
    <row r="1512" spans="1:30" ht="13.5" hidden="1" x14ac:dyDescent="0.2">
      <c r="A1512" s="7" t="s">
        <v>683</v>
      </c>
      <c r="B1512" s="7"/>
      <c r="C1512" s="2" t="s">
        <v>648</v>
      </c>
      <c r="D1512" s="6" t="s">
        <v>649</v>
      </c>
      <c r="E1512" s="32" t="s">
        <v>651</v>
      </c>
      <c r="F1512" s="7"/>
      <c r="G1512" s="7"/>
      <c r="H1512" s="7"/>
      <c r="I1512" s="7"/>
      <c r="J1512" s="7"/>
      <c r="K1512" s="7"/>
      <c r="L1512" s="7" t="s">
        <v>663</v>
      </c>
      <c r="M1512" s="8">
        <v>44409</v>
      </c>
      <c r="N1512" s="8">
        <v>44409</v>
      </c>
      <c r="O1512" s="13">
        <v>23878.799999999999</v>
      </c>
      <c r="P1512" s="13">
        <v>818107.11</v>
      </c>
      <c r="Q1512" s="33"/>
      <c r="R1512" s="22"/>
      <c r="S1512" s="22"/>
      <c r="T1512" s="22"/>
      <c r="U1512" s="22"/>
      <c r="X1512" s="15" t="str">
        <f>IF(B1512="",VLOOKUP(A1512,items_lookup!A:B,2,FALSE),B1512)</f>
        <v>_1. Item _1</v>
      </c>
      <c r="Y1512" s="15">
        <f t="shared" si="131"/>
        <v>8</v>
      </c>
      <c r="Z1512" s="15">
        <f t="shared" si="131"/>
        <v>8</v>
      </c>
      <c r="AA1512" s="15">
        <f t="shared" si="128"/>
        <v>2021</v>
      </c>
      <c r="AB1512" s="15">
        <f t="shared" si="129"/>
        <v>2021</v>
      </c>
      <c r="AC1512" s="15">
        <f t="shared" si="130"/>
        <v>2021</v>
      </c>
      <c r="AD1512" s="18" t="b">
        <f t="shared" si="132"/>
        <v>1</v>
      </c>
    </row>
    <row r="1513" spans="1:30" ht="15" hidden="1" customHeight="1" x14ac:dyDescent="0.2">
      <c r="A1513" s="7" t="s">
        <v>683</v>
      </c>
      <c r="B1513" s="7"/>
      <c r="C1513" s="2" t="s">
        <v>648</v>
      </c>
      <c r="D1513" s="6" t="s">
        <v>649</v>
      </c>
      <c r="E1513" s="32" t="s">
        <v>651</v>
      </c>
      <c r="F1513" s="7"/>
      <c r="G1513" s="7"/>
      <c r="H1513" s="7"/>
      <c r="I1513" s="7"/>
      <c r="J1513" s="7"/>
      <c r="K1513" s="7"/>
      <c r="L1513" s="7" t="s">
        <v>663</v>
      </c>
      <c r="M1513" s="8">
        <v>44409</v>
      </c>
      <c r="N1513" s="8">
        <v>44409</v>
      </c>
      <c r="O1513" s="13"/>
      <c r="P1513" s="13">
        <v>223430.29</v>
      </c>
      <c r="Q1513" s="33"/>
      <c r="R1513" s="22"/>
      <c r="S1513" s="22"/>
      <c r="T1513" s="22"/>
      <c r="U1513" s="22"/>
      <c r="X1513" s="15" t="str">
        <f>IF(B1513="",VLOOKUP(A1513,items_lookup!A:B,2,FALSE),B1513)</f>
        <v>_1. Item _1</v>
      </c>
      <c r="Y1513" s="15">
        <f t="shared" si="131"/>
        <v>8</v>
      </c>
      <c r="Z1513" s="15">
        <f t="shared" si="131"/>
        <v>8</v>
      </c>
      <c r="AA1513" s="15">
        <f t="shared" si="128"/>
        <v>2021</v>
      </c>
      <c r="AB1513" s="15">
        <f t="shared" si="129"/>
        <v>2021</v>
      </c>
      <c r="AC1513" s="15">
        <f t="shared" si="130"/>
        <v>2021</v>
      </c>
      <c r="AD1513" s="18" t="b">
        <f t="shared" si="132"/>
        <v>1</v>
      </c>
    </row>
    <row r="1514" spans="1:30" ht="15" hidden="1" customHeight="1" x14ac:dyDescent="0.2">
      <c r="A1514" s="7" t="s">
        <v>685</v>
      </c>
      <c r="B1514" s="7"/>
      <c r="C1514" s="2" t="s">
        <v>648</v>
      </c>
      <c r="D1514" s="6" t="s">
        <v>649</v>
      </c>
      <c r="E1514" s="32" t="s">
        <v>651</v>
      </c>
      <c r="F1514" s="7"/>
      <c r="G1514" s="7"/>
      <c r="H1514" s="7"/>
      <c r="I1514" s="7"/>
      <c r="J1514" s="7"/>
      <c r="K1514" s="7"/>
      <c r="L1514" s="7" t="s">
        <v>663</v>
      </c>
      <c r="M1514" s="8">
        <v>44409</v>
      </c>
      <c r="N1514" s="8">
        <v>44409</v>
      </c>
      <c r="O1514" s="13"/>
      <c r="P1514" s="13">
        <v>238202.82</v>
      </c>
      <c r="Q1514" s="33"/>
      <c r="R1514" s="22"/>
      <c r="S1514" s="22"/>
      <c r="T1514" s="22"/>
      <c r="U1514" s="22"/>
      <c r="X1514" s="15" t="str">
        <f>IF(B1514="",VLOOKUP(A1514,items_lookup!A:B,2,FALSE),B1514)</f>
        <v>15. Item 15</v>
      </c>
      <c r="Y1514" s="15">
        <f t="shared" si="131"/>
        <v>8</v>
      </c>
      <c r="Z1514" s="15">
        <f t="shared" si="131"/>
        <v>8</v>
      </c>
      <c r="AA1514" s="15">
        <f t="shared" si="128"/>
        <v>2021</v>
      </c>
      <c r="AB1514" s="15">
        <f t="shared" si="129"/>
        <v>2021</v>
      </c>
      <c r="AC1514" s="15">
        <f t="shared" si="130"/>
        <v>2021</v>
      </c>
      <c r="AD1514" s="18" t="b">
        <f t="shared" si="132"/>
        <v>1</v>
      </c>
    </row>
    <row r="1515" spans="1:30" ht="15" hidden="1" customHeight="1" x14ac:dyDescent="0.2">
      <c r="A1515" s="7" t="s">
        <v>685</v>
      </c>
      <c r="B1515" s="7"/>
      <c r="C1515" s="2" t="s">
        <v>648</v>
      </c>
      <c r="D1515" s="6" t="s">
        <v>649</v>
      </c>
      <c r="E1515" s="32" t="s">
        <v>651</v>
      </c>
      <c r="F1515" s="7"/>
      <c r="G1515" s="7"/>
      <c r="H1515" s="7"/>
      <c r="I1515" s="7"/>
      <c r="J1515" s="7"/>
      <c r="K1515" s="7"/>
      <c r="L1515" s="7" t="s">
        <v>663</v>
      </c>
      <c r="M1515" s="8">
        <v>44408</v>
      </c>
      <c r="N1515" s="8">
        <v>44408</v>
      </c>
      <c r="O1515" s="13"/>
      <c r="P1515" s="13">
        <v>58058310.359999999</v>
      </c>
      <c r="Q1515" s="33"/>
      <c r="R1515" s="22"/>
      <c r="S1515" s="22"/>
      <c r="T1515" s="22"/>
      <c r="U1515" s="22"/>
      <c r="X1515" s="15" t="str">
        <f>IF(B1515="",VLOOKUP(A1515,items_lookup!A:B,2,FALSE),B1515)</f>
        <v>15. Item 15</v>
      </c>
      <c r="Y1515" s="15">
        <f t="shared" si="131"/>
        <v>7</v>
      </c>
      <c r="Z1515" s="15">
        <f t="shared" si="131"/>
        <v>7</v>
      </c>
      <c r="AA1515" s="15">
        <f t="shared" si="128"/>
        <v>2021</v>
      </c>
      <c r="AB1515" s="15">
        <f t="shared" si="129"/>
        <v>2021</v>
      </c>
      <c r="AC1515" s="15">
        <f t="shared" si="130"/>
        <v>2021</v>
      </c>
      <c r="AD1515" s="18" t="b">
        <f t="shared" si="132"/>
        <v>1</v>
      </c>
    </row>
    <row r="1516" spans="1:30" ht="15" hidden="1" customHeight="1" x14ac:dyDescent="0.2">
      <c r="A1516" s="7" t="s">
        <v>703</v>
      </c>
      <c r="B1516" s="7"/>
      <c r="C1516" s="2" t="s">
        <v>641</v>
      </c>
      <c r="D1516" s="6" t="s">
        <v>649</v>
      </c>
      <c r="E1516" s="32" t="s">
        <v>651</v>
      </c>
      <c r="F1516" s="7"/>
      <c r="G1516" s="7"/>
      <c r="H1516" s="7"/>
      <c r="I1516" s="7"/>
      <c r="J1516" s="7">
        <v>3</v>
      </c>
      <c r="K1516" s="7" t="s">
        <v>660</v>
      </c>
      <c r="L1516" s="7" t="s">
        <v>663</v>
      </c>
      <c r="M1516" s="8">
        <v>44421</v>
      </c>
      <c r="N1516" s="8">
        <v>44432</v>
      </c>
      <c r="O1516" s="13"/>
      <c r="P1516" s="13">
        <v>2183574.37</v>
      </c>
      <c r="Q1516" s="33"/>
      <c r="R1516" s="22"/>
      <c r="S1516" s="22"/>
      <c r="T1516" s="22"/>
      <c r="U1516" s="22"/>
      <c r="X1516" s="15" t="str">
        <f>IF(B1516="",VLOOKUP(A1516,items_lookup!A:B,2,FALSE),B1516)</f>
        <v>_3. Item _3</v>
      </c>
      <c r="Y1516" s="15">
        <f t="shared" si="131"/>
        <v>8</v>
      </c>
      <c r="Z1516" s="15">
        <f t="shared" si="131"/>
        <v>8</v>
      </c>
      <c r="AA1516" s="15">
        <f t="shared" si="128"/>
        <v>2021</v>
      </c>
      <c r="AB1516" s="15">
        <f t="shared" si="129"/>
        <v>2021</v>
      </c>
      <c r="AC1516" s="15">
        <f t="shared" si="130"/>
        <v>2021</v>
      </c>
      <c r="AD1516" s="18" t="b">
        <f t="shared" si="132"/>
        <v>1</v>
      </c>
    </row>
    <row r="1517" spans="1:30" ht="15" hidden="1" customHeight="1" x14ac:dyDescent="0.2">
      <c r="A1517" s="7" t="s">
        <v>702</v>
      </c>
      <c r="B1517" s="7"/>
      <c r="C1517" s="2" t="s">
        <v>641</v>
      </c>
      <c r="D1517" s="6" t="s">
        <v>649</v>
      </c>
      <c r="E1517" s="32" t="s">
        <v>651</v>
      </c>
      <c r="F1517" s="7"/>
      <c r="G1517" s="7"/>
      <c r="H1517" s="7"/>
      <c r="I1517" s="7"/>
      <c r="J1517" s="7">
        <v>3</v>
      </c>
      <c r="K1517" s="7" t="s">
        <v>660</v>
      </c>
      <c r="L1517" s="7" t="s">
        <v>663</v>
      </c>
      <c r="M1517" s="8">
        <v>44421</v>
      </c>
      <c r="N1517" s="8">
        <v>44439</v>
      </c>
      <c r="O1517" s="13"/>
      <c r="P1517" s="13">
        <v>6254187.4299999997</v>
      </c>
      <c r="Q1517" s="33"/>
      <c r="R1517" s="22"/>
      <c r="S1517" s="22"/>
      <c r="T1517" s="22"/>
      <c r="U1517" s="22"/>
      <c r="X1517" s="15" t="str">
        <f>IF(B1517="",VLOOKUP(A1517,items_lookup!A:B,2,FALSE),B1517)</f>
        <v>17. Item 17</v>
      </c>
      <c r="Y1517" s="15">
        <f t="shared" si="131"/>
        <v>8</v>
      </c>
      <c r="Z1517" s="15">
        <f t="shared" si="131"/>
        <v>8</v>
      </c>
      <c r="AA1517" s="15">
        <f t="shared" si="128"/>
        <v>2021</v>
      </c>
      <c r="AB1517" s="15">
        <f t="shared" si="129"/>
        <v>2021</v>
      </c>
      <c r="AC1517" s="15">
        <f t="shared" si="130"/>
        <v>2021</v>
      </c>
      <c r="AD1517" s="18" t="b">
        <f t="shared" si="132"/>
        <v>1</v>
      </c>
    </row>
    <row r="1518" spans="1:30" ht="12.6" hidden="1" customHeight="1" x14ac:dyDescent="0.2">
      <c r="A1518" s="7" t="s">
        <v>682</v>
      </c>
      <c r="B1518" s="20"/>
      <c r="C1518" s="2" t="s">
        <v>641</v>
      </c>
      <c r="D1518" s="6" t="s">
        <v>649</v>
      </c>
      <c r="E1518" s="32" t="s">
        <v>651</v>
      </c>
      <c r="F1518" s="7"/>
      <c r="G1518" s="7"/>
      <c r="H1518" s="7"/>
      <c r="I1518" s="7"/>
      <c r="J1518" s="7">
        <v>1</v>
      </c>
      <c r="K1518" s="7" t="s">
        <v>660</v>
      </c>
      <c r="L1518" s="7" t="s">
        <v>663</v>
      </c>
      <c r="M1518" s="8">
        <v>44421</v>
      </c>
      <c r="N1518" s="8">
        <v>44433</v>
      </c>
      <c r="O1518" s="13"/>
      <c r="P1518" s="13">
        <v>8737.5499999999993</v>
      </c>
      <c r="Q1518" s="33"/>
      <c r="R1518" s="9"/>
      <c r="S1518" s="9"/>
      <c r="T1518" s="9"/>
      <c r="U1518" s="9"/>
      <c r="X1518" s="15" t="str">
        <f>IF(B1518="",VLOOKUP(A1518,items_lookup!A:B,2,FALSE),B1518)</f>
        <v>06. Item 06</v>
      </c>
      <c r="Y1518" s="15">
        <f t="shared" si="131"/>
        <v>8</v>
      </c>
      <c r="Z1518" s="15">
        <f t="shared" si="131"/>
        <v>8</v>
      </c>
      <c r="AA1518" s="15">
        <f t="shared" si="128"/>
        <v>2021</v>
      </c>
      <c r="AB1518" s="15">
        <f t="shared" si="129"/>
        <v>2021</v>
      </c>
      <c r="AC1518" s="15">
        <f t="shared" si="130"/>
        <v>2021</v>
      </c>
      <c r="AD1518" s="18" t="b">
        <f t="shared" si="132"/>
        <v>1</v>
      </c>
    </row>
    <row r="1519" spans="1:30" ht="15" hidden="1" customHeight="1" x14ac:dyDescent="0.2">
      <c r="A1519" s="7" t="s">
        <v>675</v>
      </c>
      <c r="B1519" s="7"/>
      <c r="C1519" s="2" t="s">
        <v>641</v>
      </c>
      <c r="D1519" s="6" t="s">
        <v>649</v>
      </c>
      <c r="E1519" s="32" t="s">
        <v>651</v>
      </c>
      <c r="F1519" s="7"/>
      <c r="G1519" s="7"/>
      <c r="H1519" s="7"/>
      <c r="I1519" s="7"/>
      <c r="J1519" s="7">
        <v>3</v>
      </c>
      <c r="K1519" s="7" t="s">
        <v>660</v>
      </c>
      <c r="L1519" s="7" t="s">
        <v>663</v>
      </c>
      <c r="M1519" s="8">
        <v>44421</v>
      </c>
      <c r="N1519" s="8">
        <v>44433</v>
      </c>
      <c r="O1519" s="13"/>
      <c r="P1519" s="13">
        <v>32652.33</v>
      </c>
      <c r="Q1519" s="33"/>
      <c r="R1519" s="22"/>
      <c r="S1519" s="22"/>
      <c r="T1519" s="22"/>
      <c r="U1519" s="22"/>
      <c r="X1519" s="15" t="str">
        <f>IF(B1519="",VLOOKUP(A1519,items_lookup!A:B,2,FALSE),B1519)</f>
        <v>09. Item 09</v>
      </c>
      <c r="Y1519" s="15">
        <f t="shared" si="131"/>
        <v>8</v>
      </c>
      <c r="Z1519" s="15">
        <f t="shared" si="131"/>
        <v>8</v>
      </c>
      <c r="AA1519" s="15">
        <f t="shared" ref="AA1519:AA1582" si="133">YEAR(N1519)</f>
        <v>2021</v>
      </c>
      <c r="AB1519" s="15">
        <f t="shared" ref="AB1519:AB1582" si="134">YEAR(M1519)</f>
        <v>2021</v>
      </c>
      <c r="AC1519" s="15">
        <f t="shared" ref="AC1519:AC1582" si="135">IF(F1519="X",AA1519-1,AA1519)</f>
        <v>2021</v>
      </c>
      <c r="AD1519" s="18" t="b">
        <f t="shared" si="132"/>
        <v>1</v>
      </c>
    </row>
    <row r="1520" spans="1:30" ht="15" hidden="1" customHeight="1" x14ac:dyDescent="0.2">
      <c r="A1520" s="7" t="s">
        <v>697</v>
      </c>
      <c r="B1520" s="7"/>
      <c r="C1520" s="2" t="s">
        <v>641</v>
      </c>
      <c r="D1520" s="6" t="s">
        <v>649</v>
      </c>
      <c r="E1520" s="32" t="s">
        <v>651</v>
      </c>
      <c r="F1520" s="7"/>
      <c r="G1520" s="7"/>
      <c r="H1520" s="7"/>
      <c r="I1520" s="7"/>
      <c r="J1520" s="7">
        <v>3</v>
      </c>
      <c r="K1520" s="7" t="s">
        <v>660</v>
      </c>
      <c r="L1520" s="7" t="s">
        <v>663</v>
      </c>
      <c r="M1520" s="8">
        <v>44421</v>
      </c>
      <c r="N1520" s="8">
        <v>44435</v>
      </c>
      <c r="O1520" s="13"/>
      <c r="P1520" s="13">
        <v>2052.5700000000002</v>
      </c>
      <c r="Q1520" s="33"/>
      <c r="R1520" s="22"/>
      <c r="S1520" s="22"/>
      <c r="T1520" s="22"/>
      <c r="U1520" s="22"/>
      <c r="X1520" s="15" t="str">
        <f>IF(B1520="",VLOOKUP(A1520,items_lookup!A:B,2,FALSE),B1520)</f>
        <v>10. Item 10</v>
      </c>
      <c r="Y1520" s="15">
        <f t="shared" si="131"/>
        <v>8</v>
      </c>
      <c r="Z1520" s="15">
        <f t="shared" si="131"/>
        <v>8</v>
      </c>
      <c r="AA1520" s="15">
        <f t="shared" si="133"/>
        <v>2021</v>
      </c>
      <c r="AB1520" s="15">
        <f t="shared" si="134"/>
        <v>2021</v>
      </c>
      <c r="AC1520" s="15">
        <f t="shared" si="135"/>
        <v>2021</v>
      </c>
      <c r="AD1520" s="18" t="b">
        <f t="shared" si="132"/>
        <v>1</v>
      </c>
    </row>
    <row r="1521" spans="1:30" ht="15" hidden="1" customHeight="1" x14ac:dyDescent="0.2">
      <c r="A1521" s="7" t="s">
        <v>699</v>
      </c>
      <c r="B1521" s="7"/>
      <c r="C1521" s="2" t="s">
        <v>641</v>
      </c>
      <c r="D1521" s="6" t="s">
        <v>649</v>
      </c>
      <c r="E1521" s="32" t="s">
        <v>651</v>
      </c>
      <c r="F1521" s="7"/>
      <c r="G1521" s="7"/>
      <c r="H1521" s="7"/>
      <c r="I1521" s="7"/>
      <c r="J1521" s="7">
        <v>3</v>
      </c>
      <c r="K1521" s="7" t="s">
        <v>660</v>
      </c>
      <c r="L1521" s="7" t="s">
        <v>663</v>
      </c>
      <c r="M1521" s="8">
        <v>44421</v>
      </c>
      <c r="N1521" s="8">
        <v>44435</v>
      </c>
      <c r="O1521" s="13"/>
      <c r="P1521" s="13">
        <v>34798.480000000003</v>
      </c>
      <c r="Q1521" s="33"/>
      <c r="R1521" s="22"/>
      <c r="S1521" s="22"/>
      <c r="T1521" s="22"/>
      <c r="U1521" s="22"/>
      <c r="X1521" s="15" t="str">
        <f>IF(B1521="",VLOOKUP(A1521,items_lookup!A:B,2,FALSE),B1521)</f>
        <v>12. Item 12</v>
      </c>
      <c r="Y1521" s="15">
        <f t="shared" si="131"/>
        <v>8</v>
      </c>
      <c r="Z1521" s="15">
        <f t="shared" si="131"/>
        <v>8</v>
      </c>
      <c r="AA1521" s="15">
        <f t="shared" si="133"/>
        <v>2021</v>
      </c>
      <c r="AB1521" s="15">
        <f t="shared" si="134"/>
        <v>2021</v>
      </c>
      <c r="AC1521" s="15">
        <f t="shared" si="135"/>
        <v>2021</v>
      </c>
      <c r="AD1521" s="18" t="b">
        <f t="shared" si="132"/>
        <v>1</v>
      </c>
    </row>
    <row r="1522" spans="1:30" ht="15" hidden="1" customHeight="1" x14ac:dyDescent="0.2">
      <c r="A1522" s="7" t="s">
        <v>699</v>
      </c>
      <c r="B1522" s="7"/>
      <c r="C1522" s="2" t="s">
        <v>641</v>
      </c>
      <c r="D1522" s="6" t="s">
        <v>649</v>
      </c>
      <c r="E1522" s="32" t="s">
        <v>651</v>
      </c>
      <c r="F1522" s="7"/>
      <c r="G1522" s="7"/>
      <c r="H1522" s="7"/>
      <c r="I1522" s="7"/>
      <c r="J1522" s="7">
        <v>3</v>
      </c>
      <c r="K1522" s="7" t="s">
        <v>660</v>
      </c>
      <c r="L1522" s="7" t="s">
        <v>663</v>
      </c>
      <c r="M1522" s="8">
        <v>44421</v>
      </c>
      <c r="N1522" s="8">
        <v>44439</v>
      </c>
      <c r="O1522" s="13"/>
      <c r="P1522" s="13">
        <v>12832148.960000001</v>
      </c>
      <c r="Q1522" s="33"/>
      <c r="R1522" s="22"/>
      <c r="S1522" s="22"/>
      <c r="T1522" s="22"/>
      <c r="U1522" s="22"/>
      <c r="X1522" s="15" t="str">
        <f>IF(B1522="",VLOOKUP(A1522,items_lookup!A:B,2,FALSE),B1522)</f>
        <v>12. Item 12</v>
      </c>
      <c r="Y1522" s="15">
        <f t="shared" si="131"/>
        <v>8</v>
      </c>
      <c r="Z1522" s="15">
        <f t="shared" si="131"/>
        <v>8</v>
      </c>
      <c r="AA1522" s="15">
        <f t="shared" si="133"/>
        <v>2021</v>
      </c>
      <c r="AB1522" s="15">
        <f t="shared" si="134"/>
        <v>2021</v>
      </c>
      <c r="AC1522" s="15">
        <f t="shared" si="135"/>
        <v>2021</v>
      </c>
      <c r="AD1522" s="18" t="b">
        <f t="shared" si="132"/>
        <v>1</v>
      </c>
    </row>
    <row r="1523" spans="1:30" ht="15" hidden="1" customHeight="1" x14ac:dyDescent="0.2">
      <c r="A1523" s="7" t="s">
        <v>699</v>
      </c>
      <c r="B1523" s="7"/>
      <c r="C1523" s="2" t="s">
        <v>641</v>
      </c>
      <c r="D1523" s="6" t="s">
        <v>649</v>
      </c>
      <c r="E1523" s="32" t="s">
        <v>651</v>
      </c>
      <c r="F1523" s="7"/>
      <c r="G1523" s="7"/>
      <c r="H1523" s="7"/>
      <c r="I1523" s="7"/>
      <c r="J1523" s="7">
        <v>3</v>
      </c>
      <c r="K1523" s="7" t="s">
        <v>660</v>
      </c>
      <c r="L1523" s="7" t="s">
        <v>663</v>
      </c>
      <c r="M1523" s="8">
        <v>44421</v>
      </c>
      <c r="N1523" s="8">
        <v>44432</v>
      </c>
      <c r="O1523" s="13"/>
      <c r="P1523" s="13">
        <v>463159.48</v>
      </c>
      <c r="Q1523" s="33"/>
      <c r="R1523" s="22"/>
      <c r="S1523" s="22"/>
      <c r="T1523" s="22"/>
      <c r="U1523" s="22"/>
      <c r="X1523" s="15" t="str">
        <f>IF(B1523="",VLOOKUP(A1523,items_lookup!A:B,2,FALSE),B1523)</f>
        <v>12. Item 12</v>
      </c>
      <c r="Y1523" s="15">
        <f t="shared" si="131"/>
        <v>8</v>
      </c>
      <c r="Z1523" s="15">
        <f t="shared" si="131"/>
        <v>8</v>
      </c>
      <c r="AA1523" s="15">
        <f t="shared" si="133"/>
        <v>2021</v>
      </c>
      <c r="AB1523" s="15">
        <f t="shared" si="134"/>
        <v>2021</v>
      </c>
      <c r="AC1523" s="15">
        <f t="shared" si="135"/>
        <v>2021</v>
      </c>
      <c r="AD1523" s="18" t="b">
        <f t="shared" si="132"/>
        <v>1</v>
      </c>
    </row>
    <row r="1524" spans="1:30" ht="15" hidden="1" customHeight="1" x14ac:dyDescent="0.2">
      <c r="A1524" s="7" t="s">
        <v>675</v>
      </c>
      <c r="B1524" s="7"/>
      <c r="C1524" s="2" t="s">
        <v>641</v>
      </c>
      <c r="D1524" s="6" t="s">
        <v>649</v>
      </c>
      <c r="E1524" s="32" t="s">
        <v>651</v>
      </c>
      <c r="F1524" s="7"/>
      <c r="G1524" s="7"/>
      <c r="H1524" s="7"/>
      <c r="I1524" s="7"/>
      <c r="J1524" s="7"/>
      <c r="K1524" s="7" t="s">
        <v>660</v>
      </c>
      <c r="L1524" s="7" t="s">
        <v>663</v>
      </c>
      <c r="M1524" s="8">
        <v>44421</v>
      </c>
      <c r="N1524" s="8">
        <v>44421</v>
      </c>
      <c r="O1524" s="13"/>
      <c r="P1524" s="13">
        <v>3289625.97</v>
      </c>
      <c r="Q1524" s="33"/>
      <c r="R1524" s="22"/>
      <c r="S1524" s="22"/>
      <c r="T1524" s="22"/>
      <c r="U1524" s="22"/>
      <c r="X1524" s="15" t="str">
        <f>IF(B1524="",VLOOKUP(A1524,items_lookup!A:B,2,FALSE),B1524)</f>
        <v>09. Item 09</v>
      </c>
      <c r="Y1524" s="15">
        <f t="shared" si="131"/>
        <v>8</v>
      </c>
      <c r="Z1524" s="15">
        <f t="shared" si="131"/>
        <v>8</v>
      </c>
      <c r="AA1524" s="15">
        <f t="shared" si="133"/>
        <v>2021</v>
      </c>
      <c r="AB1524" s="15">
        <f t="shared" si="134"/>
        <v>2021</v>
      </c>
      <c r="AC1524" s="15">
        <f t="shared" si="135"/>
        <v>2021</v>
      </c>
      <c r="AD1524" s="18" t="b">
        <f t="shared" si="132"/>
        <v>1</v>
      </c>
    </row>
    <row r="1525" spans="1:30" ht="15" hidden="1" customHeight="1" x14ac:dyDescent="0.2">
      <c r="A1525" s="7" t="s">
        <v>675</v>
      </c>
      <c r="B1525" s="7"/>
      <c r="C1525" s="2" t="s">
        <v>641</v>
      </c>
      <c r="D1525" s="6" t="s">
        <v>649</v>
      </c>
      <c r="E1525" s="32" t="s">
        <v>651</v>
      </c>
      <c r="F1525" s="7"/>
      <c r="G1525" s="7"/>
      <c r="H1525" s="7"/>
      <c r="I1525" s="7"/>
      <c r="J1525" s="7"/>
      <c r="K1525" s="7" t="s">
        <v>660</v>
      </c>
      <c r="L1525" s="7" t="s">
        <v>663</v>
      </c>
      <c r="M1525" s="8">
        <v>44424</v>
      </c>
      <c r="N1525" s="8">
        <v>44424</v>
      </c>
      <c r="O1525" s="13"/>
      <c r="P1525" s="13">
        <v>2389133.06</v>
      </c>
      <c r="Q1525" s="33"/>
      <c r="R1525" s="22"/>
      <c r="S1525" s="22"/>
      <c r="T1525" s="22"/>
      <c r="U1525" s="22"/>
      <c r="X1525" s="15" t="str">
        <f>IF(B1525="",VLOOKUP(A1525,items_lookup!A:B,2,FALSE),B1525)</f>
        <v>09. Item 09</v>
      </c>
      <c r="Y1525" s="15">
        <f t="shared" si="131"/>
        <v>8</v>
      </c>
      <c r="Z1525" s="15">
        <f t="shared" si="131"/>
        <v>8</v>
      </c>
      <c r="AA1525" s="15">
        <f t="shared" si="133"/>
        <v>2021</v>
      </c>
      <c r="AB1525" s="15">
        <f t="shared" si="134"/>
        <v>2021</v>
      </c>
      <c r="AC1525" s="15">
        <f t="shared" si="135"/>
        <v>2021</v>
      </c>
      <c r="AD1525" s="18" t="b">
        <f t="shared" si="132"/>
        <v>1</v>
      </c>
    </row>
    <row r="1526" spans="1:30" ht="15" hidden="1" customHeight="1" x14ac:dyDescent="0.2">
      <c r="A1526" s="7" t="s">
        <v>672</v>
      </c>
      <c r="B1526" s="20"/>
      <c r="C1526" s="2" t="s">
        <v>641</v>
      </c>
      <c r="D1526" s="6" t="s">
        <v>649</v>
      </c>
      <c r="E1526" s="32" t="s">
        <v>651</v>
      </c>
      <c r="F1526" s="7"/>
      <c r="G1526" s="7"/>
      <c r="H1526" s="7"/>
      <c r="I1526" s="7"/>
      <c r="J1526" s="7">
        <v>1</v>
      </c>
      <c r="K1526" s="7" t="s">
        <v>660</v>
      </c>
      <c r="L1526" s="7" t="s">
        <v>663</v>
      </c>
      <c r="M1526" s="8">
        <v>44409</v>
      </c>
      <c r="N1526" s="8">
        <v>44424</v>
      </c>
      <c r="O1526" s="13"/>
      <c r="P1526" s="13">
        <v>4634.97</v>
      </c>
      <c r="Q1526" s="33"/>
      <c r="R1526" s="22"/>
      <c r="S1526" s="22"/>
      <c r="T1526" s="22"/>
      <c r="U1526" s="22"/>
      <c r="X1526" s="15" t="str">
        <f>IF(B1526="",VLOOKUP(A1526,items_lookup!A:B,2,FALSE),B1526)</f>
        <v>05. Item 05</v>
      </c>
      <c r="Y1526" s="15">
        <f t="shared" si="131"/>
        <v>8</v>
      </c>
      <c r="Z1526" s="15">
        <f t="shared" si="131"/>
        <v>8</v>
      </c>
      <c r="AA1526" s="15">
        <f t="shared" si="133"/>
        <v>2021</v>
      </c>
      <c r="AB1526" s="15">
        <f t="shared" si="134"/>
        <v>2021</v>
      </c>
      <c r="AC1526" s="15">
        <f t="shared" si="135"/>
        <v>2021</v>
      </c>
      <c r="AD1526" s="18" t="b">
        <f t="shared" si="132"/>
        <v>1</v>
      </c>
    </row>
    <row r="1527" spans="1:30" ht="15.75" hidden="1" customHeight="1" x14ac:dyDescent="0.2">
      <c r="A1527" s="7" t="s">
        <v>677</v>
      </c>
      <c r="B1527" s="20"/>
      <c r="C1527" s="2" t="s">
        <v>641</v>
      </c>
      <c r="D1527" s="6" t="s">
        <v>649</v>
      </c>
      <c r="E1527" s="32" t="s">
        <v>651</v>
      </c>
      <c r="F1527" s="7"/>
      <c r="G1527" s="7"/>
      <c r="H1527" s="7"/>
      <c r="I1527" s="7" t="s">
        <v>20</v>
      </c>
      <c r="J1527" s="7">
        <v>1</v>
      </c>
      <c r="K1527" s="7" t="s">
        <v>660</v>
      </c>
      <c r="L1527" s="7" t="s">
        <v>663</v>
      </c>
      <c r="M1527" s="8">
        <v>44409</v>
      </c>
      <c r="N1527" s="8">
        <v>44425</v>
      </c>
      <c r="O1527" s="13"/>
      <c r="P1527" s="13">
        <v>4382.45</v>
      </c>
      <c r="Q1527" s="33"/>
      <c r="R1527" s="22"/>
      <c r="S1527" s="22"/>
      <c r="T1527" s="22"/>
      <c r="U1527" s="22"/>
      <c r="X1527" s="15" t="str">
        <f>IF(B1527="",VLOOKUP(A1527,items_lookup!A:B,2,FALSE),B1527)</f>
        <v>11. Item 11</v>
      </c>
      <c r="Y1527" s="15">
        <f t="shared" si="131"/>
        <v>8</v>
      </c>
      <c r="Z1527" s="15">
        <f t="shared" si="131"/>
        <v>8</v>
      </c>
      <c r="AA1527" s="15">
        <f t="shared" si="133"/>
        <v>2021</v>
      </c>
      <c r="AB1527" s="15">
        <f t="shared" si="134"/>
        <v>2021</v>
      </c>
      <c r="AC1527" s="15">
        <f t="shared" si="135"/>
        <v>2021</v>
      </c>
      <c r="AD1527" s="18" t="b">
        <f t="shared" si="132"/>
        <v>1</v>
      </c>
    </row>
    <row r="1528" spans="1:30" ht="15.75" hidden="1" customHeight="1" x14ac:dyDescent="0.2">
      <c r="A1528" s="7" t="s">
        <v>680</v>
      </c>
      <c r="B1528" s="20"/>
      <c r="C1528" s="2" t="s">
        <v>641</v>
      </c>
      <c r="D1528" s="6" t="s">
        <v>649</v>
      </c>
      <c r="E1528" s="32" t="s">
        <v>651</v>
      </c>
      <c r="F1528" s="7"/>
      <c r="G1528" s="7"/>
      <c r="H1528" s="7"/>
      <c r="I1528" s="7"/>
      <c r="J1528" s="7">
        <v>2</v>
      </c>
      <c r="K1528" s="7" t="s">
        <v>660</v>
      </c>
      <c r="L1528" s="7" t="s">
        <v>663</v>
      </c>
      <c r="M1528" s="8">
        <v>44409</v>
      </c>
      <c r="N1528" s="8">
        <v>44428</v>
      </c>
      <c r="O1528" s="13"/>
      <c r="P1528" s="13">
        <v>25275.98</v>
      </c>
      <c r="Q1528" s="33"/>
      <c r="R1528" s="22"/>
      <c r="S1528" s="22"/>
      <c r="T1528" s="22"/>
      <c r="U1528" s="22"/>
      <c r="X1528" s="15" t="str">
        <f>IF(B1528="",VLOOKUP(A1528,items_lookup!A:B,2,FALSE),B1528)</f>
        <v>13. Item 13</v>
      </c>
      <c r="Y1528" s="15">
        <f t="shared" si="131"/>
        <v>8</v>
      </c>
      <c r="Z1528" s="15">
        <f t="shared" si="131"/>
        <v>8</v>
      </c>
      <c r="AA1528" s="15">
        <f t="shared" si="133"/>
        <v>2021</v>
      </c>
      <c r="AB1528" s="15">
        <f t="shared" si="134"/>
        <v>2021</v>
      </c>
      <c r="AC1528" s="15">
        <f t="shared" si="135"/>
        <v>2021</v>
      </c>
      <c r="AD1528" s="18" t="b">
        <f t="shared" si="132"/>
        <v>1</v>
      </c>
    </row>
    <row r="1529" spans="1:30" ht="15.75" hidden="1" customHeight="1" x14ac:dyDescent="0.2">
      <c r="A1529" s="7" t="s">
        <v>680</v>
      </c>
      <c r="B1529" s="20"/>
      <c r="C1529" s="2" t="s">
        <v>641</v>
      </c>
      <c r="D1529" s="6" t="s">
        <v>649</v>
      </c>
      <c r="E1529" s="32" t="s">
        <v>651</v>
      </c>
      <c r="F1529" s="7"/>
      <c r="G1529" s="7"/>
      <c r="H1529" s="7"/>
      <c r="I1529" s="7"/>
      <c r="J1529" s="7">
        <v>2</v>
      </c>
      <c r="K1529" s="7" t="s">
        <v>660</v>
      </c>
      <c r="L1529" s="7" t="s">
        <v>663</v>
      </c>
      <c r="M1529" s="8">
        <v>44421</v>
      </c>
      <c r="N1529" s="8">
        <v>44434</v>
      </c>
      <c r="O1529" s="13"/>
      <c r="P1529" s="13">
        <v>13893.9</v>
      </c>
      <c r="Q1529" s="33"/>
      <c r="R1529" s="22"/>
      <c r="S1529" s="22"/>
      <c r="T1529" s="22"/>
      <c r="U1529" s="22"/>
      <c r="X1529" s="15" t="str">
        <f>IF(B1529="",VLOOKUP(A1529,items_lookup!A:B,2,FALSE),B1529)</f>
        <v>13. Item 13</v>
      </c>
      <c r="Y1529" s="15">
        <f t="shared" si="131"/>
        <v>8</v>
      </c>
      <c r="Z1529" s="15">
        <f t="shared" si="131"/>
        <v>8</v>
      </c>
      <c r="AA1529" s="15">
        <f t="shared" si="133"/>
        <v>2021</v>
      </c>
      <c r="AB1529" s="15">
        <f t="shared" si="134"/>
        <v>2021</v>
      </c>
      <c r="AC1529" s="15">
        <f t="shared" si="135"/>
        <v>2021</v>
      </c>
      <c r="AD1529" s="18" t="b">
        <f t="shared" si="132"/>
        <v>1</v>
      </c>
    </row>
    <row r="1530" spans="1:30" ht="15.75" hidden="1" customHeight="1" x14ac:dyDescent="0.2">
      <c r="A1530" s="7" t="s">
        <v>701</v>
      </c>
      <c r="B1530" s="7"/>
      <c r="C1530" s="2" t="s">
        <v>641</v>
      </c>
      <c r="D1530" s="6" t="s">
        <v>649</v>
      </c>
      <c r="E1530" s="32" t="s">
        <v>651</v>
      </c>
      <c r="F1530" s="7"/>
      <c r="G1530" s="7"/>
      <c r="H1530" s="7"/>
      <c r="I1530" s="7" t="s">
        <v>20</v>
      </c>
      <c r="J1530" s="7">
        <v>3</v>
      </c>
      <c r="K1530" s="7" t="s">
        <v>660</v>
      </c>
      <c r="L1530" s="7" t="s">
        <v>663</v>
      </c>
      <c r="M1530" s="8">
        <v>44421</v>
      </c>
      <c r="N1530" s="8">
        <v>44433</v>
      </c>
      <c r="O1530" s="13"/>
      <c r="P1530" s="13">
        <v>3547.62</v>
      </c>
      <c r="Q1530" s="33"/>
      <c r="R1530" s="22"/>
      <c r="S1530" s="22"/>
      <c r="T1530" s="22"/>
      <c r="U1530" s="22"/>
      <c r="X1530" s="15" t="str">
        <f>IF(B1530="",VLOOKUP(A1530,items_lookup!A:B,2,FALSE),B1530)</f>
        <v>13. Item 13</v>
      </c>
      <c r="Y1530" s="15">
        <f t="shared" si="131"/>
        <v>8</v>
      </c>
      <c r="Z1530" s="15">
        <f t="shared" si="131"/>
        <v>8</v>
      </c>
      <c r="AA1530" s="15">
        <f t="shared" si="133"/>
        <v>2021</v>
      </c>
      <c r="AB1530" s="15">
        <f t="shared" si="134"/>
        <v>2021</v>
      </c>
      <c r="AC1530" s="15">
        <f t="shared" si="135"/>
        <v>2021</v>
      </c>
      <c r="AD1530" s="18" t="b">
        <f t="shared" si="132"/>
        <v>1</v>
      </c>
    </row>
    <row r="1531" spans="1:30" ht="15" hidden="1" customHeight="1" x14ac:dyDescent="0.2">
      <c r="A1531" s="7" t="s">
        <v>702</v>
      </c>
      <c r="B1531" s="7"/>
      <c r="C1531" s="2" t="s">
        <v>641</v>
      </c>
      <c r="D1531" s="6" t="s">
        <v>649</v>
      </c>
      <c r="E1531" s="32" t="s">
        <v>651</v>
      </c>
      <c r="F1531" s="7"/>
      <c r="G1531" s="7"/>
      <c r="H1531" s="7"/>
      <c r="I1531" s="7"/>
      <c r="J1531" s="7">
        <v>1</v>
      </c>
      <c r="K1531" s="7" t="s">
        <v>660</v>
      </c>
      <c r="L1531" s="7" t="s">
        <v>663</v>
      </c>
      <c r="M1531" s="8">
        <v>44421</v>
      </c>
      <c r="N1531" s="8">
        <v>44433</v>
      </c>
      <c r="O1531" s="13"/>
      <c r="P1531" s="13">
        <v>283983.37</v>
      </c>
      <c r="Q1531" s="33"/>
      <c r="R1531" s="22"/>
      <c r="S1531" s="22"/>
      <c r="T1531" s="22"/>
      <c r="U1531" s="22"/>
      <c r="X1531" s="15" t="str">
        <f>IF(B1531="",VLOOKUP(A1531,items_lookup!A:B,2,FALSE),B1531)</f>
        <v>17. Item 17</v>
      </c>
      <c r="Y1531" s="15">
        <f t="shared" si="131"/>
        <v>8</v>
      </c>
      <c r="Z1531" s="15">
        <f t="shared" si="131"/>
        <v>8</v>
      </c>
      <c r="AA1531" s="15">
        <f t="shared" si="133"/>
        <v>2021</v>
      </c>
      <c r="AB1531" s="15">
        <f t="shared" si="134"/>
        <v>2021</v>
      </c>
      <c r="AC1531" s="15">
        <f t="shared" si="135"/>
        <v>2021</v>
      </c>
      <c r="AD1531" s="18" t="b">
        <f t="shared" si="132"/>
        <v>1</v>
      </c>
    </row>
    <row r="1532" spans="1:30" ht="15" hidden="1" customHeight="1" x14ac:dyDescent="0.2">
      <c r="A1532" s="7" t="s">
        <v>681</v>
      </c>
      <c r="B1532" s="7"/>
      <c r="C1532" s="2" t="s">
        <v>641</v>
      </c>
      <c r="D1532" s="6" t="s">
        <v>649</v>
      </c>
      <c r="E1532" s="32" t="s">
        <v>651</v>
      </c>
      <c r="F1532" s="7"/>
      <c r="G1532" s="7"/>
      <c r="H1532" s="7"/>
      <c r="I1532" s="7"/>
      <c r="J1532" s="7">
        <v>3</v>
      </c>
      <c r="K1532" s="7" t="s">
        <v>660</v>
      </c>
      <c r="L1532" s="7" t="s">
        <v>663</v>
      </c>
      <c r="M1532" s="8">
        <v>44421</v>
      </c>
      <c r="N1532" s="8">
        <v>44434</v>
      </c>
      <c r="O1532" s="13"/>
      <c r="P1532" s="13">
        <v>24415.55</v>
      </c>
      <c r="Q1532" s="33"/>
      <c r="R1532" s="22"/>
      <c r="S1532" s="22"/>
      <c r="T1532" s="22"/>
      <c r="U1532" s="22"/>
      <c r="X1532" s="15" t="str">
        <f>IF(B1532="",VLOOKUP(A1532,items_lookup!A:B,2,FALSE),B1532)</f>
        <v>19. Item 19</v>
      </c>
      <c r="Y1532" s="15">
        <f t="shared" si="131"/>
        <v>8</v>
      </c>
      <c r="Z1532" s="15">
        <f t="shared" si="131"/>
        <v>8</v>
      </c>
      <c r="AA1532" s="15">
        <f t="shared" si="133"/>
        <v>2021</v>
      </c>
      <c r="AB1532" s="15">
        <f t="shared" si="134"/>
        <v>2021</v>
      </c>
      <c r="AC1532" s="15">
        <f t="shared" si="135"/>
        <v>2021</v>
      </c>
      <c r="AD1532" s="18" t="b">
        <f t="shared" si="132"/>
        <v>1</v>
      </c>
    </row>
    <row r="1533" spans="1:30" ht="16.5" hidden="1" customHeight="1" x14ac:dyDescent="0.2">
      <c r="A1533" s="7" t="s">
        <v>696</v>
      </c>
      <c r="B1533" s="7"/>
      <c r="C1533" s="2" t="s">
        <v>641</v>
      </c>
      <c r="D1533" s="6" t="s">
        <v>649</v>
      </c>
      <c r="E1533" s="32" t="s">
        <v>651</v>
      </c>
      <c r="F1533" s="7"/>
      <c r="G1533" s="7"/>
      <c r="H1533" s="7"/>
      <c r="I1533" s="7"/>
      <c r="J1533" s="7">
        <v>3</v>
      </c>
      <c r="K1533" s="7" t="s">
        <v>660</v>
      </c>
      <c r="L1533" s="7" t="s">
        <v>663</v>
      </c>
      <c r="M1533" s="8">
        <v>44421</v>
      </c>
      <c r="N1533" s="8">
        <v>44434</v>
      </c>
      <c r="O1533" s="13"/>
      <c r="P1533" s="13">
        <v>10488.57</v>
      </c>
      <c r="Q1533" s="33"/>
      <c r="R1533" s="22"/>
      <c r="S1533" s="22"/>
      <c r="T1533" s="22"/>
      <c r="U1533" s="22"/>
      <c r="X1533" s="15" t="str">
        <f>IF(B1533="",VLOOKUP(A1533,items_lookup!A:B,2,FALSE),B1533)</f>
        <v>13. Item 13</v>
      </c>
      <c r="Y1533" s="15">
        <f t="shared" si="131"/>
        <v>8</v>
      </c>
      <c r="Z1533" s="15">
        <f t="shared" si="131"/>
        <v>8</v>
      </c>
      <c r="AA1533" s="15">
        <f t="shared" si="133"/>
        <v>2021</v>
      </c>
      <c r="AB1533" s="15">
        <f t="shared" si="134"/>
        <v>2021</v>
      </c>
      <c r="AC1533" s="15">
        <f t="shared" si="135"/>
        <v>2021</v>
      </c>
      <c r="AD1533" s="18" t="b">
        <f t="shared" si="132"/>
        <v>1</v>
      </c>
    </row>
    <row r="1534" spans="1:30" ht="12.6" hidden="1" customHeight="1" x14ac:dyDescent="0.2">
      <c r="A1534" s="7" t="s">
        <v>678</v>
      </c>
      <c r="B1534" s="7"/>
      <c r="C1534" s="2" t="s">
        <v>641</v>
      </c>
      <c r="D1534" s="6" t="s">
        <v>649</v>
      </c>
      <c r="E1534" s="32" t="s">
        <v>651</v>
      </c>
      <c r="F1534" s="7"/>
      <c r="G1534" s="7"/>
      <c r="H1534" s="7"/>
      <c r="I1534" s="7"/>
      <c r="J1534" s="7">
        <v>3</v>
      </c>
      <c r="K1534" s="7" t="s">
        <v>660</v>
      </c>
      <c r="L1534" s="7" t="s">
        <v>663</v>
      </c>
      <c r="M1534" s="8">
        <v>44421</v>
      </c>
      <c r="N1534" s="8">
        <v>44434</v>
      </c>
      <c r="O1534" s="13"/>
      <c r="P1534" s="13">
        <v>23393.26</v>
      </c>
      <c r="Q1534" s="33"/>
      <c r="X1534" s="15" t="str">
        <f>IF(B1534="",VLOOKUP(A1534,items_lookup!A:B,2,FALSE),B1534)</f>
        <v>13. Item 13</v>
      </c>
      <c r="Y1534" s="15">
        <f t="shared" si="131"/>
        <v>8</v>
      </c>
      <c r="Z1534" s="15">
        <f t="shared" si="131"/>
        <v>8</v>
      </c>
      <c r="AA1534" s="15">
        <f t="shared" si="133"/>
        <v>2021</v>
      </c>
      <c r="AB1534" s="15">
        <f t="shared" si="134"/>
        <v>2021</v>
      </c>
      <c r="AC1534" s="15">
        <f t="shared" si="135"/>
        <v>2021</v>
      </c>
      <c r="AD1534" s="18" t="b">
        <f t="shared" si="132"/>
        <v>1</v>
      </c>
    </row>
    <row r="1535" spans="1:30" ht="14.25" hidden="1" customHeight="1" x14ac:dyDescent="0.2">
      <c r="A1535" s="7" t="s">
        <v>687</v>
      </c>
      <c r="B1535" s="7"/>
      <c r="C1535" s="2" t="s">
        <v>641</v>
      </c>
      <c r="D1535" s="6" t="s">
        <v>649</v>
      </c>
      <c r="E1535" s="32" t="s">
        <v>651</v>
      </c>
      <c r="F1535" s="7"/>
      <c r="G1535" s="7"/>
      <c r="H1535" s="7"/>
      <c r="I1535" s="7"/>
      <c r="J1535" s="7">
        <v>3</v>
      </c>
      <c r="K1535" s="7" t="s">
        <v>660</v>
      </c>
      <c r="L1535" s="7" t="s">
        <v>663</v>
      </c>
      <c r="M1535" s="8">
        <v>44421</v>
      </c>
      <c r="N1535" s="8">
        <v>44439</v>
      </c>
      <c r="O1535" s="13"/>
      <c r="P1535" s="13">
        <v>411.95</v>
      </c>
      <c r="Q1535" s="33"/>
      <c r="R1535" s="22"/>
      <c r="S1535" s="22"/>
      <c r="T1535" s="22"/>
      <c r="U1535" s="22"/>
      <c r="X1535" s="15" t="str">
        <f>IF(B1535="",VLOOKUP(A1535,items_lookup!A:B,2,FALSE),B1535)</f>
        <v>14. Item 14</v>
      </c>
      <c r="Y1535" s="15">
        <f t="shared" ref="Y1535:Z1598" si="136">MONTH(M1535)</f>
        <v>8</v>
      </c>
      <c r="Z1535" s="15">
        <f t="shared" si="136"/>
        <v>8</v>
      </c>
      <c r="AA1535" s="15">
        <f t="shared" si="133"/>
        <v>2021</v>
      </c>
      <c r="AB1535" s="15">
        <f t="shared" si="134"/>
        <v>2021</v>
      </c>
      <c r="AC1535" s="15">
        <f t="shared" si="135"/>
        <v>2021</v>
      </c>
      <c r="AD1535" s="18" t="b">
        <f t="shared" si="132"/>
        <v>1</v>
      </c>
    </row>
    <row r="1536" spans="1:30" ht="15" hidden="1" customHeight="1" x14ac:dyDescent="0.2">
      <c r="A1536" s="7" t="s">
        <v>670</v>
      </c>
      <c r="B1536" s="7"/>
      <c r="C1536" s="2" t="s">
        <v>641</v>
      </c>
      <c r="D1536" s="6" t="s">
        <v>649</v>
      </c>
      <c r="E1536" s="32" t="s">
        <v>651</v>
      </c>
      <c r="F1536" s="7"/>
      <c r="G1536" s="7"/>
      <c r="H1536" s="7"/>
      <c r="I1536" s="7"/>
      <c r="J1536" s="7">
        <v>3</v>
      </c>
      <c r="K1536" s="7" t="s">
        <v>660</v>
      </c>
      <c r="L1536" s="7" t="s">
        <v>663</v>
      </c>
      <c r="M1536" s="8">
        <v>44421</v>
      </c>
      <c r="N1536" s="8">
        <v>44432</v>
      </c>
      <c r="O1536" s="13"/>
      <c r="P1536" s="13">
        <v>182616.2</v>
      </c>
      <c r="Q1536" s="33"/>
      <c r="R1536" s="22"/>
      <c r="S1536" s="22"/>
      <c r="T1536" s="22"/>
      <c r="U1536" s="22"/>
      <c r="X1536" s="15" t="str">
        <f>IF(B1536="",VLOOKUP(A1536,items_lookup!A:B,2,FALSE),B1536)</f>
        <v>04. Item 04</v>
      </c>
      <c r="Y1536" s="15">
        <f t="shared" si="136"/>
        <v>8</v>
      </c>
      <c r="Z1536" s="15">
        <f t="shared" si="136"/>
        <v>8</v>
      </c>
      <c r="AA1536" s="15">
        <f t="shared" si="133"/>
        <v>2021</v>
      </c>
      <c r="AB1536" s="15">
        <f t="shared" si="134"/>
        <v>2021</v>
      </c>
      <c r="AC1536" s="15">
        <f t="shared" si="135"/>
        <v>2021</v>
      </c>
      <c r="AD1536" s="18" t="b">
        <f t="shared" si="132"/>
        <v>1</v>
      </c>
    </row>
    <row r="1537" spans="1:30" ht="15" hidden="1" customHeight="1" x14ac:dyDescent="0.2">
      <c r="A1537" s="7" t="s">
        <v>670</v>
      </c>
      <c r="B1537" s="7"/>
      <c r="C1537" s="2" t="s">
        <v>641</v>
      </c>
      <c r="D1537" s="6" t="s">
        <v>649</v>
      </c>
      <c r="E1537" s="32" t="s">
        <v>651</v>
      </c>
      <c r="F1537" s="7"/>
      <c r="G1537" s="7"/>
      <c r="H1537" s="7"/>
      <c r="I1537" s="7"/>
      <c r="J1537" s="7">
        <v>3</v>
      </c>
      <c r="K1537" s="7" t="s">
        <v>660</v>
      </c>
      <c r="L1537" s="7" t="s">
        <v>663</v>
      </c>
      <c r="M1537" s="8">
        <v>44421</v>
      </c>
      <c r="N1537" s="8">
        <v>44435</v>
      </c>
      <c r="O1537" s="13"/>
      <c r="P1537" s="13">
        <v>294417.53999999998</v>
      </c>
      <c r="Q1537" s="33"/>
      <c r="R1537" s="22"/>
      <c r="S1537" s="22"/>
      <c r="T1537" s="22"/>
      <c r="U1537" s="22"/>
      <c r="X1537" s="15" t="str">
        <f>IF(B1537="",VLOOKUP(A1537,items_lookup!A:B,2,FALSE),B1537)</f>
        <v>04. Item 04</v>
      </c>
      <c r="Y1537" s="15">
        <f t="shared" si="136"/>
        <v>8</v>
      </c>
      <c r="Z1537" s="15">
        <f t="shared" si="136"/>
        <v>8</v>
      </c>
      <c r="AA1537" s="15">
        <f t="shared" si="133"/>
        <v>2021</v>
      </c>
      <c r="AB1537" s="15">
        <f t="shared" si="134"/>
        <v>2021</v>
      </c>
      <c r="AC1537" s="15">
        <f t="shared" si="135"/>
        <v>2021</v>
      </c>
      <c r="AD1537" s="18" t="b">
        <f t="shared" si="132"/>
        <v>1</v>
      </c>
    </row>
    <row r="1538" spans="1:30" ht="15" hidden="1" customHeight="1" x14ac:dyDescent="0.2">
      <c r="A1538" s="7" t="s">
        <v>689</v>
      </c>
      <c r="B1538" s="7"/>
      <c r="C1538" s="2" t="s">
        <v>641</v>
      </c>
      <c r="D1538" s="6" t="s">
        <v>649</v>
      </c>
      <c r="E1538" s="32" t="s">
        <v>651</v>
      </c>
      <c r="F1538" s="7"/>
      <c r="G1538" s="7"/>
      <c r="H1538" s="7"/>
      <c r="I1538" s="7"/>
      <c r="J1538" s="7"/>
      <c r="K1538" s="7" t="s">
        <v>660</v>
      </c>
      <c r="L1538" s="7" t="s">
        <v>663</v>
      </c>
      <c r="M1538" s="8">
        <v>44425</v>
      </c>
      <c r="N1538" s="8">
        <v>44425</v>
      </c>
      <c r="O1538" s="13"/>
      <c r="P1538" s="13">
        <v>42405.86</v>
      </c>
      <c r="Q1538" s="33"/>
      <c r="R1538" s="22"/>
      <c r="S1538" s="22"/>
      <c r="T1538" s="22"/>
      <c r="U1538" s="22"/>
      <c r="X1538" s="15" t="str">
        <f>IF(B1538="",VLOOKUP(A1538,items_lookup!A:B,2,FALSE),B1538)</f>
        <v>04. Item 04</v>
      </c>
      <c r="Y1538" s="15">
        <f t="shared" si="136"/>
        <v>8</v>
      </c>
      <c r="Z1538" s="15">
        <f t="shared" si="136"/>
        <v>8</v>
      </c>
      <c r="AA1538" s="15">
        <f t="shared" si="133"/>
        <v>2021</v>
      </c>
      <c r="AB1538" s="15">
        <f t="shared" si="134"/>
        <v>2021</v>
      </c>
      <c r="AC1538" s="15">
        <f t="shared" si="135"/>
        <v>2021</v>
      </c>
      <c r="AD1538" s="18" t="b">
        <f t="shared" si="132"/>
        <v>1</v>
      </c>
    </row>
    <row r="1539" spans="1:30" ht="15" hidden="1" customHeight="1" x14ac:dyDescent="0.2">
      <c r="A1539" s="7" t="s">
        <v>675</v>
      </c>
      <c r="B1539" s="7"/>
      <c r="C1539" s="2" t="s">
        <v>641</v>
      </c>
      <c r="D1539" s="6" t="s">
        <v>649</v>
      </c>
      <c r="E1539" s="32" t="s">
        <v>651</v>
      </c>
      <c r="F1539" s="7"/>
      <c r="G1539" s="7"/>
      <c r="H1539" s="7"/>
      <c r="I1539" s="7"/>
      <c r="J1539" s="7">
        <v>3</v>
      </c>
      <c r="K1539" s="7" t="s">
        <v>660</v>
      </c>
      <c r="L1539" s="7" t="s">
        <v>663</v>
      </c>
      <c r="M1539" s="8">
        <v>44421</v>
      </c>
      <c r="N1539" s="8">
        <v>44432</v>
      </c>
      <c r="O1539" s="13"/>
      <c r="P1539" s="13">
        <v>5722.46</v>
      </c>
      <c r="Q1539" s="33"/>
      <c r="X1539" s="15" t="str">
        <f>IF(B1539="",VLOOKUP(A1539,items_lookup!A:B,2,FALSE),B1539)</f>
        <v>09. Item 09</v>
      </c>
      <c r="Y1539" s="15">
        <f t="shared" si="136"/>
        <v>8</v>
      </c>
      <c r="Z1539" s="15">
        <f t="shared" si="136"/>
        <v>8</v>
      </c>
      <c r="AA1539" s="15">
        <f t="shared" si="133"/>
        <v>2021</v>
      </c>
      <c r="AB1539" s="15">
        <f t="shared" si="134"/>
        <v>2021</v>
      </c>
      <c r="AC1539" s="15">
        <f t="shared" si="135"/>
        <v>2021</v>
      </c>
      <c r="AD1539" s="18" t="b">
        <f t="shared" ref="AD1539:AD1602" si="137">AND(ROUND(O1539,2)=O1539,ROUND(P1539,2)=P1539,OR(AND(O1539&lt;&gt;0,L1539="p"),AND(P1539&lt;&gt;0,L1539="f")),_xlfn.ISFORMULA(X1539),_xlfn.ISFORMULA(Y1539),_xlfn.ISFORMULA(Z1539),_xlfn.ISFORMULA(AA1539),_xlfn.ISFORMULA(AB1539),_xlfn.ISFORMULA(AC1539),NOT(_xlfn.ISFORMULA(O1539)),NOT(_xlfn.ISFORMULA(P1539)),M1539&lt;&gt;0,N1539&lt;&gt;0)</f>
        <v>1</v>
      </c>
    </row>
    <row r="1540" spans="1:30" ht="14.25" hidden="1" customHeight="1" x14ac:dyDescent="0.2">
      <c r="A1540" s="7" t="s">
        <v>690</v>
      </c>
      <c r="B1540" s="7"/>
      <c r="C1540" s="2" t="s">
        <v>641</v>
      </c>
      <c r="D1540" s="6" t="s">
        <v>649</v>
      </c>
      <c r="E1540" s="32" t="s">
        <v>651</v>
      </c>
      <c r="F1540" s="7"/>
      <c r="G1540" s="7"/>
      <c r="H1540" s="7"/>
      <c r="I1540" s="7"/>
      <c r="J1540" s="7">
        <v>3</v>
      </c>
      <c r="K1540" s="7" t="s">
        <v>660</v>
      </c>
      <c r="L1540" s="7" t="s">
        <v>663</v>
      </c>
      <c r="M1540" s="8">
        <v>44421</v>
      </c>
      <c r="N1540" s="8">
        <v>44432</v>
      </c>
      <c r="O1540" s="13"/>
      <c r="P1540" s="13">
        <v>36467.199999999997</v>
      </c>
      <c r="Q1540" s="33"/>
      <c r="X1540" s="15" t="str">
        <f>IF(B1540="",VLOOKUP(A1540,items_lookup!A:B,2,FALSE),B1540)</f>
        <v>21. Item 21</v>
      </c>
      <c r="Y1540" s="15">
        <f t="shared" si="136"/>
        <v>8</v>
      </c>
      <c r="Z1540" s="15">
        <f t="shared" si="136"/>
        <v>8</v>
      </c>
      <c r="AA1540" s="15">
        <f t="shared" si="133"/>
        <v>2021</v>
      </c>
      <c r="AB1540" s="15">
        <f t="shared" si="134"/>
        <v>2021</v>
      </c>
      <c r="AC1540" s="15">
        <f t="shared" si="135"/>
        <v>2021</v>
      </c>
      <c r="AD1540" s="18" t="b">
        <f t="shared" si="137"/>
        <v>1</v>
      </c>
    </row>
    <row r="1541" spans="1:30" ht="14.25" hidden="1" customHeight="1" x14ac:dyDescent="0.2">
      <c r="A1541" s="7" t="s">
        <v>680</v>
      </c>
      <c r="B1541" s="7"/>
      <c r="C1541" s="2" t="s">
        <v>641</v>
      </c>
      <c r="D1541" s="6" t="s">
        <v>649</v>
      </c>
      <c r="E1541" s="32" t="s">
        <v>651</v>
      </c>
      <c r="F1541" s="7"/>
      <c r="G1541" s="7"/>
      <c r="H1541" s="7"/>
      <c r="I1541" s="7"/>
      <c r="J1541" s="7">
        <v>3</v>
      </c>
      <c r="K1541" s="7" t="s">
        <v>660</v>
      </c>
      <c r="L1541" s="7" t="s">
        <v>663</v>
      </c>
      <c r="M1541" s="8">
        <v>44421</v>
      </c>
      <c r="N1541" s="8">
        <v>44432</v>
      </c>
      <c r="O1541" s="13"/>
      <c r="P1541" s="13">
        <v>477.14</v>
      </c>
      <c r="Q1541" s="33"/>
      <c r="X1541" s="15" t="str">
        <f>IF(B1541="",VLOOKUP(A1541,items_lookup!A:B,2,FALSE),B1541)</f>
        <v>13. Item 13</v>
      </c>
      <c r="Y1541" s="15">
        <f t="shared" si="136"/>
        <v>8</v>
      </c>
      <c r="Z1541" s="15">
        <f t="shared" si="136"/>
        <v>8</v>
      </c>
      <c r="AA1541" s="15">
        <f t="shared" si="133"/>
        <v>2021</v>
      </c>
      <c r="AB1541" s="15">
        <f t="shared" si="134"/>
        <v>2021</v>
      </c>
      <c r="AC1541" s="15">
        <f t="shared" si="135"/>
        <v>2021</v>
      </c>
      <c r="AD1541" s="18" t="b">
        <f t="shared" si="137"/>
        <v>1</v>
      </c>
    </row>
    <row r="1542" spans="1:30" ht="14.25" hidden="1" customHeight="1" x14ac:dyDescent="0.2">
      <c r="A1542" s="7" t="s">
        <v>683</v>
      </c>
      <c r="B1542" s="20"/>
      <c r="C1542" s="2" t="s">
        <v>641</v>
      </c>
      <c r="D1542" s="6" t="s">
        <v>649</v>
      </c>
      <c r="E1542" s="32" t="s">
        <v>651</v>
      </c>
      <c r="F1542" s="7"/>
      <c r="G1542" s="7"/>
      <c r="H1542" s="7"/>
      <c r="I1542" s="7"/>
      <c r="J1542" s="7">
        <v>1</v>
      </c>
      <c r="K1542" s="7" t="s">
        <v>660</v>
      </c>
      <c r="L1542" s="7" t="s">
        <v>663</v>
      </c>
      <c r="M1542" s="8">
        <v>44409</v>
      </c>
      <c r="N1542" s="8">
        <v>44439</v>
      </c>
      <c r="O1542" s="13"/>
      <c r="P1542" s="13">
        <v>478599</v>
      </c>
      <c r="Q1542" s="33"/>
      <c r="R1542" s="22"/>
      <c r="S1542" s="22"/>
      <c r="T1542" s="22"/>
      <c r="U1542" s="22"/>
      <c r="X1542" s="15" t="str">
        <f>IF(B1542="",VLOOKUP(A1542,items_lookup!A:B,2,FALSE),B1542)</f>
        <v>_1. Item _1</v>
      </c>
      <c r="Y1542" s="15">
        <f t="shared" si="136"/>
        <v>8</v>
      </c>
      <c r="Z1542" s="15">
        <f t="shared" si="136"/>
        <v>8</v>
      </c>
      <c r="AA1542" s="15">
        <f t="shared" si="133"/>
        <v>2021</v>
      </c>
      <c r="AB1542" s="15">
        <f t="shared" si="134"/>
        <v>2021</v>
      </c>
      <c r="AC1542" s="15">
        <f t="shared" si="135"/>
        <v>2021</v>
      </c>
      <c r="AD1542" s="18" t="b">
        <f t="shared" si="137"/>
        <v>1</v>
      </c>
    </row>
    <row r="1543" spans="1:30" ht="15.75" hidden="1" customHeight="1" x14ac:dyDescent="0.2">
      <c r="A1543" s="7" t="s">
        <v>703</v>
      </c>
      <c r="B1543" s="7"/>
      <c r="C1543" s="2" t="s">
        <v>641</v>
      </c>
      <c r="D1543" s="6" t="s">
        <v>649</v>
      </c>
      <c r="E1543" s="32" t="s">
        <v>651</v>
      </c>
      <c r="F1543" s="7"/>
      <c r="G1543" s="7"/>
      <c r="H1543" s="7"/>
      <c r="I1543" s="7"/>
      <c r="J1543" s="7">
        <v>3</v>
      </c>
      <c r="K1543" s="7" t="s">
        <v>660</v>
      </c>
      <c r="L1543" s="7" t="s">
        <v>663</v>
      </c>
      <c r="M1543" s="8">
        <v>44423</v>
      </c>
      <c r="N1543" s="8">
        <v>44433</v>
      </c>
      <c r="O1543" s="13"/>
      <c r="P1543" s="13">
        <v>2583333.33</v>
      </c>
      <c r="Q1543" s="33"/>
      <c r="R1543" s="22"/>
      <c r="S1543" s="22"/>
      <c r="T1543" s="22"/>
      <c r="U1543" s="22"/>
      <c r="X1543" s="15" t="str">
        <f>IF(B1543="",VLOOKUP(A1543,items_lookup!A:B,2,FALSE),B1543)</f>
        <v>_3. Item _3</v>
      </c>
      <c r="Y1543" s="15">
        <f t="shared" si="136"/>
        <v>8</v>
      </c>
      <c r="Z1543" s="15">
        <f t="shared" si="136"/>
        <v>8</v>
      </c>
      <c r="AA1543" s="15">
        <f t="shared" si="133"/>
        <v>2021</v>
      </c>
      <c r="AB1543" s="15">
        <f t="shared" si="134"/>
        <v>2021</v>
      </c>
      <c r="AC1543" s="15">
        <f t="shared" si="135"/>
        <v>2021</v>
      </c>
      <c r="AD1543" s="18" t="b">
        <f t="shared" si="137"/>
        <v>1</v>
      </c>
    </row>
    <row r="1544" spans="1:30" ht="15" hidden="1" customHeight="1" x14ac:dyDescent="0.2">
      <c r="A1544" s="7" t="s">
        <v>670</v>
      </c>
      <c r="B1544" s="7"/>
      <c r="C1544" s="2" t="s">
        <v>641</v>
      </c>
      <c r="D1544" s="6" t="s">
        <v>649</v>
      </c>
      <c r="E1544" s="32" t="s">
        <v>651</v>
      </c>
      <c r="F1544" s="7"/>
      <c r="G1544" s="7"/>
      <c r="H1544" s="7"/>
      <c r="I1544" s="7" t="s">
        <v>20</v>
      </c>
      <c r="J1544" s="7">
        <v>3</v>
      </c>
      <c r="K1544" s="7" t="s">
        <v>660</v>
      </c>
      <c r="L1544" s="7" t="s">
        <v>663</v>
      </c>
      <c r="M1544" s="8">
        <v>44426</v>
      </c>
      <c r="N1544" s="8">
        <v>44434</v>
      </c>
      <c r="O1544" s="13"/>
      <c r="P1544" s="13">
        <v>3404761.9</v>
      </c>
      <c r="Q1544" s="33"/>
      <c r="R1544" s="22"/>
      <c r="S1544" s="22"/>
      <c r="T1544" s="22"/>
      <c r="U1544" s="22"/>
      <c r="X1544" s="15" t="str">
        <f>IF(B1544="",VLOOKUP(A1544,items_lookup!A:B,2,FALSE),B1544)</f>
        <v>04. Item 04</v>
      </c>
      <c r="Y1544" s="15">
        <f t="shared" si="136"/>
        <v>8</v>
      </c>
      <c r="Z1544" s="15">
        <f t="shared" si="136"/>
        <v>8</v>
      </c>
      <c r="AA1544" s="15">
        <f t="shared" si="133"/>
        <v>2021</v>
      </c>
      <c r="AB1544" s="15">
        <f t="shared" si="134"/>
        <v>2021</v>
      </c>
      <c r="AC1544" s="15">
        <f t="shared" si="135"/>
        <v>2021</v>
      </c>
      <c r="AD1544" s="18" t="b">
        <f t="shared" si="137"/>
        <v>1</v>
      </c>
    </row>
    <row r="1545" spans="1:30" ht="15" hidden="1" customHeight="1" x14ac:dyDescent="0.2">
      <c r="A1545" s="7" t="s">
        <v>689</v>
      </c>
      <c r="B1545" s="20"/>
      <c r="C1545" s="2" t="s">
        <v>641</v>
      </c>
      <c r="D1545" s="6" t="s">
        <v>649</v>
      </c>
      <c r="E1545" s="32" t="s">
        <v>651</v>
      </c>
      <c r="F1545" s="7"/>
      <c r="G1545" s="7"/>
      <c r="H1545" s="7"/>
      <c r="I1545" s="7"/>
      <c r="J1545" s="7">
        <v>3</v>
      </c>
      <c r="K1545" s="7" t="s">
        <v>660</v>
      </c>
      <c r="L1545" s="7" t="s">
        <v>663</v>
      </c>
      <c r="M1545" s="8">
        <v>44424</v>
      </c>
      <c r="N1545" s="8">
        <v>44435</v>
      </c>
      <c r="O1545" s="13"/>
      <c r="P1545" s="13">
        <v>187830.91</v>
      </c>
      <c r="Q1545" s="33"/>
      <c r="R1545" s="22"/>
      <c r="S1545" s="22"/>
      <c r="T1545" s="22"/>
      <c r="U1545" s="22"/>
      <c r="X1545" s="15" t="str">
        <f>IF(B1545="",VLOOKUP(A1545,items_lookup!A:B,2,FALSE),B1545)</f>
        <v>04. Item 04</v>
      </c>
      <c r="Y1545" s="15">
        <f t="shared" si="136"/>
        <v>8</v>
      </c>
      <c r="Z1545" s="15">
        <f t="shared" si="136"/>
        <v>8</v>
      </c>
      <c r="AA1545" s="15">
        <f t="shared" si="133"/>
        <v>2021</v>
      </c>
      <c r="AB1545" s="15">
        <f t="shared" si="134"/>
        <v>2021</v>
      </c>
      <c r="AC1545" s="15">
        <f t="shared" si="135"/>
        <v>2021</v>
      </c>
      <c r="AD1545" s="18" t="b">
        <f t="shared" si="137"/>
        <v>1</v>
      </c>
    </row>
    <row r="1546" spans="1:30" ht="15.75" hidden="1" customHeight="1" x14ac:dyDescent="0.2">
      <c r="A1546" s="7" t="s">
        <v>671</v>
      </c>
      <c r="B1546" s="20"/>
      <c r="C1546" s="2" t="s">
        <v>641</v>
      </c>
      <c r="D1546" s="6" t="s">
        <v>649</v>
      </c>
      <c r="E1546" s="32" t="s">
        <v>651</v>
      </c>
      <c r="F1546" s="7"/>
      <c r="G1546" s="7"/>
      <c r="H1546" s="7"/>
      <c r="I1546" s="7"/>
      <c r="J1546" s="7">
        <v>4</v>
      </c>
      <c r="K1546" s="7" t="s">
        <v>660</v>
      </c>
      <c r="L1546" s="7" t="s">
        <v>663</v>
      </c>
      <c r="M1546" s="8">
        <v>44421</v>
      </c>
      <c r="N1546" s="8">
        <v>44438</v>
      </c>
      <c r="O1546" s="13"/>
      <c r="P1546" s="13">
        <v>18916.669999999998</v>
      </c>
      <c r="Q1546" s="33"/>
      <c r="R1546" s="22"/>
      <c r="S1546" s="22"/>
      <c r="T1546" s="22"/>
      <c r="U1546" s="22"/>
      <c r="X1546" s="15" t="str">
        <f>IF(B1546="",VLOOKUP(A1546,items_lookup!A:B,2,FALSE),B1546)</f>
        <v>05. Item 05</v>
      </c>
      <c r="Y1546" s="15">
        <f t="shared" si="136"/>
        <v>8</v>
      </c>
      <c r="Z1546" s="15">
        <f t="shared" si="136"/>
        <v>8</v>
      </c>
      <c r="AA1546" s="15">
        <f t="shared" si="133"/>
        <v>2021</v>
      </c>
      <c r="AB1546" s="15">
        <f t="shared" si="134"/>
        <v>2021</v>
      </c>
      <c r="AC1546" s="15">
        <f t="shared" si="135"/>
        <v>2021</v>
      </c>
      <c r="AD1546" s="18" t="b">
        <f t="shared" si="137"/>
        <v>1</v>
      </c>
    </row>
    <row r="1547" spans="1:30" ht="15.75" hidden="1" customHeight="1" x14ac:dyDescent="0.2">
      <c r="A1547" s="7" t="s">
        <v>672</v>
      </c>
      <c r="B1547" s="7"/>
      <c r="C1547" s="2" t="s">
        <v>641</v>
      </c>
      <c r="D1547" s="6" t="s">
        <v>649</v>
      </c>
      <c r="E1547" s="32" t="s">
        <v>651</v>
      </c>
      <c r="F1547" s="7"/>
      <c r="G1547" s="7"/>
      <c r="H1547" s="7"/>
      <c r="I1547" s="7" t="s">
        <v>20</v>
      </c>
      <c r="J1547" s="7">
        <v>3</v>
      </c>
      <c r="K1547" s="7" t="s">
        <v>660</v>
      </c>
      <c r="L1547" s="7" t="s">
        <v>663</v>
      </c>
      <c r="M1547" s="8">
        <v>44421</v>
      </c>
      <c r="N1547" s="8">
        <v>44432</v>
      </c>
      <c r="O1547" s="13"/>
      <c r="P1547" s="13">
        <v>3560.28</v>
      </c>
      <c r="Q1547" s="33"/>
      <c r="X1547" s="15" t="str">
        <f>IF(B1547="",VLOOKUP(A1547,items_lookup!A:B,2,FALSE),B1547)</f>
        <v>05. Item 05</v>
      </c>
      <c r="Y1547" s="15">
        <f t="shared" si="136"/>
        <v>8</v>
      </c>
      <c r="Z1547" s="15">
        <f t="shared" si="136"/>
        <v>8</v>
      </c>
      <c r="AA1547" s="15">
        <f t="shared" si="133"/>
        <v>2021</v>
      </c>
      <c r="AB1547" s="15">
        <f t="shared" si="134"/>
        <v>2021</v>
      </c>
      <c r="AC1547" s="15">
        <f t="shared" si="135"/>
        <v>2021</v>
      </c>
      <c r="AD1547" s="18" t="b">
        <f t="shared" si="137"/>
        <v>1</v>
      </c>
    </row>
    <row r="1548" spans="1:30" ht="14.25" hidden="1" customHeight="1" x14ac:dyDescent="0.2">
      <c r="A1548" s="7" t="s">
        <v>682</v>
      </c>
      <c r="B1548" s="7"/>
      <c r="C1548" s="2" t="s">
        <v>641</v>
      </c>
      <c r="D1548" s="6" t="s">
        <v>649</v>
      </c>
      <c r="E1548" s="32" t="s">
        <v>651</v>
      </c>
      <c r="F1548" s="7"/>
      <c r="G1548" s="7"/>
      <c r="H1548" s="7"/>
      <c r="I1548" s="7" t="s">
        <v>20</v>
      </c>
      <c r="J1548" s="7">
        <v>3</v>
      </c>
      <c r="K1548" s="7" t="s">
        <v>660</v>
      </c>
      <c r="L1548" s="7" t="s">
        <v>663</v>
      </c>
      <c r="M1548" s="8">
        <v>44421</v>
      </c>
      <c r="N1548" s="8">
        <v>44432</v>
      </c>
      <c r="O1548" s="13"/>
      <c r="P1548" s="13">
        <v>164521.39000000001</v>
      </c>
      <c r="Q1548" s="33"/>
      <c r="X1548" s="15" t="str">
        <f>IF(B1548="",VLOOKUP(A1548,items_lookup!A:B,2,FALSE),B1548)</f>
        <v>06. Item 06</v>
      </c>
      <c r="Y1548" s="15">
        <f t="shared" si="136"/>
        <v>8</v>
      </c>
      <c r="Z1548" s="15">
        <f t="shared" si="136"/>
        <v>8</v>
      </c>
      <c r="AA1548" s="15">
        <f t="shared" si="133"/>
        <v>2021</v>
      </c>
      <c r="AB1548" s="15">
        <f t="shared" si="134"/>
        <v>2021</v>
      </c>
      <c r="AC1548" s="15">
        <f t="shared" si="135"/>
        <v>2021</v>
      </c>
      <c r="AD1548" s="18" t="b">
        <f t="shared" si="137"/>
        <v>1</v>
      </c>
    </row>
    <row r="1549" spans="1:30" ht="14.25" hidden="1" customHeight="1" x14ac:dyDescent="0.2">
      <c r="A1549" s="7" t="s">
        <v>673</v>
      </c>
      <c r="B1549" s="7"/>
      <c r="C1549" s="2" t="s">
        <v>641</v>
      </c>
      <c r="D1549" s="6" t="s">
        <v>649</v>
      </c>
      <c r="E1549" s="32" t="s">
        <v>651</v>
      </c>
      <c r="F1549" s="7"/>
      <c r="G1549" s="7"/>
      <c r="H1549" s="7"/>
      <c r="I1549" s="7" t="s">
        <v>20</v>
      </c>
      <c r="J1549" s="7">
        <v>3</v>
      </c>
      <c r="K1549" s="7" t="s">
        <v>660</v>
      </c>
      <c r="L1549" s="7" t="s">
        <v>663</v>
      </c>
      <c r="M1549" s="8">
        <v>44421</v>
      </c>
      <c r="N1549" s="8">
        <v>44434</v>
      </c>
      <c r="O1549" s="13"/>
      <c r="P1549" s="13">
        <v>49346.39</v>
      </c>
      <c r="Q1549" s="33"/>
      <c r="X1549" s="15" t="str">
        <f>IF(B1549="",VLOOKUP(A1549,items_lookup!A:B,2,FALSE),B1549)</f>
        <v>07. Item 07</v>
      </c>
      <c r="Y1549" s="15">
        <f t="shared" si="136"/>
        <v>8</v>
      </c>
      <c r="Z1549" s="15">
        <f t="shared" si="136"/>
        <v>8</v>
      </c>
      <c r="AA1549" s="15">
        <f t="shared" si="133"/>
        <v>2021</v>
      </c>
      <c r="AB1549" s="15">
        <f t="shared" si="134"/>
        <v>2021</v>
      </c>
      <c r="AC1549" s="15">
        <f t="shared" si="135"/>
        <v>2021</v>
      </c>
      <c r="AD1549" s="18" t="b">
        <f t="shared" si="137"/>
        <v>1</v>
      </c>
    </row>
    <row r="1550" spans="1:30" ht="14.25" hidden="1" customHeight="1" x14ac:dyDescent="0.2">
      <c r="A1550" s="7" t="s">
        <v>674</v>
      </c>
      <c r="B1550" s="7"/>
      <c r="C1550" s="2" t="s">
        <v>641</v>
      </c>
      <c r="D1550" s="6" t="s">
        <v>649</v>
      </c>
      <c r="E1550" s="32" t="s">
        <v>651</v>
      </c>
      <c r="F1550" s="7"/>
      <c r="G1550" s="7"/>
      <c r="H1550" s="7"/>
      <c r="I1550" s="7"/>
      <c r="J1550" s="7"/>
      <c r="K1550" s="7" t="s">
        <v>660</v>
      </c>
      <c r="L1550" s="7" t="s">
        <v>663</v>
      </c>
      <c r="M1550" s="8">
        <v>44426</v>
      </c>
      <c r="N1550" s="8">
        <v>44426</v>
      </c>
      <c r="O1550" s="13"/>
      <c r="P1550" s="13">
        <v>387766.3</v>
      </c>
      <c r="Q1550" s="33"/>
      <c r="R1550" s="22"/>
      <c r="S1550" s="22"/>
      <c r="T1550" s="22"/>
      <c r="U1550" s="22"/>
      <c r="X1550" s="15" t="str">
        <f>IF(B1550="",VLOOKUP(A1550,items_lookup!A:B,2,FALSE),B1550)</f>
        <v>08. Item 08</v>
      </c>
      <c r="Y1550" s="15">
        <f t="shared" si="136"/>
        <v>8</v>
      </c>
      <c r="Z1550" s="15">
        <f t="shared" si="136"/>
        <v>8</v>
      </c>
      <c r="AA1550" s="15">
        <f t="shared" si="133"/>
        <v>2021</v>
      </c>
      <c r="AB1550" s="15">
        <f t="shared" si="134"/>
        <v>2021</v>
      </c>
      <c r="AC1550" s="15">
        <f t="shared" si="135"/>
        <v>2021</v>
      </c>
      <c r="AD1550" s="18" t="b">
        <f t="shared" si="137"/>
        <v>1</v>
      </c>
    </row>
    <row r="1551" spans="1:30" ht="15" hidden="1" customHeight="1" x14ac:dyDescent="0.2">
      <c r="A1551" s="7" t="s">
        <v>688</v>
      </c>
      <c r="B1551" s="7"/>
      <c r="C1551" s="2" t="s">
        <v>641</v>
      </c>
      <c r="D1551" s="6" t="s">
        <v>649</v>
      </c>
      <c r="E1551" s="32" t="s">
        <v>651</v>
      </c>
      <c r="F1551" s="7"/>
      <c r="G1551" s="7"/>
      <c r="H1551" s="7"/>
      <c r="I1551" s="7"/>
      <c r="J1551" s="7"/>
      <c r="K1551" s="7" t="s">
        <v>660</v>
      </c>
      <c r="L1551" s="7" t="s">
        <v>663</v>
      </c>
      <c r="M1551" s="8">
        <v>44428</v>
      </c>
      <c r="N1551" s="8">
        <v>44428</v>
      </c>
      <c r="O1551" s="13"/>
      <c r="P1551" s="13">
        <v>457390.33</v>
      </c>
      <c r="Q1551" s="33"/>
      <c r="R1551" s="22"/>
      <c r="S1551" s="22"/>
      <c r="T1551" s="22"/>
      <c r="U1551" s="22"/>
      <c r="X1551" s="15" t="str">
        <f>IF(B1551="",VLOOKUP(A1551,items_lookup!A:B,2,FALSE),B1551)</f>
        <v>09. Item 09</v>
      </c>
      <c r="Y1551" s="15">
        <f t="shared" si="136"/>
        <v>8</v>
      </c>
      <c r="Z1551" s="15">
        <f t="shared" si="136"/>
        <v>8</v>
      </c>
      <c r="AA1551" s="15">
        <f t="shared" si="133"/>
        <v>2021</v>
      </c>
      <c r="AB1551" s="15">
        <f t="shared" si="134"/>
        <v>2021</v>
      </c>
      <c r="AC1551" s="15">
        <f t="shared" si="135"/>
        <v>2021</v>
      </c>
      <c r="AD1551" s="18" t="b">
        <f t="shared" si="137"/>
        <v>1</v>
      </c>
    </row>
    <row r="1552" spans="1:30" ht="15" hidden="1" customHeight="1" x14ac:dyDescent="0.2">
      <c r="A1552" s="7" t="s">
        <v>676</v>
      </c>
      <c r="B1552" s="7"/>
      <c r="C1552" s="2" t="s">
        <v>641</v>
      </c>
      <c r="D1552" s="6" t="s">
        <v>649</v>
      </c>
      <c r="E1552" s="32" t="s">
        <v>651</v>
      </c>
      <c r="F1552" s="7"/>
      <c r="G1552" s="7"/>
      <c r="H1552" s="7"/>
      <c r="I1552" s="7"/>
      <c r="J1552" s="7"/>
      <c r="K1552" s="7" t="s">
        <v>660</v>
      </c>
      <c r="L1552" s="7" t="s">
        <v>663</v>
      </c>
      <c r="M1552" s="8">
        <v>44432</v>
      </c>
      <c r="N1552" s="8">
        <v>44432</v>
      </c>
      <c r="O1552" s="13"/>
      <c r="P1552" s="13">
        <v>3040098.52</v>
      </c>
      <c r="Q1552" s="33"/>
      <c r="R1552" s="22"/>
      <c r="S1552" s="22"/>
      <c r="T1552" s="22"/>
      <c r="U1552" s="22"/>
      <c r="X1552" s="15" t="str">
        <f>IF(B1552="",VLOOKUP(A1552,items_lookup!A:B,2,FALSE),B1552)</f>
        <v>09. Item 09</v>
      </c>
      <c r="Y1552" s="15">
        <f t="shared" si="136"/>
        <v>8</v>
      </c>
      <c r="Z1552" s="15">
        <f t="shared" si="136"/>
        <v>8</v>
      </c>
      <c r="AA1552" s="15">
        <f t="shared" si="133"/>
        <v>2021</v>
      </c>
      <c r="AB1552" s="15">
        <f t="shared" si="134"/>
        <v>2021</v>
      </c>
      <c r="AC1552" s="15">
        <f t="shared" si="135"/>
        <v>2021</v>
      </c>
      <c r="AD1552" s="18" t="b">
        <f t="shared" si="137"/>
        <v>1</v>
      </c>
    </row>
    <row r="1553" spans="1:30" ht="15" hidden="1" customHeight="1" x14ac:dyDescent="0.2">
      <c r="A1553" s="7" t="s">
        <v>675</v>
      </c>
      <c r="B1553" s="7"/>
      <c r="C1553" s="2" t="s">
        <v>641</v>
      </c>
      <c r="D1553" s="6" t="s">
        <v>649</v>
      </c>
      <c r="E1553" s="32" t="s">
        <v>651</v>
      </c>
      <c r="F1553" s="7"/>
      <c r="G1553" s="7"/>
      <c r="H1553" s="7"/>
      <c r="I1553" s="7"/>
      <c r="J1553" s="7"/>
      <c r="K1553" s="7" t="s">
        <v>660</v>
      </c>
      <c r="L1553" s="7" t="s">
        <v>663</v>
      </c>
      <c r="M1553" s="8">
        <v>44433</v>
      </c>
      <c r="N1553" s="8">
        <v>44433</v>
      </c>
      <c r="O1553" s="13"/>
      <c r="P1553" s="13">
        <v>2915369.49</v>
      </c>
      <c r="Q1553" s="33"/>
      <c r="R1553" s="22"/>
      <c r="S1553" s="22"/>
      <c r="T1553" s="22"/>
      <c r="U1553" s="22"/>
      <c r="X1553" s="15" t="str">
        <f>IF(B1553="",VLOOKUP(A1553,items_lookup!A:B,2,FALSE),B1553)</f>
        <v>09. Item 09</v>
      </c>
      <c r="Y1553" s="15">
        <f t="shared" si="136"/>
        <v>8</v>
      </c>
      <c r="Z1553" s="15">
        <f t="shared" si="136"/>
        <v>8</v>
      </c>
      <c r="AA1553" s="15">
        <f t="shared" si="133"/>
        <v>2021</v>
      </c>
      <c r="AB1553" s="15">
        <f t="shared" si="134"/>
        <v>2021</v>
      </c>
      <c r="AC1553" s="15">
        <f t="shared" si="135"/>
        <v>2021</v>
      </c>
      <c r="AD1553" s="18" t="b">
        <f t="shared" si="137"/>
        <v>1</v>
      </c>
    </row>
    <row r="1554" spans="1:30" ht="15" hidden="1" customHeight="1" x14ac:dyDescent="0.2">
      <c r="A1554" s="7" t="s">
        <v>697</v>
      </c>
      <c r="B1554" s="7"/>
      <c r="C1554" s="2" t="s">
        <v>641</v>
      </c>
      <c r="D1554" s="6" t="s">
        <v>649</v>
      </c>
      <c r="E1554" s="32" t="s">
        <v>651</v>
      </c>
      <c r="F1554" s="7"/>
      <c r="G1554" s="7"/>
      <c r="H1554" s="7"/>
      <c r="I1554" s="7"/>
      <c r="J1554" s="7"/>
      <c r="K1554" s="7" t="s">
        <v>660</v>
      </c>
      <c r="L1554" s="7" t="s">
        <v>663</v>
      </c>
      <c r="M1554" s="8">
        <v>44434</v>
      </c>
      <c r="N1554" s="8">
        <v>44434</v>
      </c>
      <c r="O1554" s="13"/>
      <c r="P1554" s="13">
        <v>3526299.58</v>
      </c>
      <c r="Q1554" s="33"/>
      <c r="R1554" s="22"/>
      <c r="S1554" s="22"/>
      <c r="T1554" s="22"/>
      <c r="U1554" s="22"/>
      <c r="X1554" s="15" t="str">
        <f>IF(B1554="",VLOOKUP(A1554,items_lookup!A:B,2,FALSE),B1554)</f>
        <v>10. Item 10</v>
      </c>
      <c r="Y1554" s="15">
        <f t="shared" si="136"/>
        <v>8</v>
      </c>
      <c r="Z1554" s="15">
        <f t="shared" si="136"/>
        <v>8</v>
      </c>
      <c r="AA1554" s="15">
        <f t="shared" si="133"/>
        <v>2021</v>
      </c>
      <c r="AB1554" s="15">
        <f t="shared" si="134"/>
        <v>2021</v>
      </c>
      <c r="AC1554" s="15">
        <f t="shared" si="135"/>
        <v>2021</v>
      </c>
      <c r="AD1554" s="18" t="b">
        <f t="shared" si="137"/>
        <v>1</v>
      </c>
    </row>
    <row r="1555" spans="1:30" ht="15" hidden="1" customHeight="1" x14ac:dyDescent="0.2">
      <c r="A1555" s="7" t="s">
        <v>698</v>
      </c>
      <c r="B1555" s="7"/>
      <c r="C1555" s="2" t="s">
        <v>641</v>
      </c>
      <c r="D1555" s="6" t="s">
        <v>649</v>
      </c>
      <c r="E1555" s="32" t="s">
        <v>651</v>
      </c>
      <c r="F1555" s="7"/>
      <c r="G1555" s="7"/>
      <c r="H1555" s="7"/>
      <c r="I1555" s="7"/>
      <c r="J1555" s="7"/>
      <c r="K1555" s="7" t="s">
        <v>660</v>
      </c>
      <c r="L1555" s="7" t="s">
        <v>663</v>
      </c>
      <c r="M1555" s="8">
        <v>44435</v>
      </c>
      <c r="N1555" s="8">
        <v>44435</v>
      </c>
      <c r="O1555" s="13"/>
      <c r="P1555" s="13">
        <v>519099.5</v>
      </c>
      <c r="Q1555" s="33"/>
      <c r="R1555" s="22"/>
      <c r="S1555" s="22"/>
      <c r="T1555" s="22"/>
      <c r="U1555" s="22"/>
      <c r="X1555" s="15" t="str">
        <f>IF(B1555="",VLOOKUP(A1555,items_lookup!A:B,2,FALSE),B1555)</f>
        <v>10. Item 10</v>
      </c>
      <c r="Y1555" s="15">
        <f t="shared" si="136"/>
        <v>8</v>
      </c>
      <c r="Z1555" s="15">
        <f t="shared" si="136"/>
        <v>8</v>
      </c>
      <c r="AA1555" s="15">
        <f t="shared" si="133"/>
        <v>2021</v>
      </c>
      <c r="AB1555" s="15">
        <f t="shared" si="134"/>
        <v>2021</v>
      </c>
      <c r="AC1555" s="15">
        <f t="shared" si="135"/>
        <v>2021</v>
      </c>
      <c r="AD1555" s="18" t="b">
        <f t="shared" si="137"/>
        <v>1</v>
      </c>
    </row>
    <row r="1556" spans="1:30" ht="15" hidden="1" customHeight="1" x14ac:dyDescent="0.2">
      <c r="A1556" s="7" t="s">
        <v>677</v>
      </c>
      <c r="B1556" s="7"/>
      <c r="C1556" s="2" t="s">
        <v>641</v>
      </c>
      <c r="D1556" s="6" t="s">
        <v>649</v>
      </c>
      <c r="E1556" s="32" t="s">
        <v>651</v>
      </c>
      <c r="F1556" s="7"/>
      <c r="G1556" s="7"/>
      <c r="H1556" s="7"/>
      <c r="I1556" s="7"/>
      <c r="J1556" s="7"/>
      <c r="K1556" s="7" t="s">
        <v>660</v>
      </c>
      <c r="L1556" s="7" t="s">
        <v>663</v>
      </c>
      <c r="M1556" s="8">
        <v>44438</v>
      </c>
      <c r="N1556" s="8">
        <v>44438</v>
      </c>
      <c r="O1556" s="13"/>
      <c r="P1556" s="13">
        <v>18916.669999999998</v>
      </c>
      <c r="Q1556" s="33"/>
      <c r="R1556" s="22"/>
      <c r="S1556" s="22"/>
      <c r="T1556" s="22"/>
      <c r="U1556" s="22"/>
      <c r="X1556" s="15" t="str">
        <f>IF(B1556="",VLOOKUP(A1556,items_lookup!A:B,2,FALSE),B1556)</f>
        <v>11. Item 11</v>
      </c>
      <c r="Y1556" s="15">
        <f t="shared" si="136"/>
        <v>8</v>
      </c>
      <c r="Z1556" s="15">
        <f t="shared" si="136"/>
        <v>8</v>
      </c>
      <c r="AA1556" s="15">
        <f t="shared" si="133"/>
        <v>2021</v>
      </c>
      <c r="AB1556" s="15">
        <f t="shared" si="134"/>
        <v>2021</v>
      </c>
      <c r="AC1556" s="15">
        <f t="shared" si="135"/>
        <v>2021</v>
      </c>
      <c r="AD1556" s="18" t="b">
        <f t="shared" si="137"/>
        <v>1</v>
      </c>
    </row>
    <row r="1557" spans="1:30" ht="15" hidden="1" customHeight="1" x14ac:dyDescent="0.2">
      <c r="A1557" s="7" t="s">
        <v>699</v>
      </c>
      <c r="B1557" s="7"/>
      <c r="C1557" s="2" t="s">
        <v>641</v>
      </c>
      <c r="D1557" s="6" t="s">
        <v>649</v>
      </c>
      <c r="E1557" s="32" t="s">
        <v>651</v>
      </c>
      <c r="F1557" s="7"/>
      <c r="G1557" s="7"/>
      <c r="H1557" s="7"/>
      <c r="I1557" s="7"/>
      <c r="J1557" s="7"/>
      <c r="K1557" s="7" t="s">
        <v>660</v>
      </c>
      <c r="L1557" s="7" t="s">
        <v>663</v>
      </c>
      <c r="M1557" s="8">
        <v>44439</v>
      </c>
      <c r="N1557" s="8">
        <v>44439</v>
      </c>
      <c r="O1557" s="13"/>
      <c r="P1557" s="13">
        <v>38612966.390000001</v>
      </c>
      <c r="Q1557" s="33"/>
      <c r="R1557" s="22"/>
      <c r="S1557" s="22"/>
      <c r="T1557" s="22"/>
      <c r="U1557" s="22"/>
      <c r="X1557" s="15" t="str">
        <f>IF(B1557="",VLOOKUP(A1557,items_lookup!A:B,2,FALSE),B1557)</f>
        <v>12. Item 12</v>
      </c>
      <c r="Y1557" s="15">
        <f t="shared" si="136"/>
        <v>8</v>
      </c>
      <c r="Z1557" s="15">
        <f t="shared" si="136"/>
        <v>8</v>
      </c>
      <c r="AA1557" s="15">
        <f t="shared" si="133"/>
        <v>2021</v>
      </c>
      <c r="AB1557" s="15">
        <f t="shared" si="134"/>
        <v>2021</v>
      </c>
      <c r="AC1557" s="15">
        <f t="shared" si="135"/>
        <v>2021</v>
      </c>
      <c r="AD1557" s="18" t="b">
        <f t="shared" si="137"/>
        <v>1</v>
      </c>
    </row>
    <row r="1558" spans="1:30" ht="15" hidden="1" customHeight="1" x14ac:dyDescent="0.2">
      <c r="A1558" s="7" t="s">
        <v>696</v>
      </c>
      <c r="B1558" s="7"/>
      <c r="C1558" s="2" t="s">
        <v>641</v>
      </c>
      <c r="D1558" s="6" t="s">
        <v>649</v>
      </c>
      <c r="E1558" s="32" t="s">
        <v>651</v>
      </c>
      <c r="F1558" s="7"/>
      <c r="G1558" s="7"/>
      <c r="H1558" s="7"/>
      <c r="I1558" s="7" t="s">
        <v>20</v>
      </c>
      <c r="J1558" s="7">
        <v>1</v>
      </c>
      <c r="K1558" s="7" t="s">
        <v>660</v>
      </c>
      <c r="L1558" s="7" t="s">
        <v>663</v>
      </c>
      <c r="M1558" s="8">
        <v>44442</v>
      </c>
      <c r="N1558" s="8">
        <v>44453</v>
      </c>
      <c r="O1558" s="13"/>
      <c r="P1558" s="13">
        <v>2619047.62</v>
      </c>
      <c r="Q1558" s="33"/>
      <c r="R1558" s="22"/>
      <c r="S1558" s="22"/>
      <c r="T1558" s="22"/>
      <c r="U1558" s="22"/>
      <c r="X1558" s="15" t="str">
        <f>IF(B1558="",VLOOKUP(A1558,items_lookup!A:B,2,FALSE),B1558)</f>
        <v>13. Item 13</v>
      </c>
      <c r="Y1558" s="15">
        <f t="shared" si="136"/>
        <v>9</v>
      </c>
      <c r="Z1558" s="15">
        <f t="shared" si="136"/>
        <v>9</v>
      </c>
      <c r="AA1558" s="15">
        <f t="shared" si="133"/>
        <v>2021</v>
      </c>
      <c r="AB1558" s="15">
        <f t="shared" si="134"/>
        <v>2021</v>
      </c>
      <c r="AC1558" s="15">
        <f t="shared" si="135"/>
        <v>2021</v>
      </c>
      <c r="AD1558" s="18" t="b">
        <f t="shared" si="137"/>
        <v>1</v>
      </c>
    </row>
    <row r="1559" spans="1:30" ht="15" hidden="1" customHeight="1" x14ac:dyDescent="0.2">
      <c r="A1559" s="7" t="s">
        <v>678</v>
      </c>
      <c r="B1559" s="7"/>
      <c r="C1559" s="2" t="s">
        <v>641</v>
      </c>
      <c r="D1559" s="6" t="s">
        <v>649</v>
      </c>
      <c r="E1559" s="32" t="s">
        <v>651</v>
      </c>
      <c r="F1559" s="7"/>
      <c r="G1559" s="7"/>
      <c r="H1559" s="7"/>
      <c r="I1559" s="7"/>
      <c r="J1559" s="7">
        <v>1</v>
      </c>
      <c r="K1559" s="7" t="s">
        <v>660</v>
      </c>
      <c r="L1559" s="7" t="s">
        <v>663</v>
      </c>
      <c r="M1559" s="8">
        <v>44442</v>
      </c>
      <c r="N1559" s="8">
        <v>44456</v>
      </c>
      <c r="O1559" s="13"/>
      <c r="P1559" s="13">
        <v>18613.849999999999</v>
      </c>
      <c r="Q1559" s="33"/>
      <c r="R1559" s="22"/>
      <c r="S1559" s="22"/>
      <c r="T1559" s="22"/>
      <c r="U1559" s="22"/>
      <c r="X1559" s="15" t="str">
        <f>IF(B1559="",VLOOKUP(A1559,items_lookup!A:B,2,FALSE),B1559)</f>
        <v>13. Item 13</v>
      </c>
      <c r="Y1559" s="15">
        <f t="shared" si="136"/>
        <v>9</v>
      </c>
      <c r="Z1559" s="15">
        <f t="shared" si="136"/>
        <v>9</v>
      </c>
      <c r="AA1559" s="15">
        <f t="shared" si="133"/>
        <v>2021</v>
      </c>
      <c r="AB1559" s="15">
        <f t="shared" si="134"/>
        <v>2021</v>
      </c>
      <c r="AC1559" s="15">
        <f t="shared" si="135"/>
        <v>2021</v>
      </c>
      <c r="AD1559" s="18" t="b">
        <f t="shared" si="137"/>
        <v>1</v>
      </c>
    </row>
    <row r="1560" spans="1:30" ht="15" hidden="1" customHeight="1" x14ac:dyDescent="0.2">
      <c r="A1560" s="7" t="s">
        <v>700</v>
      </c>
      <c r="B1560" s="7"/>
      <c r="C1560" s="2" t="s">
        <v>641</v>
      </c>
      <c r="D1560" s="6" t="s">
        <v>649</v>
      </c>
      <c r="E1560" s="32" t="s">
        <v>651</v>
      </c>
      <c r="F1560" s="7"/>
      <c r="G1560" s="7"/>
      <c r="H1560" s="7"/>
      <c r="I1560" s="7" t="s">
        <v>20</v>
      </c>
      <c r="J1560" s="7">
        <v>1</v>
      </c>
      <c r="K1560" s="7" t="s">
        <v>660</v>
      </c>
      <c r="L1560" s="7" t="s">
        <v>663</v>
      </c>
      <c r="M1560" s="8">
        <v>44452</v>
      </c>
      <c r="N1560" s="8">
        <v>44456</v>
      </c>
      <c r="O1560" s="13"/>
      <c r="P1560" s="13">
        <v>9534.5400000000009</v>
      </c>
      <c r="Q1560" s="33"/>
      <c r="R1560" s="22"/>
      <c r="S1560" s="22"/>
      <c r="T1560" s="22"/>
      <c r="U1560" s="22"/>
      <c r="X1560" s="15" t="str">
        <f>IF(B1560="",VLOOKUP(A1560,items_lookup!A:B,2,FALSE),B1560)</f>
        <v>13. Item 13</v>
      </c>
      <c r="Y1560" s="15">
        <f t="shared" si="136"/>
        <v>9</v>
      </c>
      <c r="Z1560" s="15">
        <f t="shared" si="136"/>
        <v>9</v>
      </c>
      <c r="AA1560" s="15">
        <f t="shared" si="133"/>
        <v>2021</v>
      </c>
      <c r="AB1560" s="15">
        <f t="shared" si="134"/>
        <v>2021</v>
      </c>
      <c r="AC1560" s="15">
        <f t="shared" si="135"/>
        <v>2021</v>
      </c>
      <c r="AD1560" s="18" t="b">
        <f t="shared" si="137"/>
        <v>1</v>
      </c>
    </row>
    <row r="1561" spans="1:30" ht="15" hidden="1" customHeight="1" x14ac:dyDescent="0.2">
      <c r="A1561" s="7" t="s">
        <v>701</v>
      </c>
      <c r="B1561" s="7"/>
      <c r="C1561" s="2" t="s">
        <v>641</v>
      </c>
      <c r="D1561" s="6" t="s">
        <v>649</v>
      </c>
      <c r="E1561" s="32" t="s">
        <v>651</v>
      </c>
      <c r="F1561" s="7"/>
      <c r="G1561" s="7"/>
      <c r="H1561" s="7"/>
      <c r="I1561" s="7"/>
      <c r="J1561" s="7">
        <v>1</v>
      </c>
      <c r="K1561" s="7" t="s">
        <v>660</v>
      </c>
      <c r="L1561" s="7" t="s">
        <v>663</v>
      </c>
      <c r="M1561" s="8">
        <v>44452</v>
      </c>
      <c r="N1561" s="8">
        <v>44456</v>
      </c>
      <c r="O1561" s="13"/>
      <c r="P1561" s="13">
        <v>304</v>
      </c>
      <c r="Q1561" s="33"/>
      <c r="R1561" s="22"/>
      <c r="S1561" s="22"/>
      <c r="T1561" s="22"/>
      <c r="U1561" s="22"/>
      <c r="X1561" s="15" t="str">
        <f>IF(B1561="",VLOOKUP(A1561,items_lookup!A:B,2,FALSE),B1561)</f>
        <v>13. Item 13</v>
      </c>
      <c r="Y1561" s="15">
        <f t="shared" si="136"/>
        <v>9</v>
      </c>
      <c r="Z1561" s="15">
        <f t="shared" si="136"/>
        <v>9</v>
      </c>
      <c r="AA1561" s="15">
        <f t="shared" si="133"/>
        <v>2021</v>
      </c>
      <c r="AB1561" s="15">
        <f t="shared" si="134"/>
        <v>2021</v>
      </c>
      <c r="AC1561" s="15">
        <f t="shared" si="135"/>
        <v>2021</v>
      </c>
      <c r="AD1561" s="18" t="b">
        <f t="shared" si="137"/>
        <v>1</v>
      </c>
    </row>
    <row r="1562" spans="1:30" ht="15" hidden="1" customHeight="1" x14ac:dyDescent="0.2">
      <c r="A1562" s="7" t="s">
        <v>707</v>
      </c>
      <c r="B1562" s="7"/>
      <c r="C1562" s="2" t="s">
        <v>641</v>
      </c>
      <c r="D1562" s="6" t="s">
        <v>649</v>
      </c>
      <c r="E1562" s="32" t="s">
        <v>651</v>
      </c>
      <c r="F1562" s="7"/>
      <c r="G1562" s="7"/>
      <c r="H1562" s="7"/>
      <c r="I1562" s="7" t="s">
        <v>20</v>
      </c>
      <c r="J1562" s="7">
        <v>1</v>
      </c>
      <c r="K1562" s="7" t="s">
        <v>660</v>
      </c>
      <c r="L1562" s="7" t="s">
        <v>663</v>
      </c>
      <c r="M1562" s="8">
        <v>44452</v>
      </c>
      <c r="N1562" s="8">
        <v>44453</v>
      </c>
      <c r="O1562" s="13"/>
      <c r="P1562" s="13">
        <v>8861.9</v>
      </c>
      <c r="Q1562" s="33"/>
      <c r="R1562" s="22"/>
      <c r="S1562" s="22"/>
      <c r="T1562" s="22"/>
      <c r="U1562" s="22"/>
      <c r="X1562" s="15" t="str">
        <f>IF(B1562="",VLOOKUP(A1562,items_lookup!A:B,2,FALSE),B1562)</f>
        <v>18. Item 18</v>
      </c>
      <c r="Y1562" s="15">
        <f t="shared" si="136"/>
        <v>9</v>
      </c>
      <c r="Z1562" s="15">
        <f t="shared" si="136"/>
        <v>9</v>
      </c>
      <c r="AA1562" s="15">
        <f t="shared" si="133"/>
        <v>2021</v>
      </c>
      <c r="AB1562" s="15">
        <f t="shared" si="134"/>
        <v>2021</v>
      </c>
      <c r="AC1562" s="15">
        <f t="shared" si="135"/>
        <v>2021</v>
      </c>
      <c r="AD1562" s="18" t="b">
        <f t="shared" si="137"/>
        <v>1</v>
      </c>
    </row>
    <row r="1563" spans="1:30" ht="12.6" hidden="1" customHeight="1" x14ac:dyDescent="0.2">
      <c r="A1563" s="7" t="s">
        <v>680</v>
      </c>
      <c r="B1563" s="7"/>
      <c r="C1563" s="2" t="s">
        <v>641</v>
      </c>
      <c r="D1563" s="6" t="s">
        <v>649</v>
      </c>
      <c r="E1563" s="32" t="s">
        <v>651</v>
      </c>
      <c r="F1563" s="7"/>
      <c r="G1563" s="7"/>
      <c r="H1563" s="7"/>
      <c r="I1563" s="7" t="s">
        <v>20</v>
      </c>
      <c r="J1563" s="7">
        <v>1</v>
      </c>
      <c r="K1563" s="7" t="s">
        <v>660</v>
      </c>
      <c r="L1563" s="7" t="s">
        <v>663</v>
      </c>
      <c r="M1563" s="8">
        <v>44452</v>
      </c>
      <c r="N1563" s="8">
        <v>44453</v>
      </c>
      <c r="O1563" s="13"/>
      <c r="P1563" s="13">
        <v>48284.61</v>
      </c>
      <c r="Q1563" s="33"/>
      <c r="X1563" s="15" t="str">
        <f>IF(B1563="",VLOOKUP(A1563,items_lookup!A:B,2,FALSE),B1563)</f>
        <v>13. Item 13</v>
      </c>
      <c r="Y1563" s="15">
        <f t="shared" si="136"/>
        <v>9</v>
      </c>
      <c r="Z1563" s="15">
        <f t="shared" si="136"/>
        <v>9</v>
      </c>
      <c r="AA1563" s="15">
        <f t="shared" si="133"/>
        <v>2021</v>
      </c>
      <c r="AB1563" s="15">
        <f t="shared" si="134"/>
        <v>2021</v>
      </c>
      <c r="AC1563" s="15">
        <f t="shared" si="135"/>
        <v>2021</v>
      </c>
      <c r="AD1563" s="18" t="b">
        <f t="shared" si="137"/>
        <v>1</v>
      </c>
    </row>
    <row r="1564" spans="1:30" ht="14.25" hidden="1" customHeight="1" x14ac:dyDescent="0.2">
      <c r="A1564" s="7" t="s">
        <v>687</v>
      </c>
      <c r="B1564" s="7"/>
      <c r="C1564" s="2" t="s">
        <v>641</v>
      </c>
      <c r="D1564" s="6" t="s">
        <v>649</v>
      </c>
      <c r="E1564" s="32" t="s">
        <v>651</v>
      </c>
      <c r="F1564" s="7"/>
      <c r="G1564" s="7"/>
      <c r="H1564" s="7"/>
      <c r="I1564" s="7"/>
      <c r="J1564" s="7">
        <v>1</v>
      </c>
      <c r="K1564" s="7" t="s">
        <v>660</v>
      </c>
      <c r="L1564" s="7" t="s">
        <v>663</v>
      </c>
      <c r="M1564" s="8">
        <v>44452</v>
      </c>
      <c r="N1564" s="8">
        <v>44453</v>
      </c>
      <c r="O1564" s="13"/>
      <c r="P1564" s="13">
        <v>83223.45</v>
      </c>
      <c r="Q1564" s="33"/>
      <c r="X1564" s="15" t="str">
        <f>IF(B1564="",VLOOKUP(A1564,items_lookup!A:B,2,FALSE),B1564)</f>
        <v>14. Item 14</v>
      </c>
      <c r="Y1564" s="15">
        <f t="shared" si="136"/>
        <v>9</v>
      </c>
      <c r="Z1564" s="15">
        <f t="shared" si="136"/>
        <v>9</v>
      </c>
      <c r="AA1564" s="15">
        <f t="shared" si="133"/>
        <v>2021</v>
      </c>
      <c r="AB1564" s="15">
        <f t="shared" si="134"/>
        <v>2021</v>
      </c>
      <c r="AC1564" s="15">
        <f t="shared" si="135"/>
        <v>2021</v>
      </c>
      <c r="AD1564" s="18" t="b">
        <f t="shared" si="137"/>
        <v>1</v>
      </c>
    </row>
    <row r="1565" spans="1:30" ht="14.25" hidden="1" customHeight="1" x14ac:dyDescent="0.2">
      <c r="A1565" s="7" t="s">
        <v>702</v>
      </c>
      <c r="B1565" s="20"/>
      <c r="C1565" s="2" t="s">
        <v>641</v>
      </c>
      <c r="D1565" s="6" t="s">
        <v>649</v>
      </c>
      <c r="E1565" s="32" t="s">
        <v>651</v>
      </c>
      <c r="F1565" s="7"/>
      <c r="G1565" s="7"/>
      <c r="H1565" s="7"/>
      <c r="I1565" s="7"/>
      <c r="J1565" s="7">
        <v>1</v>
      </c>
      <c r="K1565" s="7" t="s">
        <v>660</v>
      </c>
      <c r="L1565" s="7" t="s">
        <v>663</v>
      </c>
      <c r="M1565" s="8">
        <v>44452</v>
      </c>
      <c r="N1565" s="8">
        <v>44456</v>
      </c>
      <c r="O1565" s="13"/>
      <c r="P1565" s="13">
        <v>17101.09</v>
      </c>
      <c r="Q1565" s="33"/>
      <c r="R1565" s="9"/>
      <c r="S1565" s="9"/>
      <c r="T1565" s="9"/>
      <c r="U1565" s="9"/>
      <c r="X1565" s="15" t="str">
        <f>IF(B1565="",VLOOKUP(A1565,items_lookup!A:B,2,FALSE),B1565)</f>
        <v>17. Item 17</v>
      </c>
      <c r="Y1565" s="15">
        <f t="shared" si="136"/>
        <v>9</v>
      </c>
      <c r="Z1565" s="15">
        <f t="shared" si="136"/>
        <v>9</v>
      </c>
      <c r="AA1565" s="15">
        <f t="shared" si="133"/>
        <v>2021</v>
      </c>
      <c r="AB1565" s="15">
        <f t="shared" si="134"/>
        <v>2021</v>
      </c>
      <c r="AC1565" s="15">
        <f t="shared" si="135"/>
        <v>2021</v>
      </c>
      <c r="AD1565" s="18" t="b">
        <f t="shared" si="137"/>
        <v>1</v>
      </c>
    </row>
    <row r="1566" spans="1:30" ht="15" hidden="1" customHeight="1" x14ac:dyDescent="0.2">
      <c r="A1566" s="7" t="s">
        <v>683</v>
      </c>
      <c r="B1566" s="20"/>
      <c r="C1566" s="2" t="s">
        <v>641</v>
      </c>
      <c r="D1566" s="6" t="s">
        <v>649</v>
      </c>
      <c r="E1566" s="32" t="s">
        <v>651</v>
      </c>
      <c r="F1566" s="7"/>
      <c r="G1566" s="7"/>
      <c r="H1566" s="7"/>
      <c r="I1566" s="7" t="s">
        <v>20</v>
      </c>
      <c r="J1566" s="7">
        <v>1</v>
      </c>
      <c r="K1566" s="7" t="s">
        <v>660</v>
      </c>
      <c r="L1566" s="7" t="s">
        <v>663</v>
      </c>
      <c r="M1566" s="8">
        <v>44452</v>
      </c>
      <c r="N1566" s="8">
        <v>44453</v>
      </c>
      <c r="O1566" s="13"/>
      <c r="P1566" s="13">
        <v>9114.2199999999993</v>
      </c>
      <c r="Q1566" s="33"/>
      <c r="R1566" s="9"/>
      <c r="S1566" s="9"/>
      <c r="T1566" s="9"/>
      <c r="U1566" s="9"/>
      <c r="X1566" s="15" t="str">
        <f>IF(B1566="",VLOOKUP(A1566,items_lookup!A:B,2,FALSE),B1566)</f>
        <v>_1. Item _1</v>
      </c>
      <c r="Y1566" s="15">
        <f t="shared" si="136"/>
        <v>9</v>
      </c>
      <c r="Z1566" s="15">
        <f t="shared" si="136"/>
        <v>9</v>
      </c>
      <c r="AA1566" s="15">
        <f t="shared" si="133"/>
        <v>2021</v>
      </c>
      <c r="AB1566" s="15">
        <f t="shared" si="134"/>
        <v>2021</v>
      </c>
      <c r="AC1566" s="15">
        <f t="shared" si="135"/>
        <v>2021</v>
      </c>
      <c r="AD1566" s="18" t="b">
        <f t="shared" si="137"/>
        <v>1</v>
      </c>
    </row>
    <row r="1567" spans="1:30" ht="15" hidden="1" customHeight="1" x14ac:dyDescent="0.2">
      <c r="A1567" s="7" t="s">
        <v>689</v>
      </c>
      <c r="B1567" s="20"/>
      <c r="C1567" s="2" t="s">
        <v>641</v>
      </c>
      <c r="D1567" s="6" t="s">
        <v>649</v>
      </c>
      <c r="E1567" s="32" t="s">
        <v>651</v>
      </c>
      <c r="F1567" s="7"/>
      <c r="G1567" s="7"/>
      <c r="H1567" s="7"/>
      <c r="I1567" s="7"/>
      <c r="J1567" s="7">
        <v>1</v>
      </c>
      <c r="K1567" s="7" t="s">
        <v>660</v>
      </c>
      <c r="L1567" s="7" t="s">
        <v>663</v>
      </c>
      <c r="M1567" s="8">
        <v>44452</v>
      </c>
      <c r="N1567" s="8">
        <v>44453</v>
      </c>
      <c r="O1567" s="13"/>
      <c r="P1567" s="13">
        <v>98479.88</v>
      </c>
      <c r="Q1567" s="33"/>
      <c r="R1567" s="9"/>
      <c r="S1567" s="9"/>
      <c r="T1567" s="9"/>
      <c r="U1567" s="9"/>
      <c r="X1567" s="15" t="str">
        <f>IF(B1567="",VLOOKUP(A1567,items_lookup!A:B,2,FALSE),B1567)</f>
        <v>04. Item 04</v>
      </c>
      <c r="Y1567" s="15">
        <f t="shared" si="136"/>
        <v>9</v>
      </c>
      <c r="Z1567" s="15">
        <f t="shared" si="136"/>
        <v>9</v>
      </c>
      <c r="AA1567" s="15">
        <f t="shared" si="133"/>
        <v>2021</v>
      </c>
      <c r="AB1567" s="15">
        <f t="shared" si="134"/>
        <v>2021</v>
      </c>
      <c r="AC1567" s="15">
        <f t="shared" si="135"/>
        <v>2021</v>
      </c>
      <c r="AD1567" s="18" t="b">
        <f t="shared" si="137"/>
        <v>1</v>
      </c>
    </row>
    <row r="1568" spans="1:30" ht="15" hidden="1" customHeight="1" x14ac:dyDescent="0.2">
      <c r="A1568" s="7" t="s">
        <v>671</v>
      </c>
      <c r="B1568" s="7"/>
      <c r="C1568" s="2" t="s">
        <v>641</v>
      </c>
      <c r="D1568" s="6" t="s">
        <v>649</v>
      </c>
      <c r="E1568" s="32" t="s">
        <v>651</v>
      </c>
      <c r="F1568" s="7"/>
      <c r="G1568" s="7"/>
      <c r="H1568" s="7"/>
      <c r="I1568" s="7"/>
      <c r="J1568" s="7"/>
      <c r="K1568" s="7" t="s">
        <v>660</v>
      </c>
      <c r="L1568" s="7" t="s">
        <v>663</v>
      </c>
      <c r="M1568" s="8">
        <v>44445</v>
      </c>
      <c r="N1568" s="8">
        <v>44445</v>
      </c>
      <c r="O1568" s="13"/>
      <c r="P1568" s="13">
        <v>3916.57</v>
      </c>
      <c r="Q1568" s="33"/>
      <c r="R1568" s="22"/>
      <c r="S1568" s="22"/>
      <c r="T1568" s="22"/>
      <c r="U1568" s="22"/>
      <c r="X1568" s="15" t="str">
        <f>IF(B1568="",VLOOKUP(A1568,items_lookup!A:B,2,FALSE),B1568)</f>
        <v>05. Item 05</v>
      </c>
      <c r="Y1568" s="15">
        <f t="shared" si="136"/>
        <v>9</v>
      </c>
      <c r="Z1568" s="15">
        <f t="shared" si="136"/>
        <v>9</v>
      </c>
      <c r="AA1568" s="15">
        <f t="shared" si="133"/>
        <v>2021</v>
      </c>
      <c r="AB1568" s="15">
        <f t="shared" si="134"/>
        <v>2021</v>
      </c>
      <c r="AC1568" s="15">
        <f t="shared" si="135"/>
        <v>2021</v>
      </c>
      <c r="AD1568" s="18" t="b">
        <f t="shared" si="137"/>
        <v>1</v>
      </c>
    </row>
    <row r="1569" spans="1:30" ht="15" hidden="1" customHeight="1" x14ac:dyDescent="0.2">
      <c r="A1569" s="7" t="s">
        <v>672</v>
      </c>
      <c r="B1569" s="20"/>
      <c r="C1569" s="2" t="s">
        <v>641</v>
      </c>
      <c r="D1569" s="6" t="s">
        <v>649</v>
      </c>
      <c r="E1569" s="32" t="s">
        <v>651</v>
      </c>
      <c r="F1569" s="7"/>
      <c r="G1569" s="7"/>
      <c r="H1569" s="7"/>
      <c r="I1569" s="7"/>
      <c r="J1569" s="7">
        <v>4</v>
      </c>
      <c r="K1569" s="7" t="s">
        <v>660</v>
      </c>
      <c r="L1569" s="7" t="s">
        <v>663</v>
      </c>
      <c r="M1569" s="8">
        <v>44433</v>
      </c>
      <c r="N1569" s="8">
        <v>44445</v>
      </c>
      <c r="O1569" s="13"/>
      <c r="P1569" s="13">
        <v>3916.57</v>
      </c>
      <c r="Q1569" s="33"/>
      <c r="R1569" s="9"/>
      <c r="S1569" s="9"/>
      <c r="T1569" s="9"/>
      <c r="U1569" s="9"/>
      <c r="X1569" s="15" t="str">
        <f>IF(B1569="",VLOOKUP(A1569,items_lookup!A:B,2,FALSE),B1569)</f>
        <v>05. Item 05</v>
      </c>
      <c r="Y1569" s="15">
        <f t="shared" si="136"/>
        <v>8</v>
      </c>
      <c r="Z1569" s="15">
        <f t="shared" si="136"/>
        <v>9</v>
      </c>
      <c r="AA1569" s="15">
        <f t="shared" si="133"/>
        <v>2021</v>
      </c>
      <c r="AB1569" s="15">
        <f t="shared" si="134"/>
        <v>2021</v>
      </c>
      <c r="AC1569" s="15">
        <f t="shared" si="135"/>
        <v>2021</v>
      </c>
      <c r="AD1569" s="18" t="b">
        <f t="shared" si="137"/>
        <v>1</v>
      </c>
    </row>
    <row r="1570" spans="1:30" ht="15" hidden="1" customHeight="1" x14ac:dyDescent="0.2">
      <c r="A1570" s="7" t="s">
        <v>677</v>
      </c>
      <c r="B1570" s="20"/>
      <c r="C1570" s="2" t="s">
        <v>641</v>
      </c>
      <c r="D1570" s="6" t="s">
        <v>649</v>
      </c>
      <c r="E1570" s="32" t="s">
        <v>651</v>
      </c>
      <c r="F1570" s="7"/>
      <c r="G1570" s="7"/>
      <c r="H1570" s="7"/>
      <c r="I1570" s="7"/>
      <c r="J1570" s="7">
        <v>4</v>
      </c>
      <c r="K1570" s="7" t="s">
        <v>660</v>
      </c>
      <c r="L1570" s="7" t="s">
        <v>663</v>
      </c>
      <c r="M1570" s="8">
        <v>44433</v>
      </c>
      <c r="N1570" s="8">
        <v>44447</v>
      </c>
      <c r="O1570" s="13"/>
      <c r="P1570" s="13">
        <v>3799.01</v>
      </c>
      <c r="Q1570" s="33"/>
      <c r="R1570" s="9"/>
      <c r="S1570" s="9"/>
      <c r="T1570" s="9"/>
      <c r="U1570" s="9"/>
      <c r="X1570" s="15" t="str">
        <f>IF(B1570="",VLOOKUP(A1570,items_lookup!A:B,2,FALSE),B1570)</f>
        <v>11. Item 11</v>
      </c>
      <c r="Y1570" s="15">
        <f t="shared" si="136"/>
        <v>8</v>
      </c>
      <c r="Z1570" s="15">
        <f t="shared" si="136"/>
        <v>9</v>
      </c>
      <c r="AA1570" s="15">
        <f t="shared" si="133"/>
        <v>2021</v>
      </c>
      <c r="AB1570" s="15">
        <f t="shared" si="134"/>
        <v>2021</v>
      </c>
      <c r="AC1570" s="15">
        <f t="shared" si="135"/>
        <v>2021</v>
      </c>
      <c r="AD1570" s="18" t="b">
        <f t="shared" si="137"/>
        <v>1</v>
      </c>
    </row>
    <row r="1571" spans="1:30" ht="15" hidden="1" customHeight="1" x14ac:dyDescent="0.2">
      <c r="A1571" s="7" t="s">
        <v>697</v>
      </c>
      <c r="B1571" s="7"/>
      <c r="C1571" s="2" t="s">
        <v>641</v>
      </c>
      <c r="D1571" s="6" t="s">
        <v>649</v>
      </c>
      <c r="E1571" s="32" t="s">
        <v>651</v>
      </c>
      <c r="F1571" s="7"/>
      <c r="G1571" s="7"/>
      <c r="H1571" s="7"/>
      <c r="I1571" s="7"/>
      <c r="J1571" s="7">
        <v>3</v>
      </c>
      <c r="K1571" s="7" t="s">
        <v>660</v>
      </c>
      <c r="L1571" s="7" t="s">
        <v>663</v>
      </c>
      <c r="M1571" s="8">
        <v>44442</v>
      </c>
      <c r="N1571" s="8">
        <v>44453</v>
      </c>
      <c r="O1571" s="13"/>
      <c r="P1571" s="13">
        <v>7361.38</v>
      </c>
      <c r="Q1571" s="33"/>
      <c r="R1571" s="22"/>
      <c r="S1571" s="22"/>
      <c r="T1571" s="22"/>
      <c r="U1571" s="22"/>
      <c r="X1571" s="15" t="str">
        <f>IF(B1571="",VLOOKUP(A1571,items_lookup!A:B,2,FALSE),B1571)</f>
        <v>10. Item 10</v>
      </c>
      <c r="Y1571" s="15">
        <f t="shared" si="136"/>
        <v>9</v>
      </c>
      <c r="Z1571" s="15">
        <f t="shared" si="136"/>
        <v>9</v>
      </c>
      <c r="AA1571" s="15">
        <f t="shared" si="133"/>
        <v>2021</v>
      </c>
      <c r="AB1571" s="15">
        <f t="shared" si="134"/>
        <v>2021</v>
      </c>
      <c r="AC1571" s="15">
        <f t="shared" si="135"/>
        <v>2021</v>
      </c>
      <c r="AD1571" s="18" t="b">
        <f t="shared" si="137"/>
        <v>1</v>
      </c>
    </row>
    <row r="1572" spans="1:30" ht="15" hidden="1" customHeight="1" x14ac:dyDescent="0.2">
      <c r="A1572" s="7" t="s">
        <v>698</v>
      </c>
      <c r="B1572" s="20"/>
      <c r="C1572" s="2" t="s">
        <v>641</v>
      </c>
      <c r="D1572" s="6" t="s">
        <v>649</v>
      </c>
      <c r="E1572" s="32" t="s">
        <v>651</v>
      </c>
      <c r="F1572" s="7"/>
      <c r="G1572" s="7"/>
      <c r="H1572" s="7"/>
      <c r="I1572" s="7"/>
      <c r="J1572" s="7">
        <v>1</v>
      </c>
      <c r="K1572" s="7" t="s">
        <v>660</v>
      </c>
      <c r="L1572" s="7" t="s">
        <v>663</v>
      </c>
      <c r="M1572" s="8">
        <v>44442</v>
      </c>
      <c r="N1572" s="8">
        <v>44455</v>
      </c>
      <c r="O1572" s="13"/>
      <c r="P1572" s="13">
        <v>52497.17</v>
      </c>
      <c r="Q1572" s="33"/>
      <c r="R1572" s="22"/>
      <c r="S1572" s="22"/>
      <c r="T1572" s="22"/>
      <c r="U1572" s="22"/>
      <c r="X1572" s="15" t="str">
        <f>IF(B1572="",VLOOKUP(A1572,items_lookup!A:B,2,FALSE),B1572)</f>
        <v>10. Item 10</v>
      </c>
      <c r="Y1572" s="15">
        <f t="shared" si="136"/>
        <v>9</v>
      </c>
      <c r="Z1572" s="15">
        <f t="shared" si="136"/>
        <v>9</v>
      </c>
      <c r="AA1572" s="15">
        <f t="shared" si="133"/>
        <v>2021</v>
      </c>
      <c r="AB1572" s="15">
        <f t="shared" si="134"/>
        <v>2021</v>
      </c>
      <c r="AC1572" s="15">
        <f t="shared" si="135"/>
        <v>2021</v>
      </c>
      <c r="AD1572" s="18" t="b">
        <f t="shared" si="137"/>
        <v>1</v>
      </c>
    </row>
    <row r="1573" spans="1:30" ht="15.75" hidden="1" customHeight="1" x14ac:dyDescent="0.2">
      <c r="A1573" s="7" t="s">
        <v>673</v>
      </c>
      <c r="B1573" s="20"/>
      <c r="C1573" s="2" t="s">
        <v>641</v>
      </c>
      <c r="D1573" s="6" t="s">
        <v>649</v>
      </c>
      <c r="E1573" s="32" t="s">
        <v>651</v>
      </c>
      <c r="F1573" s="7"/>
      <c r="G1573" s="7"/>
      <c r="H1573" s="7"/>
      <c r="I1573" s="7"/>
      <c r="J1573" s="7">
        <v>1</v>
      </c>
      <c r="K1573" s="7" t="s">
        <v>660</v>
      </c>
      <c r="L1573" s="7" t="s">
        <v>663</v>
      </c>
      <c r="M1573" s="8">
        <v>44442</v>
      </c>
      <c r="N1573" s="8">
        <v>44469</v>
      </c>
      <c r="O1573" s="13"/>
      <c r="P1573" s="13">
        <v>259647.38</v>
      </c>
      <c r="Q1573" s="33"/>
      <c r="R1573" s="9"/>
      <c r="S1573" s="9"/>
      <c r="T1573" s="9"/>
      <c r="U1573" s="9"/>
      <c r="X1573" s="15" t="str">
        <f>IF(B1573="",VLOOKUP(A1573,items_lookup!A:B,2,FALSE),B1573)</f>
        <v>07. Item 07</v>
      </c>
      <c r="Y1573" s="15">
        <f t="shared" si="136"/>
        <v>9</v>
      </c>
      <c r="Z1573" s="15">
        <f t="shared" si="136"/>
        <v>9</v>
      </c>
      <c r="AA1573" s="15">
        <f t="shared" si="133"/>
        <v>2021</v>
      </c>
      <c r="AB1573" s="15">
        <f t="shared" si="134"/>
        <v>2021</v>
      </c>
      <c r="AC1573" s="15">
        <f t="shared" si="135"/>
        <v>2021</v>
      </c>
      <c r="AD1573" s="18" t="b">
        <f t="shared" si="137"/>
        <v>1</v>
      </c>
    </row>
    <row r="1574" spans="1:30" ht="15" hidden="1" customHeight="1" x14ac:dyDescent="0.2">
      <c r="A1574" s="7" t="s">
        <v>674</v>
      </c>
      <c r="B1574" s="20"/>
      <c r="C1574" s="2" t="s">
        <v>641</v>
      </c>
      <c r="D1574" s="6" t="s">
        <v>649</v>
      </c>
      <c r="E1574" s="32" t="s">
        <v>651</v>
      </c>
      <c r="F1574" s="7"/>
      <c r="G1574" s="7"/>
      <c r="H1574" s="7"/>
      <c r="I1574" s="7"/>
      <c r="J1574" s="7">
        <v>1</v>
      </c>
      <c r="K1574" s="7" t="s">
        <v>660</v>
      </c>
      <c r="L1574" s="7" t="s">
        <v>663</v>
      </c>
      <c r="M1574" s="8">
        <v>44442</v>
      </c>
      <c r="N1574" s="8">
        <v>44455</v>
      </c>
      <c r="O1574" s="13"/>
      <c r="P1574" s="13">
        <v>70187.990000000005</v>
      </c>
      <c r="Q1574" s="33"/>
      <c r="R1574" s="9"/>
      <c r="S1574" s="9"/>
      <c r="T1574" s="9"/>
      <c r="U1574" s="9"/>
      <c r="X1574" s="15" t="str">
        <f>IF(B1574="",VLOOKUP(A1574,items_lookup!A:B,2,FALSE),B1574)</f>
        <v>08. Item 08</v>
      </c>
      <c r="Y1574" s="15">
        <f t="shared" si="136"/>
        <v>9</v>
      </c>
      <c r="Z1574" s="15">
        <f t="shared" si="136"/>
        <v>9</v>
      </c>
      <c r="AA1574" s="15">
        <f t="shared" si="133"/>
        <v>2021</v>
      </c>
      <c r="AB1574" s="15">
        <f t="shared" si="134"/>
        <v>2021</v>
      </c>
      <c r="AC1574" s="15">
        <f t="shared" si="135"/>
        <v>2021</v>
      </c>
      <c r="AD1574" s="18" t="b">
        <f t="shared" si="137"/>
        <v>1</v>
      </c>
    </row>
    <row r="1575" spans="1:30" ht="15" hidden="1" customHeight="1" x14ac:dyDescent="0.2">
      <c r="A1575" s="7" t="s">
        <v>683</v>
      </c>
      <c r="B1575" s="7"/>
      <c r="C1575" s="2" t="s">
        <v>641</v>
      </c>
      <c r="D1575" s="6" t="s">
        <v>649</v>
      </c>
      <c r="E1575" s="32" t="s">
        <v>651</v>
      </c>
      <c r="F1575" s="7"/>
      <c r="G1575" s="7"/>
      <c r="H1575" s="7"/>
      <c r="I1575" s="7"/>
      <c r="J1575" s="7">
        <v>1</v>
      </c>
      <c r="K1575" s="7" t="s">
        <v>660</v>
      </c>
      <c r="L1575" s="7" t="s">
        <v>663</v>
      </c>
      <c r="M1575" s="8">
        <v>44440</v>
      </c>
      <c r="N1575" s="8">
        <v>44454</v>
      </c>
      <c r="O1575" s="13"/>
      <c r="P1575" s="13">
        <v>2111.9</v>
      </c>
      <c r="Q1575" s="33"/>
      <c r="R1575" s="22"/>
      <c r="S1575" s="22"/>
      <c r="T1575" s="22"/>
      <c r="U1575" s="22"/>
      <c r="X1575" s="15" t="str">
        <f>IF(B1575="",VLOOKUP(A1575,items_lookup!A:B,2,FALSE),B1575)</f>
        <v>_1. Item _1</v>
      </c>
      <c r="Y1575" s="15">
        <f t="shared" si="136"/>
        <v>9</v>
      </c>
      <c r="Z1575" s="15">
        <f t="shared" si="136"/>
        <v>9</v>
      </c>
      <c r="AA1575" s="15">
        <f t="shared" si="133"/>
        <v>2021</v>
      </c>
      <c r="AB1575" s="15">
        <f t="shared" si="134"/>
        <v>2021</v>
      </c>
      <c r="AC1575" s="15">
        <f t="shared" si="135"/>
        <v>2021</v>
      </c>
      <c r="AD1575" s="18" t="b">
        <f t="shared" si="137"/>
        <v>1</v>
      </c>
    </row>
    <row r="1576" spans="1:30" ht="12.6" hidden="1" customHeight="1" x14ac:dyDescent="0.2">
      <c r="A1576" s="7" t="s">
        <v>683</v>
      </c>
      <c r="B1576" s="7"/>
      <c r="C1576" s="2" t="s">
        <v>641</v>
      </c>
      <c r="D1576" s="6" t="s">
        <v>649</v>
      </c>
      <c r="E1576" s="32" t="s">
        <v>651</v>
      </c>
      <c r="F1576" s="7"/>
      <c r="G1576" s="7"/>
      <c r="H1576" s="7"/>
      <c r="I1576" s="7"/>
      <c r="J1576" s="7">
        <v>4</v>
      </c>
      <c r="K1576" s="7" t="s">
        <v>660</v>
      </c>
      <c r="L1576" s="7" t="s">
        <v>663</v>
      </c>
      <c r="M1576" s="8">
        <v>44440</v>
      </c>
      <c r="N1576" s="8">
        <v>44452</v>
      </c>
      <c r="O1576" s="13"/>
      <c r="P1576" s="13">
        <v>165676.48000000001</v>
      </c>
      <c r="Q1576" s="33"/>
      <c r="R1576" s="22"/>
      <c r="S1576" s="22"/>
      <c r="T1576" s="22"/>
      <c r="U1576" s="22"/>
      <c r="X1576" s="15" t="str">
        <f>IF(B1576="",VLOOKUP(A1576,items_lookup!A:B,2,FALSE),B1576)</f>
        <v>_1. Item _1</v>
      </c>
      <c r="Y1576" s="15">
        <f t="shared" si="136"/>
        <v>9</v>
      </c>
      <c r="Z1576" s="15">
        <f t="shared" si="136"/>
        <v>9</v>
      </c>
      <c r="AA1576" s="15">
        <f t="shared" si="133"/>
        <v>2021</v>
      </c>
      <c r="AB1576" s="15">
        <f t="shared" si="134"/>
        <v>2021</v>
      </c>
      <c r="AC1576" s="15">
        <f t="shared" si="135"/>
        <v>2021</v>
      </c>
      <c r="AD1576" s="18" t="b">
        <f t="shared" si="137"/>
        <v>1</v>
      </c>
    </row>
    <row r="1577" spans="1:30" ht="12.6" hidden="1" customHeight="1" x14ac:dyDescent="0.2">
      <c r="A1577" s="7" t="s">
        <v>675</v>
      </c>
      <c r="B1577" s="7"/>
      <c r="C1577" s="2" t="s">
        <v>641</v>
      </c>
      <c r="D1577" s="6" t="s">
        <v>649</v>
      </c>
      <c r="E1577" s="32" t="s">
        <v>651</v>
      </c>
      <c r="F1577" s="7"/>
      <c r="G1577" s="7"/>
      <c r="H1577" s="7"/>
      <c r="I1577" s="7"/>
      <c r="J1577" s="7">
        <v>1</v>
      </c>
      <c r="K1577" s="7" t="s">
        <v>660</v>
      </c>
      <c r="L1577" s="7" t="s">
        <v>663</v>
      </c>
      <c r="M1577" s="8">
        <v>44442</v>
      </c>
      <c r="N1577" s="8">
        <v>44453</v>
      </c>
      <c r="O1577" s="13"/>
      <c r="P1577" s="13">
        <v>57094.84</v>
      </c>
      <c r="Q1577" s="33"/>
      <c r="R1577" s="22"/>
      <c r="S1577" s="22"/>
      <c r="T1577" s="22"/>
      <c r="U1577" s="22"/>
      <c r="X1577" s="15" t="str">
        <f>IF(B1577="",VLOOKUP(A1577,items_lookup!A:B,2,FALSE),B1577)</f>
        <v>09. Item 09</v>
      </c>
      <c r="Y1577" s="15">
        <f t="shared" si="136"/>
        <v>9</v>
      </c>
      <c r="Z1577" s="15">
        <f t="shared" si="136"/>
        <v>9</v>
      </c>
      <c r="AA1577" s="15">
        <f t="shared" si="133"/>
        <v>2021</v>
      </c>
      <c r="AB1577" s="15">
        <f t="shared" si="134"/>
        <v>2021</v>
      </c>
      <c r="AC1577" s="15">
        <f t="shared" si="135"/>
        <v>2021</v>
      </c>
      <c r="AD1577" s="18" t="b">
        <f t="shared" si="137"/>
        <v>1</v>
      </c>
    </row>
    <row r="1578" spans="1:30" ht="16.5" hidden="1" customHeight="1" x14ac:dyDescent="0.2">
      <c r="A1578" s="7" t="s">
        <v>675</v>
      </c>
      <c r="B1578" s="7"/>
      <c r="C1578" s="2" t="s">
        <v>641</v>
      </c>
      <c r="D1578" s="6" t="s">
        <v>649</v>
      </c>
      <c r="E1578" s="32" t="s">
        <v>651</v>
      </c>
      <c r="F1578" s="7"/>
      <c r="G1578" s="7"/>
      <c r="H1578" s="7"/>
      <c r="I1578" s="7"/>
      <c r="J1578" s="7"/>
      <c r="K1578" s="7" t="s">
        <v>660</v>
      </c>
      <c r="L1578" s="7" t="s">
        <v>663</v>
      </c>
      <c r="M1578" s="8">
        <v>44447</v>
      </c>
      <c r="N1578" s="8">
        <v>44447</v>
      </c>
      <c r="O1578" s="13"/>
      <c r="P1578" s="13">
        <v>3799.01</v>
      </c>
      <c r="Q1578" s="33"/>
      <c r="R1578" s="22"/>
      <c r="S1578" s="22"/>
      <c r="T1578" s="22"/>
      <c r="U1578" s="22"/>
      <c r="X1578" s="15" t="str">
        <f>IF(B1578="",VLOOKUP(A1578,items_lookup!A:B,2,FALSE),B1578)</f>
        <v>09. Item 09</v>
      </c>
      <c r="Y1578" s="15">
        <f t="shared" si="136"/>
        <v>9</v>
      </c>
      <c r="Z1578" s="15">
        <f t="shared" si="136"/>
        <v>9</v>
      </c>
      <c r="AA1578" s="15">
        <f t="shared" si="133"/>
        <v>2021</v>
      </c>
      <c r="AB1578" s="15">
        <f t="shared" si="134"/>
        <v>2021</v>
      </c>
      <c r="AC1578" s="15">
        <f t="shared" si="135"/>
        <v>2021</v>
      </c>
      <c r="AD1578" s="18" t="b">
        <f t="shared" si="137"/>
        <v>1</v>
      </c>
    </row>
    <row r="1579" spans="1:30" ht="15" hidden="1" customHeight="1" x14ac:dyDescent="0.2">
      <c r="A1579" s="7" t="s">
        <v>675</v>
      </c>
      <c r="B1579" s="7"/>
      <c r="C1579" s="2" t="s">
        <v>641</v>
      </c>
      <c r="D1579" s="6" t="s">
        <v>649</v>
      </c>
      <c r="E1579" s="32" t="s">
        <v>651</v>
      </c>
      <c r="F1579" s="7"/>
      <c r="G1579" s="7"/>
      <c r="H1579" s="7"/>
      <c r="I1579" s="7"/>
      <c r="J1579" s="7"/>
      <c r="K1579" s="7" t="s">
        <v>660</v>
      </c>
      <c r="L1579" s="7" t="s">
        <v>663</v>
      </c>
      <c r="M1579" s="8">
        <v>44452</v>
      </c>
      <c r="N1579" s="8">
        <v>44452</v>
      </c>
      <c r="O1579" s="13"/>
      <c r="P1579" s="13">
        <v>165676.48000000001</v>
      </c>
      <c r="Q1579" s="33"/>
      <c r="R1579" s="22"/>
      <c r="S1579" s="22"/>
      <c r="T1579" s="22"/>
      <c r="U1579" s="22"/>
      <c r="X1579" s="15" t="str">
        <f>IF(B1579="",VLOOKUP(A1579,items_lookup!A:B,2,FALSE),B1579)</f>
        <v>09. Item 09</v>
      </c>
      <c r="Y1579" s="15">
        <f t="shared" si="136"/>
        <v>9</v>
      </c>
      <c r="Z1579" s="15">
        <f t="shared" si="136"/>
        <v>9</v>
      </c>
      <c r="AA1579" s="15">
        <f t="shared" si="133"/>
        <v>2021</v>
      </c>
      <c r="AB1579" s="15">
        <f t="shared" si="134"/>
        <v>2021</v>
      </c>
      <c r="AC1579" s="15">
        <f t="shared" si="135"/>
        <v>2021</v>
      </c>
      <c r="AD1579" s="18" t="b">
        <f t="shared" si="137"/>
        <v>1</v>
      </c>
    </row>
    <row r="1580" spans="1:30" ht="15" hidden="1" customHeight="1" x14ac:dyDescent="0.2">
      <c r="A1580" s="7" t="s">
        <v>675</v>
      </c>
      <c r="B1580" s="7"/>
      <c r="C1580" s="2" t="s">
        <v>641</v>
      </c>
      <c r="D1580" s="6" t="s">
        <v>649</v>
      </c>
      <c r="E1580" s="32" t="s">
        <v>651</v>
      </c>
      <c r="F1580" s="7"/>
      <c r="G1580" s="7"/>
      <c r="H1580" s="7"/>
      <c r="I1580" s="7"/>
      <c r="J1580" s="7"/>
      <c r="K1580" s="7" t="s">
        <v>660</v>
      </c>
      <c r="L1580" s="7" t="s">
        <v>663</v>
      </c>
      <c r="M1580" s="8">
        <v>44453</v>
      </c>
      <c r="N1580" s="8">
        <v>44453</v>
      </c>
      <c r="O1580" s="13"/>
      <c r="P1580" s="13">
        <v>2931467.91</v>
      </c>
      <c r="Q1580" s="33"/>
      <c r="R1580" s="22"/>
      <c r="S1580" s="22"/>
      <c r="T1580" s="22"/>
      <c r="U1580" s="22"/>
      <c r="X1580" s="15" t="str">
        <f>IF(B1580="",VLOOKUP(A1580,items_lookup!A:B,2,FALSE),B1580)</f>
        <v>09. Item 09</v>
      </c>
      <c r="Y1580" s="15">
        <f t="shared" si="136"/>
        <v>9</v>
      </c>
      <c r="Z1580" s="15">
        <f t="shared" si="136"/>
        <v>9</v>
      </c>
      <c r="AA1580" s="15">
        <f t="shared" si="133"/>
        <v>2021</v>
      </c>
      <c r="AB1580" s="15">
        <f t="shared" si="134"/>
        <v>2021</v>
      </c>
      <c r="AC1580" s="15">
        <f t="shared" si="135"/>
        <v>2021</v>
      </c>
      <c r="AD1580" s="18" t="b">
        <f t="shared" si="137"/>
        <v>1</v>
      </c>
    </row>
    <row r="1581" spans="1:30" ht="15" hidden="1" customHeight="1" x14ac:dyDescent="0.2">
      <c r="A1581" s="7" t="s">
        <v>677</v>
      </c>
      <c r="B1581" s="7"/>
      <c r="C1581" s="2" t="s">
        <v>648</v>
      </c>
      <c r="D1581" s="6" t="s">
        <v>649</v>
      </c>
      <c r="E1581" s="32" t="s">
        <v>651</v>
      </c>
      <c r="F1581" s="7"/>
      <c r="G1581" s="7"/>
      <c r="H1581" s="7"/>
      <c r="I1581" s="7"/>
      <c r="J1581" s="7"/>
      <c r="K1581" s="7"/>
      <c r="L1581" s="7" t="s">
        <v>663</v>
      </c>
      <c r="M1581" s="8">
        <v>44440</v>
      </c>
      <c r="N1581" s="8">
        <v>44440</v>
      </c>
      <c r="O1581" s="13"/>
      <c r="P1581" s="13">
        <v>98509.11</v>
      </c>
      <c r="Q1581" s="33"/>
      <c r="R1581" s="22"/>
      <c r="S1581" s="22"/>
      <c r="T1581" s="22"/>
      <c r="U1581" s="22"/>
      <c r="X1581" s="15" t="str">
        <f>IF(B1581="",VLOOKUP(A1581,items_lookup!A:B,2,FALSE),B1581)</f>
        <v>11. Item 11</v>
      </c>
      <c r="Y1581" s="15">
        <f t="shared" si="136"/>
        <v>9</v>
      </c>
      <c r="Z1581" s="15">
        <f t="shared" si="136"/>
        <v>9</v>
      </c>
      <c r="AA1581" s="15">
        <f t="shared" si="133"/>
        <v>2021</v>
      </c>
      <c r="AB1581" s="15">
        <f t="shared" si="134"/>
        <v>2021</v>
      </c>
      <c r="AC1581" s="15">
        <f t="shared" si="135"/>
        <v>2021</v>
      </c>
      <c r="AD1581" s="18" t="b">
        <f t="shared" si="137"/>
        <v>1</v>
      </c>
    </row>
    <row r="1582" spans="1:30" ht="15" hidden="1" customHeight="1" x14ac:dyDescent="0.2">
      <c r="A1582" s="7" t="s">
        <v>696</v>
      </c>
      <c r="B1582" s="7"/>
      <c r="C1582" s="2" t="s">
        <v>648</v>
      </c>
      <c r="D1582" s="6" t="s">
        <v>649</v>
      </c>
      <c r="E1582" s="32" t="s">
        <v>651</v>
      </c>
      <c r="F1582" s="7"/>
      <c r="G1582" s="7"/>
      <c r="H1582" s="7"/>
      <c r="I1582" s="7"/>
      <c r="J1582" s="7"/>
      <c r="K1582" s="7"/>
      <c r="L1582" s="7" t="s">
        <v>663</v>
      </c>
      <c r="M1582" s="8">
        <v>44440</v>
      </c>
      <c r="N1582" s="8">
        <v>44440</v>
      </c>
      <c r="O1582" s="13"/>
      <c r="P1582" s="13">
        <v>5552934.3899999997</v>
      </c>
      <c r="Q1582" s="33"/>
      <c r="R1582" s="22"/>
      <c r="S1582" s="22"/>
      <c r="T1582" s="22"/>
      <c r="U1582" s="22"/>
      <c r="X1582" s="15" t="str">
        <f>IF(B1582="",VLOOKUP(A1582,items_lookup!A:B,2,FALSE),B1582)</f>
        <v>13. Item 13</v>
      </c>
      <c r="Y1582" s="15">
        <f t="shared" si="136"/>
        <v>9</v>
      </c>
      <c r="Z1582" s="15">
        <f t="shared" si="136"/>
        <v>9</v>
      </c>
      <c r="AA1582" s="15">
        <f t="shared" si="133"/>
        <v>2021</v>
      </c>
      <c r="AB1582" s="15">
        <f t="shared" si="134"/>
        <v>2021</v>
      </c>
      <c r="AC1582" s="15">
        <f t="shared" si="135"/>
        <v>2021</v>
      </c>
      <c r="AD1582" s="18" t="b">
        <f t="shared" si="137"/>
        <v>1</v>
      </c>
    </row>
    <row r="1583" spans="1:30" ht="15" hidden="1" customHeight="1" x14ac:dyDescent="0.2">
      <c r="A1583" s="7" t="s">
        <v>678</v>
      </c>
      <c r="B1583" s="7"/>
      <c r="C1583" s="2" t="s">
        <v>648</v>
      </c>
      <c r="D1583" s="6" t="s">
        <v>649</v>
      </c>
      <c r="E1583" s="32" t="s">
        <v>651</v>
      </c>
      <c r="F1583" s="7"/>
      <c r="G1583" s="7"/>
      <c r="H1583" s="7"/>
      <c r="I1583" s="7"/>
      <c r="J1583" s="7"/>
      <c r="K1583" s="7"/>
      <c r="L1583" s="7" t="s">
        <v>663</v>
      </c>
      <c r="M1583" s="8">
        <v>44440</v>
      </c>
      <c r="N1583" s="8">
        <v>44440</v>
      </c>
      <c r="O1583" s="13"/>
      <c r="P1583" s="13">
        <v>6860616</v>
      </c>
      <c r="Q1583" s="33"/>
      <c r="R1583" s="22"/>
      <c r="S1583" s="22"/>
      <c r="T1583" s="22"/>
      <c r="U1583" s="22"/>
      <c r="X1583" s="15" t="str">
        <f>IF(B1583="",VLOOKUP(A1583,items_lookup!A:B,2,FALSE),B1583)</f>
        <v>13. Item 13</v>
      </c>
      <c r="Y1583" s="15">
        <f t="shared" si="136"/>
        <v>9</v>
      </c>
      <c r="Z1583" s="15">
        <f t="shared" si="136"/>
        <v>9</v>
      </c>
      <c r="AA1583" s="15">
        <f t="shared" ref="AA1583:AA1646" si="138">YEAR(N1583)</f>
        <v>2021</v>
      </c>
      <c r="AB1583" s="15">
        <f t="shared" ref="AB1583:AB1646" si="139">YEAR(M1583)</f>
        <v>2021</v>
      </c>
      <c r="AC1583" s="15">
        <f t="shared" ref="AC1583:AC1646" si="140">IF(F1583="X",AA1583-1,AA1583)</f>
        <v>2021</v>
      </c>
      <c r="AD1583" s="18" t="b">
        <f t="shared" si="137"/>
        <v>1</v>
      </c>
    </row>
    <row r="1584" spans="1:30" ht="15" hidden="1" customHeight="1" x14ac:dyDescent="0.2">
      <c r="A1584" s="7" t="s">
        <v>701</v>
      </c>
      <c r="B1584" s="7"/>
      <c r="C1584" s="2" t="s">
        <v>648</v>
      </c>
      <c r="D1584" s="6" t="s">
        <v>649</v>
      </c>
      <c r="E1584" s="32" t="s">
        <v>651</v>
      </c>
      <c r="F1584" s="7"/>
      <c r="G1584" s="7"/>
      <c r="H1584" s="7"/>
      <c r="I1584" s="7"/>
      <c r="J1584" s="7"/>
      <c r="K1584" s="7"/>
      <c r="L1584" s="7" t="s">
        <v>663</v>
      </c>
      <c r="M1584" s="8">
        <v>44440</v>
      </c>
      <c r="N1584" s="8">
        <v>44440</v>
      </c>
      <c r="O1584" s="13">
        <v>404.38</v>
      </c>
      <c r="P1584" s="13">
        <v>34621.53</v>
      </c>
      <c r="Q1584" s="33"/>
      <c r="R1584" s="22"/>
      <c r="S1584" s="22"/>
      <c r="T1584" s="22"/>
      <c r="U1584" s="22"/>
      <c r="X1584" s="15" t="str">
        <f>IF(B1584="",VLOOKUP(A1584,items_lookup!A:B,2,FALSE),B1584)</f>
        <v>13. Item 13</v>
      </c>
      <c r="Y1584" s="15">
        <f t="shared" si="136"/>
        <v>9</v>
      </c>
      <c r="Z1584" s="15">
        <f t="shared" si="136"/>
        <v>9</v>
      </c>
      <c r="AA1584" s="15">
        <f t="shared" si="138"/>
        <v>2021</v>
      </c>
      <c r="AB1584" s="15">
        <f t="shared" si="139"/>
        <v>2021</v>
      </c>
      <c r="AC1584" s="15">
        <f t="shared" si="140"/>
        <v>2021</v>
      </c>
      <c r="AD1584" s="18" t="b">
        <f t="shared" si="137"/>
        <v>1</v>
      </c>
    </row>
    <row r="1585" spans="1:30" ht="15" hidden="1" customHeight="1" x14ac:dyDescent="0.2">
      <c r="A1585" s="7" t="s">
        <v>680</v>
      </c>
      <c r="B1585" s="7"/>
      <c r="C1585" s="2" t="s">
        <v>648</v>
      </c>
      <c r="D1585" s="6" t="s">
        <v>649</v>
      </c>
      <c r="E1585" s="32" t="s">
        <v>651</v>
      </c>
      <c r="F1585" s="7"/>
      <c r="G1585" s="7"/>
      <c r="H1585" s="7"/>
      <c r="I1585" s="7"/>
      <c r="J1585" s="7"/>
      <c r="K1585" s="7"/>
      <c r="L1585" s="7" t="s">
        <v>663</v>
      </c>
      <c r="M1585" s="8">
        <v>44440</v>
      </c>
      <c r="N1585" s="8">
        <v>44440</v>
      </c>
      <c r="O1585" s="13"/>
      <c r="P1585" s="13">
        <v>288288.31</v>
      </c>
      <c r="Q1585" s="33"/>
      <c r="R1585" s="22"/>
      <c r="S1585" s="22"/>
      <c r="T1585" s="22"/>
      <c r="U1585" s="22"/>
      <c r="X1585" s="15" t="str">
        <f>IF(B1585="",VLOOKUP(A1585,items_lookup!A:B,2,FALSE),B1585)</f>
        <v>13. Item 13</v>
      </c>
      <c r="Y1585" s="15">
        <f t="shared" si="136"/>
        <v>9</v>
      </c>
      <c r="Z1585" s="15">
        <f t="shared" si="136"/>
        <v>9</v>
      </c>
      <c r="AA1585" s="15">
        <f t="shared" si="138"/>
        <v>2021</v>
      </c>
      <c r="AB1585" s="15">
        <f t="shared" si="139"/>
        <v>2021</v>
      </c>
      <c r="AC1585" s="15">
        <f t="shared" si="140"/>
        <v>2021</v>
      </c>
      <c r="AD1585" s="18" t="b">
        <f t="shared" si="137"/>
        <v>1</v>
      </c>
    </row>
    <row r="1586" spans="1:30" ht="15" hidden="1" customHeight="1" x14ac:dyDescent="0.2">
      <c r="A1586" s="7" t="s">
        <v>674</v>
      </c>
      <c r="B1586" s="7"/>
      <c r="C1586" s="2" t="s">
        <v>648</v>
      </c>
      <c r="D1586" s="6" t="s">
        <v>649</v>
      </c>
      <c r="E1586" s="32" t="s">
        <v>651</v>
      </c>
      <c r="F1586" s="7"/>
      <c r="G1586" s="7"/>
      <c r="H1586" s="7"/>
      <c r="I1586" s="7"/>
      <c r="J1586" s="7"/>
      <c r="K1586" s="7"/>
      <c r="L1586" s="7" t="s">
        <v>663</v>
      </c>
      <c r="M1586" s="8">
        <v>44440</v>
      </c>
      <c r="N1586" s="8">
        <v>44440</v>
      </c>
      <c r="O1586" s="13"/>
      <c r="P1586" s="13">
        <v>13584109.699999999</v>
      </c>
      <c r="Q1586" s="33"/>
      <c r="R1586" s="22"/>
      <c r="S1586" s="22"/>
      <c r="T1586" s="22"/>
      <c r="U1586" s="22"/>
      <c r="X1586" s="15" t="str">
        <f>IF(B1586="",VLOOKUP(A1586,items_lookup!A:B,2,FALSE),B1586)</f>
        <v>08. Item 08</v>
      </c>
      <c r="Y1586" s="15">
        <f t="shared" si="136"/>
        <v>9</v>
      </c>
      <c r="Z1586" s="15">
        <f t="shared" si="136"/>
        <v>9</v>
      </c>
      <c r="AA1586" s="15">
        <f t="shared" si="138"/>
        <v>2021</v>
      </c>
      <c r="AB1586" s="15">
        <f t="shared" si="139"/>
        <v>2021</v>
      </c>
      <c r="AC1586" s="15">
        <f t="shared" si="140"/>
        <v>2021</v>
      </c>
      <c r="AD1586" s="18" t="b">
        <f t="shared" si="137"/>
        <v>1</v>
      </c>
    </row>
    <row r="1587" spans="1:30" ht="15" hidden="1" customHeight="1" x14ac:dyDescent="0.2">
      <c r="A1587" s="7" t="s">
        <v>676</v>
      </c>
      <c r="B1587" s="7"/>
      <c r="C1587" s="2" t="s">
        <v>648</v>
      </c>
      <c r="D1587" s="6" t="s">
        <v>649</v>
      </c>
      <c r="E1587" s="32" t="s">
        <v>651</v>
      </c>
      <c r="F1587" s="7"/>
      <c r="G1587" s="7"/>
      <c r="H1587" s="7"/>
      <c r="I1587" s="7"/>
      <c r="J1587" s="7"/>
      <c r="K1587" s="7"/>
      <c r="L1587" s="7" t="s">
        <v>663</v>
      </c>
      <c r="M1587" s="8">
        <v>44440</v>
      </c>
      <c r="N1587" s="8">
        <v>44440</v>
      </c>
      <c r="O1587" s="13"/>
      <c r="P1587" s="13">
        <v>426319.74</v>
      </c>
      <c r="Q1587" s="33"/>
      <c r="R1587" s="22"/>
      <c r="S1587" s="22"/>
      <c r="T1587" s="22"/>
      <c r="U1587" s="22"/>
      <c r="X1587" s="15" t="str">
        <f>IF(B1587="",VLOOKUP(A1587,items_lookup!A:B,2,FALSE),B1587)</f>
        <v>09. Item 09</v>
      </c>
      <c r="Y1587" s="15">
        <f t="shared" si="136"/>
        <v>9</v>
      </c>
      <c r="Z1587" s="15">
        <f t="shared" si="136"/>
        <v>9</v>
      </c>
      <c r="AA1587" s="15">
        <f t="shared" si="138"/>
        <v>2021</v>
      </c>
      <c r="AB1587" s="15">
        <f t="shared" si="139"/>
        <v>2021</v>
      </c>
      <c r="AC1587" s="15">
        <f t="shared" si="140"/>
        <v>2021</v>
      </c>
      <c r="AD1587" s="18" t="b">
        <f t="shared" si="137"/>
        <v>1</v>
      </c>
    </row>
    <row r="1588" spans="1:30" ht="15" hidden="1" customHeight="1" x14ac:dyDescent="0.2">
      <c r="A1588" s="7" t="s">
        <v>676</v>
      </c>
      <c r="B1588" s="7"/>
      <c r="C1588" s="2" t="s">
        <v>648</v>
      </c>
      <c r="D1588" s="6" t="s">
        <v>649</v>
      </c>
      <c r="E1588" s="32" t="s">
        <v>651</v>
      </c>
      <c r="F1588" s="7"/>
      <c r="G1588" s="7"/>
      <c r="H1588" s="7"/>
      <c r="I1588" s="7"/>
      <c r="J1588" s="7"/>
      <c r="K1588" s="7"/>
      <c r="L1588" s="7" t="s">
        <v>663</v>
      </c>
      <c r="M1588" s="8">
        <v>44440</v>
      </c>
      <c r="N1588" s="8">
        <v>44440</v>
      </c>
      <c r="O1588" s="13"/>
      <c r="P1588" s="13">
        <v>874371.4</v>
      </c>
      <c r="Q1588" s="33"/>
      <c r="X1588" s="15" t="str">
        <f>IF(B1588="",VLOOKUP(A1588,items_lookup!A:B,2,FALSE),B1588)</f>
        <v>09. Item 09</v>
      </c>
      <c r="Y1588" s="15">
        <f t="shared" si="136"/>
        <v>9</v>
      </c>
      <c r="Z1588" s="15">
        <f t="shared" si="136"/>
        <v>9</v>
      </c>
      <c r="AA1588" s="15">
        <f t="shared" si="138"/>
        <v>2021</v>
      </c>
      <c r="AB1588" s="15">
        <f t="shared" si="139"/>
        <v>2021</v>
      </c>
      <c r="AC1588" s="15">
        <f t="shared" si="140"/>
        <v>2021</v>
      </c>
      <c r="AD1588" s="18" t="b">
        <f t="shared" si="137"/>
        <v>1</v>
      </c>
    </row>
    <row r="1589" spans="1:30" ht="15" hidden="1" customHeight="1" x14ac:dyDescent="0.2">
      <c r="A1589" s="7" t="s">
        <v>683</v>
      </c>
      <c r="B1589" s="7"/>
      <c r="C1589" s="2" t="s">
        <v>648</v>
      </c>
      <c r="D1589" s="6" t="s">
        <v>649</v>
      </c>
      <c r="E1589" s="32" t="s">
        <v>651</v>
      </c>
      <c r="F1589" s="7"/>
      <c r="G1589" s="7"/>
      <c r="H1589" s="7"/>
      <c r="I1589" s="7"/>
      <c r="J1589" s="7"/>
      <c r="K1589" s="7"/>
      <c r="L1589" s="7" t="s">
        <v>663</v>
      </c>
      <c r="M1589" s="8">
        <v>44440</v>
      </c>
      <c r="N1589" s="8">
        <v>44440</v>
      </c>
      <c r="O1589" s="13"/>
      <c r="P1589" s="13">
        <v>589322.18000000005</v>
      </c>
      <c r="Q1589" s="33"/>
      <c r="X1589" s="15" t="str">
        <f>IF(B1589="",VLOOKUP(A1589,items_lookup!A:B,2,FALSE),B1589)</f>
        <v>_1. Item _1</v>
      </c>
      <c r="Y1589" s="15">
        <f t="shared" si="136"/>
        <v>9</v>
      </c>
      <c r="Z1589" s="15">
        <f t="shared" si="136"/>
        <v>9</v>
      </c>
      <c r="AA1589" s="15">
        <f t="shared" si="138"/>
        <v>2021</v>
      </c>
      <c r="AB1589" s="15">
        <f t="shared" si="139"/>
        <v>2021</v>
      </c>
      <c r="AC1589" s="15">
        <f t="shared" si="140"/>
        <v>2021</v>
      </c>
      <c r="AD1589" s="18" t="b">
        <f t="shared" si="137"/>
        <v>1</v>
      </c>
    </row>
    <row r="1590" spans="1:30" ht="15" hidden="1" customHeight="1" x14ac:dyDescent="0.2">
      <c r="A1590" s="7" t="s">
        <v>680</v>
      </c>
      <c r="B1590" s="7"/>
      <c r="C1590" s="2" t="s">
        <v>648</v>
      </c>
      <c r="D1590" s="6" t="s">
        <v>649</v>
      </c>
      <c r="E1590" s="32" t="s">
        <v>651</v>
      </c>
      <c r="F1590" s="7"/>
      <c r="G1590" s="7"/>
      <c r="H1590" s="7"/>
      <c r="I1590" s="7"/>
      <c r="J1590" s="7"/>
      <c r="K1590" s="7"/>
      <c r="L1590" s="7" t="s">
        <v>663</v>
      </c>
      <c r="M1590" s="8">
        <v>44440</v>
      </c>
      <c r="N1590" s="8">
        <v>44440</v>
      </c>
      <c r="O1590" s="13">
        <v>265607.84999999998</v>
      </c>
      <c r="P1590" s="13">
        <v>352663.35</v>
      </c>
      <c r="Q1590" s="33"/>
      <c r="X1590" s="15" t="str">
        <f>IF(B1590="",VLOOKUP(A1590,items_lookup!A:B,2,FALSE),B1590)</f>
        <v>13. Item 13</v>
      </c>
      <c r="Y1590" s="15">
        <f t="shared" si="136"/>
        <v>9</v>
      </c>
      <c r="Z1590" s="15">
        <f t="shared" si="136"/>
        <v>9</v>
      </c>
      <c r="AA1590" s="15">
        <f t="shared" si="138"/>
        <v>2021</v>
      </c>
      <c r="AB1590" s="15">
        <f t="shared" si="139"/>
        <v>2021</v>
      </c>
      <c r="AC1590" s="15">
        <f t="shared" si="140"/>
        <v>2021</v>
      </c>
      <c r="AD1590" s="18" t="b">
        <f t="shared" si="137"/>
        <v>1</v>
      </c>
    </row>
    <row r="1591" spans="1:30" ht="12.75" hidden="1" customHeight="1" x14ac:dyDescent="0.2">
      <c r="A1591" s="7" t="s">
        <v>680</v>
      </c>
      <c r="B1591" s="7"/>
      <c r="C1591" s="2" t="s">
        <v>648</v>
      </c>
      <c r="D1591" s="6" t="s">
        <v>649</v>
      </c>
      <c r="E1591" s="32" t="s">
        <v>651</v>
      </c>
      <c r="F1591" s="7"/>
      <c r="G1591" s="7"/>
      <c r="H1591" s="7"/>
      <c r="I1591" s="7"/>
      <c r="J1591" s="7"/>
      <c r="K1591" s="7"/>
      <c r="L1591" s="7" t="s">
        <v>663</v>
      </c>
      <c r="M1591" s="8">
        <v>44440</v>
      </c>
      <c r="N1591" s="8">
        <v>44440</v>
      </c>
      <c r="O1591" s="13"/>
      <c r="P1591" s="13">
        <v>22738.85</v>
      </c>
      <c r="Q1591" s="33"/>
      <c r="R1591" s="22"/>
      <c r="S1591" s="22"/>
      <c r="T1591" s="22"/>
      <c r="U1591" s="22"/>
      <c r="X1591" s="15" t="str">
        <f>IF(B1591="",VLOOKUP(A1591,items_lookup!A:B,2,FALSE),B1591)</f>
        <v>13. Item 13</v>
      </c>
      <c r="Y1591" s="15">
        <f t="shared" si="136"/>
        <v>9</v>
      </c>
      <c r="Z1591" s="15">
        <f t="shared" si="136"/>
        <v>9</v>
      </c>
      <c r="AA1591" s="15">
        <f t="shared" si="138"/>
        <v>2021</v>
      </c>
      <c r="AB1591" s="15">
        <f t="shared" si="139"/>
        <v>2021</v>
      </c>
      <c r="AC1591" s="15">
        <f t="shared" si="140"/>
        <v>2021</v>
      </c>
      <c r="AD1591" s="18" t="b">
        <f t="shared" si="137"/>
        <v>1</v>
      </c>
    </row>
    <row r="1592" spans="1:30" ht="15.75" hidden="1" customHeight="1" x14ac:dyDescent="0.2">
      <c r="A1592" s="7" t="s">
        <v>680</v>
      </c>
      <c r="B1592" s="7"/>
      <c r="C1592" s="2" t="s">
        <v>648</v>
      </c>
      <c r="D1592" s="6" t="s">
        <v>649</v>
      </c>
      <c r="E1592" s="32" t="s">
        <v>651</v>
      </c>
      <c r="F1592" s="7"/>
      <c r="G1592" s="7"/>
      <c r="H1592" s="7"/>
      <c r="I1592" s="7"/>
      <c r="J1592" s="7"/>
      <c r="K1592" s="7"/>
      <c r="L1592" s="7" t="s">
        <v>663</v>
      </c>
      <c r="M1592" s="8">
        <v>44440</v>
      </c>
      <c r="N1592" s="8">
        <v>44440</v>
      </c>
      <c r="O1592" s="13"/>
      <c r="P1592" s="13">
        <v>35040.089999999997</v>
      </c>
      <c r="Q1592" s="33"/>
      <c r="R1592" s="22"/>
      <c r="S1592" s="22"/>
      <c r="T1592" s="22"/>
      <c r="U1592" s="22"/>
      <c r="X1592" s="15" t="str">
        <f>IF(B1592="",VLOOKUP(A1592,items_lookup!A:B,2,FALSE),B1592)</f>
        <v>13. Item 13</v>
      </c>
      <c r="Y1592" s="15">
        <f t="shared" si="136"/>
        <v>9</v>
      </c>
      <c r="Z1592" s="15">
        <f t="shared" si="136"/>
        <v>9</v>
      </c>
      <c r="AA1592" s="15">
        <f t="shared" si="138"/>
        <v>2021</v>
      </c>
      <c r="AB1592" s="15">
        <f t="shared" si="139"/>
        <v>2021</v>
      </c>
      <c r="AC1592" s="15">
        <f t="shared" si="140"/>
        <v>2021</v>
      </c>
      <c r="AD1592" s="18" t="b">
        <f t="shared" si="137"/>
        <v>1</v>
      </c>
    </row>
    <row r="1593" spans="1:30" ht="15.75" hidden="1" customHeight="1" x14ac:dyDescent="0.2">
      <c r="A1593" s="7" t="s">
        <v>688</v>
      </c>
      <c r="B1593" s="7"/>
      <c r="C1593" s="2" t="s">
        <v>648</v>
      </c>
      <c r="D1593" s="6" t="s">
        <v>649</v>
      </c>
      <c r="E1593" s="32" t="s">
        <v>651</v>
      </c>
      <c r="F1593" s="7"/>
      <c r="G1593" s="7"/>
      <c r="H1593" s="7"/>
      <c r="I1593" s="7"/>
      <c r="J1593" s="7"/>
      <c r="K1593" s="7"/>
      <c r="L1593" s="7" t="s">
        <v>663</v>
      </c>
      <c r="M1593" s="8">
        <v>44440</v>
      </c>
      <c r="N1593" s="8">
        <v>44440</v>
      </c>
      <c r="O1593" s="13"/>
      <c r="P1593" s="13">
        <v>32544.63</v>
      </c>
      <c r="Q1593" s="33"/>
      <c r="R1593" s="22"/>
      <c r="S1593" s="22"/>
      <c r="T1593" s="22"/>
      <c r="U1593" s="22"/>
      <c r="X1593" s="15" t="str">
        <f>IF(B1593="",VLOOKUP(A1593,items_lookup!A:B,2,FALSE),B1593)</f>
        <v>09. Item 09</v>
      </c>
      <c r="Y1593" s="15">
        <f t="shared" si="136"/>
        <v>9</v>
      </c>
      <c r="Z1593" s="15">
        <f t="shared" si="136"/>
        <v>9</v>
      </c>
      <c r="AA1593" s="15">
        <f t="shared" si="138"/>
        <v>2021</v>
      </c>
      <c r="AB1593" s="15">
        <f t="shared" si="139"/>
        <v>2021</v>
      </c>
      <c r="AC1593" s="15">
        <f t="shared" si="140"/>
        <v>2021</v>
      </c>
      <c r="AD1593" s="18" t="b">
        <f t="shared" si="137"/>
        <v>1</v>
      </c>
    </row>
    <row r="1594" spans="1:30" ht="15" hidden="1" customHeight="1" x14ac:dyDescent="0.2">
      <c r="A1594" s="7" t="s">
        <v>692</v>
      </c>
      <c r="B1594" s="7"/>
      <c r="C1594" s="2" t="s">
        <v>648</v>
      </c>
      <c r="D1594" s="6" t="s">
        <v>649</v>
      </c>
      <c r="E1594" s="32" t="s">
        <v>651</v>
      </c>
      <c r="F1594" s="7"/>
      <c r="G1594" s="7"/>
      <c r="H1594" s="7"/>
      <c r="I1594" s="7"/>
      <c r="J1594" s="7"/>
      <c r="K1594" s="7"/>
      <c r="L1594" s="7" t="s">
        <v>663</v>
      </c>
      <c r="M1594" s="8">
        <v>44440</v>
      </c>
      <c r="N1594" s="8">
        <v>44440</v>
      </c>
      <c r="O1594" s="13"/>
      <c r="P1594" s="13">
        <v>710947.73</v>
      </c>
      <c r="Q1594" s="33"/>
      <c r="R1594" s="22"/>
      <c r="S1594" s="22"/>
      <c r="T1594" s="22"/>
      <c r="U1594" s="22"/>
      <c r="X1594" s="15" t="str">
        <f>IF(B1594="",VLOOKUP(A1594,items_lookup!A:B,2,FALSE),B1594)</f>
        <v>03. Item 03</v>
      </c>
      <c r="Y1594" s="15">
        <f t="shared" si="136"/>
        <v>9</v>
      </c>
      <c r="Z1594" s="15">
        <f t="shared" si="136"/>
        <v>9</v>
      </c>
      <c r="AA1594" s="15">
        <f t="shared" si="138"/>
        <v>2021</v>
      </c>
      <c r="AB1594" s="15">
        <f t="shared" si="139"/>
        <v>2021</v>
      </c>
      <c r="AC1594" s="15">
        <f t="shared" si="140"/>
        <v>2021</v>
      </c>
      <c r="AD1594" s="18" t="b">
        <f t="shared" si="137"/>
        <v>1</v>
      </c>
    </row>
    <row r="1595" spans="1:30" ht="15" hidden="1" customHeight="1" x14ac:dyDescent="0.2">
      <c r="A1595" s="7" t="s">
        <v>682</v>
      </c>
      <c r="B1595" s="7"/>
      <c r="C1595" s="2" t="s">
        <v>648</v>
      </c>
      <c r="D1595" s="6" t="s">
        <v>649</v>
      </c>
      <c r="E1595" s="32" t="s">
        <v>651</v>
      </c>
      <c r="F1595" s="7"/>
      <c r="G1595" s="7"/>
      <c r="H1595" s="7"/>
      <c r="I1595" s="7"/>
      <c r="J1595" s="7"/>
      <c r="K1595" s="7"/>
      <c r="L1595" s="7" t="s">
        <v>663</v>
      </c>
      <c r="M1595" s="8">
        <v>44440</v>
      </c>
      <c r="N1595" s="8">
        <v>44440</v>
      </c>
      <c r="O1595" s="13"/>
      <c r="P1595" s="13">
        <v>301690.01</v>
      </c>
      <c r="Q1595" s="33"/>
      <c r="R1595" s="22"/>
      <c r="S1595" s="22"/>
      <c r="T1595" s="22"/>
      <c r="U1595" s="22"/>
      <c r="X1595" s="15" t="str">
        <f>IF(B1595="",VLOOKUP(A1595,items_lookup!A:B,2,FALSE),B1595)</f>
        <v>06. Item 06</v>
      </c>
      <c r="Y1595" s="15">
        <f t="shared" si="136"/>
        <v>9</v>
      </c>
      <c r="Z1595" s="15">
        <f t="shared" si="136"/>
        <v>9</v>
      </c>
      <c r="AA1595" s="15">
        <f t="shared" si="138"/>
        <v>2021</v>
      </c>
      <c r="AB1595" s="15">
        <f t="shared" si="139"/>
        <v>2021</v>
      </c>
      <c r="AC1595" s="15">
        <f t="shared" si="140"/>
        <v>2021</v>
      </c>
      <c r="AD1595" s="18" t="b">
        <f t="shared" si="137"/>
        <v>1</v>
      </c>
    </row>
    <row r="1596" spans="1:30" ht="17.25" hidden="1" customHeight="1" x14ac:dyDescent="0.2">
      <c r="A1596" s="7" t="s">
        <v>688</v>
      </c>
      <c r="B1596" s="7"/>
      <c r="C1596" s="2" t="s">
        <v>648</v>
      </c>
      <c r="D1596" s="6" t="s">
        <v>649</v>
      </c>
      <c r="E1596" s="32" t="s">
        <v>651</v>
      </c>
      <c r="F1596" s="7"/>
      <c r="G1596" s="7"/>
      <c r="H1596" s="7"/>
      <c r="I1596" s="7"/>
      <c r="J1596" s="7"/>
      <c r="K1596" s="7"/>
      <c r="L1596" s="7" t="s">
        <v>663</v>
      </c>
      <c r="M1596" s="8">
        <v>44440</v>
      </c>
      <c r="N1596" s="8">
        <v>44440</v>
      </c>
      <c r="O1596" s="13"/>
      <c r="P1596" s="13">
        <v>99441.76</v>
      </c>
      <c r="Q1596" s="33"/>
      <c r="R1596" s="22"/>
      <c r="S1596" s="22"/>
      <c r="T1596" s="22"/>
      <c r="U1596" s="22"/>
      <c r="X1596" s="15" t="str">
        <f>IF(B1596="",VLOOKUP(A1596,items_lookup!A:B,2,FALSE),B1596)</f>
        <v>09. Item 09</v>
      </c>
      <c r="Y1596" s="15">
        <f t="shared" si="136"/>
        <v>9</v>
      </c>
      <c r="Z1596" s="15">
        <f t="shared" si="136"/>
        <v>9</v>
      </c>
      <c r="AA1596" s="15">
        <f t="shared" si="138"/>
        <v>2021</v>
      </c>
      <c r="AB1596" s="15">
        <f t="shared" si="139"/>
        <v>2021</v>
      </c>
      <c r="AC1596" s="15">
        <f t="shared" si="140"/>
        <v>2021</v>
      </c>
      <c r="AD1596" s="18" t="b">
        <f t="shared" si="137"/>
        <v>1</v>
      </c>
    </row>
    <row r="1597" spans="1:30" ht="15" hidden="1" customHeight="1" x14ac:dyDescent="0.2">
      <c r="A1597" s="7" t="s">
        <v>675</v>
      </c>
      <c r="B1597" s="7"/>
      <c r="C1597" s="2" t="s">
        <v>648</v>
      </c>
      <c r="D1597" s="6" t="s">
        <v>649</v>
      </c>
      <c r="E1597" s="32" t="s">
        <v>651</v>
      </c>
      <c r="F1597" s="7"/>
      <c r="G1597" s="7"/>
      <c r="H1597" s="7"/>
      <c r="I1597" s="7"/>
      <c r="J1597" s="7"/>
      <c r="K1597" s="7"/>
      <c r="L1597" s="7" t="s">
        <v>663</v>
      </c>
      <c r="M1597" s="8">
        <v>44440</v>
      </c>
      <c r="N1597" s="8">
        <v>44440</v>
      </c>
      <c r="O1597" s="13"/>
      <c r="P1597" s="13">
        <v>143.57</v>
      </c>
      <c r="Q1597" s="33"/>
      <c r="R1597" s="22"/>
      <c r="S1597" s="22"/>
      <c r="T1597" s="22"/>
      <c r="U1597" s="22"/>
      <c r="X1597" s="15" t="str">
        <f>IF(B1597="",VLOOKUP(A1597,items_lookup!A:B,2,FALSE),B1597)</f>
        <v>09. Item 09</v>
      </c>
      <c r="Y1597" s="15">
        <f t="shared" si="136"/>
        <v>9</v>
      </c>
      <c r="Z1597" s="15">
        <f t="shared" si="136"/>
        <v>9</v>
      </c>
      <c r="AA1597" s="15">
        <f t="shared" si="138"/>
        <v>2021</v>
      </c>
      <c r="AB1597" s="15">
        <f t="shared" si="139"/>
        <v>2021</v>
      </c>
      <c r="AC1597" s="15">
        <f t="shared" si="140"/>
        <v>2021</v>
      </c>
      <c r="AD1597" s="18" t="b">
        <f t="shared" si="137"/>
        <v>1</v>
      </c>
    </row>
    <row r="1598" spans="1:30" ht="15" hidden="1" customHeight="1" x14ac:dyDescent="0.2">
      <c r="A1598" s="7" t="s">
        <v>680</v>
      </c>
      <c r="B1598" s="7"/>
      <c r="C1598" s="2" t="s">
        <v>648</v>
      </c>
      <c r="D1598" s="6" t="s">
        <v>649</v>
      </c>
      <c r="E1598" s="32" t="s">
        <v>651</v>
      </c>
      <c r="F1598" s="7"/>
      <c r="G1598" s="7"/>
      <c r="H1598" s="7"/>
      <c r="I1598" s="7"/>
      <c r="J1598" s="7"/>
      <c r="K1598" s="7"/>
      <c r="L1598" s="7" t="s">
        <v>663</v>
      </c>
      <c r="M1598" s="8">
        <v>44440</v>
      </c>
      <c r="N1598" s="8">
        <v>44440</v>
      </c>
      <c r="O1598" s="13"/>
      <c r="P1598" s="13">
        <v>15405.71</v>
      </c>
      <c r="Q1598" s="33"/>
      <c r="R1598" s="22"/>
      <c r="S1598" s="22"/>
      <c r="T1598" s="22"/>
      <c r="U1598" s="22"/>
      <c r="X1598" s="15" t="str">
        <f>IF(B1598="",VLOOKUP(A1598,items_lookup!A:B,2,FALSE),B1598)</f>
        <v>13. Item 13</v>
      </c>
      <c r="Y1598" s="15">
        <f t="shared" si="136"/>
        <v>9</v>
      </c>
      <c r="Z1598" s="15">
        <f t="shared" si="136"/>
        <v>9</v>
      </c>
      <c r="AA1598" s="15">
        <f t="shared" si="138"/>
        <v>2021</v>
      </c>
      <c r="AB1598" s="15">
        <f t="shared" si="139"/>
        <v>2021</v>
      </c>
      <c r="AC1598" s="15">
        <f t="shared" si="140"/>
        <v>2021</v>
      </c>
      <c r="AD1598" s="18" t="b">
        <f t="shared" si="137"/>
        <v>1</v>
      </c>
    </row>
    <row r="1599" spans="1:30" ht="13.5" hidden="1" x14ac:dyDescent="0.2">
      <c r="A1599" s="7" t="s">
        <v>680</v>
      </c>
      <c r="B1599" s="7"/>
      <c r="C1599" s="2" t="s">
        <v>648</v>
      </c>
      <c r="D1599" s="6" t="s">
        <v>649</v>
      </c>
      <c r="E1599" s="32" t="s">
        <v>651</v>
      </c>
      <c r="F1599" s="7"/>
      <c r="G1599" s="7"/>
      <c r="H1599" s="7"/>
      <c r="I1599" s="7"/>
      <c r="J1599" s="7"/>
      <c r="K1599" s="7"/>
      <c r="L1599" s="7" t="s">
        <v>663</v>
      </c>
      <c r="M1599" s="8">
        <v>44440</v>
      </c>
      <c r="N1599" s="8">
        <v>44440</v>
      </c>
      <c r="O1599" s="13">
        <v>23878.799999999999</v>
      </c>
      <c r="P1599" s="13">
        <v>719217.7</v>
      </c>
      <c r="Q1599" s="33"/>
      <c r="R1599" s="22"/>
      <c r="S1599" s="22"/>
      <c r="T1599" s="22"/>
      <c r="U1599" s="22"/>
      <c r="X1599" s="15" t="str">
        <f>IF(B1599="",VLOOKUP(A1599,items_lookup!A:B,2,FALSE),B1599)</f>
        <v>13. Item 13</v>
      </c>
      <c r="Y1599" s="15">
        <f t="shared" ref="Y1599:Z1662" si="141">MONTH(M1599)</f>
        <v>9</v>
      </c>
      <c r="Z1599" s="15">
        <f t="shared" si="141"/>
        <v>9</v>
      </c>
      <c r="AA1599" s="15">
        <f t="shared" si="138"/>
        <v>2021</v>
      </c>
      <c r="AB1599" s="15">
        <f t="shared" si="139"/>
        <v>2021</v>
      </c>
      <c r="AC1599" s="15">
        <f t="shared" si="140"/>
        <v>2021</v>
      </c>
      <c r="AD1599" s="18" t="b">
        <f t="shared" si="137"/>
        <v>1</v>
      </c>
    </row>
    <row r="1600" spans="1:30" ht="15" hidden="1" customHeight="1" x14ac:dyDescent="0.2">
      <c r="A1600" s="7" t="s">
        <v>680</v>
      </c>
      <c r="B1600" s="7"/>
      <c r="C1600" s="2" t="s">
        <v>648</v>
      </c>
      <c r="D1600" s="6" t="s">
        <v>649</v>
      </c>
      <c r="E1600" s="32" t="s">
        <v>651</v>
      </c>
      <c r="F1600" s="7"/>
      <c r="G1600" s="7"/>
      <c r="H1600" s="7"/>
      <c r="I1600" s="7"/>
      <c r="J1600" s="7"/>
      <c r="K1600" s="7"/>
      <c r="L1600" s="7" t="s">
        <v>663</v>
      </c>
      <c r="M1600" s="8">
        <v>44440</v>
      </c>
      <c r="N1600" s="8">
        <v>44440</v>
      </c>
      <c r="O1600" s="13"/>
      <c r="P1600" s="13">
        <v>491749.71</v>
      </c>
      <c r="Q1600" s="33"/>
      <c r="R1600" s="22"/>
      <c r="S1600" s="22"/>
      <c r="T1600" s="22"/>
      <c r="U1600" s="22"/>
      <c r="X1600" s="15" t="str">
        <f>IF(B1600="",VLOOKUP(A1600,items_lookup!A:B,2,FALSE),B1600)</f>
        <v>13. Item 13</v>
      </c>
      <c r="Y1600" s="15">
        <f t="shared" si="141"/>
        <v>9</v>
      </c>
      <c r="Z1600" s="15">
        <f t="shared" si="141"/>
        <v>9</v>
      </c>
      <c r="AA1600" s="15">
        <f t="shared" si="138"/>
        <v>2021</v>
      </c>
      <c r="AB1600" s="15">
        <f t="shared" si="139"/>
        <v>2021</v>
      </c>
      <c r="AC1600" s="15">
        <f t="shared" si="140"/>
        <v>2021</v>
      </c>
      <c r="AD1600" s="18" t="b">
        <f t="shared" si="137"/>
        <v>1</v>
      </c>
    </row>
    <row r="1601" spans="1:30" ht="13.5" hidden="1" x14ac:dyDescent="0.2">
      <c r="A1601" s="7" t="s">
        <v>683</v>
      </c>
      <c r="B1601" s="7"/>
      <c r="C1601" s="2" t="s">
        <v>648</v>
      </c>
      <c r="D1601" s="6" t="s">
        <v>649</v>
      </c>
      <c r="E1601" s="32" t="s">
        <v>651</v>
      </c>
      <c r="F1601" s="7"/>
      <c r="G1601" s="7"/>
      <c r="H1601" s="7"/>
      <c r="I1601" s="7"/>
      <c r="J1601" s="7"/>
      <c r="K1601" s="7"/>
      <c r="L1601" s="7" t="s">
        <v>663</v>
      </c>
      <c r="M1601" s="8">
        <v>44440</v>
      </c>
      <c r="N1601" s="8">
        <v>44440</v>
      </c>
      <c r="O1601" s="13"/>
      <c r="P1601" s="13">
        <v>178219.56</v>
      </c>
      <c r="Q1601" s="33"/>
      <c r="R1601" s="22"/>
      <c r="S1601" s="22"/>
      <c r="T1601" s="22"/>
      <c r="U1601" s="22"/>
      <c r="X1601" s="15" t="str">
        <f>IF(B1601="",VLOOKUP(A1601,items_lookup!A:B,2,FALSE),B1601)</f>
        <v>_1. Item _1</v>
      </c>
      <c r="Y1601" s="15">
        <f t="shared" si="141"/>
        <v>9</v>
      </c>
      <c r="Z1601" s="15">
        <f t="shared" si="141"/>
        <v>9</v>
      </c>
      <c r="AA1601" s="15">
        <f t="shared" si="138"/>
        <v>2021</v>
      </c>
      <c r="AB1601" s="15">
        <f t="shared" si="139"/>
        <v>2021</v>
      </c>
      <c r="AC1601" s="15">
        <f t="shared" si="140"/>
        <v>2021</v>
      </c>
      <c r="AD1601" s="18" t="b">
        <f t="shared" si="137"/>
        <v>1</v>
      </c>
    </row>
    <row r="1602" spans="1:30" ht="15" hidden="1" customHeight="1" x14ac:dyDescent="0.2">
      <c r="A1602" s="7" t="s">
        <v>683</v>
      </c>
      <c r="B1602" s="7"/>
      <c r="C1602" s="2" t="s">
        <v>648</v>
      </c>
      <c r="D1602" s="6" t="s">
        <v>649</v>
      </c>
      <c r="E1602" s="32" t="s">
        <v>651</v>
      </c>
      <c r="F1602" s="7"/>
      <c r="G1602" s="7"/>
      <c r="H1602" s="7"/>
      <c r="I1602" s="7"/>
      <c r="J1602" s="7"/>
      <c r="K1602" s="7"/>
      <c r="L1602" s="7" t="s">
        <v>663</v>
      </c>
      <c r="M1602" s="8">
        <v>44440</v>
      </c>
      <c r="N1602" s="8">
        <v>44440</v>
      </c>
      <c r="O1602" s="13"/>
      <c r="P1602" s="13">
        <v>219642.63</v>
      </c>
      <c r="Q1602" s="33"/>
      <c r="R1602" s="22"/>
      <c r="S1602" s="22"/>
      <c r="T1602" s="22"/>
      <c r="U1602" s="22"/>
      <c r="X1602" s="15" t="str">
        <f>IF(B1602="",VLOOKUP(A1602,items_lookup!A:B,2,FALSE),B1602)</f>
        <v>_1. Item _1</v>
      </c>
      <c r="Y1602" s="15">
        <f t="shared" si="141"/>
        <v>9</v>
      </c>
      <c r="Z1602" s="15">
        <f t="shared" si="141"/>
        <v>9</v>
      </c>
      <c r="AA1602" s="15">
        <f t="shared" si="138"/>
        <v>2021</v>
      </c>
      <c r="AB1602" s="15">
        <f t="shared" si="139"/>
        <v>2021</v>
      </c>
      <c r="AC1602" s="15">
        <f t="shared" si="140"/>
        <v>2021</v>
      </c>
      <c r="AD1602" s="18" t="b">
        <f t="shared" si="137"/>
        <v>1</v>
      </c>
    </row>
    <row r="1603" spans="1:30" ht="15" hidden="1" customHeight="1" x14ac:dyDescent="0.2">
      <c r="A1603" s="7" t="s">
        <v>683</v>
      </c>
      <c r="B1603" s="7"/>
      <c r="C1603" s="2" t="s">
        <v>648</v>
      </c>
      <c r="D1603" s="6" t="s">
        <v>649</v>
      </c>
      <c r="E1603" s="32" t="s">
        <v>651</v>
      </c>
      <c r="F1603" s="7"/>
      <c r="G1603" s="7"/>
      <c r="H1603" s="7"/>
      <c r="I1603" s="7"/>
      <c r="J1603" s="7"/>
      <c r="K1603" s="7"/>
      <c r="L1603" s="7" t="s">
        <v>663</v>
      </c>
      <c r="M1603" s="8">
        <v>44439</v>
      </c>
      <c r="N1603" s="8">
        <v>44439</v>
      </c>
      <c r="O1603" s="13"/>
      <c r="P1603" s="13">
        <v>58450194.43</v>
      </c>
      <c r="Q1603" s="33"/>
      <c r="R1603" s="22"/>
      <c r="S1603" s="22"/>
      <c r="T1603" s="22"/>
      <c r="U1603" s="22"/>
      <c r="X1603" s="15" t="str">
        <f>IF(B1603="",VLOOKUP(A1603,items_lookup!A:B,2,FALSE),B1603)</f>
        <v>_1. Item _1</v>
      </c>
      <c r="Y1603" s="15">
        <f t="shared" si="141"/>
        <v>8</v>
      </c>
      <c r="Z1603" s="15">
        <f t="shared" si="141"/>
        <v>8</v>
      </c>
      <c r="AA1603" s="15">
        <f t="shared" si="138"/>
        <v>2021</v>
      </c>
      <c r="AB1603" s="15">
        <f t="shared" si="139"/>
        <v>2021</v>
      </c>
      <c r="AC1603" s="15">
        <f t="shared" si="140"/>
        <v>2021</v>
      </c>
      <c r="AD1603" s="18" t="b">
        <f t="shared" ref="AD1603:AD1666" si="142">AND(ROUND(O1603,2)=O1603,ROUND(P1603,2)=P1603,OR(AND(O1603&lt;&gt;0,L1603="p"),AND(P1603&lt;&gt;0,L1603="f")),_xlfn.ISFORMULA(X1603),_xlfn.ISFORMULA(Y1603),_xlfn.ISFORMULA(Z1603),_xlfn.ISFORMULA(AA1603),_xlfn.ISFORMULA(AB1603),_xlfn.ISFORMULA(AC1603),NOT(_xlfn.ISFORMULA(O1603)),NOT(_xlfn.ISFORMULA(P1603)),M1603&lt;&gt;0,N1603&lt;&gt;0)</f>
        <v>1</v>
      </c>
    </row>
    <row r="1604" spans="1:30" ht="15" hidden="1" customHeight="1" x14ac:dyDescent="0.2">
      <c r="A1604" s="7" t="s">
        <v>683</v>
      </c>
      <c r="B1604" s="7"/>
      <c r="C1604" s="2" t="s">
        <v>641</v>
      </c>
      <c r="D1604" s="6" t="s">
        <v>649</v>
      </c>
      <c r="E1604" s="32" t="s">
        <v>651</v>
      </c>
      <c r="F1604" s="7"/>
      <c r="G1604" s="7"/>
      <c r="H1604" s="7"/>
      <c r="I1604" s="7"/>
      <c r="J1604" s="7"/>
      <c r="K1604" s="7" t="s">
        <v>660</v>
      </c>
      <c r="L1604" s="7" t="s">
        <v>663</v>
      </c>
      <c r="M1604" s="8">
        <v>44454</v>
      </c>
      <c r="N1604" s="8">
        <v>44454</v>
      </c>
      <c r="O1604" s="13"/>
      <c r="P1604" s="13">
        <v>219642.63</v>
      </c>
      <c r="Q1604" s="33"/>
      <c r="R1604" s="22"/>
      <c r="S1604" s="22"/>
      <c r="T1604" s="22"/>
      <c r="U1604" s="22"/>
      <c r="X1604" s="15" t="str">
        <f>IF(B1604="",VLOOKUP(A1604,items_lookup!A:B,2,FALSE),B1604)</f>
        <v>_1. Item _1</v>
      </c>
      <c r="Y1604" s="15">
        <f t="shared" si="141"/>
        <v>9</v>
      </c>
      <c r="Z1604" s="15">
        <f t="shared" si="141"/>
        <v>9</v>
      </c>
      <c r="AA1604" s="15">
        <f t="shared" si="138"/>
        <v>2021</v>
      </c>
      <c r="AB1604" s="15">
        <f t="shared" si="139"/>
        <v>2021</v>
      </c>
      <c r="AC1604" s="15">
        <f t="shared" si="140"/>
        <v>2021</v>
      </c>
      <c r="AD1604" s="18" t="b">
        <f t="shared" si="142"/>
        <v>1</v>
      </c>
    </row>
    <row r="1605" spans="1:30" ht="15" hidden="1" customHeight="1" x14ac:dyDescent="0.2">
      <c r="A1605" s="7" t="s">
        <v>683</v>
      </c>
      <c r="B1605" s="7"/>
      <c r="C1605" s="2" t="s">
        <v>641</v>
      </c>
      <c r="D1605" s="6" t="s">
        <v>650</v>
      </c>
      <c r="E1605" s="32" t="s">
        <v>651</v>
      </c>
      <c r="F1605" s="7"/>
      <c r="G1605" s="7"/>
      <c r="H1605" s="7"/>
      <c r="I1605" s="7"/>
      <c r="J1605" s="7">
        <v>1</v>
      </c>
      <c r="K1605" s="7" t="s">
        <v>660</v>
      </c>
      <c r="L1605" s="7" t="s">
        <v>663</v>
      </c>
      <c r="M1605" s="8">
        <v>44445</v>
      </c>
      <c r="N1605" s="8">
        <v>44454</v>
      </c>
      <c r="O1605" s="13"/>
      <c r="P1605" s="13">
        <v>219642.63</v>
      </c>
      <c r="Q1605" s="33"/>
      <c r="R1605" s="22"/>
      <c r="S1605" s="22"/>
      <c r="T1605" s="22"/>
      <c r="U1605" s="22"/>
      <c r="X1605" s="15" t="str">
        <f>IF(B1605="",VLOOKUP(A1605,items_lookup!A:B,2,FALSE),B1605)</f>
        <v>_1. Item _1</v>
      </c>
      <c r="Y1605" s="15">
        <f t="shared" si="141"/>
        <v>9</v>
      </c>
      <c r="Z1605" s="15">
        <f t="shared" si="141"/>
        <v>9</v>
      </c>
      <c r="AA1605" s="15">
        <f t="shared" si="138"/>
        <v>2021</v>
      </c>
      <c r="AB1605" s="15">
        <f t="shared" si="139"/>
        <v>2021</v>
      </c>
      <c r="AC1605" s="15">
        <f t="shared" si="140"/>
        <v>2021</v>
      </c>
      <c r="AD1605" s="18" t="b">
        <f t="shared" si="142"/>
        <v>1</v>
      </c>
    </row>
    <row r="1606" spans="1:30" ht="12.6" hidden="1" customHeight="1" x14ac:dyDescent="0.2">
      <c r="A1606" s="7" t="s">
        <v>683</v>
      </c>
      <c r="B1606" s="7"/>
      <c r="C1606" s="2" t="s">
        <v>641</v>
      </c>
      <c r="D1606" s="6" t="s">
        <v>649</v>
      </c>
      <c r="E1606" s="32" t="s">
        <v>651</v>
      </c>
      <c r="F1606" s="7"/>
      <c r="G1606" s="7"/>
      <c r="H1606" s="7"/>
      <c r="I1606" s="7"/>
      <c r="J1606" s="7"/>
      <c r="K1606" s="7" t="s">
        <v>660</v>
      </c>
      <c r="L1606" s="7" t="s">
        <v>663</v>
      </c>
      <c r="M1606" s="8">
        <v>44454</v>
      </c>
      <c r="N1606" s="8">
        <v>44454</v>
      </c>
      <c r="O1606" s="13"/>
      <c r="P1606" s="13">
        <v>2111.9</v>
      </c>
      <c r="Q1606" s="33"/>
      <c r="R1606" s="22"/>
      <c r="S1606" s="22"/>
      <c r="T1606" s="22"/>
      <c r="U1606" s="22"/>
      <c r="X1606" s="15" t="str">
        <f>IF(B1606="",VLOOKUP(A1606,items_lookup!A:B,2,FALSE),B1606)</f>
        <v>_1. Item _1</v>
      </c>
      <c r="Y1606" s="15">
        <f t="shared" si="141"/>
        <v>9</v>
      </c>
      <c r="Z1606" s="15">
        <f t="shared" si="141"/>
        <v>9</v>
      </c>
      <c r="AA1606" s="15">
        <f t="shared" si="138"/>
        <v>2021</v>
      </c>
      <c r="AB1606" s="15">
        <f t="shared" si="139"/>
        <v>2021</v>
      </c>
      <c r="AC1606" s="15">
        <f t="shared" si="140"/>
        <v>2021</v>
      </c>
      <c r="AD1606" s="18" t="b">
        <f t="shared" si="142"/>
        <v>1</v>
      </c>
    </row>
    <row r="1607" spans="1:30" ht="15" hidden="1" customHeight="1" x14ac:dyDescent="0.2">
      <c r="A1607" s="7" t="s">
        <v>683</v>
      </c>
      <c r="B1607" s="7"/>
      <c r="C1607" s="2" t="s">
        <v>641</v>
      </c>
      <c r="D1607" s="6" t="s">
        <v>649</v>
      </c>
      <c r="E1607" s="32" t="s">
        <v>651</v>
      </c>
      <c r="F1607" s="7"/>
      <c r="G1607" s="7"/>
      <c r="H1607" s="7"/>
      <c r="I1607" s="7"/>
      <c r="J1607" s="7">
        <v>3</v>
      </c>
      <c r="K1607" s="7" t="s">
        <v>660</v>
      </c>
      <c r="L1607" s="7" t="s">
        <v>663</v>
      </c>
      <c r="M1607" s="8">
        <v>44454</v>
      </c>
      <c r="N1607" s="8">
        <v>44466</v>
      </c>
      <c r="O1607" s="13"/>
      <c r="P1607" s="13">
        <v>5545573.0099999998</v>
      </c>
      <c r="Q1607" s="33"/>
      <c r="R1607" s="22"/>
      <c r="S1607" s="22"/>
      <c r="T1607" s="22"/>
      <c r="U1607" s="22"/>
      <c r="X1607" s="15" t="str">
        <f>IF(B1607="",VLOOKUP(A1607,items_lookup!A:B,2,FALSE),B1607)</f>
        <v>_1. Item _1</v>
      </c>
      <c r="Y1607" s="15">
        <f t="shared" si="141"/>
        <v>9</v>
      </c>
      <c r="Z1607" s="15">
        <f t="shared" si="141"/>
        <v>9</v>
      </c>
      <c r="AA1607" s="15">
        <f t="shared" si="138"/>
        <v>2021</v>
      </c>
      <c r="AB1607" s="15">
        <f t="shared" si="139"/>
        <v>2021</v>
      </c>
      <c r="AC1607" s="15">
        <f t="shared" si="140"/>
        <v>2021</v>
      </c>
      <c r="AD1607" s="18" t="b">
        <f t="shared" si="142"/>
        <v>1</v>
      </c>
    </row>
    <row r="1608" spans="1:30" ht="15" hidden="1" customHeight="1" x14ac:dyDescent="0.2">
      <c r="A1608" s="7" t="s">
        <v>683</v>
      </c>
      <c r="B1608" s="7"/>
      <c r="C1608" s="2" t="s">
        <v>641</v>
      </c>
      <c r="D1608" s="6" t="s">
        <v>649</v>
      </c>
      <c r="E1608" s="32" t="s">
        <v>651</v>
      </c>
      <c r="F1608" s="7"/>
      <c r="G1608" s="7"/>
      <c r="H1608" s="7"/>
      <c r="I1608" s="7"/>
      <c r="J1608" s="7">
        <v>3</v>
      </c>
      <c r="K1608" s="7" t="s">
        <v>660</v>
      </c>
      <c r="L1608" s="7" t="s">
        <v>663</v>
      </c>
      <c r="M1608" s="8">
        <v>44454</v>
      </c>
      <c r="N1608" s="8">
        <v>44469</v>
      </c>
      <c r="O1608" s="13"/>
      <c r="P1608" s="13">
        <v>13584109.699999999</v>
      </c>
      <c r="Q1608" s="33"/>
      <c r="R1608" s="22"/>
      <c r="S1608" s="22"/>
      <c r="T1608" s="22"/>
      <c r="U1608" s="22"/>
      <c r="X1608" s="15" t="str">
        <f>IF(B1608="",VLOOKUP(A1608,items_lookup!A:B,2,FALSE),B1608)</f>
        <v>_1. Item _1</v>
      </c>
      <c r="Y1608" s="15">
        <f t="shared" si="141"/>
        <v>9</v>
      </c>
      <c r="Z1608" s="15">
        <f t="shared" si="141"/>
        <v>9</v>
      </c>
      <c r="AA1608" s="15">
        <f t="shared" si="138"/>
        <v>2021</v>
      </c>
      <c r="AB1608" s="15">
        <f t="shared" si="139"/>
        <v>2021</v>
      </c>
      <c r="AC1608" s="15">
        <f t="shared" si="140"/>
        <v>2021</v>
      </c>
      <c r="AD1608" s="18" t="b">
        <f t="shared" si="142"/>
        <v>1</v>
      </c>
    </row>
    <row r="1609" spans="1:30" ht="15" hidden="1" customHeight="1" x14ac:dyDescent="0.2">
      <c r="A1609" s="7" t="s">
        <v>682</v>
      </c>
      <c r="B1609" s="7"/>
      <c r="C1609" s="2" t="s">
        <v>641</v>
      </c>
      <c r="D1609" s="6" t="s">
        <v>649</v>
      </c>
      <c r="E1609" s="32" t="s">
        <v>651</v>
      </c>
      <c r="F1609" s="7"/>
      <c r="G1609" s="7"/>
      <c r="H1609" s="7"/>
      <c r="I1609" s="7"/>
      <c r="J1609" s="7">
        <v>3</v>
      </c>
      <c r="K1609" s="7" t="s">
        <v>660</v>
      </c>
      <c r="L1609" s="7" t="s">
        <v>663</v>
      </c>
      <c r="M1609" s="8">
        <v>44454</v>
      </c>
      <c r="N1609" s="8">
        <v>44466</v>
      </c>
      <c r="O1609" s="13"/>
      <c r="P1609" s="13">
        <v>426319.74</v>
      </c>
      <c r="Q1609" s="33"/>
      <c r="R1609" s="22"/>
      <c r="S1609" s="22"/>
      <c r="T1609" s="22"/>
      <c r="U1609" s="22"/>
      <c r="X1609" s="15" t="str">
        <f>IF(B1609="",VLOOKUP(A1609,items_lookup!A:B,2,FALSE),B1609)</f>
        <v>06. Item 06</v>
      </c>
      <c r="Y1609" s="15">
        <f t="shared" si="141"/>
        <v>9</v>
      </c>
      <c r="Z1609" s="15">
        <f t="shared" si="141"/>
        <v>9</v>
      </c>
      <c r="AA1609" s="15">
        <f t="shared" si="138"/>
        <v>2021</v>
      </c>
      <c r="AB1609" s="15">
        <f t="shared" si="139"/>
        <v>2021</v>
      </c>
      <c r="AC1609" s="15">
        <f t="shared" si="140"/>
        <v>2021</v>
      </c>
      <c r="AD1609" s="18" t="b">
        <f t="shared" si="142"/>
        <v>1</v>
      </c>
    </row>
    <row r="1610" spans="1:30" ht="15" hidden="1" customHeight="1" x14ac:dyDescent="0.2">
      <c r="A1610" s="7" t="s">
        <v>697</v>
      </c>
      <c r="B1610" s="20"/>
      <c r="C1610" s="2" t="s">
        <v>641</v>
      </c>
      <c r="D1610" s="6" t="s">
        <v>649</v>
      </c>
      <c r="E1610" s="32" t="s">
        <v>651</v>
      </c>
      <c r="F1610" s="7"/>
      <c r="G1610" s="7"/>
      <c r="H1610" s="7"/>
      <c r="I1610" s="7"/>
      <c r="J1610" s="7">
        <v>3</v>
      </c>
      <c r="K1610" s="7" t="s">
        <v>660</v>
      </c>
      <c r="L1610" s="7" t="s">
        <v>663</v>
      </c>
      <c r="M1610" s="8">
        <v>44454</v>
      </c>
      <c r="N1610" s="8">
        <v>44456</v>
      </c>
      <c r="O1610" s="13"/>
      <c r="P1610" s="13">
        <v>68365.27</v>
      </c>
      <c r="Q1610" s="33"/>
      <c r="R1610" s="22"/>
      <c r="S1610" s="22"/>
      <c r="T1610" s="22"/>
      <c r="U1610" s="22"/>
      <c r="X1610" s="15" t="str">
        <f>IF(B1610="",VLOOKUP(A1610,items_lookup!A:B,2,FALSE),B1610)</f>
        <v>10. Item 10</v>
      </c>
      <c r="Y1610" s="15">
        <f t="shared" si="141"/>
        <v>9</v>
      </c>
      <c r="Z1610" s="15">
        <f t="shared" si="141"/>
        <v>9</v>
      </c>
      <c r="AA1610" s="15">
        <f t="shared" si="138"/>
        <v>2021</v>
      </c>
      <c r="AB1610" s="15">
        <f t="shared" si="139"/>
        <v>2021</v>
      </c>
      <c r="AC1610" s="15">
        <f t="shared" si="140"/>
        <v>2021</v>
      </c>
      <c r="AD1610" s="18" t="b">
        <f t="shared" si="142"/>
        <v>1</v>
      </c>
    </row>
    <row r="1611" spans="1:30" ht="15.75" hidden="1" customHeight="1" x14ac:dyDescent="0.2">
      <c r="A1611" s="7" t="s">
        <v>677</v>
      </c>
      <c r="B1611" s="20"/>
      <c r="C1611" s="2" t="s">
        <v>641</v>
      </c>
      <c r="D1611" s="6" t="s">
        <v>649</v>
      </c>
      <c r="E1611" s="32" t="s">
        <v>651</v>
      </c>
      <c r="F1611" s="7"/>
      <c r="G1611" s="7"/>
      <c r="H1611" s="7"/>
      <c r="I1611" s="7"/>
      <c r="J1611" s="7">
        <v>3</v>
      </c>
      <c r="K1611" s="7" t="s">
        <v>660</v>
      </c>
      <c r="L1611" s="7" t="s">
        <v>663</v>
      </c>
      <c r="M1611" s="8">
        <v>44454</v>
      </c>
      <c r="N1611" s="8">
        <v>44456</v>
      </c>
      <c r="O1611" s="13"/>
      <c r="P1611" s="13">
        <v>25308.06</v>
      </c>
      <c r="Q1611" s="33"/>
      <c r="R1611" s="22"/>
      <c r="S1611" s="22"/>
      <c r="T1611" s="22"/>
      <c r="U1611" s="22"/>
      <c r="X1611" s="15" t="str">
        <f>IF(B1611="",VLOOKUP(A1611,items_lookup!A:B,2,FALSE),B1611)</f>
        <v>11. Item 11</v>
      </c>
      <c r="Y1611" s="15">
        <f t="shared" si="141"/>
        <v>9</v>
      </c>
      <c r="Z1611" s="15">
        <f t="shared" si="141"/>
        <v>9</v>
      </c>
      <c r="AA1611" s="15">
        <f t="shared" si="138"/>
        <v>2021</v>
      </c>
      <c r="AB1611" s="15">
        <f t="shared" si="139"/>
        <v>2021</v>
      </c>
      <c r="AC1611" s="15">
        <f t="shared" si="140"/>
        <v>2021</v>
      </c>
      <c r="AD1611" s="18" t="b">
        <f t="shared" si="142"/>
        <v>1</v>
      </c>
    </row>
    <row r="1612" spans="1:30" ht="15.75" hidden="1" customHeight="1" x14ac:dyDescent="0.2">
      <c r="A1612" s="7" t="s">
        <v>677</v>
      </c>
      <c r="B1612" s="7"/>
      <c r="C1612" s="2" t="s">
        <v>641</v>
      </c>
      <c r="D1612" s="6" t="s">
        <v>649</v>
      </c>
      <c r="E1612" s="32" t="s">
        <v>651</v>
      </c>
      <c r="F1612" s="7"/>
      <c r="G1612" s="7"/>
      <c r="H1612" s="7"/>
      <c r="I1612" s="7"/>
      <c r="J1612" s="7">
        <v>3</v>
      </c>
      <c r="K1612" s="7" t="s">
        <v>660</v>
      </c>
      <c r="L1612" s="7" t="s">
        <v>663</v>
      </c>
      <c r="M1612" s="8">
        <v>44454</v>
      </c>
      <c r="N1612" s="8">
        <v>44467</v>
      </c>
      <c r="O1612" s="13"/>
      <c r="P1612" s="13">
        <v>296264.83</v>
      </c>
      <c r="Q1612" s="33"/>
      <c r="R1612" s="22"/>
      <c r="S1612" s="22"/>
      <c r="T1612" s="22"/>
      <c r="U1612" s="22"/>
      <c r="X1612" s="15" t="str">
        <f>IF(B1612="",VLOOKUP(A1612,items_lookup!A:B,2,FALSE),B1612)</f>
        <v>11. Item 11</v>
      </c>
      <c r="Y1612" s="15">
        <f t="shared" si="141"/>
        <v>9</v>
      </c>
      <c r="Z1612" s="15">
        <f t="shared" si="141"/>
        <v>9</v>
      </c>
      <c r="AA1612" s="15">
        <f t="shared" si="138"/>
        <v>2021</v>
      </c>
      <c r="AB1612" s="15">
        <f t="shared" si="139"/>
        <v>2021</v>
      </c>
      <c r="AC1612" s="15">
        <f t="shared" si="140"/>
        <v>2021</v>
      </c>
      <c r="AD1612" s="18" t="b">
        <f t="shared" si="142"/>
        <v>1</v>
      </c>
    </row>
    <row r="1613" spans="1:30" ht="15" hidden="1" customHeight="1" x14ac:dyDescent="0.2">
      <c r="A1613" s="7" t="s">
        <v>701</v>
      </c>
      <c r="B1613" s="20"/>
      <c r="C1613" s="2" t="s">
        <v>641</v>
      </c>
      <c r="D1613" s="6" t="s">
        <v>649</v>
      </c>
      <c r="E1613" s="32" t="s">
        <v>651</v>
      </c>
      <c r="F1613" s="7"/>
      <c r="G1613" s="7"/>
      <c r="H1613" s="7"/>
      <c r="I1613" s="7"/>
      <c r="J1613" s="7">
        <v>1</v>
      </c>
      <c r="K1613" s="7" t="s">
        <v>660</v>
      </c>
      <c r="L1613" s="7" t="s">
        <v>663</v>
      </c>
      <c r="M1613" s="8">
        <v>44442</v>
      </c>
      <c r="N1613" s="8">
        <v>44460</v>
      </c>
      <c r="O1613" s="13"/>
      <c r="P1613" s="13">
        <v>6442.98</v>
      </c>
      <c r="Q1613" s="33"/>
      <c r="R1613" s="9"/>
      <c r="S1613" s="9"/>
      <c r="T1613" s="9"/>
      <c r="U1613" s="9"/>
      <c r="X1613" s="15" t="str">
        <f>IF(B1613="",VLOOKUP(A1613,items_lookup!A:B,2,FALSE),B1613)</f>
        <v>13. Item 13</v>
      </c>
      <c r="Y1613" s="15">
        <f t="shared" si="141"/>
        <v>9</v>
      </c>
      <c r="Z1613" s="15">
        <f t="shared" si="141"/>
        <v>9</v>
      </c>
      <c r="AA1613" s="15">
        <f t="shared" si="138"/>
        <v>2021</v>
      </c>
      <c r="AB1613" s="15">
        <f t="shared" si="139"/>
        <v>2021</v>
      </c>
      <c r="AC1613" s="15">
        <f t="shared" si="140"/>
        <v>2021</v>
      </c>
      <c r="AD1613" s="18" t="b">
        <f t="shared" si="142"/>
        <v>1</v>
      </c>
    </row>
    <row r="1614" spans="1:30" ht="15" hidden="1" customHeight="1" x14ac:dyDescent="0.2">
      <c r="A1614" s="7" t="s">
        <v>680</v>
      </c>
      <c r="B1614" s="20"/>
      <c r="C1614" s="2" t="s">
        <v>641</v>
      </c>
      <c r="D1614" s="6" t="s">
        <v>649</v>
      </c>
      <c r="E1614" s="32" t="s">
        <v>651</v>
      </c>
      <c r="F1614" s="7"/>
      <c r="G1614" s="7"/>
      <c r="H1614" s="7"/>
      <c r="I1614" s="7"/>
      <c r="J1614" s="7">
        <v>1</v>
      </c>
      <c r="K1614" s="7" t="s">
        <v>660</v>
      </c>
      <c r="L1614" s="7" t="s">
        <v>663</v>
      </c>
      <c r="M1614" s="8">
        <v>44442</v>
      </c>
      <c r="N1614" s="8">
        <v>44463</v>
      </c>
      <c r="O1614" s="13"/>
      <c r="P1614" s="13">
        <v>17202.52</v>
      </c>
      <c r="Q1614" s="33"/>
      <c r="R1614" s="9"/>
      <c r="S1614" s="9"/>
      <c r="T1614" s="9"/>
      <c r="U1614" s="9"/>
      <c r="X1614" s="15" t="str">
        <f>IF(B1614="",VLOOKUP(A1614,items_lookup!A:B,2,FALSE),B1614)</f>
        <v>13. Item 13</v>
      </c>
      <c r="Y1614" s="15">
        <f t="shared" si="141"/>
        <v>9</v>
      </c>
      <c r="Z1614" s="15">
        <f t="shared" si="141"/>
        <v>9</v>
      </c>
      <c r="AA1614" s="15">
        <f t="shared" si="138"/>
        <v>2021</v>
      </c>
      <c r="AB1614" s="15">
        <f t="shared" si="139"/>
        <v>2021</v>
      </c>
      <c r="AC1614" s="15">
        <f t="shared" si="140"/>
        <v>2021</v>
      </c>
      <c r="AD1614" s="18" t="b">
        <f t="shared" si="142"/>
        <v>1</v>
      </c>
    </row>
    <row r="1615" spans="1:30" ht="15" hidden="1" customHeight="1" x14ac:dyDescent="0.2">
      <c r="A1615" s="7" t="s">
        <v>680</v>
      </c>
      <c r="B1615" s="7"/>
      <c r="C1615" s="2" t="s">
        <v>641</v>
      </c>
      <c r="D1615" s="6" t="s">
        <v>649</v>
      </c>
      <c r="E1615" s="32" t="s">
        <v>651</v>
      </c>
      <c r="F1615" s="7"/>
      <c r="G1615" s="7"/>
      <c r="H1615" s="7"/>
      <c r="I1615" s="7"/>
      <c r="J1615" s="7">
        <v>3</v>
      </c>
      <c r="K1615" s="7" t="s">
        <v>660</v>
      </c>
      <c r="L1615" s="7" t="s">
        <v>663</v>
      </c>
      <c r="M1615" s="8">
        <v>44452</v>
      </c>
      <c r="N1615" s="8">
        <v>44463</v>
      </c>
      <c r="O1615" s="13"/>
      <c r="P1615" s="13">
        <v>301690.01</v>
      </c>
      <c r="Q1615" s="33"/>
      <c r="R1615" s="22"/>
      <c r="S1615" s="22"/>
      <c r="T1615" s="22"/>
      <c r="U1615" s="22"/>
      <c r="X1615" s="15" t="str">
        <f>IF(B1615="",VLOOKUP(A1615,items_lookup!A:B,2,FALSE),B1615)</f>
        <v>13. Item 13</v>
      </c>
      <c r="Y1615" s="15">
        <f t="shared" si="141"/>
        <v>9</v>
      </c>
      <c r="Z1615" s="15">
        <f t="shared" si="141"/>
        <v>9</v>
      </c>
      <c r="AA1615" s="15">
        <f t="shared" si="138"/>
        <v>2021</v>
      </c>
      <c r="AB1615" s="15">
        <f t="shared" si="139"/>
        <v>2021</v>
      </c>
      <c r="AC1615" s="15">
        <f t="shared" si="140"/>
        <v>2021</v>
      </c>
      <c r="AD1615" s="18" t="b">
        <f t="shared" si="142"/>
        <v>1</v>
      </c>
    </row>
    <row r="1616" spans="1:30" ht="15" hidden="1" customHeight="1" x14ac:dyDescent="0.2">
      <c r="A1616" s="7" t="s">
        <v>672</v>
      </c>
      <c r="B1616" s="7"/>
      <c r="C1616" s="2" t="s">
        <v>641</v>
      </c>
      <c r="D1616" s="6" t="s">
        <v>649</v>
      </c>
      <c r="E1616" s="32" t="s">
        <v>651</v>
      </c>
      <c r="F1616" s="7"/>
      <c r="G1616" s="7"/>
      <c r="H1616" s="7"/>
      <c r="I1616" s="7"/>
      <c r="J1616" s="7">
        <v>2</v>
      </c>
      <c r="K1616" s="7" t="s">
        <v>660</v>
      </c>
      <c r="L1616" s="7" t="s">
        <v>663</v>
      </c>
      <c r="M1616" s="8">
        <v>44442</v>
      </c>
      <c r="N1616" s="8">
        <v>44461</v>
      </c>
      <c r="O1616" s="13"/>
      <c r="P1616" s="13">
        <v>35533.18</v>
      </c>
      <c r="Q1616" s="33"/>
      <c r="R1616" s="22"/>
      <c r="S1616" s="22"/>
      <c r="T1616" s="22"/>
      <c r="U1616" s="22"/>
      <c r="X1616" s="15" t="str">
        <f>IF(B1616="",VLOOKUP(A1616,items_lookup!A:B,2,FALSE),B1616)</f>
        <v>05. Item 05</v>
      </c>
      <c r="Y1616" s="15">
        <f t="shared" si="141"/>
        <v>9</v>
      </c>
      <c r="Z1616" s="15">
        <f t="shared" si="141"/>
        <v>9</v>
      </c>
      <c r="AA1616" s="15">
        <f t="shared" si="138"/>
        <v>2021</v>
      </c>
      <c r="AB1616" s="15">
        <f t="shared" si="139"/>
        <v>2021</v>
      </c>
      <c r="AC1616" s="15">
        <f t="shared" si="140"/>
        <v>2021</v>
      </c>
      <c r="AD1616" s="18" t="b">
        <f t="shared" si="142"/>
        <v>1</v>
      </c>
    </row>
    <row r="1617" spans="1:30" ht="16.5" hidden="1" customHeight="1" x14ac:dyDescent="0.2">
      <c r="A1617" s="7" t="s">
        <v>670</v>
      </c>
      <c r="B1617" s="7"/>
      <c r="C1617" s="2" t="s">
        <v>641</v>
      </c>
      <c r="D1617" s="6" t="s">
        <v>649</v>
      </c>
      <c r="E1617" s="32" t="s">
        <v>651</v>
      </c>
      <c r="F1617" s="7"/>
      <c r="G1617" s="7"/>
      <c r="H1617" s="7"/>
      <c r="I1617" s="7"/>
      <c r="J1617" s="7">
        <v>3</v>
      </c>
      <c r="K1617" s="7" t="s">
        <v>660</v>
      </c>
      <c r="L1617" s="7" t="s">
        <v>663</v>
      </c>
      <c r="M1617" s="8">
        <v>44452</v>
      </c>
      <c r="N1617" s="8">
        <v>44466</v>
      </c>
      <c r="O1617" s="13"/>
      <c r="P1617" s="13">
        <v>6813.75</v>
      </c>
      <c r="Q1617" s="33"/>
      <c r="R1617" s="22"/>
      <c r="S1617" s="22"/>
      <c r="T1617" s="22"/>
      <c r="U1617" s="22"/>
      <c r="X1617" s="15" t="str">
        <f>IF(B1617="",VLOOKUP(A1617,items_lookup!A:B,2,FALSE),B1617)</f>
        <v>04. Item 04</v>
      </c>
      <c r="Y1617" s="15">
        <f t="shared" si="141"/>
        <v>9</v>
      </c>
      <c r="Z1617" s="15">
        <f t="shared" si="141"/>
        <v>9</v>
      </c>
      <c r="AA1617" s="15">
        <f t="shared" si="138"/>
        <v>2021</v>
      </c>
      <c r="AB1617" s="15">
        <f t="shared" si="139"/>
        <v>2021</v>
      </c>
      <c r="AC1617" s="15">
        <f t="shared" si="140"/>
        <v>2021</v>
      </c>
      <c r="AD1617" s="18" t="b">
        <f t="shared" si="142"/>
        <v>1</v>
      </c>
    </row>
    <row r="1618" spans="1:30" ht="16.5" hidden="1" customHeight="1" x14ac:dyDescent="0.2">
      <c r="A1618" s="7" t="s">
        <v>670</v>
      </c>
      <c r="B1618" s="20"/>
      <c r="C1618" s="2" t="s">
        <v>641</v>
      </c>
      <c r="D1618" s="6" t="s">
        <v>649</v>
      </c>
      <c r="E1618" s="32" t="s">
        <v>651</v>
      </c>
      <c r="F1618" s="7"/>
      <c r="G1618" s="7"/>
      <c r="H1618" s="7"/>
      <c r="I1618" s="7"/>
      <c r="J1618" s="7">
        <v>3</v>
      </c>
      <c r="K1618" s="7" t="s">
        <v>660</v>
      </c>
      <c r="L1618" s="7" t="s">
        <v>663</v>
      </c>
      <c r="M1618" s="8">
        <v>44454</v>
      </c>
      <c r="N1618" s="8">
        <v>44467</v>
      </c>
      <c r="O1618" s="13"/>
      <c r="P1618" s="13">
        <v>728200.9</v>
      </c>
      <c r="Q1618" s="33"/>
      <c r="R1618" s="22"/>
      <c r="S1618" s="22"/>
      <c r="T1618" s="22"/>
      <c r="U1618" s="22"/>
      <c r="X1618" s="15" t="str">
        <f>IF(B1618="",VLOOKUP(A1618,items_lookup!A:B,2,FALSE),B1618)</f>
        <v>04. Item 04</v>
      </c>
      <c r="Y1618" s="15">
        <f t="shared" si="141"/>
        <v>9</v>
      </c>
      <c r="Z1618" s="15">
        <f t="shared" si="141"/>
        <v>9</v>
      </c>
      <c r="AA1618" s="15">
        <f t="shared" si="138"/>
        <v>2021</v>
      </c>
      <c r="AB1618" s="15">
        <f t="shared" si="139"/>
        <v>2021</v>
      </c>
      <c r="AC1618" s="15">
        <f t="shared" si="140"/>
        <v>2021</v>
      </c>
      <c r="AD1618" s="18" t="b">
        <f t="shared" si="142"/>
        <v>1</v>
      </c>
    </row>
    <row r="1619" spans="1:30" ht="15.75" hidden="1" customHeight="1" x14ac:dyDescent="0.2">
      <c r="A1619" s="7" t="s">
        <v>683</v>
      </c>
      <c r="B1619" s="7"/>
      <c r="C1619" s="2" t="s">
        <v>641</v>
      </c>
      <c r="D1619" s="6" t="s">
        <v>649</v>
      </c>
      <c r="E1619" s="32" t="s">
        <v>651</v>
      </c>
      <c r="F1619" s="7"/>
      <c r="G1619" s="7"/>
      <c r="H1619" s="7"/>
      <c r="I1619" s="7" t="s">
        <v>20</v>
      </c>
      <c r="J1619" s="7">
        <v>2</v>
      </c>
      <c r="K1619" s="7" t="s">
        <v>660</v>
      </c>
      <c r="L1619" s="7" t="s">
        <v>663</v>
      </c>
      <c r="M1619" s="8">
        <v>44449</v>
      </c>
      <c r="N1619" s="8">
        <v>44460</v>
      </c>
      <c r="O1619" s="13"/>
      <c r="P1619" s="13">
        <v>7568.68</v>
      </c>
      <c r="Q1619" s="33"/>
      <c r="R1619" s="22"/>
      <c r="S1619" s="22"/>
      <c r="T1619" s="22"/>
      <c r="U1619" s="22"/>
      <c r="X1619" s="15" t="str">
        <f>IF(B1619="",VLOOKUP(A1619,items_lookup!A:B,2,FALSE),B1619)</f>
        <v>_1. Item _1</v>
      </c>
      <c r="Y1619" s="15">
        <f t="shared" si="141"/>
        <v>9</v>
      </c>
      <c r="Z1619" s="15">
        <f t="shared" si="141"/>
        <v>9</v>
      </c>
      <c r="AA1619" s="15">
        <f t="shared" si="138"/>
        <v>2021</v>
      </c>
      <c r="AB1619" s="15">
        <f t="shared" si="139"/>
        <v>2021</v>
      </c>
      <c r="AC1619" s="15">
        <f t="shared" si="140"/>
        <v>2021</v>
      </c>
      <c r="AD1619" s="18" t="b">
        <f t="shared" si="142"/>
        <v>1</v>
      </c>
    </row>
    <row r="1620" spans="1:30" ht="16.5" hidden="1" customHeight="1" x14ac:dyDescent="0.2">
      <c r="A1620" s="7" t="s">
        <v>675</v>
      </c>
      <c r="B1620" s="7"/>
      <c r="C1620" s="2" t="s">
        <v>641</v>
      </c>
      <c r="D1620" s="6" t="s">
        <v>649</v>
      </c>
      <c r="E1620" s="32" t="s">
        <v>651</v>
      </c>
      <c r="F1620" s="7"/>
      <c r="G1620" s="7"/>
      <c r="H1620" s="7"/>
      <c r="I1620" s="7" t="s">
        <v>20</v>
      </c>
      <c r="J1620" s="7">
        <v>2</v>
      </c>
      <c r="K1620" s="7" t="s">
        <v>660</v>
      </c>
      <c r="L1620" s="7" t="s">
        <v>663</v>
      </c>
      <c r="M1620" s="8">
        <v>44449</v>
      </c>
      <c r="N1620" s="8">
        <v>44460</v>
      </c>
      <c r="O1620" s="13"/>
      <c r="P1620" s="13">
        <v>63155.37</v>
      </c>
      <c r="Q1620" s="33"/>
      <c r="R1620" s="9"/>
      <c r="S1620" s="9"/>
      <c r="T1620" s="9"/>
      <c r="U1620" s="9"/>
      <c r="X1620" s="15" t="str">
        <f>IF(B1620="",VLOOKUP(A1620,items_lookup!A:B,2,FALSE),B1620)</f>
        <v>09. Item 09</v>
      </c>
      <c r="Y1620" s="15">
        <f t="shared" si="141"/>
        <v>9</v>
      </c>
      <c r="Z1620" s="15">
        <f t="shared" si="141"/>
        <v>9</v>
      </c>
      <c r="AA1620" s="15">
        <f t="shared" si="138"/>
        <v>2021</v>
      </c>
      <c r="AB1620" s="15">
        <f t="shared" si="139"/>
        <v>2021</v>
      </c>
      <c r="AC1620" s="15">
        <f t="shared" si="140"/>
        <v>2021</v>
      </c>
      <c r="AD1620" s="18" t="b">
        <f t="shared" si="142"/>
        <v>1</v>
      </c>
    </row>
    <row r="1621" spans="1:30" ht="15" hidden="1" customHeight="1" x14ac:dyDescent="0.2">
      <c r="A1621" s="7" t="s">
        <v>675</v>
      </c>
      <c r="B1621" s="7"/>
      <c r="C1621" s="2" t="s">
        <v>641</v>
      </c>
      <c r="D1621" s="6" t="s">
        <v>649</v>
      </c>
      <c r="E1621" s="32" t="s">
        <v>651</v>
      </c>
      <c r="F1621" s="7"/>
      <c r="G1621" s="7"/>
      <c r="H1621" s="7"/>
      <c r="I1621" s="7"/>
      <c r="J1621" s="7">
        <v>2</v>
      </c>
      <c r="K1621" s="7" t="s">
        <v>660</v>
      </c>
      <c r="L1621" s="7" t="s">
        <v>663</v>
      </c>
      <c r="M1621" s="8">
        <v>44449</v>
      </c>
      <c r="N1621" s="8">
        <v>44460</v>
      </c>
      <c r="O1621" s="13"/>
      <c r="P1621" s="13">
        <v>314145.59999999998</v>
      </c>
      <c r="Q1621" s="33"/>
      <c r="R1621" s="22"/>
      <c r="S1621" s="22"/>
      <c r="T1621" s="22"/>
      <c r="U1621" s="22"/>
      <c r="X1621" s="15" t="str">
        <f>IF(B1621="",VLOOKUP(A1621,items_lookup!A:B,2,FALSE),B1621)</f>
        <v>09. Item 09</v>
      </c>
      <c r="Y1621" s="15">
        <f t="shared" si="141"/>
        <v>9</v>
      </c>
      <c r="Z1621" s="15">
        <f t="shared" si="141"/>
        <v>9</v>
      </c>
      <c r="AA1621" s="15">
        <f t="shared" si="138"/>
        <v>2021</v>
      </c>
      <c r="AB1621" s="15">
        <f t="shared" si="139"/>
        <v>2021</v>
      </c>
      <c r="AC1621" s="15">
        <f t="shared" si="140"/>
        <v>2021</v>
      </c>
      <c r="AD1621" s="18" t="b">
        <f t="shared" si="142"/>
        <v>1</v>
      </c>
    </row>
    <row r="1622" spans="1:30" ht="16.5" hidden="1" customHeight="1" x14ac:dyDescent="0.2">
      <c r="A1622" s="7" t="s">
        <v>689</v>
      </c>
      <c r="B1622" s="7"/>
      <c r="C1622" s="2" t="s">
        <v>641</v>
      </c>
      <c r="D1622" s="6" t="s">
        <v>649</v>
      </c>
      <c r="E1622" s="32" t="s">
        <v>651</v>
      </c>
      <c r="F1622" s="7"/>
      <c r="G1622" s="7"/>
      <c r="H1622" s="7"/>
      <c r="I1622" s="7" t="s">
        <v>20</v>
      </c>
      <c r="J1622" s="7">
        <v>3</v>
      </c>
      <c r="K1622" s="7" t="s">
        <v>660</v>
      </c>
      <c r="L1622" s="7" t="s">
        <v>663</v>
      </c>
      <c r="M1622" s="8">
        <v>44454</v>
      </c>
      <c r="N1622" s="8">
        <v>44463</v>
      </c>
      <c r="O1622" s="13"/>
      <c r="P1622" s="13">
        <v>2928.57</v>
      </c>
      <c r="Q1622" s="33"/>
      <c r="R1622" s="22"/>
      <c r="S1622" s="22"/>
      <c r="T1622" s="22"/>
      <c r="U1622" s="22"/>
      <c r="X1622" s="15" t="str">
        <f>IF(B1622="",VLOOKUP(A1622,items_lookup!A:B,2,FALSE),B1622)</f>
        <v>04. Item 04</v>
      </c>
      <c r="Y1622" s="15">
        <f t="shared" si="141"/>
        <v>9</v>
      </c>
      <c r="Z1622" s="15">
        <f t="shared" si="141"/>
        <v>9</v>
      </c>
      <c r="AA1622" s="15">
        <f t="shared" si="138"/>
        <v>2021</v>
      </c>
      <c r="AB1622" s="15">
        <f t="shared" si="139"/>
        <v>2021</v>
      </c>
      <c r="AC1622" s="15">
        <f t="shared" si="140"/>
        <v>2021</v>
      </c>
      <c r="AD1622" s="18" t="b">
        <f t="shared" si="142"/>
        <v>1</v>
      </c>
    </row>
    <row r="1623" spans="1:30" ht="15" hidden="1" customHeight="1" x14ac:dyDescent="0.2">
      <c r="A1623" s="7" t="s">
        <v>688</v>
      </c>
      <c r="B1623" s="7"/>
      <c r="C1623" s="2" t="s">
        <v>641</v>
      </c>
      <c r="D1623" s="6" t="s">
        <v>649</v>
      </c>
      <c r="E1623" s="32" t="s">
        <v>651</v>
      </c>
      <c r="F1623" s="7"/>
      <c r="G1623" s="7"/>
      <c r="H1623" s="7"/>
      <c r="I1623" s="7"/>
      <c r="J1623" s="7">
        <v>3</v>
      </c>
      <c r="K1623" s="7" t="s">
        <v>660</v>
      </c>
      <c r="L1623" s="7" t="s">
        <v>663</v>
      </c>
      <c r="M1623" s="8">
        <v>44454</v>
      </c>
      <c r="N1623" s="8">
        <v>44463</v>
      </c>
      <c r="O1623" s="13"/>
      <c r="P1623" s="13">
        <v>32216.14</v>
      </c>
      <c r="Q1623" s="33"/>
      <c r="R1623" s="22"/>
      <c r="S1623" s="22"/>
      <c r="T1623" s="22"/>
      <c r="U1623" s="22"/>
      <c r="X1623" s="15" t="str">
        <f>IF(B1623="",VLOOKUP(A1623,items_lookup!A:B,2,FALSE),B1623)</f>
        <v>09. Item 09</v>
      </c>
      <c r="Y1623" s="15">
        <f t="shared" si="141"/>
        <v>9</v>
      </c>
      <c r="Z1623" s="15">
        <f t="shared" si="141"/>
        <v>9</v>
      </c>
      <c r="AA1623" s="15">
        <f t="shared" si="138"/>
        <v>2021</v>
      </c>
      <c r="AB1623" s="15">
        <f t="shared" si="139"/>
        <v>2021</v>
      </c>
      <c r="AC1623" s="15">
        <f t="shared" si="140"/>
        <v>2021</v>
      </c>
      <c r="AD1623" s="18" t="b">
        <f t="shared" si="142"/>
        <v>1</v>
      </c>
    </row>
    <row r="1624" spans="1:30" ht="15" hidden="1" customHeight="1" x14ac:dyDescent="0.2">
      <c r="A1624" s="7" t="s">
        <v>675</v>
      </c>
      <c r="B1624" s="7"/>
      <c r="C1624" s="2" t="s">
        <v>641</v>
      </c>
      <c r="D1624" s="6" t="s">
        <v>649</v>
      </c>
      <c r="E1624" s="32" t="s">
        <v>651</v>
      </c>
      <c r="F1624" s="7"/>
      <c r="G1624" s="7"/>
      <c r="H1624" s="7"/>
      <c r="I1624" s="7" t="s">
        <v>20</v>
      </c>
      <c r="J1624" s="7">
        <v>3</v>
      </c>
      <c r="K1624" s="7" t="s">
        <v>660</v>
      </c>
      <c r="L1624" s="7" t="s">
        <v>663</v>
      </c>
      <c r="M1624" s="8">
        <v>44454</v>
      </c>
      <c r="N1624" s="8">
        <v>44466</v>
      </c>
      <c r="O1624" s="13"/>
      <c r="P1624" s="13">
        <v>179396.53</v>
      </c>
      <c r="Q1624" s="33"/>
      <c r="X1624" s="15" t="str">
        <f>IF(B1624="",VLOOKUP(A1624,items_lookup!A:B,2,FALSE),B1624)</f>
        <v>09. Item 09</v>
      </c>
      <c r="Y1624" s="15">
        <f t="shared" si="141"/>
        <v>9</v>
      </c>
      <c r="Z1624" s="15">
        <f t="shared" si="141"/>
        <v>9</v>
      </c>
      <c r="AA1624" s="15">
        <f t="shared" si="138"/>
        <v>2021</v>
      </c>
      <c r="AB1624" s="15">
        <f t="shared" si="139"/>
        <v>2021</v>
      </c>
      <c r="AC1624" s="15">
        <f t="shared" si="140"/>
        <v>2021</v>
      </c>
      <c r="AD1624" s="18" t="b">
        <f t="shared" si="142"/>
        <v>1</v>
      </c>
    </row>
    <row r="1625" spans="1:30" ht="14.25" hidden="1" customHeight="1" x14ac:dyDescent="0.2">
      <c r="A1625" s="7" t="s">
        <v>675</v>
      </c>
      <c r="B1625" s="7"/>
      <c r="C1625" s="2" t="s">
        <v>641</v>
      </c>
      <c r="D1625" s="6" t="s">
        <v>649</v>
      </c>
      <c r="E1625" s="32" t="s">
        <v>651</v>
      </c>
      <c r="F1625" s="7"/>
      <c r="G1625" s="7"/>
      <c r="H1625" s="7"/>
      <c r="I1625" s="7"/>
      <c r="J1625" s="7">
        <v>3</v>
      </c>
      <c r="K1625" s="7" t="s">
        <v>660</v>
      </c>
      <c r="L1625" s="7" t="s">
        <v>663</v>
      </c>
      <c r="M1625" s="8">
        <v>44454</v>
      </c>
      <c r="N1625" s="8">
        <v>44466</v>
      </c>
      <c r="O1625" s="13"/>
      <c r="P1625" s="13">
        <v>230252.99</v>
      </c>
      <c r="Q1625" s="33"/>
      <c r="X1625" s="15" t="str">
        <f>IF(B1625="",VLOOKUP(A1625,items_lookup!A:B,2,FALSE),B1625)</f>
        <v>09. Item 09</v>
      </c>
      <c r="Y1625" s="15">
        <f t="shared" si="141"/>
        <v>9</v>
      </c>
      <c r="Z1625" s="15">
        <f t="shared" si="141"/>
        <v>9</v>
      </c>
      <c r="AA1625" s="15">
        <f t="shared" si="138"/>
        <v>2021</v>
      </c>
      <c r="AB1625" s="15">
        <f t="shared" si="139"/>
        <v>2021</v>
      </c>
      <c r="AC1625" s="15">
        <f t="shared" si="140"/>
        <v>2021</v>
      </c>
      <c r="AD1625" s="18" t="b">
        <f t="shared" si="142"/>
        <v>1</v>
      </c>
    </row>
    <row r="1626" spans="1:30" ht="14.25" hidden="1" customHeight="1" x14ac:dyDescent="0.2">
      <c r="A1626" s="7" t="s">
        <v>687</v>
      </c>
      <c r="B1626" s="7"/>
      <c r="C1626" s="2" t="s">
        <v>641</v>
      </c>
      <c r="D1626" s="6" t="s">
        <v>649</v>
      </c>
      <c r="E1626" s="32" t="s">
        <v>651</v>
      </c>
      <c r="F1626" s="7"/>
      <c r="G1626" s="7"/>
      <c r="H1626" s="7"/>
      <c r="I1626" s="7"/>
      <c r="J1626" s="7">
        <v>3</v>
      </c>
      <c r="K1626" s="7" t="s">
        <v>660</v>
      </c>
      <c r="L1626" s="7" t="s">
        <v>663</v>
      </c>
      <c r="M1626" s="8">
        <v>44454</v>
      </c>
      <c r="N1626" s="8">
        <v>44462</v>
      </c>
      <c r="O1626" s="13"/>
      <c r="P1626" s="13">
        <v>78059.570000000007</v>
      </c>
      <c r="Q1626" s="33"/>
      <c r="X1626" s="15" t="str">
        <f>IF(B1626="",VLOOKUP(A1626,items_lookup!A:B,2,FALSE),B1626)</f>
        <v>14. Item 14</v>
      </c>
      <c r="Y1626" s="15">
        <f t="shared" si="141"/>
        <v>9</v>
      </c>
      <c r="Z1626" s="15">
        <f t="shared" si="141"/>
        <v>9</v>
      </c>
      <c r="AA1626" s="15">
        <f t="shared" si="138"/>
        <v>2021</v>
      </c>
      <c r="AB1626" s="15">
        <f t="shared" si="139"/>
        <v>2021</v>
      </c>
      <c r="AC1626" s="15">
        <f t="shared" si="140"/>
        <v>2021</v>
      </c>
      <c r="AD1626" s="18" t="b">
        <f t="shared" si="142"/>
        <v>1</v>
      </c>
    </row>
    <row r="1627" spans="1:30" ht="14.25" hidden="1" customHeight="1" x14ac:dyDescent="0.2">
      <c r="A1627" s="7" t="s">
        <v>687</v>
      </c>
      <c r="B1627" s="7"/>
      <c r="C1627" s="2" t="s">
        <v>641</v>
      </c>
      <c r="D1627" s="6" t="s">
        <v>649</v>
      </c>
      <c r="E1627" s="32" t="s">
        <v>651</v>
      </c>
      <c r="F1627" s="7"/>
      <c r="G1627" s="7"/>
      <c r="H1627" s="7"/>
      <c r="I1627" s="7"/>
      <c r="J1627" s="7">
        <v>3</v>
      </c>
      <c r="K1627" s="7" t="s">
        <v>660</v>
      </c>
      <c r="L1627" s="7" t="s">
        <v>663</v>
      </c>
      <c r="M1627" s="8">
        <v>44454</v>
      </c>
      <c r="N1627" s="8">
        <v>44461</v>
      </c>
      <c r="O1627" s="13"/>
      <c r="P1627" s="13">
        <v>299922.90999999997</v>
      </c>
      <c r="Q1627" s="33"/>
      <c r="X1627" s="15" t="str">
        <f>IF(B1627="",VLOOKUP(A1627,items_lookup!A:B,2,FALSE),B1627)</f>
        <v>14. Item 14</v>
      </c>
      <c r="Y1627" s="15">
        <f t="shared" si="141"/>
        <v>9</v>
      </c>
      <c r="Z1627" s="15">
        <f t="shared" si="141"/>
        <v>9</v>
      </c>
      <c r="AA1627" s="15">
        <f t="shared" si="138"/>
        <v>2021</v>
      </c>
      <c r="AB1627" s="15">
        <f t="shared" si="139"/>
        <v>2021</v>
      </c>
      <c r="AC1627" s="15">
        <f t="shared" si="140"/>
        <v>2021</v>
      </c>
      <c r="AD1627" s="18" t="b">
        <f t="shared" si="142"/>
        <v>1</v>
      </c>
    </row>
    <row r="1628" spans="1:30" ht="14.25" hidden="1" customHeight="1" x14ac:dyDescent="0.2">
      <c r="A1628" s="7" t="s">
        <v>678</v>
      </c>
      <c r="B1628" s="7"/>
      <c r="C1628" s="2" t="s">
        <v>641</v>
      </c>
      <c r="D1628" s="6" t="s">
        <v>649</v>
      </c>
      <c r="E1628" s="32" t="s">
        <v>651</v>
      </c>
      <c r="F1628" s="7"/>
      <c r="G1628" s="7"/>
      <c r="H1628" s="7"/>
      <c r="I1628" s="7"/>
      <c r="J1628" s="7">
        <v>3</v>
      </c>
      <c r="K1628" s="7" t="s">
        <v>660</v>
      </c>
      <c r="L1628" s="7" t="s">
        <v>663</v>
      </c>
      <c r="M1628" s="8">
        <v>44454</v>
      </c>
      <c r="N1628" s="8">
        <v>44459</v>
      </c>
      <c r="O1628" s="13"/>
      <c r="P1628" s="13">
        <v>11.57</v>
      </c>
      <c r="Q1628" s="33"/>
      <c r="X1628" s="15" t="str">
        <f>IF(B1628="",VLOOKUP(A1628,items_lookup!A:B,2,FALSE),B1628)</f>
        <v>13. Item 13</v>
      </c>
      <c r="Y1628" s="15">
        <f t="shared" si="141"/>
        <v>9</v>
      </c>
      <c r="Z1628" s="15">
        <f t="shared" si="141"/>
        <v>9</v>
      </c>
      <c r="AA1628" s="15">
        <f t="shared" si="138"/>
        <v>2021</v>
      </c>
      <c r="AB1628" s="15">
        <f t="shared" si="139"/>
        <v>2021</v>
      </c>
      <c r="AC1628" s="15">
        <f t="shared" si="140"/>
        <v>2021</v>
      </c>
      <c r="AD1628" s="18" t="b">
        <f t="shared" si="142"/>
        <v>1</v>
      </c>
    </row>
    <row r="1629" spans="1:30" ht="14.25" hidden="1" customHeight="1" x14ac:dyDescent="0.2">
      <c r="A1629" s="7" t="s">
        <v>683</v>
      </c>
      <c r="B1629" s="7"/>
      <c r="C1629" s="2" t="s">
        <v>641</v>
      </c>
      <c r="D1629" s="6" t="s">
        <v>649</v>
      </c>
      <c r="E1629" s="32" t="s">
        <v>651</v>
      </c>
      <c r="F1629" s="7"/>
      <c r="G1629" s="7"/>
      <c r="H1629" s="7"/>
      <c r="I1629" s="7"/>
      <c r="J1629" s="7">
        <v>3</v>
      </c>
      <c r="K1629" s="7" t="s">
        <v>660</v>
      </c>
      <c r="L1629" s="7" t="s">
        <v>663</v>
      </c>
      <c r="M1629" s="8">
        <v>44454</v>
      </c>
      <c r="N1629" s="8">
        <v>44466</v>
      </c>
      <c r="O1629" s="13"/>
      <c r="P1629" s="13">
        <v>15405.71</v>
      </c>
      <c r="Q1629" s="33"/>
      <c r="R1629" s="22"/>
      <c r="S1629" s="22"/>
      <c r="T1629" s="22"/>
      <c r="U1629" s="22"/>
      <c r="X1629" s="15" t="str">
        <f>IF(B1629="",VLOOKUP(A1629,items_lookup!A:B,2,FALSE),B1629)</f>
        <v>_1. Item _1</v>
      </c>
      <c r="Y1629" s="15">
        <f t="shared" si="141"/>
        <v>9</v>
      </c>
      <c r="Z1629" s="15">
        <f t="shared" si="141"/>
        <v>9</v>
      </c>
      <c r="AA1629" s="15">
        <f t="shared" si="138"/>
        <v>2021</v>
      </c>
      <c r="AB1629" s="15">
        <f t="shared" si="139"/>
        <v>2021</v>
      </c>
      <c r="AC1629" s="15">
        <f t="shared" si="140"/>
        <v>2021</v>
      </c>
      <c r="AD1629" s="18" t="b">
        <f t="shared" si="142"/>
        <v>1</v>
      </c>
    </row>
    <row r="1630" spans="1:30" ht="12.6" hidden="1" customHeight="1" x14ac:dyDescent="0.2">
      <c r="A1630" s="7" t="s">
        <v>683</v>
      </c>
      <c r="B1630" s="20"/>
      <c r="C1630" s="2" t="s">
        <v>641</v>
      </c>
      <c r="D1630" s="6" t="s">
        <v>649</v>
      </c>
      <c r="E1630" s="32" t="s">
        <v>651</v>
      </c>
      <c r="F1630" s="7"/>
      <c r="G1630" s="7"/>
      <c r="H1630" s="7"/>
      <c r="I1630" s="7"/>
      <c r="J1630" s="7">
        <v>3</v>
      </c>
      <c r="K1630" s="7" t="s">
        <v>660</v>
      </c>
      <c r="L1630" s="7" t="s">
        <v>663</v>
      </c>
      <c r="M1630" s="8">
        <v>44454</v>
      </c>
      <c r="N1630" s="8">
        <v>44463</v>
      </c>
      <c r="O1630" s="13"/>
      <c r="P1630" s="13">
        <v>8721.66</v>
      </c>
      <c r="Q1630" s="33"/>
      <c r="R1630" s="9"/>
      <c r="S1630" s="9"/>
      <c r="T1630" s="9"/>
      <c r="U1630" s="9"/>
      <c r="X1630" s="15" t="str">
        <f>IF(B1630="",VLOOKUP(A1630,items_lookup!A:B,2,FALSE),B1630)</f>
        <v>_1. Item _1</v>
      </c>
      <c r="Y1630" s="15">
        <f t="shared" si="141"/>
        <v>9</v>
      </c>
      <c r="Z1630" s="15">
        <f t="shared" si="141"/>
        <v>9</v>
      </c>
      <c r="AA1630" s="15">
        <f t="shared" si="138"/>
        <v>2021</v>
      </c>
      <c r="AB1630" s="15">
        <f t="shared" si="139"/>
        <v>2021</v>
      </c>
      <c r="AC1630" s="15">
        <f t="shared" si="140"/>
        <v>2021</v>
      </c>
      <c r="AD1630" s="18" t="b">
        <f t="shared" si="142"/>
        <v>1</v>
      </c>
    </row>
    <row r="1631" spans="1:30" ht="15" hidden="1" customHeight="1" x14ac:dyDescent="0.2">
      <c r="A1631" s="7" t="s">
        <v>683</v>
      </c>
      <c r="B1631" s="7"/>
      <c r="C1631" s="2" t="s">
        <v>641</v>
      </c>
      <c r="D1631" s="6" t="s">
        <v>649</v>
      </c>
      <c r="E1631" s="32" t="s">
        <v>651</v>
      </c>
      <c r="F1631" s="7"/>
      <c r="G1631" s="7"/>
      <c r="H1631" s="7"/>
      <c r="I1631" s="7"/>
      <c r="J1631" s="7">
        <v>3</v>
      </c>
      <c r="K1631" s="7" t="s">
        <v>660</v>
      </c>
      <c r="L1631" s="7" t="s">
        <v>663</v>
      </c>
      <c r="M1631" s="8">
        <v>44455</v>
      </c>
      <c r="N1631" s="8">
        <v>44469</v>
      </c>
      <c r="O1631" s="13"/>
      <c r="P1631" s="13">
        <v>3804410.19</v>
      </c>
      <c r="Q1631" s="33"/>
      <c r="R1631" s="22"/>
      <c r="S1631" s="22"/>
      <c r="T1631" s="22"/>
      <c r="U1631" s="22"/>
      <c r="X1631" s="15" t="str">
        <f>IF(B1631="",VLOOKUP(A1631,items_lookup!A:B,2,FALSE),B1631)</f>
        <v>_1. Item _1</v>
      </c>
      <c r="Y1631" s="15">
        <f t="shared" si="141"/>
        <v>9</v>
      </c>
      <c r="Z1631" s="15">
        <f t="shared" si="141"/>
        <v>9</v>
      </c>
      <c r="AA1631" s="15">
        <f t="shared" si="138"/>
        <v>2021</v>
      </c>
      <c r="AB1631" s="15">
        <f t="shared" si="139"/>
        <v>2021</v>
      </c>
      <c r="AC1631" s="15">
        <f t="shared" si="140"/>
        <v>2021</v>
      </c>
      <c r="AD1631" s="18" t="b">
        <f t="shared" si="142"/>
        <v>1</v>
      </c>
    </row>
    <row r="1632" spans="1:30" ht="12.6" hidden="1" customHeight="1" x14ac:dyDescent="0.2">
      <c r="A1632" s="7" t="s">
        <v>670</v>
      </c>
      <c r="B1632" s="7"/>
      <c r="C1632" s="2" t="s">
        <v>641</v>
      </c>
      <c r="D1632" s="6" t="s">
        <v>649</v>
      </c>
      <c r="E1632" s="32" t="s">
        <v>651</v>
      </c>
      <c r="F1632" s="7"/>
      <c r="G1632" s="7"/>
      <c r="H1632" s="7"/>
      <c r="I1632" s="7"/>
      <c r="J1632" s="7">
        <v>3</v>
      </c>
      <c r="K1632" s="7" t="s">
        <v>660</v>
      </c>
      <c r="L1632" s="7" t="s">
        <v>663</v>
      </c>
      <c r="M1632" s="8">
        <v>44454</v>
      </c>
      <c r="N1632" s="8">
        <v>44466</v>
      </c>
      <c r="O1632" s="13"/>
      <c r="P1632" s="13">
        <v>2583333.33</v>
      </c>
      <c r="Q1632" s="33"/>
      <c r="R1632" s="22"/>
      <c r="S1632" s="22"/>
      <c r="T1632" s="22"/>
      <c r="U1632" s="22"/>
      <c r="X1632" s="15" t="str">
        <f>IF(B1632="",VLOOKUP(A1632,items_lookup!A:B,2,FALSE),B1632)</f>
        <v>04. Item 04</v>
      </c>
      <c r="Y1632" s="15">
        <f t="shared" si="141"/>
        <v>9</v>
      </c>
      <c r="Z1632" s="15">
        <f t="shared" si="141"/>
        <v>9</v>
      </c>
      <c r="AA1632" s="15">
        <f t="shared" si="138"/>
        <v>2021</v>
      </c>
      <c r="AB1632" s="15">
        <f t="shared" si="139"/>
        <v>2021</v>
      </c>
      <c r="AC1632" s="15">
        <f t="shared" si="140"/>
        <v>2021</v>
      </c>
      <c r="AD1632" s="18" t="b">
        <f t="shared" si="142"/>
        <v>1</v>
      </c>
    </row>
    <row r="1633" spans="1:30" ht="15" hidden="1" customHeight="1" x14ac:dyDescent="0.2">
      <c r="A1633" s="7" t="s">
        <v>689</v>
      </c>
      <c r="B1633" s="7"/>
      <c r="C1633" s="2" t="s">
        <v>641</v>
      </c>
      <c r="D1633" s="6" t="s">
        <v>649</v>
      </c>
      <c r="E1633" s="32" t="s">
        <v>651</v>
      </c>
      <c r="F1633" s="7"/>
      <c r="G1633" s="7"/>
      <c r="H1633" s="7"/>
      <c r="I1633" s="7"/>
      <c r="J1633" s="7"/>
      <c r="K1633" s="7"/>
      <c r="L1633" s="7" t="s">
        <v>662</v>
      </c>
      <c r="M1633" s="8">
        <v>44440</v>
      </c>
      <c r="N1633" s="8">
        <v>44440</v>
      </c>
      <c r="O1633" s="13">
        <v>23.81</v>
      </c>
      <c r="P1633" s="13"/>
      <c r="Q1633" s="33"/>
      <c r="R1633" s="22"/>
      <c r="S1633" s="22"/>
      <c r="T1633" s="22"/>
      <c r="U1633" s="22"/>
      <c r="X1633" s="15" t="str">
        <f>IF(B1633="",VLOOKUP(A1633,items_lookup!A:B,2,FALSE),B1633)</f>
        <v>04. Item 04</v>
      </c>
      <c r="Y1633" s="15">
        <f t="shared" si="141"/>
        <v>9</v>
      </c>
      <c r="Z1633" s="15">
        <f t="shared" si="141"/>
        <v>9</v>
      </c>
      <c r="AA1633" s="15">
        <f t="shared" si="138"/>
        <v>2021</v>
      </c>
      <c r="AB1633" s="15">
        <f t="shared" si="139"/>
        <v>2021</v>
      </c>
      <c r="AC1633" s="15">
        <f t="shared" si="140"/>
        <v>2021</v>
      </c>
      <c r="AD1633" s="18" t="b">
        <f t="shared" si="142"/>
        <v>1</v>
      </c>
    </row>
    <row r="1634" spans="1:30" ht="15" hidden="1" customHeight="1" x14ac:dyDescent="0.2">
      <c r="A1634" s="7" t="s">
        <v>671</v>
      </c>
      <c r="B1634" s="7"/>
      <c r="C1634" s="2" t="s">
        <v>641</v>
      </c>
      <c r="D1634" s="6" t="s">
        <v>649</v>
      </c>
      <c r="E1634" s="32" t="s">
        <v>651</v>
      </c>
      <c r="F1634" s="7"/>
      <c r="G1634" s="7"/>
      <c r="H1634" s="7"/>
      <c r="I1634" s="7"/>
      <c r="J1634" s="7">
        <v>3</v>
      </c>
      <c r="K1634" s="7" t="s">
        <v>660</v>
      </c>
      <c r="L1634" s="7" t="s">
        <v>663</v>
      </c>
      <c r="M1634" s="8">
        <v>44455</v>
      </c>
      <c r="N1634" s="8">
        <v>44467</v>
      </c>
      <c r="O1634" s="13"/>
      <c r="P1634" s="13">
        <v>35040.089999999997</v>
      </c>
      <c r="Q1634" s="33"/>
      <c r="R1634" s="22"/>
      <c r="S1634" s="22"/>
      <c r="T1634" s="22"/>
      <c r="U1634" s="22"/>
      <c r="X1634" s="15" t="str">
        <f>IF(B1634="",VLOOKUP(A1634,items_lookup!A:B,2,FALSE),B1634)</f>
        <v>05. Item 05</v>
      </c>
      <c r="Y1634" s="15">
        <f t="shared" si="141"/>
        <v>9</v>
      </c>
      <c r="Z1634" s="15">
        <f t="shared" si="141"/>
        <v>9</v>
      </c>
      <c r="AA1634" s="15">
        <f t="shared" si="138"/>
        <v>2021</v>
      </c>
      <c r="AB1634" s="15">
        <f t="shared" si="139"/>
        <v>2021</v>
      </c>
      <c r="AC1634" s="15">
        <f t="shared" si="140"/>
        <v>2021</v>
      </c>
      <c r="AD1634" s="18" t="b">
        <f t="shared" si="142"/>
        <v>1</v>
      </c>
    </row>
    <row r="1635" spans="1:30" ht="15" hidden="1" customHeight="1" x14ac:dyDescent="0.2">
      <c r="A1635" s="7" t="s">
        <v>672</v>
      </c>
      <c r="B1635" s="7"/>
      <c r="C1635" s="2" t="s">
        <v>641</v>
      </c>
      <c r="D1635" s="6" t="s">
        <v>649</v>
      </c>
      <c r="E1635" s="32" t="s">
        <v>651</v>
      </c>
      <c r="F1635" s="7"/>
      <c r="G1635" s="7"/>
      <c r="H1635" s="7"/>
      <c r="I1635" s="7"/>
      <c r="J1635" s="7"/>
      <c r="K1635" s="7" t="s">
        <v>660</v>
      </c>
      <c r="L1635" s="7" t="s">
        <v>663</v>
      </c>
      <c r="M1635" s="8">
        <v>44455</v>
      </c>
      <c r="N1635" s="8">
        <v>44455</v>
      </c>
      <c r="O1635" s="13"/>
      <c r="P1635" s="13">
        <v>122685.16</v>
      </c>
      <c r="Q1635" s="33"/>
      <c r="R1635" s="22"/>
      <c r="S1635" s="22"/>
      <c r="T1635" s="22"/>
      <c r="U1635" s="22"/>
      <c r="X1635" s="15" t="str">
        <f>IF(B1635="",VLOOKUP(A1635,items_lookup!A:B,2,FALSE),B1635)</f>
        <v>05. Item 05</v>
      </c>
      <c r="Y1635" s="15">
        <f t="shared" si="141"/>
        <v>9</v>
      </c>
      <c r="Z1635" s="15">
        <f t="shared" si="141"/>
        <v>9</v>
      </c>
      <c r="AA1635" s="15">
        <f t="shared" si="138"/>
        <v>2021</v>
      </c>
      <c r="AB1635" s="15">
        <f t="shared" si="139"/>
        <v>2021</v>
      </c>
      <c r="AC1635" s="15">
        <f t="shared" si="140"/>
        <v>2021</v>
      </c>
      <c r="AD1635" s="18" t="b">
        <f t="shared" si="142"/>
        <v>1</v>
      </c>
    </row>
    <row r="1636" spans="1:30" ht="15" hidden="1" customHeight="1" x14ac:dyDescent="0.2">
      <c r="A1636" s="7" t="s">
        <v>682</v>
      </c>
      <c r="B1636" s="7"/>
      <c r="C1636" s="2" t="s">
        <v>641</v>
      </c>
      <c r="D1636" s="6" t="s">
        <v>649</v>
      </c>
      <c r="E1636" s="32" t="s">
        <v>651</v>
      </c>
      <c r="F1636" s="7"/>
      <c r="G1636" s="7"/>
      <c r="H1636" s="7"/>
      <c r="I1636" s="7"/>
      <c r="J1636" s="7">
        <v>1</v>
      </c>
      <c r="K1636" s="7" t="s">
        <v>660</v>
      </c>
      <c r="L1636" s="7" t="s">
        <v>663</v>
      </c>
      <c r="M1636" s="8">
        <v>44442</v>
      </c>
      <c r="N1636" s="8">
        <v>44467</v>
      </c>
      <c r="O1636" s="13"/>
      <c r="P1636" s="13">
        <v>4125</v>
      </c>
      <c r="Q1636" s="33"/>
      <c r="R1636" s="22"/>
      <c r="S1636" s="22"/>
      <c r="T1636" s="22"/>
      <c r="U1636" s="22"/>
      <c r="X1636" s="15" t="str">
        <f>IF(B1636="",VLOOKUP(A1636,items_lookup!A:B,2,FALSE),B1636)</f>
        <v>06. Item 06</v>
      </c>
      <c r="Y1636" s="15">
        <f t="shared" si="141"/>
        <v>9</v>
      </c>
      <c r="Z1636" s="15">
        <f t="shared" si="141"/>
        <v>9</v>
      </c>
      <c r="AA1636" s="15">
        <f t="shared" si="138"/>
        <v>2021</v>
      </c>
      <c r="AB1636" s="15">
        <f t="shared" si="139"/>
        <v>2021</v>
      </c>
      <c r="AC1636" s="15">
        <f t="shared" si="140"/>
        <v>2021</v>
      </c>
      <c r="AD1636" s="18" t="b">
        <f t="shared" si="142"/>
        <v>1</v>
      </c>
    </row>
    <row r="1637" spans="1:30" ht="15" hidden="1" customHeight="1" x14ac:dyDescent="0.2">
      <c r="A1637" s="7" t="s">
        <v>673</v>
      </c>
      <c r="B1637" s="7"/>
      <c r="C1637" s="2" t="s">
        <v>641</v>
      </c>
      <c r="D1637" s="6" t="s">
        <v>649</v>
      </c>
      <c r="E1637" s="32" t="s">
        <v>651</v>
      </c>
      <c r="F1637" s="7"/>
      <c r="G1637" s="7"/>
      <c r="H1637" s="7"/>
      <c r="I1637" s="7" t="s">
        <v>20</v>
      </c>
      <c r="J1637" s="7">
        <v>4</v>
      </c>
      <c r="K1637" s="7" t="s">
        <v>660</v>
      </c>
      <c r="L1637" s="7" t="s">
        <v>663</v>
      </c>
      <c r="M1637" s="8">
        <v>44456</v>
      </c>
      <c r="N1637" s="8">
        <v>44467</v>
      </c>
      <c r="O1637" s="13"/>
      <c r="P1637" s="13">
        <v>2720902.06</v>
      </c>
      <c r="Q1637" s="33"/>
      <c r="R1637" s="22"/>
      <c r="S1637" s="22"/>
      <c r="T1637" s="22"/>
      <c r="U1637" s="22"/>
      <c r="X1637" s="15" t="str">
        <f>IF(B1637="",VLOOKUP(A1637,items_lookup!A:B,2,FALSE),B1637)</f>
        <v>07. Item 07</v>
      </c>
      <c r="Y1637" s="15">
        <f t="shared" si="141"/>
        <v>9</v>
      </c>
      <c r="Z1637" s="15">
        <f t="shared" si="141"/>
        <v>9</v>
      </c>
      <c r="AA1637" s="15">
        <f t="shared" si="138"/>
        <v>2021</v>
      </c>
      <c r="AB1637" s="15">
        <f t="shared" si="139"/>
        <v>2021</v>
      </c>
      <c r="AC1637" s="15">
        <f t="shared" si="140"/>
        <v>2021</v>
      </c>
      <c r="AD1637" s="18" t="b">
        <f t="shared" si="142"/>
        <v>1</v>
      </c>
    </row>
    <row r="1638" spans="1:30" ht="15" hidden="1" customHeight="1" x14ac:dyDescent="0.2">
      <c r="A1638" s="7" t="s">
        <v>674</v>
      </c>
      <c r="B1638" s="7"/>
      <c r="C1638" s="2" t="s">
        <v>641</v>
      </c>
      <c r="D1638" s="6" t="s">
        <v>649</v>
      </c>
      <c r="E1638" s="32" t="s">
        <v>651</v>
      </c>
      <c r="F1638" s="7"/>
      <c r="G1638" s="7"/>
      <c r="H1638" s="7"/>
      <c r="I1638" s="7"/>
      <c r="J1638" s="7">
        <v>4</v>
      </c>
      <c r="K1638" s="7" t="s">
        <v>660</v>
      </c>
      <c r="L1638" s="7" t="s">
        <v>663</v>
      </c>
      <c r="M1638" s="8">
        <v>44456</v>
      </c>
      <c r="N1638" s="8">
        <v>44467</v>
      </c>
      <c r="O1638" s="13"/>
      <c r="P1638" s="13">
        <v>285526.51</v>
      </c>
      <c r="Q1638" s="33"/>
      <c r="R1638" s="22"/>
      <c r="S1638" s="22"/>
      <c r="T1638" s="22"/>
      <c r="U1638" s="22"/>
      <c r="X1638" s="15" t="str">
        <f>IF(B1638="",VLOOKUP(A1638,items_lookup!A:B,2,FALSE),B1638)</f>
        <v>08. Item 08</v>
      </c>
      <c r="Y1638" s="15">
        <f t="shared" si="141"/>
        <v>9</v>
      </c>
      <c r="Z1638" s="15">
        <f t="shared" si="141"/>
        <v>9</v>
      </c>
      <c r="AA1638" s="15">
        <f t="shared" si="138"/>
        <v>2021</v>
      </c>
      <c r="AB1638" s="15">
        <f t="shared" si="139"/>
        <v>2021</v>
      </c>
      <c r="AC1638" s="15">
        <f t="shared" si="140"/>
        <v>2021</v>
      </c>
      <c r="AD1638" s="18" t="b">
        <f t="shared" si="142"/>
        <v>1</v>
      </c>
    </row>
    <row r="1639" spans="1:30" ht="15" hidden="1" customHeight="1" x14ac:dyDescent="0.2">
      <c r="A1639" s="7" t="s">
        <v>688</v>
      </c>
      <c r="B1639" s="7"/>
      <c r="C1639" s="2" t="s">
        <v>641</v>
      </c>
      <c r="D1639" s="6" t="s">
        <v>649</v>
      </c>
      <c r="E1639" s="32" t="s">
        <v>651</v>
      </c>
      <c r="F1639" s="7"/>
      <c r="G1639" s="7"/>
      <c r="H1639" s="7"/>
      <c r="I1639" s="7"/>
      <c r="J1639" s="7"/>
      <c r="K1639" s="7" t="s">
        <v>660</v>
      </c>
      <c r="L1639" s="7" t="s">
        <v>663</v>
      </c>
      <c r="M1639" s="8">
        <v>44456</v>
      </c>
      <c r="N1639" s="8">
        <v>44456</v>
      </c>
      <c r="O1639" s="13"/>
      <c r="P1639" s="13">
        <v>139226.81</v>
      </c>
      <c r="Q1639" s="33"/>
      <c r="R1639" s="22"/>
      <c r="S1639" s="22"/>
      <c r="T1639" s="22"/>
      <c r="U1639" s="22"/>
      <c r="X1639" s="15" t="str">
        <f>IF(B1639="",VLOOKUP(A1639,items_lookup!A:B,2,FALSE),B1639)</f>
        <v>09. Item 09</v>
      </c>
      <c r="Y1639" s="15">
        <f t="shared" si="141"/>
        <v>9</v>
      </c>
      <c r="Z1639" s="15">
        <f t="shared" si="141"/>
        <v>9</v>
      </c>
      <c r="AA1639" s="15">
        <f t="shared" si="138"/>
        <v>2021</v>
      </c>
      <c r="AB1639" s="15">
        <f t="shared" si="139"/>
        <v>2021</v>
      </c>
      <c r="AC1639" s="15">
        <f t="shared" si="140"/>
        <v>2021</v>
      </c>
      <c r="AD1639" s="18" t="b">
        <f t="shared" si="142"/>
        <v>1</v>
      </c>
    </row>
    <row r="1640" spans="1:30" ht="15" hidden="1" customHeight="1" x14ac:dyDescent="0.2">
      <c r="A1640" s="7" t="s">
        <v>676</v>
      </c>
      <c r="B1640" s="7"/>
      <c r="C1640" s="2" t="s">
        <v>641</v>
      </c>
      <c r="D1640" s="6" t="s">
        <v>649</v>
      </c>
      <c r="E1640" s="32" t="s">
        <v>651</v>
      </c>
      <c r="F1640" s="7"/>
      <c r="G1640" s="7"/>
      <c r="H1640" s="7"/>
      <c r="I1640" s="7"/>
      <c r="J1640" s="7"/>
      <c r="K1640" s="7" t="s">
        <v>660</v>
      </c>
      <c r="L1640" s="7" t="s">
        <v>663</v>
      </c>
      <c r="M1640" s="8">
        <v>44459</v>
      </c>
      <c r="N1640" s="8">
        <v>44459</v>
      </c>
      <c r="O1640" s="13"/>
      <c r="P1640" s="13">
        <v>11.57</v>
      </c>
      <c r="Q1640" s="33"/>
      <c r="R1640" s="22"/>
      <c r="S1640" s="22"/>
      <c r="T1640" s="22"/>
      <c r="U1640" s="22"/>
      <c r="X1640" s="15" t="str">
        <f>IF(B1640="",VLOOKUP(A1640,items_lookup!A:B,2,FALSE),B1640)</f>
        <v>09. Item 09</v>
      </c>
      <c r="Y1640" s="15">
        <f t="shared" si="141"/>
        <v>9</v>
      </c>
      <c r="Z1640" s="15">
        <f t="shared" si="141"/>
        <v>9</v>
      </c>
      <c r="AA1640" s="15">
        <f t="shared" si="138"/>
        <v>2021</v>
      </c>
      <c r="AB1640" s="15">
        <f t="shared" si="139"/>
        <v>2021</v>
      </c>
      <c r="AC1640" s="15">
        <f t="shared" si="140"/>
        <v>2021</v>
      </c>
      <c r="AD1640" s="18" t="b">
        <f t="shared" si="142"/>
        <v>1</v>
      </c>
    </row>
    <row r="1641" spans="1:30" ht="15" hidden="1" customHeight="1" x14ac:dyDescent="0.2">
      <c r="A1641" s="7" t="s">
        <v>675</v>
      </c>
      <c r="B1641" s="7"/>
      <c r="C1641" s="2" t="s">
        <v>641</v>
      </c>
      <c r="D1641" s="6" t="s">
        <v>649</v>
      </c>
      <c r="E1641" s="32" t="s">
        <v>651</v>
      </c>
      <c r="F1641" s="7"/>
      <c r="G1641" s="7"/>
      <c r="H1641" s="7"/>
      <c r="I1641" s="7"/>
      <c r="J1641" s="7"/>
      <c r="K1641" s="7" t="s">
        <v>660</v>
      </c>
      <c r="L1641" s="7" t="s">
        <v>663</v>
      </c>
      <c r="M1641" s="8">
        <v>44460</v>
      </c>
      <c r="N1641" s="8">
        <v>44460</v>
      </c>
      <c r="O1641" s="13"/>
      <c r="P1641" s="13">
        <v>391312.64000000001</v>
      </c>
      <c r="Q1641" s="33"/>
      <c r="R1641" s="22"/>
      <c r="S1641" s="22"/>
      <c r="T1641" s="22"/>
      <c r="U1641" s="22"/>
      <c r="X1641" s="15" t="str">
        <f>IF(B1641="",VLOOKUP(A1641,items_lookup!A:B,2,FALSE),B1641)</f>
        <v>09. Item 09</v>
      </c>
      <c r="Y1641" s="15">
        <f t="shared" si="141"/>
        <v>9</v>
      </c>
      <c r="Z1641" s="15">
        <f t="shared" si="141"/>
        <v>9</v>
      </c>
      <c r="AA1641" s="15">
        <f t="shared" si="138"/>
        <v>2021</v>
      </c>
      <c r="AB1641" s="15">
        <f t="shared" si="139"/>
        <v>2021</v>
      </c>
      <c r="AC1641" s="15">
        <f t="shared" si="140"/>
        <v>2021</v>
      </c>
      <c r="AD1641" s="18" t="b">
        <f t="shared" si="142"/>
        <v>1</v>
      </c>
    </row>
    <row r="1642" spans="1:30" ht="15" hidden="1" customHeight="1" x14ac:dyDescent="0.2">
      <c r="A1642" s="7" t="s">
        <v>697</v>
      </c>
      <c r="B1642" s="7"/>
      <c r="C1642" s="2" t="s">
        <v>641</v>
      </c>
      <c r="D1642" s="6" t="s">
        <v>649</v>
      </c>
      <c r="E1642" s="32" t="s">
        <v>651</v>
      </c>
      <c r="F1642" s="7"/>
      <c r="G1642" s="7"/>
      <c r="H1642" s="7"/>
      <c r="I1642" s="7"/>
      <c r="J1642" s="7"/>
      <c r="K1642" s="7" t="s">
        <v>660</v>
      </c>
      <c r="L1642" s="7" t="s">
        <v>663</v>
      </c>
      <c r="M1642" s="8">
        <v>44461</v>
      </c>
      <c r="N1642" s="8">
        <v>44461</v>
      </c>
      <c r="O1642" s="13"/>
      <c r="P1642" s="13">
        <v>335456.08</v>
      </c>
      <c r="Q1642" s="33"/>
      <c r="R1642" s="22"/>
      <c r="S1642" s="22"/>
      <c r="T1642" s="22"/>
      <c r="U1642" s="22"/>
      <c r="X1642" s="15" t="str">
        <f>IF(B1642="",VLOOKUP(A1642,items_lookup!A:B,2,FALSE),B1642)</f>
        <v>10. Item 10</v>
      </c>
      <c r="Y1642" s="15">
        <f t="shared" si="141"/>
        <v>9</v>
      </c>
      <c r="Z1642" s="15">
        <f t="shared" si="141"/>
        <v>9</v>
      </c>
      <c r="AA1642" s="15">
        <f t="shared" si="138"/>
        <v>2021</v>
      </c>
      <c r="AB1642" s="15">
        <f t="shared" si="139"/>
        <v>2021</v>
      </c>
      <c r="AC1642" s="15">
        <f t="shared" si="140"/>
        <v>2021</v>
      </c>
      <c r="AD1642" s="18" t="b">
        <f t="shared" si="142"/>
        <v>1</v>
      </c>
    </row>
    <row r="1643" spans="1:30" ht="15" hidden="1" customHeight="1" x14ac:dyDescent="0.2">
      <c r="A1643" s="7" t="s">
        <v>698</v>
      </c>
      <c r="B1643" s="7"/>
      <c r="C1643" s="2" t="s">
        <v>641</v>
      </c>
      <c r="D1643" s="6" t="s">
        <v>649</v>
      </c>
      <c r="E1643" s="32" t="s">
        <v>651</v>
      </c>
      <c r="F1643" s="7"/>
      <c r="G1643" s="7"/>
      <c r="H1643" s="7"/>
      <c r="I1643" s="7"/>
      <c r="J1643" s="7"/>
      <c r="K1643" s="7" t="s">
        <v>660</v>
      </c>
      <c r="L1643" s="7" t="s">
        <v>663</v>
      </c>
      <c r="M1643" s="8">
        <v>44462</v>
      </c>
      <c r="N1643" s="8">
        <v>44462</v>
      </c>
      <c r="O1643" s="13"/>
      <c r="P1643" s="13">
        <v>78059.570000000007</v>
      </c>
      <c r="Q1643" s="33"/>
      <c r="R1643" s="22"/>
      <c r="S1643" s="22"/>
      <c r="T1643" s="22"/>
      <c r="U1643" s="22"/>
      <c r="X1643" s="15" t="str">
        <f>IF(B1643="",VLOOKUP(A1643,items_lookup!A:B,2,FALSE),B1643)</f>
        <v>10. Item 10</v>
      </c>
      <c r="Y1643" s="15">
        <f t="shared" si="141"/>
        <v>9</v>
      </c>
      <c r="Z1643" s="15">
        <f t="shared" si="141"/>
        <v>9</v>
      </c>
      <c r="AA1643" s="15">
        <f t="shared" si="138"/>
        <v>2021</v>
      </c>
      <c r="AB1643" s="15">
        <f t="shared" si="139"/>
        <v>2021</v>
      </c>
      <c r="AC1643" s="15">
        <f t="shared" si="140"/>
        <v>2021</v>
      </c>
      <c r="AD1643" s="18" t="b">
        <f t="shared" si="142"/>
        <v>1</v>
      </c>
    </row>
    <row r="1644" spans="1:30" ht="15" hidden="1" customHeight="1" x14ac:dyDescent="0.2">
      <c r="A1644" s="7" t="s">
        <v>677</v>
      </c>
      <c r="B1644" s="7"/>
      <c r="C1644" s="2" t="s">
        <v>641</v>
      </c>
      <c r="D1644" s="6" t="s">
        <v>649</v>
      </c>
      <c r="E1644" s="32" t="s">
        <v>651</v>
      </c>
      <c r="F1644" s="7"/>
      <c r="G1644" s="7"/>
      <c r="H1644" s="7"/>
      <c r="I1644" s="7"/>
      <c r="J1644" s="7"/>
      <c r="K1644" s="7" t="s">
        <v>660</v>
      </c>
      <c r="L1644" s="7" t="s">
        <v>663</v>
      </c>
      <c r="M1644" s="8">
        <v>44463</v>
      </c>
      <c r="N1644" s="8">
        <v>44463</v>
      </c>
      <c r="O1644" s="13"/>
      <c r="P1644" s="13">
        <v>585890.01</v>
      </c>
      <c r="Q1644" s="33"/>
      <c r="R1644" s="22"/>
      <c r="S1644" s="22"/>
      <c r="T1644" s="22"/>
      <c r="U1644" s="22"/>
      <c r="X1644" s="15" t="str">
        <f>IF(B1644="",VLOOKUP(A1644,items_lookup!A:B,2,FALSE),B1644)</f>
        <v>11. Item 11</v>
      </c>
      <c r="Y1644" s="15">
        <f t="shared" si="141"/>
        <v>9</v>
      </c>
      <c r="Z1644" s="15">
        <f t="shared" si="141"/>
        <v>9</v>
      </c>
      <c r="AA1644" s="15">
        <f t="shared" si="138"/>
        <v>2021</v>
      </c>
      <c r="AB1644" s="15">
        <f t="shared" si="139"/>
        <v>2021</v>
      </c>
      <c r="AC1644" s="15">
        <f t="shared" si="140"/>
        <v>2021</v>
      </c>
      <c r="AD1644" s="18" t="b">
        <f t="shared" si="142"/>
        <v>1</v>
      </c>
    </row>
    <row r="1645" spans="1:30" ht="15" hidden="1" customHeight="1" x14ac:dyDescent="0.2">
      <c r="A1645" s="7" t="s">
        <v>699</v>
      </c>
      <c r="B1645" s="7"/>
      <c r="C1645" s="2" t="s">
        <v>641</v>
      </c>
      <c r="D1645" s="6" t="s">
        <v>649</v>
      </c>
      <c r="E1645" s="32" t="s">
        <v>651</v>
      </c>
      <c r="F1645" s="7"/>
      <c r="G1645" s="7"/>
      <c r="H1645" s="7"/>
      <c r="I1645" s="7"/>
      <c r="J1645" s="7">
        <v>3</v>
      </c>
      <c r="K1645" s="7" t="s">
        <v>660</v>
      </c>
      <c r="L1645" s="7" t="s">
        <v>663</v>
      </c>
      <c r="M1645" s="8">
        <v>44454</v>
      </c>
      <c r="N1645" s="8">
        <v>44463</v>
      </c>
      <c r="O1645" s="13"/>
      <c r="P1645" s="13">
        <v>217440.62</v>
      </c>
      <c r="Q1645" s="33"/>
      <c r="R1645" s="22"/>
      <c r="S1645" s="22"/>
      <c r="T1645" s="22"/>
      <c r="U1645" s="22"/>
      <c r="X1645" s="15" t="str">
        <f>IF(B1645="",VLOOKUP(A1645,items_lookup!A:B,2,FALSE),B1645)</f>
        <v>12. Item 12</v>
      </c>
      <c r="Y1645" s="15">
        <f t="shared" si="141"/>
        <v>9</v>
      </c>
      <c r="Z1645" s="15">
        <f t="shared" si="141"/>
        <v>9</v>
      </c>
      <c r="AA1645" s="15">
        <f t="shared" si="138"/>
        <v>2021</v>
      </c>
      <c r="AB1645" s="15">
        <f t="shared" si="139"/>
        <v>2021</v>
      </c>
      <c r="AC1645" s="15">
        <f t="shared" si="140"/>
        <v>2021</v>
      </c>
      <c r="AD1645" s="18" t="b">
        <f t="shared" si="142"/>
        <v>1</v>
      </c>
    </row>
    <row r="1646" spans="1:30" ht="15" hidden="1" customHeight="1" x14ac:dyDescent="0.2">
      <c r="A1646" s="7" t="s">
        <v>696</v>
      </c>
      <c r="B1646" s="7"/>
      <c r="C1646" s="2" t="s">
        <v>641</v>
      </c>
      <c r="D1646" s="6" t="s">
        <v>649</v>
      </c>
      <c r="E1646" s="32" t="s">
        <v>651</v>
      </c>
      <c r="F1646" s="7"/>
      <c r="G1646" s="7"/>
      <c r="H1646" s="7"/>
      <c r="I1646" s="7" t="s">
        <v>20</v>
      </c>
      <c r="J1646" s="7">
        <v>3</v>
      </c>
      <c r="K1646" s="7" t="s">
        <v>660</v>
      </c>
      <c r="L1646" s="7" t="s">
        <v>663</v>
      </c>
      <c r="M1646" s="8">
        <v>44454</v>
      </c>
      <c r="N1646" s="8">
        <v>44463</v>
      </c>
      <c r="O1646" s="13"/>
      <c r="P1646" s="13">
        <v>5690.48</v>
      </c>
      <c r="Q1646" s="33"/>
      <c r="X1646" s="15" t="str">
        <f>IF(B1646="",VLOOKUP(A1646,items_lookup!A:B,2,FALSE),B1646)</f>
        <v>13. Item 13</v>
      </c>
      <c r="Y1646" s="15">
        <f t="shared" si="141"/>
        <v>9</v>
      </c>
      <c r="Z1646" s="15">
        <f t="shared" si="141"/>
        <v>9</v>
      </c>
      <c r="AA1646" s="15">
        <f t="shared" si="138"/>
        <v>2021</v>
      </c>
      <c r="AB1646" s="15">
        <f t="shared" si="139"/>
        <v>2021</v>
      </c>
      <c r="AC1646" s="15">
        <f t="shared" si="140"/>
        <v>2021</v>
      </c>
      <c r="AD1646" s="18" t="b">
        <f t="shared" si="142"/>
        <v>1</v>
      </c>
    </row>
    <row r="1647" spans="1:30" ht="14.25" hidden="1" customHeight="1" x14ac:dyDescent="0.2">
      <c r="A1647" s="7" t="s">
        <v>678</v>
      </c>
      <c r="B1647" s="7"/>
      <c r="C1647" s="2" t="s">
        <v>641</v>
      </c>
      <c r="D1647" s="6" t="s">
        <v>649</v>
      </c>
      <c r="E1647" s="32" t="s">
        <v>651</v>
      </c>
      <c r="F1647" s="7"/>
      <c r="G1647" s="7"/>
      <c r="H1647" s="7"/>
      <c r="I1647" s="7"/>
      <c r="J1647" s="7">
        <v>3</v>
      </c>
      <c r="K1647" s="7" t="s">
        <v>660</v>
      </c>
      <c r="L1647" s="7" t="s">
        <v>663</v>
      </c>
      <c r="M1647" s="8">
        <v>44454</v>
      </c>
      <c r="N1647" s="8">
        <v>44468</v>
      </c>
      <c r="O1647" s="13"/>
      <c r="P1647" s="13">
        <v>75616.73</v>
      </c>
      <c r="Q1647" s="33"/>
      <c r="R1647" s="22"/>
      <c r="S1647" s="22"/>
      <c r="T1647" s="22"/>
      <c r="U1647" s="22"/>
      <c r="X1647" s="15" t="str">
        <f>IF(B1647="",VLOOKUP(A1647,items_lookup!A:B,2,FALSE),B1647)</f>
        <v>13. Item 13</v>
      </c>
      <c r="Y1647" s="15">
        <f t="shared" si="141"/>
        <v>9</v>
      </c>
      <c r="Z1647" s="15">
        <f t="shared" si="141"/>
        <v>9</v>
      </c>
      <c r="AA1647" s="15">
        <f t="shared" ref="AA1647:AA1710" si="143">YEAR(N1647)</f>
        <v>2021</v>
      </c>
      <c r="AB1647" s="15">
        <f t="shared" ref="AB1647:AB1710" si="144">YEAR(M1647)</f>
        <v>2021</v>
      </c>
      <c r="AC1647" s="15">
        <f t="shared" ref="AC1647:AC1710" si="145">IF(F1647="X",AA1647-1,AA1647)</f>
        <v>2021</v>
      </c>
      <c r="AD1647" s="18" t="b">
        <f t="shared" si="142"/>
        <v>1</v>
      </c>
    </row>
    <row r="1648" spans="1:30" ht="15" hidden="1" customHeight="1" x14ac:dyDescent="0.2">
      <c r="A1648" s="7" t="s">
        <v>700</v>
      </c>
      <c r="B1648" s="7"/>
      <c r="C1648" s="2" t="s">
        <v>641</v>
      </c>
      <c r="D1648" s="6" t="s">
        <v>649</v>
      </c>
      <c r="E1648" s="32" t="s">
        <v>651</v>
      </c>
      <c r="F1648" s="7"/>
      <c r="G1648" s="7"/>
      <c r="H1648" s="7"/>
      <c r="I1648" s="7"/>
      <c r="J1648" s="7"/>
      <c r="K1648" s="7" t="s">
        <v>660</v>
      </c>
      <c r="L1648" s="7" t="s">
        <v>663</v>
      </c>
      <c r="M1648" s="8">
        <v>44466</v>
      </c>
      <c r="N1648" s="8">
        <v>44466</v>
      </c>
      <c r="O1648" s="13"/>
      <c r="P1648" s="13">
        <v>8987095.0600000005</v>
      </c>
      <c r="Q1648" s="33"/>
      <c r="R1648" s="22"/>
      <c r="S1648" s="22"/>
      <c r="T1648" s="22"/>
      <c r="U1648" s="22"/>
      <c r="X1648" s="15" t="str">
        <f>IF(B1648="",VLOOKUP(A1648,items_lookup!A:B,2,FALSE),B1648)</f>
        <v>13. Item 13</v>
      </c>
      <c r="Y1648" s="15">
        <f t="shared" si="141"/>
        <v>9</v>
      </c>
      <c r="Z1648" s="15">
        <f t="shared" si="141"/>
        <v>9</v>
      </c>
      <c r="AA1648" s="15">
        <f t="shared" si="143"/>
        <v>2021</v>
      </c>
      <c r="AB1648" s="15">
        <f t="shared" si="144"/>
        <v>2021</v>
      </c>
      <c r="AC1648" s="15">
        <f t="shared" si="145"/>
        <v>2021</v>
      </c>
      <c r="AD1648" s="18" t="b">
        <f t="shared" si="142"/>
        <v>1</v>
      </c>
    </row>
    <row r="1649" spans="1:30" ht="15" hidden="1" customHeight="1" x14ac:dyDescent="0.2">
      <c r="A1649" s="7" t="s">
        <v>701</v>
      </c>
      <c r="B1649" s="7"/>
      <c r="C1649" s="2" t="s">
        <v>641</v>
      </c>
      <c r="D1649" s="6" t="s">
        <v>650</v>
      </c>
      <c r="E1649" s="32" t="s">
        <v>651</v>
      </c>
      <c r="F1649" s="7"/>
      <c r="G1649" s="7"/>
      <c r="H1649" s="7"/>
      <c r="I1649" s="7"/>
      <c r="J1649" s="7"/>
      <c r="K1649" s="7" t="s">
        <v>660</v>
      </c>
      <c r="L1649" s="7" t="s">
        <v>663</v>
      </c>
      <c r="M1649" s="8">
        <v>44440</v>
      </c>
      <c r="N1649" s="8">
        <v>44467</v>
      </c>
      <c r="O1649" s="13"/>
      <c r="P1649" s="13">
        <v>2447396.29</v>
      </c>
      <c r="Q1649" s="33"/>
      <c r="R1649" s="22"/>
      <c r="S1649" s="22"/>
      <c r="T1649" s="22"/>
      <c r="U1649" s="22"/>
      <c r="X1649" s="15" t="str">
        <f>IF(B1649="",VLOOKUP(A1649,items_lookup!A:B,2,FALSE),B1649)</f>
        <v>13. Item 13</v>
      </c>
      <c r="Y1649" s="15">
        <f t="shared" si="141"/>
        <v>9</v>
      </c>
      <c r="Z1649" s="15">
        <f t="shared" si="141"/>
        <v>9</v>
      </c>
      <c r="AA1649" s="15">
        <f t="shared" si="143"/>
        <v>2021</v>
      </c>
      <c r="AB1649" s="15">
        <f t="shared" si="144"/>
        <v>2021</v>
      </c>
      <c r="AC1649" s="15">
        <f t="shared" si="145"/>
        <v>2021</v>
      </c>
      <c r="AD1649" s="18" t="b">
        <f t="shared" si="142"/>
        <v>1</v>
      </c>
    </row>
    <row r="1650" spans="1:30" ht="15" hidden="1" customHeight="1" x14ac:dyDescent="0.2">
      <c r="A1650" s="7" t="s">
        <v>680</v>
      </c>
      <c r="B1650" s="7"/>
      <c r="C1650" s="2" t="s">
        <v>641</v>
      </c>
      <c r="D1650" s="6" t="s">
        <v>649</v>
      </c>
      <c r="E1650" s="32" t="s">
        <v>651</v>
      </c>
      <c r="F1650" s="7"/>
      <c r="G1650" s="7"/>
      <c r="H1650" s="7"/>
      <c r="I1650" s="7"/>
      <c r="J1650" s="7"/>
      <c r="K1650" s="7" t="s">
        <v>660</v>
      </c>
      <c r="L1650" s="7" t="s">
        <v>663</v>
      </c>
      <c r="M1650" s="8">
        <v>44467</v>
      </c>
      <c r="N1650" s="8">
        <v>44467</v>
      </c>
      <c r="O1650" s="13"/>
      <c r="P1650" s="13">
        <v>4070059.39</v>
      </c>
      <c r="Q1650" s="33"/>
      <c r="R1650" s="22"/>
      <c r="S1650" s="22"/>
      <c r="T1650" s="22"/>
      <c r="U1650" s="22"/>
      <c r="X1650" s="15" t="str">
        <f>IF(B1650="",VLOOKUP(A1650,items_lookup!A:B,2,FALSE),B1650)</f>
        <v>13. Item 13</v>
      </c>
      <c r="Y1650" s="15">
        <f t="shared" si="141"/>
        <v>9</v>
      </c>
      <c r="Z1650" s="15">
        <f t="shared" si="141"/>
        <v>9</v>
      </c>
      <c r="AA1650" s="15">
        <f t="shared" si="143"/>
        <v>2021</v>
      </c>
      <c r="AB1650" s="15">
        <f t="shared" si="144"/>
        <v>2021</v>
      </c>
      <c r="AC1650" s="15">
        <f t="shared" si="145"/>
        <v>2021</v>
      </c>
      <c r="AD1650" s="18" t="b">
        <f t="shared" si="142"/>
        <v>1</v>
      </c>
    </row>
    <row r="1651" spans="1:30" ht="15" hidden="1" customHeight="1" x14ac:dyDescent="0.2">
      <c r="A1651" s="7" t="s">
        <v>707</v>
      </c>
      <c r="B1651" s="7"/>
      <c r="C1651" s="2" t="s">
        <v>641</v>
      </c>
      <c r="D1651" s="6" t="s">
        <v>649</v>
      </c>
      <c r="E1651" s="32" t="s">
        <v>651</v>
      </c>
      <c r="F1651" s="7"/>
      <c r="G1651" s="7"/>
      <c r="H1651" s="7"/>
      <c r="I1651" s="7"/>
      <c r="J1651" s="7"/>
      <c r="K1651" s="7" t="s">
        <v>660</v>
      </c>
      <c r="L1651" s="7" t="s">
        <v>663</v>
      </c>
      <c r="M1651" s="8">
        <v>44467</v>
      </c>
      <c r="N1651" s="8">
        <v>44467</v>
      </c>
      <c r="O1651" s="13"/>
      <c r="P1651" s="13">
        <v>2447396.29</v>
      </c>
      <c r="Q1651" s="33"/>
      <c r="R1651" s="22"/>
      <c r="S1651" s="22"/>
      <c r="T1651" s="22"/>
      <c r="U1651" s="22"/>
      <c r="X1651" s="15" t="str">
        <f>IF(B1651="",VLOOKUP(A1651,items_lookup!A:B,2,FALSE),B1651)</f>
        <v>18. Item 18</v>
      </c>
      <c r="Y1651" s="15">
        <f t="shared" si="141"/>
        <v>9</v>
      </c>
      <c r="Z1651" s="15">
        <f t="shared" si="141"/>
        <v>9</v>
      </c>
      <c r="AA1651" s="15">
        <f t="shared" si="143"/>
        <v>2021</v>
      </c>
      <c r="AB1651" s="15">
        <f t="shared" si="144"/>
        <v>2021</v>
      </c>
      <c r="AC1651" s="15">
        <f t="shared" si="145"/>
        <v>2021</v>
      </c>
      <c r="AD1651" s="18" t="b">
        <f t="shared" si="142"/>
        <v>1</v>
      </c>
    </row>
    <row r="1652" spans="1:30" ht="15" hidden="1" customHeight="1" x14ac:dyDescent="0.2">
      <c r="A1652" s="7" t="s">
        <v>687</v>
      </c>
      <c r="B1652" s="7"/>
      <c r="C1652" s="2" t="s">
        <v>641</v>
      </c>
      <c r="D1652" s="6" t="s">
        <v>649</v>
      </c>
      <c r="E1652" s="32" t="s">
        <v>651</v>
      </c>
      <c r="F1652" s="7"/>
      <c r="G1652" s="7"/>
      <c r="H1652" s="7"/>
      <c r="I1652" s="7"/>
      <c r="J1652" s="7"/>
      <c r="K1652" s="7" t="s">
        <v>660</v>
      </c>
      <c r="L1652" s="7" t="s">
        <v>663</v>
      </c>
      <c r="M1652" s="8">
        <v>44468</v>
      </c>
      <c r="N1652" s="8">
        <v>44468</v>
      </c>
      <c r="O1652" s="13"/>
      <c r="P1652" s="13">
        <v>75616.73</v>
      </c>
      <c r="Q1652" s="33"/>
      <c r="R1652" s="22"/>
      <c r="S1652" s="22"/>
      <c r="T1652" s="22"/>
      <c r="U1652" s="22"/>
      <c r="X1652" s="15" t="str">
        <f>IF(B1652="",VLOOKUP(A1652,items_lookup!A:B,2,FALSE),B1652)</f>
        <v>14. Item 14</v>
      </c>
      <c r="Y1652" s="15">
        <f t="shared" si="141"/>
        <v>9</v>
      </c>
      <c r="Z1652" s="15">
        <f t="shared" si="141"/>
        <v>9</v>
      </c>
      <c r="AA1652" s="15">
        <f t="shared" si="143"/>
        <v>2021</v>
      </c>
      <c r="AB1652" s="15">
        <f t="shared" si="144"/>
        <v>2021</v>
      </c>
      <c r="AC1652" s="15">
        <f t="shared" si="145"/>
        <v>2021</v>
      </c>
      <c r="AD1652" s="18" t="b">
        <f t="shared" si="142"/>
        <v>1</v>
      </c>
    </row>
    <row r="1653" spans="1:30" ht="15" hidden="1" customHeight="1" x14ac:dyDescent="0.2">
      <c r="A1653" s="7" t="s">
        <v>702</v>
      </c>
      <c r="B1653" s="7"/>
      <c r="C1653" s="2" t="s">
        <v>641</v>
      </c>
      <c r="D1653" s="6" t="s">
        <v>649</v>
      </c>
      <c r="E1653" s="32" t="s">
        <v>651</v>
      </c>
      <c r="F1653" s="7"/>
      <c r="G1653" s="7"/>
      <c r="H1653" s="7"/>
      <c r="I1653" s="7"/>
      <c r="J1653" s="7"/>
      <c r="K1653" s="7" t="s">
        <v>660</v>
      </c>
      <c r="L1653" s="7" t="s">
        <v>663</v>
      </c>
      <c r="M1653" s="8">
        <v>44469</v>
      </c>
      <c r="N1653" s="8">
        <v>44469</v>
      </c>
      <c r="O1653" s="13"/>
      <c r="P1653" s="13">
        <v>17648167.280000001</v>
      </c>
      <c r="Q1653" s="33"/>
      <c r="R1653" s="22"/>
      <c r="S1653" s="22"/>
      <c r="T1653" s="22"/>
      <c r="U1653" s="22"/>
      <c r="X1653" s="15" t="str">
        <f>IF(B1653="",VLOOKUP(A1653,items_lookup!A:B,2,FALSE),B1653)</f>
        <v>17. Item 17</v>
      </c>
      <c r="Y1653" s="15">
        <f t="shared" si="141"/>
        <v>9</v>
      </c>
      <c r="Z1653" s="15">
        <f t="shared" si="141"/>
        <v>9</v>
      </c>
      <c r="AA1653" s="15">
        <f t="shared" si="143"/>
        <v>2021</v>
      </c>
      <c r="AB1653" s="15">
        <f t="shared" si="144"/>
        <v>2021</v>
      </c>
      <c r="AC1653" s="15">
        <f t="shared" si="145"/>
        <v>2021</v>
      </c>
      <c r="AD1653" s="18" t="b">
        <f t="shared" si="142"/>
        <v>1</v>
      </c>
    </row>
    <row r="1654" spans="1:30" ht="15" hidden="1" customHeight="1" x14ac:dyDescent="0.2">
      <c r="A1654" s="7" t="s">
        <v>683</v>
      </c>
      <c r="B1654" s="7"/>
      <c r="C1654" s="2" t="s">
        <v>641</v>
      </c>
      <c r="D1654" s="6" t="s">
        <v>649</v>
      </c>
      <c r="E1654" s="32" t="s">
        <v>651</v>
      </c>
      <c r="F1654" s="7"/>
      <c r="G1654" s="7"/>
      <c r="H1654" s="7"/>
      <c r="I1654" s="7"/>
      <c r="J1654" s="7"/>
      <c r="K1654" s="7" t="s">
        <v>660</v>
      </c>
      <c r="L1654" s="7" t="s">
        <v>663</v>
      </c>
      <c r="M1654" s="8">
        <v>44469</v>
      </c>
      <c r="N1654" s="8">
        <v>44469</v>
      </c>
      <c r="O1654" s="13"/>
      <c r="P1654" s="13">
        <v>326.98</v>
      </c>
      <c r="Q1654" s="33"/>
      <c r="R1654" s="22"/>
      <c r="S1654" s="22"/>
      <c r="T1654" s="22"/>
      <c r="U1654" s="22"/>
      <c r="X1654" s="15" t="str">
        <f>IF(B1654="",VLOOKUP(A1654,items_lookup!A:B,2,FALSE),B1654)</f>
        <v>_1. Item _1</v>
      </c>
      <c r="Y1654" s="15">
        <f t="shared" si="141"/>
        <v>9</v>
      </c>
      <c r="Z1654" s="15">
        <f t="shared" si="141"/>
        <v>9</v>
      </c>
      <c r="AA1654" s="15">
        <f t="shared" si="143"/>
        <v>2021</v>
      </c>
      <c r="AB1654" s="15">
        <f t="shared" si="144"/>
        <v>2021</v>
      </c>
      <c r="AC1654" s="15">
        <f t="shared" si="145"/>
        <v>2021</v>
      </c>
      <c r="AD1654" s="18" t="b">
        <f t="shared" si="142"/>
        <v>1</v>
      </c>
    </row>
    <row r="1655" spans="1:30" ht="15" hidden="1" customHeight="1" x14ac:dyDescent="0.2">
      <c r="A1655" s="7" t="s">
        <v>703</v>
      </c>
      <c r="B1655" s="7"/>
      <c r="C1655" s="2" t="s">
        <v>641</v>
      </c>
      <c r="D1655" s="6" t="s">
        <v>650</v>
      </c>
      <c r="E1655" s="32" t="s">
        <v>651</v>
      </c>
      <c r="F1655" s="7"/>
      <c r="G1655" s="7"/>
      <c r="H1655" s="7"/>
      <c r="I1655" s="7"/>
      <c r="J1655" s="7">
        <v>4</v>
      </c>
      <c r="K1655" s="7" t="s">
        <v>660</v>
      </c>
      <c r="L1655" s="7" t="s">
        <v>663</v>
      </c>
      <c r="M1655" s="8">
        <v>44464</v>
      </c>
      <c r="N1655" s="8">
        <v>44469</v>
      </c>
      <c r="O1655" s="13"/>
      <c r="P1655" s="13">
        <v>326.98</v>
      </c>
      <c r="Q1655" s="33"/>
      <c r="R1655" s="22"/>
      <c r="S1655" s="22"/>
      <c r="T1655" s="22"/>
      <c r="U1655" s="22"/>
      <c r="X1655" s="15" t="str">
        <f>IF(B1655="",VLOOKUP(A1655,items_lookup!A:B,2,FALSE),B1655)</f>
        <v>_3. Item _3</v>
      </c>
      <c r="Y1655" s="15">
        <f t="shared" si="141"/>
        <v>9</v>
      </c>
      <c r="Z1655" s="15">
        <f t="shared" si="141"/>
        <v>9</v>
      </c>
      <c r="AA1655" s="15">
        <f t="shared" si="143"/>
        <v>2021</v>
      </c>
      <c r="AB1655" s="15">
        <f t="shared" si="144"/>
        <v>2021</v>
      </c>
      <c r="AC1655" s="15">
        <f t="shared" si="145"/>
        <v>2021</v>
      </c>
      <c r="AD1655" s="18" t="b">
        <f t="shared" si="142"/>
        <v>1</v>
      </c>
    </row>
    <row r="1656" spans="1:30" ht="12.6" hidden="1" customHeight="1" x14ac:dyDescent="0.2">
      <c r="A1656" s="7" t="s">
        <v>702</v>
      </c>
      <c r="B1656" s="7"/>
      <c r="C1656" s="2" t="s">
        <v>641</v>
      </c>
      <c r="D1656" s="6" t="s">
        <v>649</v>
      </c>
      <c r="E1656" s="32" t="s">
        <v>651</v>
      </c>
      <c r="F1656" s="7"/>
      <c r="G1656" s="7"/>
      <c r="H1656" s="7"/>
      <c r="I1656" s="7"/>
      <c r="J1656" s="7">
        <v>1</v>
      </c>
      <c r="K1656" s="7" t="s">
        <v>660</v>
      </c>
      <c r="L1656" s="7" t="s">
        <v>663</v>
      </c>
      <c r="M1656" s="8">
        <v>44480</v>
      </c>
      <c r="N1656" s="8">
        <v>44480</v>
      </c>
      <c r="O1656" s="13"/>
      <c r="P1656" s="13">
        <v>19304.54</v>
      </c>
      <c r="Q1656" s="33"/>
      <c r="X1656" s="15" t="str">
        <f>IF(B1656="",VLOOKUP(A1656,items_lookup!A:B,2,FALSE),B1656)</f>
        <v>17. Item 17</v>
      </c>
      <c r="Y1656" s="15">
        <f t="shared" si="141"/>
        <v>10</v>
      </c>
      <c r="Z1656" s="15">
        <f t="shared" si="141"/>
        <v>10</v>
      </c>
      <c r="AA1656" s="15">
        <f t="shared" si="143"/>
        <v>2021</v>
      </c>
      <c r="AB1656" s="15">
        <f t="shared" si="144"/>
        <v>2021</v>
      </c>
      <c r="AC1656" s="15">
        <f t="shared" si="145"/>
        <v>2021</v>
      </c>
      <c r="AD1656" s="18" t="b">
        <f t="shared" si="142"/>
        <v>1</v>
      </c>
    </row>
    <row r="1657" spans="1:30" ht="14.25" hidden="1" customHeight="1" x14ac:dyDescent="0.2">
      <c r="A1657" s="7" t="s">
        <v>683</v>
      </c>
      <c r="B1657" s="7"/>
      <c r="C1657" s="2" t="s">
        <v>641</v>
      </c>
      <c r="D1657" s="6" t="s">
        <v>649</v>
      </c>
      <c r="E1657" s="32" t="s">
        <v>651</v>
      </c>
      <c r="F1657" s="7"/>
      <c r="G1657" s="7"/>
      <c r="H1657" s="7"/>
      <c r="I1657" s="7"/>
      <c r="J1657" s="7">
        <v>1</v>
      </c>
      <c r="K1657" s="7" t="s">
        <v>660</v>
      </c>
      <c r="L1657" s="7" t="s">
        <v>663</v>
      </c>
      <c r="M1657" s="8">
        <v>44482</v>
      </c>
      <c r="N1657" s="8">
        <v>44480</v>
      </c>
      <c r="O1657" s="13"/>
      <c r="P1657" s="13">
        <v>14493.12</v>
      </c>
      <c r="Q1657" s="33"/>
      <c r="R1657" s="22"/>
      <c r="S1657" s="22"/>
      <c r="T1657" s="22"/>
      <c r="U1657" s="22"/>
      <c r="X1657" s="15" t="str">
        <f>IF(B1657="",VLOOKUP(A1657,items_lookup!A:B,2,FALSE),B1657)</f>
        <v>_1. Item _1</v>
      </c>
      <c r="Y1657" s="15">
        <f t="shared" si="141"/>
        <v>10</v>
      </c>
      <c r="Z1657" s="15">
        <f t="shared" si="141"/>
        <v>10</v>
      </c>
      <c r="AA1657" s="15">
        <f t="shared" si="143"/>
        <v>2021</v>
      </c>
      <c r="AB1657" s="15">
        <f t="shared" si="144"/>
        <v>2021</v>
      </c>
      <c r="AC1657" s="15">
        <f t="shared" si="145"/>
        <v>2021</v>
      </c>
      <c r="AD1657" s="18" t="b">
        <f t="shared" si="142"/>
        <v>1</v>
      </c>
    </row>
    <row r="1658" spans="1:30" ht="15" hidden="1" customHeight="1" x14ac:dyDescent="0.2">
      <c r="A1658" s="7" t="s">
        <v>689</v>
      </c>
      <c r="B1658" s="7"/>
      <c r="C1658" s="2" t="s">
        <v>641</v>
      </c>
      <c r="D1658" s="6" t="s">
        <v>649</v>
      </c>
      <c r="E1658" s="32" t="s">
        <v>651</v>
      </c>
      <c r="F1658" s="7"/>
      <c r="G1658" s="7"/>
      <c r="H1658" s="7"/>
      <c r="I1658" s="7" t="s">
        <v>20</v>
      </c>
      <c r="J1658" s="7">
        <v>1</v>
      </c>
      <c r="K1658" s="7" t="s">
        <v>660</v>
      </c>
      <c r="L1658" s="7" t="s">
        <v>663</v>
      </c>
      <c r="M1658" s="8">
        <v>44482</v>
      </c>
      <c r="N1658" s="8">
        <v>44484</v>
      </c>
      <c r="O1658" s="13"/>
      <c r="P1658" s="13">
        <v>8582.16</v>
      </c>
      <c r="Q1658" s="33"/>
      <c r="R1658" s="22"/>
      <c r="S1658" s="22"/>
      <c r="T1658" s="22"/>
      <c r="U1658" s="22"/>
      <c r="X1658" s="15" t="str">
        <f>IF(B1658="",VLOOKUP(A1658,items_lookup!A:B,2,FALSE),B1658)</f>
        <v>04. Item 04</v>
      </c>
      <c r="Y1658" s="15">
        <f t="shared" si="141"/>
        <v>10</v>
      </c>
      <c r="Z1658" s="15">
        <f t="shared" si="141"/>
        <v>10</v>
      </c>
      <c r="AA1658" s="15">
        <f t="shared" si="143"/>
        <v>2021</v>
      </c>
      <c r="AB1658" s="15">
        <f t="shared" si="144"/>
        <v>2021</v>
      </c>
      <c r="AC1658" s="15">
        <f t="shared" si="145"/>
        <v>2021</v>
      </c>
      <c r="AD1658" s="18" t="b">
        <f t="shared" si="142"/>
        <v>1</v>
      </c>
    </row>
    <row r="1659" spans="1:30" ht="15" hidden="1" customHeight="1" x14ac:dyDescent="0.2">
      <c r="A1659" s="7" t="s">
        <v>673</v>
      </c>
      <c r="B1659" s="7"/>
      <c r="C1659" s="2" t="s">
        <v>641</v>
      </c>
      <c r="D1659" s="6" t="s">
        <v>649</v>
      </c>
      <c r="E1659" s="32" t="s">
        <v>651</v>
      </c>
      <c r="F1659" s="7"/>
      <c r="G1659" s="7"/>
      <c r="H1659" s="7"/>
      <c r="I1659" s="7" t="s">
        <v>20</v>
      </c>
      <c r="J1659" s="7">
        <v>1</v>
      </c>
      <c r="K1659" s="7" t="s">
        <v>660</v>
      </c>
      <c r="L1659" s="7" t="s">
        <v>663</v>
      </c>
      <c r="M1659" s="8">
        <v>44482</v>
      </c>
      <c r="N1659" s="8">
        <v>44482</v>
      </c>
      <c r="O1659" s="13"/>
      <c r="P1659" s="13">
        <v>3738.1</v>
      </c>
      <c r="Q1659" s="33"/>
      <c r="X1659" s="15" t="str">
        <f>IF(B1659="",VLOOKUP(A1659,items_lookup!A:B,2,FALSE),B1659)</f>
        <v>07. Item 07</v>
      </c>
      <c r="Y1659" s="15">
        <f t="shared" si="141"/>
        <v>10</v>
      </c>
      <c r="Z1659" s="15">
        <f t="shared" si="141"/>
        <v>10</v>
      </c>
      <c r="AA1659" s="15">
        <f t="shared" si="143"/>
        <v>2021</v>
      </c>
      <c r="AB1659" s="15">
        <f t="shared" si="144"/>
        <v>2021</v>
      </c>
      <c r="AC1659" s="15">
        <f t="shared" si="145"/>
        <v>2021</v>
      </c>
      <c r="AD1659" s="18" t="b">
        <f t="shared" si="142"/>
        <v>1</v>
      </c>
    </row>
    <row r="1660" spans="1:30" ht="14.25" hidden="1" customHeight="1" x14ac:dyDescent="0.2">
      <c r="A1660" s="7" t="s">
        <v>674</v>
      </c>
      <c r="B1660" s="7"/>
      <c r="C1660" s="2" t="s">
        <v>641</v>
      </c>
      <c r="D1660" s="6" t="s">
        <v>649</v>
      </c>
      <c r="E1660" s="32" t="s">
        <v>651</v>
      </c>
      <c r="F1660" s="7"/>
      <c r="G1660" s="7"/>
      <c r="H1660" s="7"/>
      <c r="I1660" s="7" t="s">
        <v>20</v>
      </c>
      <c r="J1660" s="7">
        <v>1</v>
      </c>
      <c r="K1660" s="7" t="s">
        <v>660</v>
      </c>
      <c r="L1660" s="7" t="s">
        <v>663</v>
      </c>
      <c r="M1660" s="8">
        <v>44482</v>
      </c>
      <c r="N1660" s="8">
        <v>44484</v>
      </c>
      <c r="O1660" s="13"/>
      <c r="P1660" s="13">
        <v>208095.33</v>
      </c>
      <c r="Q1660" s="33"/>
      <c r="X1660" s="15" t="str">
        <f>IF(B1660="",VLOOKUP(A1660,items_lookup!A:B,2,FALSE),B1660)</f>
        <v>08. Item 08</v>
      </c>
      <c r="Y1660" s="15">
        <f t="shared" si="141"/>
        <v>10</v>
      </c>
      <c r="Z1660" s="15">
        <f t="shared" si="141"/>
        <v>10</v>
      </c>
      <c r="AA1660" s="15">
        <f t="shared" si="143"/>
        <v>2021</v>
      </c>
      <c r="AB1660" s="15">
        <f t="shared" si="144"/>
        <v>2021</v>
      </c>
      <c r="AC1660" s="15">
        <f t="shared" si="145"/>
        <v>2021</v>
      </c>
      <c r="AD1660" s="18" t="b">
        <f t="shared" si="142"/>
        <v>1</v>
      </c>
    </row>
    <row r="1661" spans="1:30" ht="14.25" hidden="1" customHeight="1" x14ac:dyDescent="0.2">
      <c r="A1661" s="7" t="s">
        <v>688</v>
      </c>
      <c r="B1661" s="7"/>
      <c r="C1661" s="2" t="s">
        <v>641</v>
      </c>
      <c r="D1661" s="6" t="s">
        <v>649</v>
      </c>
      <c r="E1661" s="32" t="s">
        <v>651</v>
      </c>
      <c r="F1661" s="7"/>
      <c r="G1661" s="7"/>
      <c r="H1661" s="7"/>
      <c r="I1661" s="7"/>
      <c r="J1661" s="7">
        <v>1</v>
      </c>
      <c r="K1661" s="7" t="s">
        <v>660</v>
      </c>
      <c r="L1661" s="7" t="s">
        <v>663</v>
      </c>
      <c r="M1661" s="8">
        <v>44482</v>
      </c>
      <c r="N1661" s="8">
        <v>44482</v>
      </c>
      <c r="O1661" s="13"/>
      <c r="P1661" s="13">
        <v>54344.83</v>
      </c>
      <c r="Q1661" s="33"/>
      <c r="X1661" s="15" t="str">
        <f>IF(B1661="",VLOOKUP(A1661,items_lookup!A:B,2,FALSE),B1661)</f>
        <v>09. Item 09</v>
      </c>
      <c r="Y1661" s="15">
        <f t="shared" si="141"/>
        <v>10</v>
      </c>
      <c r="Z1661" s="15">
        <f t="shared" si="141"/>
        <v>10</v>
      </c>
      <c r="AA1661" s="15">
        <f t="shared" si="143"/>
        <v>2021</v>
      </c>
      <c r="AB1661" s="15">
        <f t="shared" si="144"/>
        <v>2021</v>
      </c>
      <c r="AC1661" s="15">
        <f t="shared" si="145"/>
        <v>2021</v>
      </c>
      <c r="AD1661" s="18" t="b">
        <f t="shared" si="142"/>
        <v>1</v>
      </c>
    </row>
    <row r="1662" spans="1:30" ht="14.25" hidden="1" customHeight="1" x14ac:dyDescent="0.2">
      <c r="A1662" s="7" t="s">
        <v>688</v>
      </c>
      <c r="B1662" s="7"/>
      <c r="C1662" s="2" t="s">
        <v>641</v>
      </c>
      <c r="D1662" s="6" t="s">
        <v>649</v>
      </c>
      <c r="E1662" s="32" t="s">
        <v>651</v>
      </c>
      <c r="F1662" s="7"/>
      <c r="G1662" s="7"/>
      <c r="H1662" s="7"/>
      <c r="I1662" s="7"/>
      <c r="J1662" s="7">
        <v>1</v>
      </c>
      <c r="K1662" s="7" t="s">
        <v>660</v>
      </c>
      <c r="L1662" s="7" t="s">
        <v>663</v>
      </c>
      <c r="M1662" s="8">
        <v>44482</v>
      </c>
      <c r="N1662" s="8">
        <v>44483</v>
      </c>
      <c r="O1662" s="13"/>
      <c r="P1662" s="13">
        <v>124.51</v>
      </c>
      <c r="Q1662" s="33"/>
      <c r="X1662" s="15" t="str">
        <f>IF(B1662="",VLOOKUP(A1662,items_lookup!A:B,2,FALSE),B1662)</f>
        <v>09. Item 09</v>
      </c>
      <c r="Y1662" s="15">
        <f t="shared" si="141"/>
        <v>10</v>
      </c>
      <c r="Z1662" s="15">
        <f t="shared" si="141"/>
        <v>10</v>
      </c>
      <c r="AA1662" s="15">
        <f t="shared" si="143"/>
        <v>2021</v>
      </c>
      <c r="AB1662" s="15">
        <f t="shared" si="144"/>
        <v>2021</v>
      </c>
      <c r="AC1662" s="15">
        <f t="shared" si="145"/>
        <v>2021</v>
      </c>
      <c r="AD1662" s="18" t="b">
        <f t="shared" si="142"/>
        <v>1</v>
      </c>
    </row>
    <row r="1663" spans="1:30" ht="14.25" hidden="1" customHeight="1" x14ac:dyDescent="0.2">
      <c r="A1663" s="7" t="s">
        <v>676</v>
      </c>
      <c r="B1663" s="7"/>
      <c r="C1663" s="2" t="s">
        <v>641</v>
      </c>
      <c r="D1663" s="6" t="s">
        <v>649</v>
      </c>
      <c r="E1663" s="32" t="s">
        <v>651</v>
      </c>
      <c r="F1663" s="7"/>
      <c r="G1663" s="7"/>
      <c r="H1663" s="7"/>
      <c r="I1663" s="7"/>
      <c r="J1663" s="7">
        <v>1</v>
      </c>
      <c r="K1663" s="7" t="s">
        <v>660</v>
      </c>
      <c r="L1663" s="7" t="s">
        <v>663</v>
      </c>
      <c r="M1663" s="8">
        <v>44482</v>
      </c>
      <c r="N1663" s="8">
        <v>44484</v>
      </c>
      <c r="O1663" s="13"/>
      <c r="P1663" s="13">
        <v>8999.7900000000009</v>
      </c>
      <c r="Q1663" s="33"/>
      <c r="X1663" s="15" t="str">
        <f>IF(B1663="",VLOOKUP(A1663,items_lookup!A:B,2,FALSE),B1663)</f>
        <v>09. Item 09</v>
      </c>
      <c r="Y1663" s="15">
        <f t="shared" ref="Y1663:Z1726" si="146">MONTH(M1663)</f>
        <v>10</v>
      </c>
      <c r="Z1663" s="15">
        <f t="shared" si="146"/>
        <v>10</v>
      </c>
      <c r="AA1663" s="15">
        <f t="shared" si="143"/>
        <v>2021</v>
      </c>
      <c r="AB1663" s="15">
        <f t="shared" si="144"/>
        <v>2021</v>
      </c>
      <c r="AC1663" s="15">
        <f t="shared" si="145"/>
        <v>2021</v>
      </c>
      <c r="AD1663" s="18" t="b">
        <f t="shared" si="142"/>
        <v>1</v>
      </c>
    </row>
    <row r="1664" spans="1:30" ht="14.25" hidden="1" customHeight="1" x14ac:dyDescent="0.2">
      <c r="A1664" s="7" t="s">
        <v>675</v>
      </c>
      <c r="B1664" s="7"/>
      <c r="C1664" s="2" t="s">
        <v>641</v>
      </c>
      <c r="D1664" s="6" t="s">
        <v>649</v>
      </c>
      <c r="E1664" s="32" t="s">
        <v>651</v>
      </c>
      <c r="F1664" s="7"/>
      <c r="G1664" s="7"/>
      <c r="H1664" s="7"/>
      <c r="I1664" s="7"/>
      <c r="J1664" s="7">
        <v>1</v>
      </c>
      <c r="K1664" s="7" t="s">
        <v>660</v>
      </c>
      <c r="L1664" s="7" t="s">
        <v>663</v>
      </c>
      <c r="M1664" s="8">
        <v>44482</v>
      </c>
      <c r="N1664" s="8">
        <v>44488</v>
      </c>
      <c r="O1664" s="13"/>
      <c r="P1664" s="13">
        <v>30</v>
      </c>
      <c r="Q1664" s="33"/>
      <c r="X1664" s="15" t="str">
        <f>IF(B1664="",VLOOKUP(A1664,items_lookup!A:B,2,FALSE),B1664)</f>
        <v>09. Item 09</v>
      </c>
      <c r="Y1664" s="15">
        <f t="shared" si="146"/>
        <v>10</v>
      </c>
      <c r="Z1664" s="15">
        <f t="shared" si="146"/>
        <v>10</v>
      </c>
      <c r="AA1664" s="15">
        <f t="shared" si="143"/>
        <v>2021</v>
      </c>
      <c r="AB1664" s="15">
        <f t="shared" si="144"/>
        <v>2021</v>
      </c>
      <c r="AC1664" s="15">
        <f t="shared" si="145"/>
        <v>2021</v>
      </c>
      <c r="AD1664" s="18" t="b">
        <f t="shared" si="142"/>
        <v>1</v>
      </c>
    </row>
    <row r="1665" spans="1:30" ht="14.25" hidden="1" customHeight="1" x14ac:dyDescent="0.2">
      <c r="A1665" s="7" t="s">
        <v>675</v>
      </c>
      <c r="B1665" s="7"/>
      <c r="C1665" s="2" t="s">
        <v>641</v>
      </c>
      <c r="D1665" s="6" t="s">
        <v>649</v>
      </c>
      <c r="E1665" s="32" t="s">
        <v>651</v>
      </c>
      <c r="F1665" s="7"/>
      <c r="G1665" s="7"/>
      <c r="H1665" s="7"/>
      <c r="I1665" s="7"/>
      <c r="J1665" s="7">
        <v>1</v>
      </c>
      <c r="K1665" s="7" t="s">
        <v>660</v>
      </c>
      <c r="L1665" s="7" t="s">
        <v>663</v>
      </c>
      <c r="M1665" s="8">
        <v>44482</v>
      </c>
      <c r="N1665" s="8">
        <v>44482</v>
      </c>
      <c r="O1665" s="13"/>
      <c r="P1665" s="13">
        <v>130786.59</v>
      </c>
      <c r="Q1665" s="33"/>
      <c r="R1665" s="22"/>
      <c r="S1665" s="22"/>
      <c r="T1665" s="22"/>
      <c r="U1665" s="22"/>
      <c r="X1665" s="15" t="str">
        <f>IF(B1665="",VLOOKUP(A1665,items_lookup!A:B,2,FALSE),B1665)</f>
        <v>09. Item 09</v>
      </c>
      <c r="Y1665" s="15">
        <f t="shared" si="146"/>
        <v>10</v>
      </c>
      <c r="Z1665" s="15">
        <f t="shared" si="146"/>
        <v>10</v>
      </c>
      <c r="AA1665" s="15">
        <f t="shared" si="143"/>
        <v>2021</v>
      </c>
      <c r="AB1665" s="15">
        <f t="shared" si="144"/>
        <v>2021</v>
      </c>
      <c r="AC1665" s="15">
        <f t="shared" si="145"/>
        <v>2021</v>
      </c>
      <c r="AD1665" s="18" t="b">
        <f t="shared" si="142"/>
        <v>1</v>
      </c>
    </row>
    <row r="1666" spans="1:30" ht="15" hidden="1" customHeight="1" x14ac:dyDescent="0.2">
      <c r="A1666" s="7" t="s">
        <v>696</v>
      </c>
      <c r="B1666" s="20"/>
      <c r="C1666" s="2" t="s">
        <v>641</v>
      </c>
      <c r="D1666" s="6" t="s">
        <v>649</v>
      </c>
      <c r="E1666" s="32" t="s">
        <v>651</v>
      </c>
      <c r="F1666" s="7"/>
      <c r="G1666" s="7"/>
      <c r="H1666" s="7"/>
      <c r="I1666" s="7" t="s">
        <v>20</v>
      </c>
      <c r="J1666" s="7">
        <v>1</v>
      </c>
      <c r="K1666" s="7" t="s">
        <v>660</v>
      </c>
      <c r="L1666" s="7" t="s">
        <v>663</v>
      </c>
      <c r="M1666" s="8">
        <v>44482</v>
      </c>
      <c r="N1666" s="8">
        <v>44487</v>
      </c>
      <c r="O1666" s="13"/>
      <c r="P1666" s="13">
        <v>17832.72</v>
      </c>
      <c r="Q1666" s="33"/>
      <c r="R1666" s="9"/>
      <c r="S1666" s="9"/>
      <c r="T1666" s="9"/>
      <c r="U1666" s="9"/>
      <c r="X1666" s="15" t="str">
        <f>IF(B1666="",VLOOKUP(A1666,items_lookup!A:B,2,FALSE),B1666)</f>
        <v>13. Item 13</v>
      </c>
      <c r="Y1666" s="15">
        <f t="shared" si="146"/>
        <v>10</v>
      </c>
      <c r="Z1666" s="15">
        <f t="shared" si="146"/>
        <v>10</v>
      </c>
      <c r="AA1666" s="15">
        <f t="shared" si="143"/>
        <v>2021</v>
      </c>
      <c r="AB1666" s="15">
        <f t="shared" si="144"/>
        <v>2021</v>
      </c>
      <c r="AC1666" s="15">
        <f t="shared" si="145"/>
        <v>2021</v>
      </c>
      <c r="AD1666" s="18" t="b">
        <f t="shared" si="142"/>
        <v>1</v>
      </c>
    </row>
    <row r="1667" spans="1:30" ht="15" hidden="1" customHeight="1" x14ac:dyDescent="0.2">
      <c r="A1667" s="7" t="s">
        <v>678</v>
      </c>
      <c r="B1667" s="20"/>
      <c r="C1667" s="2" t="s">
        <v>641</v>
      </c>
      <c r="D1667" s="6" t="s">
        <v>649</v>
      </c>
      <c r="E1667" s="32" t="s">
        <v>651</v>
      </c>
      <c r="F1667" s="7"/>
      <c r="G1667" s="7"/>
      <c r="H1667" s="7"/>
      <c r="I1667" s="7" t="s">
        <v>20</v>
      </c>
      <c r="J1667" s="7">
        <v>1</v>
      </c>
      <c r="K1667" s="7" t="s">
        <v>660</v>
      </c>
      <c r="L1667" s="7" t="s">
        <v>663</v>
      </c>
      <c r="M1667" s="8">
        <v>44482</v>
      </c>
      <c r="N1667" s="8">
        <v>44484</v>
      </c>
      <c r="O1667" s="13"/>
      <c r="P1667" s="13">
        <v>5435.08</v>
      </c>
      <c r="Q1667" s="33"/>
      <c r="R1667" s="9"/>
      <c r="S1667" s="9"/>
      <c r="T1667" s="9"/>
      <c r="U1667" s="9"/>
      <c r="X1667" s="15" t="str">
        <f>IF(B1667="",VLOOKUP(A1667,items_lookup!A:B,2,FALSE),B1667)</f>
        <v>13. Item 13</v>
      </c>
      <c r="Y1667" s="15">
        <f t="shared" si="146"/>
        <v>10</v>
      </c>
      <c r="Z1667" s="15">
        <f t="shared" si="146"/>
        <v>10</v>
      </c>
      <c r="AA1667" s="15">
        <f t="shared" si="143"/>
        <v>2021</v>
      </c>
      <c r="AB1667" s="15">
        <f t="shared" si="144"/>
        <v>2021</v>
      </c>
      <c r="AC1667" s="15">
        <f t="shared" si="145"/>
        <v>2021</v>
      </c>
      <c r="AD1667" s="18" t="b">
        <f t="shared" ref="AD1667:AD1730" si="147">AND(ROUND(O1667,2)=O1667,ROUND(P1667,2)=P1667,OR(AND(O1667&lt;&gt;0,L1667="p"),AND(P1667&lt;&gt;0,L1667="f")),_xlfn.ISFORMULA(X1667),_xlfn.ISFORMULA(Y1667),_xlfn.ISFORMULA(Z1667),_xlfn.ISFORMULA(AA1667),_xlfn.ISFORMULA(AB1667),_xlfn.ISFORMULA(AC1667),NOT(_xlfn.ISFORMULA(O1667)),NOT(_xlfn.ISFORMULA(P1667)),M1667&lt;&gt;0,N1667&lt;&gt;0)</f>
        <v>1</v>
      </c>
    </row>
    <row r="1668" spans="1:30" ht="15" hidden="1" customHeight="1" x14ac:dyDescent="0.2">
      <c r="A1668" s="7" t="s">
        <v>678</v>
      </c>
      <c r="B1668" s="20"/>
      <c r="C1668" s="2" t="s">
        <v>641</v>
      </c>
      <c r="D1668" s="6" t="s">
        <v>649</v>
      </c>
      <c r="E1668" s="32" t="s">
        <v>651</v>
      </c>
      <c r="F1668" s="7"/>
      <c r="G1668" s="7"/>
      <c r="H1668" s="7"/>
      <c r="I1668" s="7"/>
      <c r="J1668" s="7">
        <v>1</v>
      </c>
      <c r="K1668" s="7" t="s">
        <v>660</v>
      </c>
      <c r="L1668" s="7" t="s">
        <v>663</v>
      </c>
      <c r="M1668" s="8">
        <v>44482</v>
      </c>
      <c r="N1668" s="8">
        <v>44484</v>
      </c>
      <c r="O1668" s="13"/>
      <c r="P1668" s="13">
        <v>378842.36</v>
      </c>
      <c r="Q1668" s="33"/>
      <c r="R1668" s="9"/>
      <c r="S1668" s="9"/>
      <c r="T1668" s="9"/>
      <c r="U1668" s="9"/>
      <c r="X1668" s="15" t="str">
        <f>IF(B1668="",VLOOKUP(A1668,items_lookup!A:B,2,FALSE),B1668)</f>
        <v>13. Item 13</v>
      </c>
      <c r="Y1668" s="15">
        <f t="shared" si="146"/>
        <v>10</v>
      </c>
      <c r="Z1668" s="15">
        <f t="shared" si="146"/>
        <v>10</v>
      </c>
      <c r="AA1668" s="15">
        <f t="shared" si="143"/>
        <v>2021</v>
      </c>
      <c r="AB1668" s="15">
        <f t="shared" si="144"/>
        <v>2021</v>
      </c>
      <c r="AC1668" s="15">
        <f t="shared" si="145"/>
        <v>2021</v>
      </c>
      <c r="AD1668" s="18" t="b">
        <f t="shared" si="147"/>
        <v>1</v>
      </c>
    </row>
    <row r="1669" spans="1:30" ht="15" hidden="1" customHeight="1" x14ac:dyDescent="0.2">
      <c r="A1669" s="7" t="s">
        <v>688</v>
      </c>
      <c r="B1669" s="7"/>
      <c r="C1669" s="2" t="s">
        <v>641</v>
      </c>
      <c r="D1669" s="6" t="s">
        <v>649</v>
      </c>
      <c r="E1669" s="32" t="s">
        <v>651</v>
      </c>
      <c r="F1669" s="7"/>
      <c r="G1669" s="7"/>
      <c r="H1669" s="7"/>
      <c r="I1669" s="7"/>
      <c r="J1669" s="7">
        <v>4</v>
      </c>
      <c r="K1669" s="7" t="s">
        <v>660</v>
      </c>
      <c r="L1669" s="7" t="s">
        <v>663</v>
      </c>
      <c r="M1669" s="8">
        <v>44482</v>
      </c>
      <c r="N1669" s="8">
        <v>44488</v>
      </c>
      <c r="O1669" s="13"/>
      <c r="P1669" s="13">
        <v>92264.46</v>
      </c>
      <c r="Q1669" s="33"/>
      <c r="R1669" s="22"/>
      <c r="S1669" s="22"/>
      <c r="T1669" s="22"/>
      <c r="U1669" s="22"/>
      <c r="X1669" s="15" t="str">
        <f>IF(B1669="",VLOOKUP(A1669,items_lookup!A:B,2,FALSE),B1669)</f>
        <v>09. Item 09</v>
      </c>
      <c r="Y1669" s="15">
        <f t="shared" si="146"/>
        <v>10</v>
      </c>
      <c r="Z1669" s="15">
        <f t="shared" si="146"/>
        <v>10</v>
      </c>
      <c r="AA1669" s="15">
        <f t="shared" si="143"/>
        <v>2021</v>
      </c>
      <c r="AB1669" s="15">
        <f t="shared" si="144"/>
        <v>2021</v>
      </c>
      <c r="AC1669" s="15">
        <f t="shared" si="145"/>
        <v>2021</v>
      </c>
      <c r="AD1669" s="18" t="b">
        <f t="shared" si="147"/>
        <v>1</v>
      </c>
    </row>
    <row r="1670" spans="1:30" ht="15" hidden="1" customHeight="1" x14ac:dyDescent="0.2">
      <c r="A1670" s="7" t="s">
        <v>699</v>
      </c>
      <c r="B1670" s="7"/>
      <c r="C1670" s="2" t="s">
        <v>641</v>
      </c>
      <c r="D1670" s="6" t="s">
        <v>649</v>
      </c>
      <c r="E1670" s="32" t="s">
        <v>651</v>
      </c>
      <c r="F1670" s="7"/>
      <c r="G1670" s="7"/>
      <c r="H1670" s="7"/>
      <c r="I1670" s="7" t="s">
        <v>20</v>
      </c>
      <c r="J1670" s="7">
        <v>1</v>
      </c>
      <c r="K1670" s="7" t="s">
        <v>660</v>
      </c>
      <c r="L1670" s="7" t="s">
        <v>663</v>
      </c>
      <c r="M1670" s="8">
        <v>44482</v>
      </c>
      <c r="N1670" s="8">
        <v>44484</v>
      </c>
      <c r="O1670" s="13"/>
      <c r="P1670" s="13">
        <v>2738095.24</v>
      </c>
      <c r="Q1670" s="33"/>
      <c r="R1670" s="22"/>
      <c r="S1670" s="22"/>
      <c r="T1670" s="22"/>
      <c r="U1670" s="22"/>
      <c r="X1670" s="15" t="str">
        <f>IF(B1670="",VLOOKUP(A1670,items_lookup!A:B,2,FALSE),B1670)</f>
        <v>12. Item 12</v>
      </c>
      <c r="Y1670" s="15">
        <f t="shared" si="146"/>
        <v>10</v>
      </c>
      <c r="Z1670" s="15">
        <f t="shared" si="146"/>
        <v>10</v>
      </c>
      <c r="AA1670" s="15">
        <f t="shared" si="143"/>
        <v>2021</v>
      </c>
      <c r="AB1670" s="15">
        <f t="shared" si="144"/>
        <v>2021</v>
      </c>
      <c r="AC1670" s="15">
        <f t="shared" si="145"/>
        <v>2021</v>
      </c>
      <c r="AD1670" s="18" t="b">
        <f t="shared" si="147"/>
        <v>1</v>
      </c>
    </row>
    <row r="1671" spans="1:30" ht="15" hidden="1" customHeight="1" x14ac:dyDescent="0.2">
      <c r="A1671" s="7" t="s">
        <v>690</v>
      </c>
      <c r="B1671" s="7"/>
      <c r="C1671" s="2" t="s">
        <v>648</v>
      </c>
      <c r="D1671" s="6" t="s">
        <v>649</v>
      </c>
      <c r="E1671" s="32" t="s">
        <v>651</v>
      </c>
      <c r="F1671" s="7"/>
      <c r="G1671" s="7"/>
      <c r="H1671" s="7"/>
      <c r="I1671" s="7"/>
      <c r="J1671" s="7"/>
      <c r="K1671" s="7" t="s">
        <v>660</v>
      </c>
      <c r="L1671" s="7" t="s">
        <v>663</v>
      </c>
      <c r="M1671" s="8">
        <v>44474</v>
      </c>
      <c r="N1671" s="8">
        <v>44474</v>
      </c>
      <c r="O1671" s="13"/>
      <c r="P1671" s="13">
        <v>223780.11</v>
      </c>
      <c r="Q1671" s="33"/>
      <c r="R1671" s="22"/>
      <c r="S1671" s="22"/>
      <c r="T1671" s="22"/>
      <c r="U1671" s="22"/>
      <c r="X1671" s="15" t="str">
        <f>IF(B1671="",VLOOKUP(A1671,items_lookup!A:B,2,FALSE),B1671)</f>
        <v>21. Item 21</v>
      </c>
      <c r="Y1671" s="15">
        <f t="shared" si="146"/>
        <v>10</v>
      </c>
      <c r="Z1671" s="15">
        <f t="shared" si="146"/>
        <v>10</v>
      </c>
      <c r="AA1671" s="15">
        <f t="shared" si="143"/>
        <v>2021</v>
      </c>
      <c r="AB1671" s="15">
        <f t="shared" si="144"/>
        <v>2021</v>
      </c>
      <c r="AC1671" s="15">
        <f t="shared" si="145"/>
        <v>2021</v>
      </c>
      <c r="AD1671" s="18" t="b">
        <f t="shared" si="147"/>
        <v>1</v>
      </c>
    </row>
    <row r="1672" spans="1:30" ht="15" hidden="1" customHeight="1" x14ac:dyDescent="0.2">
      <c r="A1672" s="7" t="s">
        <v>699</v>
      </c>
      <c r="B1672" s="20"/>
      <c r="C1672" s="2" t="s">
        <v>641</v>
      </c>
      <c r="D1672" s="6" t="s">
        <v>649</v>
      </c>
      <c r="E1672" s="32" t="s">
        <v>651</v>
      </c>
      <c r="F1672" s="7"/>
      <c r="G1672" s="7"/>
      <c r="H1672" s="7"/>
      <c r="I1672" s="7"/>
      <c r="J1672" s="7">
        <v>1</v>
      </c>
      <c r="K1672" s="7" t="s">
        <v>660</v>
      </c>
      <c r="L1672" s="7" t="s">
        <v>663</v>
      </c>
      <c r="M1672" s="8">
        <v>44440</v>
      </c>
      <c r="N1672" s="8">
        <v>44476</v>
      </c>
      <c r="O1672" s="13"/>
      <c r="P1672" s="13">
        <v>2590.9699999999998</v>
      </c>
      <c r="Q1672" s="33"/>
      <c r="R1672" s="9"/>
      <c r="S1672" s="9"/>
      <c r="T1672" s="9"/>
      <c r="U1672" s="9"/>
      <c r="X1672" s="15" t="str">
        <f>IF(B1672="",VLOOKUP(A1672,items_lookup!A:B,2,FALSE),B1672)</f>
        <v>12. Item 12</v>
      </c>
      <c r="Y1672" s="15">
        <f t="shared" si="146"/>
        <v>9</v>
      </c>
      <c r="Z1672" s="15">
        <f t="shared" si="146"/>
        <v>10</v>
      </c>
      <c r="AA1672" s="15">
        <f t="shared" si="143"/>
        <v>2021</v>
      </c>
      <c r="AB1672" s="15">
        <f t="shared" si="144"/>
        <v>2021</v>
      </c>
      <c r="AC1672" s="15">
        <f t="shared" si="145"/>
        <v>2021</v>
      </c>
      <c r="AD1672" s="18" t="b">
        <f t="shared" si="147"/>
        <v>1</v>
      </c>
    </row>
    <row r="1673" spans="1:30" ht="15" hidden="1" customHeight="1" x14ac:dyDescent="0.2">
      <c r="A1673" s="7" t="s">
        <v>677</v>
      </c>
      <c r="B1673" s="20"/>
      <c r="C1673" s="2" t="s">
        <v>641</v>
      </c>
      <c r="D1673" s="6" t="s">
        <v>649</v>
      </c>
      <c r="E1673" s="32" t="s">
        <v>651</v>
      </c>
      <c r="F1673" s="7"/>
      <c r="G1673" s="7"/>
      <c r="H1673" s="7"/>
      <c r="I1673" s="7"/>
      <c r="J1673" s="7">
        <v>1</v>
      </c>
      <c r="K1673" s="7" t="s">
        <v>660</v>
      </c>
      <c r="L1673" s="7" t="s">
        <v>663</v>
      </c>
      <c r="M1673" s="8">
        <v>44480</v>
      </c>
      <c r="N1673" s="8">
        <v>44480</v>
      </c>
      <c r="O1673" s="13"/>
      <c r="P1673" s="13">
        <v>38881.71</v>
      </c>
      <c r="Q1673" s="33"/>
      <c r="R1673" s="9"/>
      <c r="S1673" s="9"/>
      <c r="T1673" s="9"/>
      <c r="U1673" s="9"/>
      <c r="X1673" s="15" t="str">
        <f>IF(B1673="",VLOOKUP(A1673,items_lookup!A:B,2,FALSE),B1673)</f>
        <v>11. Item 11</v>
      </c>
      <c r="Y1673" s="15">
        <f t="shared" si="146"/>
        <v>10</v>
      </c>
      <c r="Z1673" s="15">
        <f t="shared" si="146"/>
        <v>10</v>
      </c>
      <c r="AA1673" s="15">
        <f t="shared" si="143"/>
        <v>2021</v>
      </c>
      <c r="AB1673" s="15">
        <f t="shared" si="144"/>
        <v>2021</v>
      </c>
      <c r="AC1673" s="15">
        <f t="shared" si="145"/>
        <v>2021</v>
      </c>
      <c r="AD1673" s="18" t="b">
        <f t="shared" si="147"/>
        <v>1</v>
      </c>
    </row>
    <row r="1674" spans="1:30" ht="15" hidden="1" customHeight="1" x14ac:dyDescent="0.2">
      <c r="A1674" s="7" t="s">
        <v>677</v>
      </c>
      <c r="B1674" s="7"/>
      <c r="C1674" s="2" t="s">
        <v>641</v>
      </c>
      <c r="D1674" s="6" t="s">
        <v>649</v>
      </c>
      <c r="E1674" s="32" t="s">
        <v>651</v>
      </c>
      <c r="F1674" s="7"/>
      <c r="G1674" s="7"/>
      <c r="H1674" s="7"/>
      <c r="I1674" s="7"/>
      <c r="J1674" s="7"/>
      <c r="K1674" s="7" t="s">
        <v>660</v>
      </c>
      <c r="L1674" s="7" t="s">
        <v>663</v>
      </c>
      <c r="M1674" s="8">
        <v>44474</v>
      </c>
      <c r="N1674" s="8">
        <v>44474</v>
      </c>
      <c r="O1674" s="13"/>
      <c r="P1674" s="13">
        <v>223780.11</v>
      </c>
      <c r="Q1674" s="33"/>
      <c r="R1674" s="22"/>
      <c r="S1674" s="22"/>
      <c r="T1674" s="22"/>
      <c r="U1674" s="22"/>
      <c r="X1674" s="15" t="str">
        <f>IF(B1674="",VLOOKUP(A1674,items_lookup!A:B,2,FALSE),B1674)</f>
        <v>11. Item 11</v>
      </c>
      <c r="Y1674" s="15">
        <f t="shared" si="146"/>
        <v>10</v>
      </c>
      <c r="Z1674" s="15">
        <f t="shared" si="146"/>
        <v>10</v>
      </c>
      <c r="AA1674" s="15">
        <f t="shared" si="143"/>
        <v>2021</v>
      </c>
      <c r="AB1674" s="15">
        <f t="shared" si="144"/>
        <v>2021</v>
      </c>
      <c r="AC1674" s="15">
        <f t="shared" si="145"/>
        <v>2021</v>
      </c>
      <c r="AD1674" s="18" t="b">
        <f t="shared" si="147"/>
        <v>1</v>
      </c>
    </row>
    <row r="1675" spans="1:30" ht="15" hidden="1" customHeight="1" x14ac:dyDescent="0.2">
      <c r="A1675" s="7" t="s">
        <v>680</v>
      </c>
      <c r="B1675" s="7"/>
      <c r="C1675" s="2" t="s">
        <v>641</v>
      </c>
      <c r="D1675" s="6" t="s">
        <v>649</v>
      </c>
      <c r="E1675" s="32" t="s">
        <v>651</v>
      </c>
      <c r="F1675" s="7"/>
      <c r="G1675" s="7"/>
      <c r="H1675" s="7"/>
      <c r="I1675" s="7"/>
      <c r="J1675" s="7"/>
      <c r="K1675" s="7" t="s">
        <v>660</v>
      </c>
      <c r="L1675" s="7" t="s">
        <v>663</v>
      </c>
      <c r="M1675" s="8">
        <v>44476</v>
      </c>
      <c r="N1675" s="8">
        <v>44476</v>
      </c>
      <c r="O1675" s="13"/>
      <c r="P1675" s="13">
        <v>2590.9699999999998</v>
      </c>
      <c r="Q1675" s="33"/>
      <c r="R1675" s="22"/>
      <c r="S1675" s="22"/>
      <c r="T1675" s="22"/>
      <c r="U1675" s="22"/>
      <c r="X1675" s="15" t="str">
        <f>IF(B1675="",VLOOKUP(A1675,items_lookup!A:B,2,FALSE),B1675)</f>
        <v>13. Item 13</v>
      </c>
      <c r="Y1675" s="15">
        <f t="shared" si="146"/>
        <v>10</v>
      </c>
      <c r="Z1675" s="15">
        <f t="shared" si="146"/>
        <v>10</v>
      </c>
      <c r="AA1675" s="15">
        <f t="shared" si="143"/>
        <v>2021</v>
      </c>
      <c r="AB1675" s="15">
        <f t="shared" si="144"/>
        <v>2021</v>
      </c>
      <c r="AC1675" s="15">
        <f t="shared" si="145"/>
        <v>2021</v>
      </c>
      <c r="AD1675" s="18" t="b">
        <f t="shared" si="147"/>
        <v>1</v>
      </c>
    </row>
    <row r="1676" spans="1:30" ht="15" hidden="1" customHeight="1" x14ac:dyDescent="0.2">
      <c r="A1676" s="7" t="s">
        <v>680</v>
      </c>
      <c r="B1676" s="7"/>
      <c r="C1676" s="2" t="s">
        <v>641</v>
      </c>
      <c r="D1676" s="6" t="s">
        <v>649</v>
      </c>
      <c r="E1676" s="32" t="s">
        <v>651</v>
      </c>
      <c r="F1676" s="7"/>
      <c r="G1676" s="7"/>
      <c r="H1676" s="7"/>
      <c r="I1676" s="7"/>
      <c r="J1676" s="7">
        <v>1</v>
      </c>
      <c r="K1676" s="7" t="s">
        <v>660</v>
      </c>
      <c r="L1676" s="7" t="s">
        <v>663</v>
      </c>
      <c r="M1676" s="8">
        <v>44473</v>
      </c>
      <c r="N1676" s="8">
        <v>44487</v>
      </c>
      <c r="O1676" s="13"/>
      <c r="P1676" s="13">
        <v>15389.44</v>
      </c>
      <c r="Q1676" s="33"/>
      <c r="R1676" s="22"/>
      <c r="S1676" s="22"/>
      <c r="T1676" s="22"/>
      <c r="U1676" s="22"/>
      <c r="X1676" s="15" t="str">
        <f>IF(B1676="",VLOOKUP(A1676,items_lookup!A:B,2,FALSE),B1676)</f>
        <v>13. Item 13</v>
      </c>
      <c r="Y1676" s="15">
        <f t="shared" si="146"/>
        <v>10</v>
      </c>
      <c r="Z1676" s="15">
        <f t="shared" si="146"/>
        <v>10</v>
      </c>
      <c r="AA1676" s="15">
        <f t="shared" si="143"/>
        <v>2021</v>
      </c>
      <c r="AB1676" s="15">
        <f t="shared" si="144"/>
        <v>2021</v>
      </c>
      <c r="AC1676" s="15">
        <f t="shared" si="145"/>
        <v>2021</v>
      </c>
      <c r="AD1676" s="18" t="b">
        <f t="shared" si="147"/>
        <v>1</v>
      </c>
    </row>
    <row r="1677" spans="1:30" ht="15" hidden="1" customHeight="1" x14ac:dyDescent="0.2">
      <c r="A1677" s="7" t="s">
        <v>680</v>
      </c>
      <c r="B1677" s="7"/>
      <c r="C1677" s="2" t="s">
        <v>641</v>
      </c>
      <c r="D1677" s="6" t="s">
        <v>649</v>
      </c>
      <c r="E1677" s="32" t="s">
        <v>651</v>
      </c>
      <c r="F1677" s="7"/>
      <c r="G1677" s="7"/>
      <c r="H1677" s="7"/>
      <c r="I1677" s="7"/>
      <c r="J1677" s="7">
        <v>2</v>
      </c>
      <c r="K1677" s="7" t="s">
        <v>660</v>
      </c>
      <c r="L1677" s="7" t="s">
        <v>663</v>
      </c>
      <c r="M1677" s="8">
        <v>44474</v>
      </c>
      <c r="N1677" s="8">
        <v>44491</v>
      </c>
      <c r="O1677" s="13"/>
      <c r="P1677" s="13">
        <v>178571.43</v>
      </c>
      <c r="Q1677" s="33"/>
      <c r="R1677" s="22"/>
      <c r="S1677" s="22"/>
      <c r="T1677" s="22"/>
      <c r="U1677" s="22"/>
      <c r="X1677" s="15" t="str">
        <f>IF(B1677="",VLOOKUP(A1677,items_lookup!A:B,2,FALSE),B1677)</f>
        <v>13. Item 13</v>
      </c>
      <c r="Y1677" s="15">
        <f t="shared" si="146"/>
        <v>10</v>
      </c>
      <c r="Z1677" s="15">
        <f t="shared" si="146"/>
        <v>10</v>
      </c>
      <c r="AA1677" s="15">
        <f t="shared" si="143"/>
        <v>2021</v>
      </c>
      <c r="AB1677" s="15">
        <f t="shared" si="144"/>
        <v>2021</v>
      </c>
      <c r="AC1677" s="15">
        <f t="shared" si="145"/>
        <v>2021</v>
      </c>
      <c r="AD1677" s="18" t="b">
        <f t="shared" si="147"/>
        <v>1</v>
      </c>
    </row>
    <row r="1678" spans="1:30" ht="16.5" hidden="1" customHeight="1" x14ac:dyDescent="0.2">
      <c r="A1678" s="7" t="s">
        <v>680</v>
      </c>
      <c r="B1678" s="7"/>
      <c r="C1678" s="2" t="s">
        <v>641</v>
      </c>
      <c r="D1678" s="6" t="s">
        <v>649</v>
      </c>
      <c r="E1678" s="32" t="s">
        <v>651</v>
      </c>
      <c r="F1678" s="7"/>
      <c r="G1678" s="7"/>
      <c r="H1678" s="7"/>
      <c r="I1678" s="7" t="s">
        <v>20</v>
      </c>
      <c r="J1678" s="7">
        <v>1</v>
      </c>
      <c r="K1678" s="7" t="s">
        <v>660</v>
      </c>
      <c r="L1678" s="7" t="s">
        <v>663</v>
      </c>
      <c r="M1678" s="8">
        <v>44474</v>
      </c>
      <c r="N1678" s="8">
        <v>44487</v>
      </c>
      <c r="O1678" s="13"/>
      <c r="P1678" s="13">
        <v>112109.23</v>
      </c>
      <c r="Q1678" s="33"/>
      <c r="R1678" s="22"/>
      <c r="S1678" s="22"/>
      <c r="T1678" s="22"/>
      <c r="U1678" s="22"/>
      <c r="X1678" s="15" t="str">
        <f>IF(B1678="",VLOOKUP(A1678,items_lookup!A:B,2,FALSE),B1678)</f>
        <v>13. Item 13</v>
      </c>
      <c r="Y1678" s="15">
        <f t="shared" si="146"/>
        <v>10</v>
      </c>
      <c r="Z1678" s="15">
        <f t="shared" si="146"/>
        <v>10</v>
      </c>
      <c r="AA1678" s="15">
        <f t="shared" si="143"/>
        <v>2021</v>
      </c>
      <c r="AB1678" s="15">
        <f t="shared" si="144"/>
        <v>2021</v>
      </c>
      <c r="AC1678" s="15">
        <f t="shared" si="145"/>
        <v>2021</v>
      </c>
      <c r="AD1678" s="18" t="b">
        <f t="shared" si="147"/>
        <v>1</v>
      </c>
    </row>
    <row r="1679" spans="1:30" ht="15" hidden="1" customHeight="1" x14ac:dyDescent="0.2">
      <c r="A1679" s="7" t="s">
        <v>680</v>
      </c>
      <c r="B1679" s="7"/>
      <c r="C1679" s="2" t="s">
        <v>641</v>
      </c>
      <c r="D1679" s="6" t="s">
        <v>650</v>
      </c>
      <c r="E1679" s="32" t="s">
        <v>651</v>
      </c>
      <c r="F1679" s="7"/>
      <c r="G1679" s="7"/>
      <c r="H1679" s="7"/>
      <c r="I1679" s="7"/>
      <c r="J1679" s="7"/>
      <c r="K1679" s="7"/>
      <c r="L1679" s="7" t="s">
        <v>662</v>
      </c>
      <c r="M1679" s="8">
        <v>44470</v>
      </c>
      <c r="N1679" s="8">
        <v>44470</v>
      </c>
      <c r="O1679" s="13">
        <v>607619.05000000005</v>
      </c>
      <c r="P1679" s="13"/>
      <c r="Q1679" s="33"/>
      <c r="R1679" s="9"/>
      <c r="S1679" s="9"/>
      <c r="T1679" s="9"/>
      <c r="U1679" s="9"/>
      <c r="X1679" s="15" t="str">
        <f>IF(B1679="",VLOOKUP(A1679,items_lookup!A:B,2,FALSE),B1679)</f>
        <v>13. Item 13</v>
      </c>
      <c r="Y1679" s="15">
        <f t="shared" si="146"/>
        <v>10</v>
      </c>
      <c r="Z1679" s="15">
        <f t="shared" si="146"/>
        <v>10</v>
      </c>
      <c r="AA1679" s="15">
        <f t="shared" si="143"/>
        <v>2021</v>
      </c>
      <c r="AB1679" s="15">
        <f t="shared" si="144"/>
        <v>2021</v>
      </c>
      <c r="AC1679" s="15">
        <f t="shared" si="145"/>
        <v>2021</v>
      </c>
      <c r="AD1679" s="18" t="b">
        <f t="shared" si="147"/>
        <v>1</v>
      </c>
    </row>
    <row r="1680" spans="1:30" ht="15" hidden="1" customHeight="1" x14ac:dyDescent="0.2">
      <c r="A1680" s="7" t="s">
        <v>701</v>
      </c>
      <c r="B1680" s="7"/>
      <c r="C1680" s="2" t="s">
        <v>641</v>
      </c>
      <c r="D1680" s="6" t="s">
        <v>649</v>
      </c>
      <c r="E1680" s="32" t="s">
        <v>651</v>
      </c>
      <c r="F1680" s="7"/>
      <c r="G1680" s="7"/>
      <c r="H1680" s="7"/>
      <c r="I1680" s="7"/>
      <c r="J1680" s="7"/>
      <c r="K1680" s="7"/>
      <c r="L1680" s="7" t="s">
        <v>662</v>
      </c>
      <c r="M1680" s="8">
        <v>44470</v>
      </c>
      <c r="N1680" s="8">
        <v>44470</v>
      </c>
      <c r="O1680" s="13">
        <v>6690476.1900000004</v>
      </c>
      <c r="P1680" s="13"/>
      <c r="Q1680" s="33"/>
      <c r="R1680" s="9"/>
      <c r="S1680" s="9"/>
      <c r="T1680" s="9"/>
      <c r="U1680" s="9"/>
      <c r="X1680" s="15" t="str">
        <f>IF(B1680="",VLOOKUP(A1680,items_lookup!A:B,2,FALSE),B1680)</f>
        <v>13. Item 13</v>
      </c>
      <c r="Y1680" s="15">
        <f t="shared" si="146"/>
        <v>10</v>
      </c>
      <c r="Z1680" s="15">
        <f t="shared" si="146"/>
        <v>10</v>
      </c>
      <c r="AA1680" s="15">
        <f t="shared" si="143"/>
        <v>2021</v>
      </c>
      <c r="AB1680" s="15">
        <f t="shared" si="144"/>
        <v>2021</v>
      </c>
      <c r="AC1680" s="15">
        <f t="shared" si="145"/>
        <v>2021</v>
      </c>
      <c r="AD1680" s="18" t="b">
        <f t="shared" si="147"/>
        <v>1</v>
      </c>
    </row>
    <row r="1681" spans="1:30" ht="15" hidden="1" customHeight="1" x14ac:dyDescent="0.2">
      <c r="A1681" s="7" t="s">
        <v>672</v>
      </c>
      <c r="B1681" s="7"/>
      <c r="C1681" s="2" t="s">
        <v>641</v>
      </c>
      <c r="D1681" s="6" t="s">
        <v>649</v>
      </c>
      <c r="E1681" s="32" t="s">
        <v>651</v>
      </c>
      <c r="F1681" s="7"/>
      <c r="G1681" s="7"/>
      <c r="H1681" s="7"/>
      <c r="I1681" s="7"/>
      <c r="J1681" s="7"/>
      <c r="K1681" s="7"/>
      <c r="L1681" s="7" t="s">
        <v>662</v>
      </c>
      <c r="M1681" s="8">
        <v>44470</v>
      </c>
      <c r="N1681" s="8">
        <v>44470</v>
      </c>
      <c r="O1681" s="13">
        <v>2928571.43</v>
      </c>
      <c r="P1681" s="13"/>
      <c r="Q1681" s="33"/>
      <c r="R1681" s="9"/>
      <c r="S1681" s="9"/>
      <c r="T1681" s="9"/>
      <c r="U1681" s="9"/>
      <c r="X1681" s="15" t="str">
        <f>IF(B1681="",VLOOKUP(A1681,items_lookup!A:B,2,FALSE),B1681)</f>
        <v>05. Item 05</v>
      </c>
      <c r="Y1681" s="15">
        <f t="shared" si="146"/>
        <v>10</v>
      </c>
      <c r="Z1681" s="15">
        <f t="shared" si="146"/>
        <v>10</v>
      </c>
      <c r="AA1681" s="15">
        <f t="shared" si="143"/>
        <v>2021</v>
      </c>
      <c r="AB1681" s="15">
        <f t="shared" si="144"/>
        <v>2021</v>
      </c>
      <c r="AC1681" s="15">
        <f t="shared" si="145"/>
        <v>2021</v>
      </c>
      <c r="AD1681" s="18" t="b">
        <f t="shared" si="147"/>
        <v>1</v>
      </c>
    </row>
    <row r="1682" spans="1:30" ht="15" hidden="1" customHeight="1" x14ac:dyDescent="0.2">
      <c r="A1682" s="7" t="s">
        <v>671</v>
      </c>
      <c r="B1682" s="7" t="s">
        <v>708</v>
      </c>
      <c r="C1682" s="2" t="s">
        <v>641</v>
      </c>
      <c r="D1682" s="6" t="s">
        <v>649</v>
      </c>
      <c r="E1682" s="32" t="s">
        <v>651</v>
      </c>
      <c r="F1682" s="7"/>
      <c r="G1682" s="7"/>
      <c r="H1682" s="7"/>
      <c r="I1682" s="7"/>
      <c r="J1682" s="7"/>
      <c r="K1682" s="7"/>
      <c r="L1682" s="7" t="s">
        <v>662</v>
      </c>
      <c r="M1682" s="8">
        <v>44470</v>
      </c>
      <c r="N1682" s="8">
        <v>44470</v>
      </c>
      <c r="O1682" s="13">
        <v>3886757.17</v>
      </c>
      <c r="P1682" s="13"/>
      <c r="Q1682" s="33"/>
      <c r="R1682" s="9"/>
      <c r="S1682" s="9"/>
      <c r="T1682" s="9"/>
      <c r="U1682" s="9"/>
      <c r="X1682" s="15" t="str">
        <f>IF(B1682="",VLOOKUP(A1682,items_lookup!A:B,2,FALSE),B1682)</f>
        <v>03. Item 03</v>
      </c>
      <c r="Y1682" s="15">
        <f t="shared" si="146"/>
        <v>10</v>
      </c>
      <c r="Z1682" s="15">
        <f t="shared" si="146"/>
        <v>10</v>
      </c>
      <c r="AA1682" s="15">
        <f t="shared" si="143"/>
        <v>2021</v>
      </c>
      <c r="AB1682" s="15">
        <f t="shared" si="144"/>
        <v>2021</v>
      </c>
      <c r="AC1682" s="15">
        <f t="shared" si="145"/>
        <v>2021</v>
      </c>
      <c r="AD1682" s="18" t="b">
        <f t="shared" si="147"/>
        <v>1</v>
      </c>
    </row>
    <row r="1683" spans="1:30" ht="15" hidden="1" customHeight="1" x14ac:dyDescent="0.2">
      <c r="A1683" s="7" t="s">
        <v>692</v>
      </c>
      <c r="B1683" s="7"/>
      <c r="C1683" s="2" t="s">
        <v>641</v>
      </c>
      <c r="D1683" s="6" t="s">
        <v>649</v>
      </c>
      <c r="E1683" s="32" t="s">
        <v>651</v>
      </c>
      <c r="F1683" s="7"/>
      <c r="G1683" s="7"/>
      <c r="H1683" s="7"/>
      <c r="I1683" s="7"/>
      <c r="J1683" s="7"/>
      <c r="K1683" s="7"/>
      <c r="L1683" s="7" t="s">
        <v>662</v>
      </c>
      <c r="M1683" s="8">
        <v>44470</v>
      </c>
      <c r="N1683" s="8">
        <v>44470</v>
      </c>
      <c r="O1683" s="13">
        <v>6261628.5700000003</v>
      </c>
      <c r="P1683" s="13"/>
      <c r="Q1683" s="33"/>
      <c r="R1683" s="22"/>
      <c r="S1683" s="22"/>
      <c r="T1683" s="22"/>
      <c r="U1683" s="22"/>
      <c r="X1683" s="15" t="str">
        <f>IF(B1683="",VLOOKUP(A1683,items_lookup!A:B,2,FALSE),B1683)</f>
        <v>03. Item 03</v>
      </c>
      <c r="Y1683" s="15">
        <f t="shared" si="146"/>
        <v>10</v>
      </c>
      <c r="Z1683" s="15">
        <f t="shared" si="146"/>
        <v>10</v>
      </c>
      <c r="AA1683" s="15">
        <f t="shared" si="143"/>
        <v>2021</v>
      </c>
      <c r="AB1683" s="15">
        <f t="shared" si="144"/>
        <v>2021</v>
      </c>
      <c r="AC1683" s="15">
        <f t="shared" si="145"/>
        <v>2021</v>
      </c>
      <c r="AD1683" s="18" t="b">
        <f t="shared" si="147"/>
        <v>1</v>
      </c>
    </row>
    <row r="1684" spans="1:30" ht="15" hidden="1" customHeight="1" x14ac:dyDescent="0.2">
      <c r="A1684" s="7" t="s">
        <v>681</v>
      </c>
      <c r="B1684" s="7"/>
      <c r="C1684" s="2" t="s">
        <v>641</v>
      </c>
      <c r="D1684" s="6" t="s">
        <v>649</v>
      </c>
      <c r="E1684" s="32" t="s">
        <v>651</v>
      </c>
      <c r="F1684" s="7"/>
      <c r="G1684" s="7"/>
      <c r="H1684" s="7"/>
      <c r="I1684" s="7"/>
      <c r="J1684" s="7"/>
      <c r="K1684" s="7"/>
      <c r="L1684" s="7" t="s">
        <v>662</v>
      </c>
      <c r="M1684" s="8">
        <v>44470</v>
      </c>
      <c r="N1684" s="8">
        <v>44470</v>
      </c>
      <c r="O1684" s="13">
        <v>412180.95</v>
      </c>
      <c r="P1684" s="13"/>
      <c r="Q1684" s="33"/>
      <c r="R1684" s="22"/>
      <c r="S1684" s="22"/>
      <c r="T1684" s="22"/>
      <c r="U1684" s="22"/>
      <c r="X1684" s="15" t="str">
        <f>IF(B1684="",VLOOKUP(A1684,items_lookup!A:B,2,FALSE),B1684)</f>
        <v>19. Item 19</v>
      </c>
      <c r="Y1684" s="15">
        <f t="shared" si="146"/>
        <v>10</v>
      </c>
      <c r="Z1684" s="15">
        <f t="shared" si="146"/>
        <v>10</v>
      </c>
      <c r="AA1684" s="15">
        <f t="shared" si="143"/>
        <v>2021</v>
      </c>
      <c r="AB1684" s="15">
        <f t="shared" si="144"/>
        <v>2021</v>
      </c>
      <c r="AC1684" s="15">
        <f t="shared" si="145"/>
        <v>2021</v>
      </c>
      <c r="AD1684" s="18" t="b">
        <f t="shared" si="147"/>
        <v>1</v>
      </c>
    </row>
    <row r="1685" spans="1:30" ht="15" hidden="1" customHeight="1" x14ac:dyDescent="0.2">
      <c r="A1685" s="7" t="s">
        <v>698</v>
      </c>
      <c r="B1685" s="7"/>
      <c r="C1685" s="2" t="s">
        <v>641</v>
      </c>
      <c r="D1685" s="6" t="s">
        <v>649</v>
      </c>
      <c r="E1685" s="32" t="s">
        <v>651</v>
      </c>
      <c r="F1685" s="7"/>
      <c r="G1685" s="7"/>
      <c r="H1685" s="7"/>
      <c r="I1685" s="7"/>
      <c r="J1685" s="7"/>
      <c r="K1685" s="7"/>
      <c r="L1685" s="7" t="s">
        <v>662</v>
      </c>
      <c r="M1685" s="8">
        <v>44470</v>
      </c>
      <c r="N1685" s="8">
        <v>44470</v>
      </c>
      <c r="O1685" s="13">
        <v>6253095.2400000002</v>
      </c>
      <c r="P1685" s="13"/>
      <c r="Q1685" s="33"/>
      <c r="R1685" s="9"/>
      <c r="S1685" s="9"/>
      <c r="T1685" s="9"/>
      <c r="U1685" s="9"/>
      <c r="X1685" s="15" t="str">
        <f>IF(B1685="",VLOOKUP(A1685,items_lookup!A:B,2,FALSE),B1685)</f>
        <v>10. Item 10</v>
      </c>
      <c r="Y1685" s="15">
        <f t="shared" si="146"/>
        <v>10</v>
      </c>
      <c r="Z1685" s="15">
        <f t="shared" si="146"/>
        <v>10</v>
      </c>
      <c r="AA1685" s="15">
        <f t="shared" si="143"/>
        <v>2021</v>
      </c>
      <c r="AB1685" s="15">
        <f t="shared" si="144"/>
        <v>2021</v>
      </c>
      <c r="AC1685" s="15">
        <f t="shared" si="145"/>
        <v>2021</v>
      </c>
      <c r="AD1685" s="18" t="b">
        <f t="shared" si="147"/>
        <v>1</v>
      </c>
    </row>
    <row r="1686" spans="1:30" ht="15" hidden="1" customHeight="1" x14ac:dyDescent="0.2">
      <c r="A1686" s="7" t="s">
        <v>683</v>
      </c>
      <c r="B1686" s="7"/>
      <c r="C1686" s="2" t="s">
        <v>641</v>
      </c>
      <c r="D1686" s="6" t="s">
        <v>649</v>
      </c>
      <c r="E1686" s="32" t="s">
        <v>651</v>
      </c>
      <c r="F1686" s="7"/>
      <c r="G1686" s="7"/>
      <c r="H1686" s="7"/>
      <c r="I1686" s="7"/>
      <c r="J1686" s="7"/>
      <c r="K1686" s="7"/>
      <c r="L1686" s="7" t="s">
        <v>662</v>
      </c>
      <c r="M1686" s="8">
        <v>44470</v>
      </c>
      <c r="N1686" s="8">
        <v>44470</v>
      </c>
      <c r="O1686" s="13">
        <v>27142.86</v>
      </c>
      <c r="P1686" s="13"/>
      <c r="Q1686" s="33"/>
      <c r="R1686" s="9"/>
      <c r="S1686" s="9"/>
      <c r="T1686" s="9"/>
      <c r="U1686" s="9"/>
      <c r="X1686" s="15" t="str">
        <f>IF(B1686="",VLOOKUP(A1686,items_lookup!A:B,2,FALSE),B1686)</f>
        <v>_1. Item _1</v>
      </c>
      <c r="Y1686" s="15">
        <f t="shared" si="146"/>
        <v>10</v>
      </c>
      <c r="Z1686" s="15">
        <f t="shared" si="146"/>
        <v>10</v>
      </c>
      <c r="AA1686" s="15">
        <f t="shared" si="143"/>
        <v>2021</v>
      </c>
      <c r="AB1686" s="15">
        <f t="shared" si="144"/>
        <v>2021</v>
      </c>
      <c r="AC1686" s="15">
        <f t="shared" si="145"/>
        <v>2021</v>
      </c>
      <c r="AD1686" s="18" t="b">
        <f t="shared" si="147"/>
        <v>1</v>
      </c>
    </row>
    <row r="1687" spans="1:30" ht="15" hidden="1" customHeight="1" x14ac:dyDescent="0.2">
      <c r="A1687" s="7" t="s">
        <v>697</v>
      </c>
      <c r="B1687" s="7"/>
      <c r="C1687" s="2" t="s">
        <v>641</v>
      </c>
      <c r="D1687" s="6" t="s">
        <v>649</v>
      </c>
      <c r="E1687" s="32" t="s">
        <v>651</v>
      </c>
      <c r="F1687" s="7"/>
      <c r="G1687" s="7"/>
      <c r="H1687" s="7"/>
      <c r="I1687" s="7"/>
      <c r="J1687" s="7"/>
      <c r="K1687" s="7"/>
      <c r="L1687" s="7" t="s">
        <v>662</v>
      </c>
      <c r="M1687" s="8">
        <v>44470</v>
      </c>
      <c r="N1687" s="8">
        <v>44470</v>
      </c>
      <c r="O1687" s="13">
        <v>5714285.71</v>
      </c>
      <c r="P1687" s="13"/>
      <c r="Q1687" s="33"/>
      <c r="R1687" s="9"/>
      <c r="S1687" s="9"/>
      <c r="T1687" s="9"/>
      <c r="U1687" s="9"/>
      <c r="X1687" s="15" t="str">
        <f>IF(B1687="",VLOOKUP(A1687,items_lookup!A:B,2,FALSE),B1687)</f>
        <v>10. Item 10</v>
      </c>
      <c r="Y1687" s="15">
        <f t="shared" si="146"/>
        <v>10</v>
      </c>
      <c r="Z1687" s="15">
        <f t="shared" si="146"/>
        <v>10</v>
      </c>
      <c r="AA1687" s="15">
        <f t="shared" si="143"/>
        <v>2021</v>
      </c>
      <c r="AB1687" s="15">
        <f t="shared" si="144"/>
        <v>2021</v>
      </c>
      <c r="AC1687" s="15">
        <f t="shared" si="145"/>
        <v>2021</v>
      </c>
      <c r="AD1687" s="18" t="b">
        <f t="shared" si="147"/>
        <v>1</v>
      </c>
    </row>
    <row r="1688" spans="1:30" ht="18" hidden="1" customHeight="1" x14ac:dyDescent="0.2">
      <c r="A1688" s="7" t="s">
        <v>682</v>
      </c>
      <c r="B1688" s="7"/>
      <c r="C1688" s="2" t="s">
        <v>641</v>
      </c>
      <c r="D1688" s="6" t="s">
        <v>649</v>
      </c>
      <c r="E1688" s="32" t="s">
        <v>651</v>
      </c>
      <c r="F1688" s="7"/>
      <c r="G1688" s="7"/>
      <c r="H1688" s="7"/>
      <c r="I1688" s="7"/>
      <c r="J1688" s="7"/>
      <c r="K1688" s="7"/>
      <c r="L1688" s="7" t="s">
        <v>662</v>
      </c>
      <c r="M1688" s="8">
        <v>44470</v>
      </c>
      <c r="N1688" s="8">
        <v>44470</v>
      </c>
      <c r="O1688" s="13">
        <v>11690476.189999999</v>
      </c>
      <c r="P1688" s="13"/>
      <c r="Q1688" s="33"/>
      <c r="R1688" s="9"/>
      <c r="S1688" s="9"/>
      <c r="T1688" s="9"/>
      <c r="U1688" s="9"/>
      <c r="X1688" s="15" t="str">
        <f>IF(B1688="",VLOOKUP(A1688,items_lookup!A:B,2,FALSE),B1688)</f>
        <v>06. Item 06</v>
      </c>
      <c r="Y1688" s="15">
        <f t="shared" si="146"/>
        <v>10</v>
      </c>
      <c r="Z1688" s="15">
        <f t="shared" si="146"/>
        <v>10</v>
      </c>
      <c r="AA1688" s="15">
        <f t="shared" si="143"/>
        <v>2021</v>
      </c>
      <c r="AB1688" s="15">
        <f t="shared" si="144"/>
        <v>2021</v>
      </c>
      <c r="AC1688" s="15">
        <f t="shared" si="145"/>
        <v>2021</v>
      </c>
      <c r="AD1688" s="18" t="b">
        <f t="shared" si="147"/>
        <v>1</v>
      </c>
    </row>
    <row r="1689" spans="1:30" ht="15" hidden="1" customHeight="1" x14ac:dyDescent="0.2">
      <c r="A1689" s="7" t="s">
        <v>682</v>
      </c>
      <c r="B1689" s="7"/>
      <c r="C1689" s="2" t="s">
        <v>641</v>
      </c>
      <c r="D1689" s="6" t="s">
        <v>649</v>
      </c>
      <c r="E1689" s="32" t="s">
        <v>651</v>
      </c>
      <c r="F1689" s="7"/>
      <c r="G1689" s="7"/>
      <c r="H1689" s="7"/>
      <c r="I1689" s="7"/>
      <c r="J1689" s="7"/>
      <c r="K1689" s="7"/>
      <c r="L1689" s="7" t="s">
        <v>662</v>
      </c>
      <c r="M1689" s="8">
        <v>44470</v>
      </c>
      <c r="N1689" s="8">
        <v>44470</v>
      </c>
      <c r="O1689" s="13">
        <v>797380.95</v>
      </c>
      <c r="P1689" s="13"/>
      <c r="Q1689" s="33"/>
      <c r="R1689" s="9"/>
      <c r="S1689" s="9"/>
      <c r="T1689" s="9"/>
      <c r="U1689" s="9"/>
      <c r="X1689" s="15" t="str">
        <f>IF(B1689="",VLOOKUP(A1689,items_lookup!A:B,2,FALSE),B1689)</f>
        <v>06. Item 06</v>
      </c>
      <c r="Y1689" s="15">
        <f t="shared" si="146"/>
        <v>10</v>
      </c>
      <c r="Z1689" s="15">
        <f t="shared" si="146"/>
        <v>10</v>
      </c>
      <c r="AA1689" s="15">
        <f t="shared" si="143"/>
        <v>2021</v>
      </c>
      <c r="AB1689" s="15">
        <f t="shared" si="144"/>
        <v>2021</v>
      </c>
      <c r="AC1689" s="15">
        <f t="shared" si="145"/>
        <v>2021</v>
      </c>
      <c r="AD1689" s="18" t="b">
        <f t="shared" si="147"/>
        <v>1</v>
      </c>
    </row>
    <row r="1690" spans="1:30" ht="15" hidden="1" customHeight="1" x14ac:dyDescent="0.2">
      <c r="A1690" s="7" t="s">
        <v>683</v>
      </c>
      <c r="B1690" s="20"/>
      <c r="C1690" s="2" t="s">
        <v>641</v>
      </c>
      <c r="D1690" s="6" t="s">
        <v>649</v>
      </c>
      <c r="E1690" s="32" t="s">
        <v>651</v>
      </c>
      <c r="F1690" s="7"/>
      <c r="G1690" s="7"/>
      <c r="H1690" s="7"/>
      <c r="I1690" s="7"/>
      <c r="J1690" s="7"/>
      <c r="K1690" s="7"/>
      <c r="L1690" s="7" t="s">
        <v>662</v>
      </c>
      <c r="M1690" s="8">
        <v>44470</v>
      </c>
      <c r="N1690" s="8">
        <v>44470</v>
      </c>
      <c r="O1690" s="13">
        <v>5315000</v>
      </c>
      <c r="P1690" s="13"/>
      <c r="Q1690" s="33"/>
      <c r="R1690" s="9"/>
      <c r="S1690" s="9"/>
      <c r="T1690" s="9"/>
      <c r="U1690" s="9"/>
      <c r="X1690" s="15" t="str">
        <f>IF(B1690="",VLOOKUP(A1690,items_lookup!A:B,2,FALSE),B1690)</f>
        <v>_1. Item _1</v>
      </c>
      <c r="Y1690" s="15">
        <f t="shared" si="146"/>
        <v>10</v>
      </c>
      <c r="Z1690" s="15">
        <f t="shared" si="146"/>
        <v>10</v>
      </c>
      <c r="AA1690" s="15">
        <f t="shared" si="143"/>
        <v>2021</v>
      </c>
      <c r="AB1690" s="15">
        <f t="shared" si="144"/>
        <v>2021</v>
      </c>
      <c r="AC1690" s="15">
        <f t="shared" si="145"/>
        <v>2021</v>
      </c>
      <c r="AD1690" s="18" t="b">
        <f t="shared" si="147"/>
        <v>1</v>
      </c>
    </row>
    <row r="1691" spans="1:30" ht="15" hidden="1" customHeight="1" x14ac:dyDescent="0.2">
      <c r="A1691" s="7" t="s">
        <v>683</v>
      </c>
      <c r="B1691" s="7"/>
      <c r="C1691" s="2" t="s">
        <v>641</v>
      </c>
      <c r="D1691" s="6" t="s">
        <v>649</v>
      </c>
      <c r="E1691" s="32" t="s">
        <v>651</v>
      </c>
      <c r="F1691" s="7"/>
      <c r="G1691" s="7"/>
      <c r="H1691" s="7"/>
      <c r="I1691" s="7"/>
      <c r="J1691" s="7"/>
      <c r="K1691" s="7"/>
      <c r="L1691" s="7" t="s">
        <v>662</v>
      </c>
      <c r="M1691" s="8">
        <v>44470</v>
      </c>
      <c r="N1691" s="8">
        <v>44470</v>
      </c>
      <c r="O1691" s="13">
        <v>190476.19</v>
      </c>
      <c r="P1691" s="13"/>
      <c r="Q1691" s="33"/>
      <c r="R1691" s="9"/>
      <c r="S1691" s="9"/>
      <c r="T1691" s="9"/>
      <c r="U1691" s="9"/>
      <c r="X1691" s="15" t="str">
        <f>IF(B1691="",VLOOKUP(A1691,items_lookup!A:B,2,FALSE),B1691)</f>
        <v>_1. Item _1</v>
      </c>
      <c r="Y1691" s="15">
        <f t="shared" si="146"/>
        <v>10</v>
      </c>
      <c r="Z1691" s="15">
        <f t="shared" si="146"/>
        <v>10</v>
      </c>
      <c r="AA1691" s="15">
        <f t="shared" si="143"/>
        <v>2021</v>
      </c>
      <c r="AB1691" s="15">
        <f t="shared" si="144"/>
        <v>2021</v>
      </c>
      <c r="AC1691" s="15">
        <f t="shared" si="145"/>
        <v>2021</v>
      </c>
      <c r="AD1691" s="18" t="b">
        <f t="shared" si="147"/>
        <v>1</v>
      </c>
    </row>
    <row r="1692" spans="1:30" ht="15" hidden="1" customHeight="1" x14ac:dyDescent="0.2">
      <c r="A1692" s="7" t="s">
        <v>683</v>
      </c>
      <c r="B1692" s="7"/>
      <c r="C1692" s="2" t="s">
        <v>641</v>
      </c>
      <c r="D1692" s="6" t="s">
        <v>649</v>
      </c>
      <c r="E1692" s="32" t="s">
        <v>651</v>
      </c>
      <c r="F1692" s="7"/>
      <c r="G1692" s="7"/>
      <c r="H1692" s="7"/>
      <c r="I1692" s="7"/>
      <c r="J1692" s="7"/>
      <c r="K1692" s="7"/>
      <c r="L1692" s="7" t="s">
        <v>662</v>
      </c>
      <c r="M1692" s="8">
        <v>44470</v>
      </c>
      <c r="N1692" s="8">
        <v>44470</v>
      </c>
      <c r="O1692" s="13">
        <v>238095.24</v>
      </c>
      <c r="P1692" s="13"/>
      <c r="Q1692" s="33"/>
      <c r="R1692" s="9"/>
      <c r="S1692" s="9"/>
      <c r="T1692" s="9"/>
      <c r="U1692" s="9"/>
      <c r="X1692" s="15" t="str">
        <f>IF(B1692="",VLOOKUP(A1692,items_lookup!A:B,2,FALSE),B1692)</f>
        <v>_1. Item _1</v>
      </c>
      <c r="Y1692" s="15">
        <f t="shared" si="146"/>
        <v>10</v>
      </c>
      <c r="Z1692" s="15">
        <f t="shared" si="146"/>
        <v>10</v>
      </c>
      <c r="AA1692" s="15">
        <f t="shared" si="143"/>
        <v>2021</v>
      </c>
      <c r="AB1692" s="15">
        <f t="shared" si="144"/>
        <v>2021</v>
      </c>
      <c r="AC1692" s="15">
        <f t="shared" si="145"/>
        <v>2021</v>
      </c>
      <c r="AD1692" s="18" t="b">
        <f t="shared" si="147"/>
        <v>1</v>
      </c>
    </row>
    <row r="1693" spans="1:30" ht="15" hidden="1" customHeight="1" x14ac:dyDescent="0.2">
      <c r="A1693" s="7" t="s">
        <v>683</v>
      </c>
      <c r="B1693" s="7" t="s">
        <v>712</v>
      </c>
      <c r="C1693" s="2" t="s">
        <v>641</v>
      </c>
      <c r="D1693" s="6" t="s">
        <v>649</v>
      </c>
      <c r="E1693" s="32" t="s">
        <v>651</v>
      </c>
      <c r="F1693" s="7"/>
      <c r="G1693" s="7"/>
      <c r="H1693" s="7"/>
      <c r="I1693" s="7"/>
      <c r="J1693" s="7"/>
      <c r="K1693" s="7"/>
      <c r="L1693" s="7" t="s">
        <v>662</v>
      </c>
      <c r="M1693" s="8">
        <v>44470</v>
      </c>
      <c r="N1693" s="8">
        <v>44470</v>
      </c>
      <c r="O1693" s="13">
        <v>162857.14000000001</v>
      </c>
      <c r="P1693" s="13"/>
      <c r="Q1693" s="33"/>
      <c r="R1693" s="22"/>
      <c r="S1693" s="22"/>
      <c r="T1693" s="22"/>
      <c r="U1693" s="22"/>
      <c r="X1693" s="15" t="str">
        <f>IF(B1693="",VLOOKUP(A1693,items_lookup!A:B,2,FALSE),B1693)</f>
        <v>10. Item 10</v>
      </c>
      <c r="Y1693" s="15">
        <f t="shared" si="146"/>
        <v>10</v>
      </c>
      <c r="Z1693" s="15">
        <f t="shared" si="146"/>
        <v>10</v>
      </c>
      <c r="AA1693" s="15">
        <f t="shared" si="143"/>
        <v>2021</v>
      </c>
      <c r="AB1693" s="15">
        <f t="shared" si="144"/>
        <v>2021</v>
      </c>
      <c r="AC1693" s="15">
        <f t="shared" si="145"/>
        <v>2021</v>
      </c>
      <c r="AD1693" s="18" t="b">
        <f t="shared" si="147"/>
        <v>1</v>
      </c>
    </row>
    <row r="1694" spans="1:30" ht="15" hidden="1" customHeight="1" x14ac:dyDescent="0.2">
      <c r="A1694" s="7" t="s">
        <v>683</v>
      </c>
      <c r="B1694" s="7"/>
      <c r="C1694" s="2" t="s">
        <v>641</v>
      </c>
      <c r="D1694" s="6" t="s">
        <v>649</v>
      </c>
      <c r="E1694" s="32" t="s">
        <v>651</v>
      </c>
      <c r="F1694" s="7"/>
      <c r="G1694" s="7"/>
      <c r="H1694" s="7"/>
      <c r="I1694" s="7"/>
      <c r="J1694" s="7"/>
      <c r="K1694" s="7"/>
      <c r="L1694" s="7" t="s">
        <v>662</v>
      </c>
      <c r="M1694" s="8">
        <v>44470</v>
      </c>
      <c r="N1694" s="8">
        <v>44470</v>
      </c>
      <c r="O1694" s="13">
        <v>52142.86</v>
      </c>
      <c r="P1694" s="13"/>
      <c r="Q1694" s="33"/>
      <c r="R1694" s="22"/>
      <c r="S1694" s="22"/>
      <c r="T1694" s="22"/>
      <c r="U1694" s="22"/>
      <c r="X1694" s="15" t="str">
        <f>IF(B1694="",VLOOKUP(A1694,items_lookup!A:B,2,FALSE),B1694)</f>
        <v>_1. Item _1</v>
      </c>
      <c r="Y1694" s="15">
        <f t="shared" si="146"/>
        <v>10</v>
      </c>
      <c r="Z1694" s="15">
        <f t="shared" si="146"/>
        <v>10</v>
      </c>
      <c r="AA1694" s="15">
        <f t="shared" si="143"/>
        <v>2021</v>
      </c>
      <c r="AB1694" s="15">
        <f t="shared" si="144"/>
        <v>2021</v>
      </c>
      <c r="AC1694" s="15">
        <f t="shared" si="145"/>
        <v>2021</v>
      </c>
      <c r="AD1694" s="18" t="b">
        <f t="shared" si="147"/>
        <v>1</v>
      </c>
    </row>
    <row r="1695" spans="1:30" ht="15" hidden="1" customHeight="1" x14ac:dyDescent="0.2">
      <c r="A1695" s="7" t="s">
        <v>683</v>
      </c>
      <c r="B1695" s="20"/>
      <c r="C1695" s="2" t="s">
        <v>641</v>
      </c>
      <c r="D1695" s="6" t="s">
        <v>649</v>
      </c>
      <c r="E1695" s="32" t="s">
        <v>651</v>
      </c>
      <c r="F1695" s="7"/>
      <c r="G1695" s="7"/>
      <c r="H1695" s="7"/>
      <c r="I1695" s="7"/>
      <c r="J1695" s="7"/>
      <c r="K1695" s="7"/>
      <c r="L1695" s="7" t="s">
        <v>662</v>
      </c>
      <c r="M1695" s="8">
        <v>44470</v>
      </c>
      <c r="N1695" s="8">
        <v>44470</v>
      </c>
      <c r="O1695" s="13">
        <v>63074.85</v>
      </c>
      <c r="P1695" s="13"/>
      <c r="Q1695" s="33"/>
      <c r="R1695" s="22"/>
      <c r="S1695" s="22"/>
      <c r="T1695" s="22"/>
      <c r="U1695" s="22"/>
      <c r="X1695" s="15" t="str">
        <f>IF(B1695="",VLOOKUP(A1695,items_lookup!A:B,2,FALSE),B1695)</f>
        <v>_1. Item _1</v>
      </c>
      <c r="Y1695" s="15">
        <f t="shared" si="146"/>
        <v>10</v>
      </c>
      <c r="Z1695" s="15">
        <f t="shared" si="146"/>
        <v>10</v>
      </c>
      <c r="AA1695" s="15">
        <f t="shared" si="143"/>
        <v>2021</v>
      </c>
      <c r="AB1695" s="15">
        <f t="shared" si="144"/>
        <v>2021</v>
      </c>
      <c r="AC1695" s="15">
        <f t="shared" si="145"/>
        <v>2021</v>
      </c>
      <c r="AD1695" s="18" t="b">
        <f t="shared" si="147"/>
        <v>1</v>
      </c>
    </row>
    <row r="1696" spans="1:30" ht="18.75" hidden="1" customHeight="1" x14ac:dyDescent="0.2">
      <c r="A1696" s="7" t="s">
        <v>676</v>
      </c>
      <c r="B1696" s="7" t="s">
        <v>711</v>
      </c>
      <c r="C1696" s="2" t="s">
        <v>641</v>
      </c>
      <c r="D1696" s="6" t="s">
        <v>649</v>
      </c>
      <c r="E1696" s="32" t="s">
        <v>651</v>
      </c>
      <c r="F1696" s="7"/>
      <c r="G1696" s="7"/>
      <c r="H1696" s="7"/>
      <c r="I1696" s="7"/>
      <c r="J1696" s="7"/>
      <c r="K1696" s="7"/>
      <c r="L1696" s="7" t="s">
        <v>662</v>
      </c>
      <c r="M1696" s="8">
        <v>44470</v>
      </c>
      <c r="N1696" s="8">
        <v>44470</v>
      </c>
      <c r="O1696" s="13">
        <v>178571.43</v>
      </c>
      <c r="P1696" s="13"/>
      <c r="Q1696" s="33"/>
      <c r="R1696" s="22"/>
      <c r="S1696" s="22"/>
      <c r="T1696" s="22"/>
      <c r="U1696" s="22"/>
      <c r="X1696" s="15" t="str">
        <f>IF(B1696="",VLOOKUP(A1696,items_lookup!A:B,2,FALSE),B1696)</f>
        <v>12. Item 12</v>
      </c>
      <c r="Y1696" s="15">
        <f t="shared" si="146"/>
        <v>10</v>
      </c>
      <c r="Z1696" s="15">
        <f t="shared" si="146"/>
        <v>10</v>
      </c>
      <c r="AA1696" s="15">
        <f t="shared" si="143"/>
        <v>2021</v>
      </c>
      <c r="AB1696" s="15">
        <f t="shared" si="144"/>
        <v>2021</v>
      </c>
      <c r="AC1696" s="15">
        <f t="shared" si="145"/>
        <v>2021</v>
      </c>
      <c r="AD1696" s="18" t="b">
        <f t="shared" si="147"/>
        <v>1</v>
      </c>
    </row>
    <row r="1697" spans="1:30" ht="15" hidden="1" customHeight="1" x14ac:dyDescent="0.2">
      <c r="A1697" s="7" t="s">
        <v>680</v>
      </c>
      <c r="B1697" s="7" t="s">
        <v>710</v>
      </c>
      <c r="C1697" s="2" t="s">
        <v>641</v>
      </c>
      <c r="D1697" s="6" t="s">
        <v>649</v>
      </c>
      <c r="E1697" s="32" t="s">
        <v>651</v>
      </c>
      <c r="F1697" s="7"/>
      <c r="G1697" s="7"/>
      <c r="H1697" s="7"/>
      <c r="I1697" s="7"/>
      <c r="J1697" s="7"/>
      <c r="K1697" s="7"/>
      <c r="L1697" s="7" t="s">
        <v>662</v>
      </c>
      <c r="M1697" s="8">
        <v>44470</v>
      </c>
      <c r="N1697" s="8">
        <v>44470</v>
      </c>
      <c r="O1697" s="13">
        <v>2738095.24</v>
      </c>
      <c r="P1697" s="13"/>
      <c r="Q1697" s="33"/>
      <c r="R1697" s="9"/>
      <c r="S1697" s="9"/>
      <c r="T1697" s="9"/>
      <c r="U1697" s="9"/>
      <c r="X1697" s="15" t="str">
        <f>IF(B1697="",VLOOKUP(A1697,items_lookup!A:B,2,FALSE),B1697)</f>
        <v>13. Item 13</v>
      </c>
      <c r="Y1697" s="15">
        <f t="shared" si="146"/>
        <v>10</v>
      </c>
      <c r="Z1697" s="15">
        <f t="shared" si="146"/>
        <v>10</v>
      </c>
      <c r="AA1697" s="15">
        <f t="shared" si="143"/>
        <v>2021</v>
      </c>
      <c r="AB1697" s="15">
        <f t="shared" si="144"/>
        <v>2021</v>
      </c>
      <c r="AC1697" s="15">
        <f t="shared" si="145"/>
        <v>2021</v>
      </c>
      <c r="AD1697" s="18" t="b">
        <f t="shared" si="147"/>
        <v>1</v>
      </c>
    </row>
    <row r="1698" spans="1:30" ht="15" hidden="1" customHeight="1" x14ac:dyDescent="0.2">
      <c r="A1698" s="7" t="s">
        <v>676</v>
      </c>
      <c r="B1698" s="7"/>
      <c r="C1698" s="2" t="s">
        <v>641</v>
      </c>
      <c r="D1698" s="6" t="s">
        <v>649</v>
      </c>
      <c r="E1698" s="32" t="s">
        <v>651</v>
      </c>
      <c r="F1698" s="7"/>
      <c r="G1698" s="7"/>
      <c r="H1698" s="7"/>
      <c r="I1698" s="7"/>
      <c r="J1698" s="7"/>
      <c r="K1698" s="7"/>
      <c r="L1698" s="7" t="s">
        <v>662</v>
      </c>
      <c r="M1698" s="8">
        <v>44470</v>
      </c>
      <c r="N1698" s="8">
        <v>44470</v>
      </c>
      <c r="O1698" s="13">
        <v>4032971.12</v>
      </c>
      <c r="P1698" s="13"/>
      <c r="Q1698" s="33"/>
      <c r="R1698" s="22"/>
      <c r="S1698" s="22"/>
      <c r="T1698" s="22"/>
      <c r="U1698" s="22"/>
      <c r="X1698" s="15" t="str">
        <f>IF(B1698="",VLOOKUP(A1698,items_lookup!A:B,2,FALSE),B1698)</f>
        <v>09. Item 09</v>
      </c>
      <c r="Y1698" s="15">
        <f t="shared" si="146"/>
        <v>10</v>
      </c>
      <c r="Z1698" s="15">
        <f t="shared" si="146"/>
        <v>10</v>
      </c>
      <c r="AA1698" s="15">
        <f t="shared" si="143"/>
        <v>2021</v>
      </c>
      <c r="AB1698" s="15">
        <f t="shared" si="144"/>
        <v>2021</v>
      </c>
      <c r="AC1698" s="15">
        <f t="shared" si="145"/>
        <v>2021</v>
      </c>
      <c r="AD1698" s="18" t="b">
        <f t="shared" si="147"/>
        <v>1</v>
      </c>
    </row>
    <row r="1699" spans="1:30" ht="15" hidden="1" customHeight="1" x14ac:dyDescent="0.2">
      <c r="A1699" s="7" t="s">
        <v>683</v>
      </c>
      <c r="B1699" s="7"/>
      <c r="C1699" s="2" t="s">
        <v>641</v>
      </c>
      <c r="D1699" s="6" t="s">
        <v>649</v>
      </c>
      <c r="E1699" s="32" t="s">
        <v>651</v>
      </c>
      <c r="F1699" s="7"/>
      <c r="G1699" s="7"/>
      <c r="H1699" s="7"/>
      <c r="I1699" s="7"/>
      <c r="J1699" s="7"/>
      <c r="K1699" s="7"/>
      <c r="L1699" s="7" t="s">
        <v>662</v>
      </c>
      <c r="M1699" s="8">
        <v>44470</v>
      </c>
      <c r="N1699" s="8">
        <v>44470</v>
      </c>
      <c r="O1699" s="13">
        <v>249523.81</v>
      </c>
      <c r="P1699" s="13"/>
      <c r="Q1699" s="33"/>
      <c r="R1699" s="22"/>
      <c r="S1699" s="22"/>
      <c r="T1699" s="22"/>
      <c r="U1699" s="22"/>
      <c r="X1699" s="15" t="str">
        <f>IF(B1699="",VLOOKUP(A1699,items_lookup!A:B,2,FALSE),B1699)</f>
        <v>_1. Item _1</v>
      </c>
      <c r="Y1699" s="15">
        <f t="shared" si="146"/>
        <v>10</v>
      </c>
      <c r="Z1699" s="15">
        <f t="shared" si="146"/>
        <v>10</v>
      </c>
      <c r="AA1699" s="15">
        <f t="shared" si="143"/>
        <v>2021</v>
      </c>
      <c r="AB1699" s="15">
        <f t="shared" si="144"/>
        <v>2021</v>
      </c>
      <c r="AC1699" s="15">
        <f t="shared" si="145"/>
        <v>2021</v>
      </c>
      <c r="AD1699" s="18" t="b">
        <f t="shared" si="147"/>
        <v>1</v>
      </c>
    </row>
    <row r="1700" spans="1:30" ht="27.75" hidden="1" customHeight="1" x14ac:dyDescent="0.2">
      <c r="A1700" s="7" t="s">
        <v>671</v>
      </c>
      <c r="B1700" s="7"/>
      <c r="C1700" s="2" t="s">
        <v>641</v>
      </c>
      <c r="D1700" s="6" t="s">
        <v>650</v>
      </c>
      <c r="E1700" s="32" t="s">
        <v>651</v>
      </c>
      <c r="F1700" s="7"/>
      <c r="G1700" s="7"/>
      <c r="H1700" s="7"/>
      <c r="I1700" s="7"/>
      <c r="J1700" s="7"/>
      <c r="K1700" s="7"/>
      <c r="L1700" s="7" t="s">
        <v>662</v>
      </c>
      <c r="M1700" s="8">
        <v>44501</v>
      </c>
      <c r="N1700" s="8">
        <v>44501</v>
      </c>
      <c r="O1700" s="13">
        <v>580952.38</v>
      </c>
      <c r="P1700" s="13"/>
      <c r="Q1700" s="33"/>
      <c r="R1700" s="9"/>
      <c r="S1700" s="9"/>
      <c r="T1700" s="9"/>
      <c r="U1700" s="9"/>
      <c r="X1700" s="15" t="str">
        <f>IF(B1700="",VLOOKUP(A1700,items_lookup!A:B,2,FALSE),B1700)</f>
        <v>05. Item 05</v>
      </c>
      <c r="Y1700" s="15">
        <f t="shared" si="146"/>
        <v>11</v>
      </c>
      <c r="Z1700" s="15">
        <f t="shared" si="146"/>
        <v>11</v>
      </c>
      <c r="AA1700" s="15">
        <f t="shared" si="143"/>
        <v>2021</v>
      </c>
      <c r="AB1700" s="15">
        <f t="shared" si="144"/>
        <v>2021</v>
      </c>
      <c r="AC1700" s="15">
        <f t="shared" si="145"/>
        <v>2021</v>
      </c>
      <c r="AD1700" s="18" t="b">
        <f t="shared" si="147"/>
        <v>1</v>
      </c>
    </row>
    <row r="1701" spans="1:30" ht="15" hidden="1" customHeight="1" x14ac:dyDescent="0.2">
      <c r="A1701" s="7" t="s">
        <v>683</v>
      </c>
      <c r="B1701" s="7"/>
      <c r="C1701" s="2" t="s">
        <v>641</v>
      </c>
      <c r="D1701" s="6" t="s">
        <v>649</v>
      </c>
      <c r="E1701" s="32" t="s">
        <v>651</v>
      </c>
      <c r="F1701" s="7"/>
      <c r="G1701" s="7"/>
      <c r="H1701" s="7"/>
      <c r="I1701" s="7"/>
      <c r="J1701" s="7"/>
      <c r="K1701" s="7"/>
      <c r="L1701" s="7" t="s">
        <v>662</v>
      </c>
      <c r="M1701" s="8">
        <v>44501</v>
      </c>
      <c r="N1701" s="8">
        <v>44501</v>
      </c>
      <c r="O1701" s="13">
        <v>6244761.9000000004</v>
      </c>
      <c r="P1701" s="13"/>
      <c r="Q1701" s="33"/>
      <c r="R1701" s="9"/>
      <c r="S1701" s="9"/>
      <c r="T1701" s="9"/>
      <c r="U1701" s="9"/>
      <c r="X1701" s="15" t="str">
        <f>IF(B1701="",VLOOKUP(A1701,items_lookup!A:B,2,FALSE),B1701)</f>
        <v>_1. Item _1</v>
      </c>
      <c r="Y1701" s="15">
        <f t="shared" si="146"/>
        <v>11</v>
      </c>
      <c r="Z1701" s="15">
        <f t="shared" si="146"/>
        <v>11</v>
      </c>
      <c r="AA1701" s="15">
        <f t="shared" si="143"/>
        <v>2021</v>
      </c>
      <c r="AB1701" s="15">
        <f t="shared" si="144"/>
        <v>2021</v>
      </c>
      <c r="AC1701" s="15">
        <f t="shared" si="145"/>
        <v>2021</v>
      </c>
      <c r="AD1701" s="18" t="b">
        <f t="shared" si="147"/>
        <v>1</v>
      </c>
    </row>
    <row r="1702" spans="1:30" ht="15" hidden="1" customHeight="1" x14ac:dyDescent="0.2">
      <c r="A1702" s="7" t="s">
        <v>703</v>
      </c>
      <c r="B1702" s="7"/>
      <c r="C1702" s="2" t="s">
        <v>641</v>
      </c>
      <c r="D1702" s="6" t="s">
        <v>649</v>
      </c>
      <c r="E1702" s="32" t="s">
        <v>651</v>
      </c>
      <c r="F1702" s="7"/>
      <c r="G1702" s="7"/>
      <c r="H1702" s="7"/>
      <c r="I1702" s="7"/>
      <c r="J1702" s="7"/>
      <c r="K1702" s="7"/>
      <c r="L1702" s="7" t="s">
        <v>662</v>
      </c>
      <c r="M1702" s="8">
        <v>44501</v>
      </c>
      <c r="N1702" s="8">
        <v>44501</v>
      </c>
      <c r="O1702" s="13">
        <v>1547619.05</v>
      </c>
      <c r="P1702" s="13"/>
      <c r="Q1702" s="33"/>
      <c r="R1702" s="9"/>
      <c r="S1702" s="9"/>
      <c r="T1702" s="9"/>
      <c r="U1702" s="9"/>
      <c r="X1702" s="15" t="str">
        <f>IF(B1702="",VLOOKUP(A1702,items_lookup!A:B,2,FALSE),B1702)</f>
        <v>_3. Item _3</v>
      </c>
      <c r="Y1702" s="15">
        <f t="shared" si="146"/>
        <v>11</v>
      </c>
      <c r="Z1702" s="15">
        <f t="shared" si="146"/>
        <v>11</v>
      </c>
      <c r="AA1702" s="15">
        <f t="shared" si="143"/>
        <v>2021</v>
      </c>
      <c r="AB1702" s="15">
        <f t="shared" si="144"/>
        <v>2021</v>
      </c>
      <c r="AC1702" s="15">
        <f t="shared" si="145"/>
        <v>2021</v>
      </c>
      <c r="AD1702" s="18" t="b">
        <f t="shared" si="147"/>
        <v>1</v>
      </c>
    </row>
    <row r="1703" spans="1:30" ht="15" hidden="1" customHeight="1" x14ac:dyDescent="0.2">
      <c r="A1703" s="7" t="s">
        <v>683</v>
      </c>
      <c r="B1703" s="7" t="s">
        <v>708</v>
      </c>
      <c r="C1703" s="2" t="s">
        <v>641</v>
      </c>
      <c r="D1703" s="6" t="s">
        <v>649</v>
      </c>
      <c r="E1703" s="32" t="s">
        <v>651</v>
      </c>
      <c r="F1703" s="7"/>
      <c r="G1703" s="7"/>
      <c r="H1703" s="7"/>
      <c r="I1703" s="7"/>
      <c r="J1703" s="7"/>
      <c r="K1703" s="7"/>
      <c r="L1703" s="7" t="s">
        <v>662</v>
      </c>
      <c r="M1703" s="8">
        <v>44501</v>
      </c>
      <c r="N1703" s="8">
        <v>44501</v>
      </c>
      <c r="O1703" s="13">
        <v>3500000</v>
      </c>
      <c r="P1703" s="13"/>
      <c r="Q1703" s="33"/>
      <c r="R1703" s="9"/>
      <c r="S1703" s="9"/>
      <c r="T1703" s="9"/>
      <c r="U1703" s="9"/>
      <c r="X1703" s="15" t="str">
        <f>IF(B1703="",VLOOKUP(A1703,items_lookup!A:B,2,FALSE),B1703)</f>
        <v>03. Item 03</v>
      </c>
      <c r="Y1703" s="15">
        <f t="shared" si="146"/>
        <v>11</v>
      </c>
      <c r="Z1703" s="15">
        <f t="shared" si="146"/>
        <v>11</v>
      </c>
      <c r="AA1703" s="15">
        <f t="shared" si="143"/>
        <v>2021</v>
      </c>
      <c r="AB1703" s="15">
        <f t="shared" si="144"/>
        <v>2021</v>
      </c>
      <c r="AC1703" s="15">
        <f t="shared" si="145"/>
        <v>2021</v>
      </c>
      <c r="AD1703" s="18" t="b">
        <f t="shared" si="147"/>
        <v>1</v>
      </c>
    </row>
    <row r="1704" spans="1:30" ht="15" hidden="1" customHeight="1" x14ac:dyDescent="0.2">
      <c r="A1704" s="7" t="s">
        <v>683</v>
      </c>
      <c r="B1704" s="7"/>
      <c r="C1704" s="2" t="s">
        <v>641</v>
      </c>
      <c r="D1704" s="6" t="s">
        <v>649</v>
      </c>
      <c r="E1704" s="32" t="s">
        <v>651</v>
      </c>
      <c r="F1704" s="7"/>
      <c r="G1704" s="7"/>
      <c r="H1704" s="7"/>
      <c r="I1704" s="7"/>
      <c r="J1704" s="7"/>
      <c r="K1704" s="7"/>
      <c r="L1704" s="7" t="s">
        <v>662</v>
      </c>
      <c r="M1704" s="8">
        <v>44501</v>
      </c>
      <c r="N1704" s="8">
        <v>44501</v>
      </c>
      <c r="O1704" s="13">
        <v>621667.38</v>
      </c>
      <c r="P1704" s="13"/>
      <c r="Q1704" s="33"/>
      <c r="R1704" s="22"/>
      <c r="S1704" s="22"/>
      <c r="T1704" s="22"/>
      <c r="U1704" s="22"/>
      <c r="X1704" s="15" t="str">
        <f>IF(B1704="",VLOOKUP(A1704,items_lookup!A:B,2,FALSE),B1704)</f>
        <v>_1. Item _1</v>
      </c>
      <c r="Y1704" s="15">
        <f t="shared" si="146"/>
        <v>11</v>
      </c>
      <c r="Z1704" s="15">
        <f t="shared" si="146"/>
        <v>11</v>
      </c>
      <c r="AA1704" s="15">
        <f t="shared" si="143"/>
        <v>2021</v>
      </c>
      <c r="AB1704" s="15">
        <f t="shared" si="144"/>
        <v>2021</v>
      </c>
      <c r="AC1704" s="15">
        <f t="shared" si="145"/>
        <v>2021</v>
      </c>
      <c r="AD1704" s="18" t="b">
        <f t="shared" si="147"/>
        <v>1</v>
      </c>
    </row>
    <row r="1705" spans="1:30" ht="15" hidden="1" customHeight="1" x14ac:dyDescent="0.2">
      <c r="A1705" s="7" t="s">
        <v>703</v>
      </c>
      <c r="B1705" s="7"/>
      <c r="C1705" s="2" t="s">
        <v>641</v>
      </c>
      <c r="D1705" s="6" t="s">
        <v>649</v>
      </c>
      <c r="E1705" s="32" t="s">
        <v>651</v>
      </c>
      <c r="F1705" s="7"/>
      <c r="G1705" s="7"/>
      <c r="H1705" s="7"/>
      <c r="I1705" s="7"/>
      <c r="J1705" s="7"/>
      <c r="K1705" s="7"/>
      <c r="L1705" s="7" t="s">
        <v>662</v>
      </c>
      <c r="M1705" s="8">
        <v>44501</v>
      </c>
      <c r="N1705" s="8">
        <v>44501</v>
      </c>
      <c r="O1705" s="13">
        <v>52856.43</v>
      </c>
      <c r="P1705" s="13"/>
      <c r="Q1705" s="33"/>
      <c r="R1705" s="22"/>
      <c r="S1705" s="22"/>
      <c r="T1705" s="22"/>
      <c r="U1705" s="22"/>
      <c r="X1705" s="15" t="str">
        <f>IF(B1705="",VLOOKUP(A1705,items_lookup!A:B,2,FALSE),B1705)</f>
        <v>_3. Item _3</v>
      </c>
      <c r="Y1705" s="15">
        <f t="shared" si="146"/>
        <v>11</v>
      </c>
      <c r="Z1705" s="15">
        <f t="shared" si="146"/>
        <v>11</v>
      </c>
      <c r="AA1705" s="15">
        <f t="shared" si="143"/>
        <v>2021</v>
      </c>
      <c r="AB1705" s="15">
        <f t="shared" si="144"/>
        <v>2021</v>
      </c>
      <c r="AC1705" s="15">
        <f t="shared" si="145"/>
        <v>2021</v>
      </c>
      <c r="AD1705" s="18" t="b">
        <f t="shared" si="147"/>
        <v>1</v>
      </c>
    </row>
    <row r="1706" spans="1:30" ht="15" hidden="1" customHeight="1" x14ac:dyDescent="0.2">
      <c r="A1706" s="7" t="s">
        <v>702</v>
      </c>
      <c r="B1706" s="7"/>
      <c r="C1706" s="2" t="s">
        <v>641</v>
      </c>
      <c r="D1706" s="6" t="s">
        <v>649</v>
      </c>
      <c r="E1706" s="32" t="s">
        <v>651</v>
      </c>
      <c r="F1706" s="7"/>
      <c r="G1706" s="7"/>
      <c r="H1706" s="7"/>
      <c r="I1706" s="7"/>
      <c r="J1706" s="7"/>
      <c r="K1706" s="7"/>
      <c r="L1706" s="7" t="s">
        <v>662</v>
      </c>
      <c r="M1706" s="8">
        <v>44501</v>
      </c>
      <c r="N1706" s="8">
        <v>44501</v>
      </c>
      <c r="O1706" s="13">
        <v>3845238.1</v>
      </c>
      <c r="P1706" s="13"/>
      <c r="Q1706" s="33"/>
      <c r="R1706" s="9"/>
      <c r="S1706" s="9"/>
      <c r="T1706" s="9"/>
      <c r="U1706" s="9"/>
      <c r="X1706" s="15" t="str">
        <f>IF(B1706="",VLOOKUP(A1706,items_lookup!A:B,2,FALSE),B1706)</f>
        <v>17. Item 17</v>
      </c>
      <c r="Y1706" s="15">
        <f t="shared" si="146"/>
        <v>11</v>
      </c>
      <c r="Z1706" s="15">
        <f t="shared" si="146"/>
        <v>11</v>
      </c>
      <c r="AA1706" s="15">
        <f t="shared" si="143"/>
        <v>2021</v>
      </c>
      <c r="AB1706" s="15">
        <f t="shared" si="144"/>
        <v>2021</v>
      </c>
      <c r="AC1706" s="15">
        <f t="shared" si="145"/>
        <v>2021</v>
      </c>
      <c r="AD1706" s="18" t="b">
        <f t="shared" si="147"/>
        <v>1</v>
      </c>
    </row>
    <row r="1707" spans="1:30" ht="15" hidden="1" customHeight="1" x14ac:dyDescent="0.2">
      <c r="A1707" s="7" t="s">
        <v>680</v>
      </c>
      <c r="B1707" s="7"/>
      <c r="C1707" s="2" t="s">
        <v>641</v>
      </c>
      <c r="D1707" s="6" t="s">
        <v>649</v>
      </c>
      <c r="E1707" s="32" t="s">
        <v>651</v>
      </c>
      <c r="F1707" s="7"/>
      <c r="G1707" s="7"/>
      <c r="H1707" s="7"/>
      <c r="I1707" s="7"/>
      <c r="J1707" s="7"/>
      <c r="K1707" s="7"/>
      <c r="L1707" s="7" t="s">
        <v>662</v>
      </c>
      <c r="M1707" s="8">
        <v>44501</v>
      </c>
      <c r="N1707" s="8">
        <v>44501</v>
      </c>
      <c r="O1707" s="13">
        <v>26190.48</v>
      </c>
      <c r="P1707" s="13"/>
      <c r="Q1707" s="33"/>
      <c r="R1707" s="9"/>
      <c r="S1707" s="9"/>
      <c r="T1707" s="9"/>
      <c r="U1707" s="9"/>
      <c r="X1707" s="15" t="str">
        <f>IF(B1707="",VLOOKUP(A1707,items_lookup!A:B,2,FALSE),B1707)</f>
        <v>13. Item 13</v>
      </c>
      <c r="Y1707" s="15">
        <f t="shared" si="146"/>
        <v>11</v>
      </c>
      <c r="Z1707" s="15">
        <f t="shared" si="146"/>
        <v>11</v>
      </c>
      <c r="AA1707" s="15">
        <f t="shared" si="143"/>
        <v>2021</v>
      </c>
      <c r="AB1707" s="15">
        <f t="shared" si="144"/>
        <v>2021</v>
      </c>
      <c r="AC1707" s="15">
        <f t="shared" si="145"/>
        <v>2021</v>
      </c>
      <c r="AD1707" s="18" t="b">
        <f t="shared" si="147"/>
        <v>1</v>
      </c>
    </row>
    <row r="1708" spans="1:30" ht="15" hidden="1" customHeight="1" x14ac:dyDescent="0.2">
      <c r="A1708" s="7" t="s">
        <v>678</v>
      </c>
      <c r="B1708" s="7"/>
      <c r="C1708" s="2" t="s">
        <v>641</v>
      </c>
      <c r="D1708" s="6" t="s">
        <v>649</v>
      </c>
      <c r="E1708" s="32" t="s">
        <v>651</v>
      </c>
      <c r="F1708" s="7"/>
      <c r="G1708" s="7"/>
      <c r="H1708" s="7"/>
      <c r="I1708" s="7"/>
      <c r="J1708" s="7"/>
      <c r="K1708" s="7"/>
      <c r="L1708" s="7" t="s">
        <v>662</v>
      </c>
      <c r="M1708" s="8">
        <v>44501</v>
      </c>
      <c r="N1708" s="8">
        <v>44501</v>
      </c>
      <c r="O1708" s="13">
        <v>5476190.4800000004</v>
      </c>
      <c r="P1708" s="13"/>
      <c r="Q1708" s="33"/>
      <c r="R1708" s="9"/>
      <c r="S1708" s="9"/>
      <c r="T1708" s="9"/>
      <c r="U1708" s="9"/>
      <c r="X1708" s="15" t="str">
        <f>IF(B1708="",VLOOKUP(A1708,items_lookup!A:B,2,FALSE),B1708)</f>
        <v>13. Item 13</v>
      </c>
      <c r="Y1708" s="15">
        <f t="shared" si="146"/>
        <v>11</v>
      </c>
      <c r="Z1708" s="15">
        <f t="shared" si="146"/>
        <v>11</v>
      </c>
      <c r="AA1708" s="15">
        <f t="shared" si="143"/>
        <v>2021</v>
      </c>
      <c r="AB1708" s="15">
        <f t="shared" si="144"/>
        <v>2021</v>
      </c>
      <c r="AC1708" s="15">
        <f t="shared" si="145"/>
        <v>2021</v>
      </c>
      <c r="AD1708" s="18" t="b">
        <f t="shared" si="147"/>
        <v>1</v>
      </c>
    </row>
    <row r="1709" spans="1:30" ht="18" hidden="1" customHeight="1" x14ac:dyDescent="0.2">
      <c r="A1709" s="7" t="s">
        <v>677</v>
      </c>
      <c r="B1709" s="7"/>
      <c r="C1709" s="2" t="s">
        <v>641</v>
      </c>
      <c r="D1709" s="6" t="s">
        <v>649</v>
      </c>
      <c r="E1709" s="32" t="s">
        <v>651</v>
      </c>
      <c r="F1709" s="7"/>
      <c r="G1709" s="7"/>
      <c r="H1709" s="7"/>
      <c r="I1709" s="7"/>
      <c r="J1709" s="7"/>
      <c r="K1709" s="7"/>
      <c r="L1709" s="7" t="s">
        <v>662</v>
      </c>
      <c r="M1709" s="8">
        <v>44501</v>
      </c>
      <c r="N1709" s="8">
        <v>44501</v>
      </c>
      <c r="O1709" s="13">
        <v>10773809.52</v>
      </c>
      <c r="P1709" s="13"/>
      <c r="Q1709" s="33"/>
      <c r="R1709" s="9"/>
      <c r="S1709" s="9"/>
      <c r="T1709" s="9"/>
      <c r="U1709" s="9"/>
      <c r="X1709" s="15" t="str">
        <f>IF(B1709="",VLOOKUP(A1709,items_lookup!A:B,2,FALSE),B1709)</f>
        <v>11. Item 11</v>
      </c>
      <c r="Y1709" s="15">
        <f t="shared" si="146"/>
        <v>11</v>
      </c>
      <c r="Z1709" s="15">
        <f t="shared" si="146"/>
        <v>11</v>
      </c>
      <c r="AA1709" s="15">
        <f t="shared" si="143"/>
        <v>2021</v>
      </c>
      <c r="AB1709" s="15">
        <f t="shared" si="144"/>
        <v>2021</v>
      </c>
      <c r="AC1709" s="15">
        <f t="shared" si="145"/>
        <v>2021</v>
      </c>
      <c r="AD1709" s="18" t="b">
        <f t="shared" si="147"/>
        <v>1</v>
      </c>
    </row>
    <row r="1710" spans="1:30" ht="15" hidden="1" customHeight="1" x14ac:dyDescent="0.2">
      <c r="A1710" s="7" t="s">
        <v>680</v>
      </c>
      <c r="B1710" s="7"/>
      <c r="C1710" s="2" t="s">
        <v>641</v>
      </c>
      <c r="D1710" s="6" t="s">
        <v>649</v>
      </c>
      <c r="E1710" s="32" t="s">
        <v>651</v>
      </c>
      <c r="F1710" s="7"/>
      <c r="G1710" s="7"/>
      <c r="H1710" s="7"/>
      <c r="I1710" s="7"/>
      <c r="J1710" s="7"/>
      <c r="K1710" s="7"/>
      <c r="L1710" s="7" t="s">
        <v>662</v>
      </c>
      <c r="M1710" s="8">
        <v>44501</v>
      </c>
      <c r="N1710" s="8">
        <v>44501</v>
      </c>
      <c r="O1710" s="13">
        <v>78703.27</v>
      </c>
      <c r="P1710" s="13"/>
      <c r="Q1710" s="33"/>
      <c r="R1710" s="9"/>
      <c r="S1710" s="9"/>
      <c r="T1710" s="9"/>
      <c r="U1710" s="9"/>
      <c r="X1710" s="15" t="str">
        <f>IF(B1710="",VLOOKUP(A1710,items_lookup!A:B,2,FALSE),B1710)</f>
        <v>13. Item 13</v>
      </c>
      <c r="Y1710" s="15">
        <f t="shared" si="146"/>
        <v>11</v>
      </c>
      <c r="Z1710" s="15">
        <f t="shared" si="146"/>
        <v>11</v>
      </c>
      <c r="AA1710" s="15">
        <f t="shared" si="143"/>
        <v>2021</v>
      </c>
      <c r="AB1710" s="15">
        <f t="shared" si="144"/>
        <v>2021</v>
      </c>
      <c r="AC1710" s="15">
        <f t="shared" si="145"/>
        <v>2021</v>
      </c>
      <c r="AD1710" s="18" t="b">
        <f t="shared" si="147"/>
        <v>1</v>
      </c>
    </row>
    <row r="1711" spans="1:30" ht="15" hidden="1" customHeight="1" x14ac:dyDescent="0.2">
      <c r="A1711" s="7" t="s">
        <v>680</v>
      </c>
      <c r="B1711" s="20"/>
      <c r="C1711" s="2" t="s">
        <v>641</v>
      </c>
      <c r="D1711" s="6" t="s">
        <v>649</v>
      </c>
      <c r="E1711" s="32" t="s">
        <v>651</v>
      </c>
      <c r="F1711" s="7"/>
      <c r="G1711" s="7"/>
      <c r="H1711" s="7"/>
      <c r="I1711" s="7"/>
      <c r="J1711" s="7"/>
      <c r="K1711" s="7"/>
      <c r="L1711" s="7" t="s">
        <v>662</v>
      </c>
      <c r="M1711" s="8">
        <v>44501</v>
      </c>
      <c r="N1711" s="8">
        <v>44501</v>
      </c>
      <c r="O1711" s="13">
        <v>1102619.05</v>
      </c>
      <c r="P1711" s="13"/>
      <c r="Q1711" s="33"/>
      <c r="R1711" s="9"/>
      <c r="S1711" s="9"/>
      <c r="T1711" s="9"/>
      <c r="U1711" s="9"/>
      <c r="X1711" s="15" t="str">
        <f>IF(B1711="",VLOOKUP(A1711,items_lookup!A:B,2,FALSE),B1711)</f>
        <v>13. Item 13</v>
      </c>
      <c r="Y1711" s="15">
        <f t="shared" si="146"/>
        <v>11</v>
      </c>
      <c r="Z1711" s="15">
        <f t="shared" si="146"/>
        <v>11</v>
      </c>
      <c r="AA1711" s="15">
        <f t="shared" ref="AA1711:AA1765" si="148">YEAR(N1711)</f>
        <v>2021</v>
      </c>
      <c r="AB1711" s="15">
        <f t="shared" ref="AB1711:AB1765" si="149">YEAR(M1711)</f>
        <v>2021</v>
      </c>
      <c r="AC1711" s="15">
        <f t="shared" ref="AC1711:AC1765" si="150">IF(F1711="X",AA1711-1,AA1711)</f>
        <v>2021</v>
      </c>
      <c r="AD1711" s="18" t="b">
        <f t="shared" si="147"/>
        <v>1</v>
      </c>
    </row>
    <row r="1712" spans="1:30" ht="15" hidden="1" customHeight="1" x14ac:dyDescent="0.2">
      <c r="A1712" s="7" t="s">
        <v>680</v>
      </c>
      <c r="B1712" s="7"/>
      <c r="C1712" s="2" t="s">
        <v>641</v>
      </c>
      <c r="D1712" s="6" t="s">
        <v>649</v>
      </c>
      <c r="E1712" s="32" t="s">
        <v>651</v>
      </c>
      <c r="F1712" s="7"/>
      <c r="G1712" s="7"/>
      <c r="H1712" s="7"/>
      <c r="I1712" s="7"/>
      <c r="J1712" s="7"/>
      <c r="K1712" s="7"/>
      <c r="L1712" s="7" t="s">
        <v>662</v>
      </c>
      <c r="M1712" s="8">
        <v>44501</v>
      </c>
      <c r="N1712" s="8">
        <v>44501</v>
      </c>
      <c r="O1712" s="13">
        <v>394047.62</v>
      </c>
      <c r="P1712" s="13"/>
      <c r="Q1712" s="33"/>
      <c r="R1712" s="9"/>
      <c r="S1712" s="9"/>
      <c r="T1712" s="9"/>
      <c r="U1712" s="9"/>
      <c r="X1712" s="15" t="str">
        <f>IF(B1712="",VLOOKUP(A1712,items_lookup!A:B,2,FALSE),B1712)</f>
        <v>13. Item 13</v>
      </c>
      <c r="Y1712" s="15">
        <f t="shared" si="146"/>
        <v>11</v>
      </c>
      <c r="Z1712" s="15">
        <f t="shared" si="146"/>
        <v>11</v>
      </c>
      <c r="AA1712" s="15">
        <f t="shared" si="148"/>
        <v>2021</v>
      </c>
      <c r="AB1712" s="15">
        <f t="shared" si="149"/>
        <v>2021</v>
      </c>
      <c r="AC1712" s="15">
        <f t="shared" si="150"/>
        <v>2021</v>
      </c>
      <c r="AD1712" s="18" t="b">
        <f t="shared" si="147"/>
        <v>1</v>
      </c>
    </row>
    <row r="1713" spans="1:30" ht="15" hidden="1" customHeight="1" x14ac:dyDescent="0.2">
      <c r="A1713" s="7" t="s">
        <v>680</v>
      </c>
      <c r="B1713" s="7"/>
      <c r="C1713" s="2" t="s">
        <v>641</v>
      </c>
      <c r="D1713" s="6" t="s">
        <v>649</v>
      </c>
      <c r="E1713" s="32" t="s">
        <v>651</v>
      </c>
      <c r="F1713" s="7"/>
      <c r="G1713" s="7"/>
      <c r="H1713" s="7"/>
      <c r="I1713" s="7"/>
      <c r="J1713" s="7"/>
      <c r="K1713" s="7"/>
      <c r="L1713" s="7" t="s">
        <v>662</v>
      </c>
      <c r="M1713" s="8">
        <v>44501</v>
      </c>
      <c r="N1713" s="8">
        <v>44501</v>
      </c>
      <c r="O1713" s="13">
        <v>238095.24</v>
      </c>
      <c r="P1713" s="13"/>
      <c r="Q1713" s="33"/>
      <c r="R1713" s="9"/>
      <c r="S1713" s="9"/>
      <c r="T1713" s="9"/>
      <c r="U1713" s="9"/>
      <c r="X1713" s="15" t="str">
        <f>IF(B1713="",VLOOKUP(A1713,items_lookup!A:B,2,FALSE),B1713)</f>
        <v>13. Item 13</v>
      </c>
      <c r="Y1713" s="15">
        <f t="shared" si="146"/>
        <v>11</v>
      </c>
      <c r="Z1713" s="15">
        <f t="shared" si="146"/>
        <v>11</v>
      </c>
      <c r="AA1713" s="15">
        <f t="shared" si="148"/>
        <v>2021</v>
      </c>
      <c r="AB1713" s="15">
        <f t="shared" si="149"/>
        <v>2021</v>
      </c>
      <c r="AC1713" s="15">
        <f t="shared" si="150"/>
        <v>2021</v>
      </c>
      <c r="AD1713" s="18" t="b">
        <f t="shared" si="147"/>
        <v>1</v>
      </c>
    </row>
    <row r="1714" spans="1:30" ht="15" hidden="1" customHeight="1" x14ac:dyDescent="0.2">
      <c r="A1714" s="7" t="s">
        <v>680</v>
      </c>
      <c r="B1714" s="7" t="s">
        <v>712</v>
      </c>
      <c r="C1714" s="2" t="s">
        <v>641</v>
      </c>
      <c r="D1714" s="6" t="s">
        <v>649</v>
      </c>
      <c r="E1714" s="32" t="s">
        <v>651</v>
      </c>
      <c r="F1714" s="7"/>
      <c r="G1714" s="7"/>
      <c r="H1714" s="7"/>
      <c r="I1714" s="7"/>
      <c r="J1714" s="7"/>
      <c r="K1714" s="7"/>
      <c r="L1714" s="7" t="s">
        <v>662</v>
      </c>
      <c r="M1714" s="8">
        <v>44501</v>
      </c>
      <c r="N1714" s="8">
        <v>44501</v>
      </c>
      <c r="O1714" s="13">
        <v>79285.710000000006</v>
      </c>
      <c r="P1714" s="13"/>
      <c r="Q1714" s="33"/>
      <c r="R1714" s="22"/>
      <c r="S1714" s="22"/>
      <c r="T1714" s="22"/>
      <c r="U1714" s="22"/>
      <c r="X1714" s="15" t="str">
        <f>IF(B1714="",VLOOKUP(A1714,items_lookup!A:B,2,FALSE),B1714)</f>
        <v>10. Item 10</v>
      </c>
      <c r="Y1714" s="15">
        <f t="shared" si="146"/>
        <v>11</v>
      </c>
      <c r="Z1714" s="15">
        <f t="shared" si="146"/>
        <v>11</v>
      </c>
      <c r="AA1714" s="15">
        <f t="shared" si="148"/>
        <v>2021</v>
      </c>
      <c r="AB1714" s="15">
        <f t="shared" si="149"/>
        <v>2021</v>
      </c>
      <c r="AC1714" s="15">
        <f t="shared" si="150"/>
        <v>2021</v>
      </c>
      <c r="AD1714" s="18" t="b">
        <f t="shared" si="147"/>
        <v>1</v>
      </c>
    </row>
    <row r="1715" spans="1:30" ht="15" hidden="1" customHeight="1" x14ac:dyDescent="0.2">
      <c r="A1715" s="7" t="s">
        <v>680</v>
      </c>
      <c r="B1715" s="7"/>
      <c r="C1715" s="2" t="s">
        <v>641</v>
      </c>
      <c r="D1715" s="6" t="s">
        <v>649</v>
      </c>
      <c r="E1715" s="32" t="s">
        <v>651</v>
      </c>
      <c r="F1715" s="7"/>
      <c r="G1715" s="7"/>
      <c r="H1715" s="7"/>
      <c r="I1715" s="7"/>
      <c r="J1715" s="7"/>
      <c r="K1715" s="7"/>
      <c r="L1715" s="7" t="s">
        <v>662</v>
      </c>
      <c r="M1715" s="8">
        <v>44501</v>
      </c>
      <c r="N1715" s="8">
        <v>44501</v>
      </c>
      <c r="O1715" s="13">
        <v>42142.86</v>
      </c>
      <c r="P1715" s="13"/>
      <c r="Q1715" s="33"/>
      <c r="R1715" s="22"/>
      <c r="S1715" s="22"/>
      <c r="T1715" s="22"/>
      <c r="U1715" s="22"/>
      <c r="X1715" s="15" t="str">
        <f>IF(B1715="",VLOOKUP(A1715,items_lookup!A:B,2,FALSE),B1715)</f>
        <v>13. Item 13</v>
      </c>
      <c r="Y1715" s="15">
        <f t="shared" si="146"/>
        <v>11</v>
      </c>
      <c r="Z1715" s="15">
        <f t="shared" si="146"/>
        <v>11</v>
      </c>
      <c r="AA1715" s="15">
        <f t="shared" si="148"/>
        <v>2021</v>
      </c>
      <c r="AB1715" s="15">
        <f t="shared" si="149"/>
        <v>2021</v>
      </c>
      <c r="AC1715" s="15">
        <f t="shared" si="150"/>
        <v>2021</v>
      </c>
      <c r="AD1715" s="18" t="b">
        <f t="shared" si="147"/>
        <v>1</v>
      </c>
    </row>
    <row r="1716" spans="1:30" ht="15" hidden="1" customHeight="1" x14ac:dyDescent="0.2">
      <c r="A1716" s="7" t="s">
        <v>678</v>
      </c>
      <c r="B1716" s="20"/>
      <c r="C1716" s="2" t="s">
        <v>641</v>
      </c>
      <c r="D1716" s="6" t="s">
        <v>649</v>
      </c>
      <c r="E1716" s="32" t="s">
        <v>651</v>
      </c>
      <c r="F1716" s="7"/>
      <c r="G1716" s="7"/>
      <c r="H1716" s="7"/>
      <c r="I1716" s="7"/>
      <c r="J1716" s="7"/>
      <c r="K1716" s="7"/>
      <c r="L1716" s="7" t="s">
        <v>662</v>
      </c>
      <c r="M1716" s="8">
        <v>44501</v>
      </c>
      <c r="N1716" s="8">
        <v>44501</v>
      </c>
      <c r="O1716" s="13">
        <v>91133.1</v>
      </c>
      <c r="P1716" s="13"/>
      <c r="Q1716" s="33"/>
      <c r="R1716" s="22"/>
      <c r="S1716" s="22"/>
      <c r="T1716" s="22"/>
      <c r="U1716" s="22"/>
      <c r="X1716" s="15" t="str">
        <f>IF(B1716="",VLOOKUP(A1716,items_lookup!A:B,2,FALSE),B1716)</f>
        <v>13. Item 13</v>
      </c>
      <c r="Y1716" s="15">
        <f t="shared" si="146"/>
        <v>11</v>
      </c>
      <c r="Z1716" s="15">
        <f t="shared" si="146"/>
        <v>11</v>
      </c>
      <c r="AA1716" s="15">
        <f t="shared" si="148"/>
        <v>2021</v>
      </c>
      <c r="AB1716" s="15">
        <f t="shared" si="149"/>
        <v>2021</v>
      </c>
      <c r="AC1716" s="15">
        <f t="shared" si="150"/>
        <v>2021</v>
      </c>
      <c r="AD1716" s="18" t="b">
        <f t="shared" si="147"/>
        <v>1</v>
      </c>
    </row>
    <row r="1717" spans="1:30" ht="18.75" hidden="1" customHeight="1" x14ac:dyDescent="0.2">
      <c r="A1717" s="7" t="s">
        <v>672</v>
      </c>
      <c r="B1717" s="7" t="s">
        <v>711</v>
      </c>
      <c r="C1717" s="2" t="s">
        <v>641</v>
      </c>
      <c r="D1717" s="6" t="s">
        <v>649</v>
      </c>
      <c r="E1717" s="32" t="s">
        <v>651</v>
      </c>
      <c r="F1717" s="7"/>
      <c r="G1717" s="7"/>
      <c r="H1717" s="7"/>
      <c r="I1717" s="7"/>
      <c r="J1717" s="7"/>
      <c r="K1717" s="7"/>
      <c r="L1717" s="7" t="s">
        <v>662</v>
      </c>
      <c r="M1717" s="8">
        <v>44501</v>
      </c>
      <c r="N1717" s="8">
        <v>44501</v>
      </c>
      <c r="O1717" s="13">
        <v>2335714.29</v>
      </c>
      <c r="P1717" s="13"/>
      <c r="Q1717" s="33"/>
      <c r="R1717" s="22"/>
      <c r="S1717" s="22"/>
      <c r="T1717" s="22"/>
      <c r="U1717" s="22"/>
      <c r="X1717" s="15" t="str">
        <f>IF(B1717="",VLOOKUP(A1717,items_lookup!A:B,2,FALSE),B1717)</f>
        <v>12. Item 12</v>
      </c>
      <c r="Y1717" s="15">
        <f t="shared" si="146"/>
        <v>11</v>
      </c>
      <c r="Z1717" s="15">
        <f t="shared" si="146"/>
        <v>11</v>
      </c>
      <c r="AA1717" s="15">
        <f t="shared" si="148"/>
        <v>2021</v>
      </c>
      <c r="AB1717" s="15">
        <f t="shared" si="149"/>
        <v>2021</v>
      </c>
      <c r="AC1717" s="15">
        <f t="shared" si="150"/>
        <v>2021</v>
      </c>
      <c r="AD1717" s="18" t="b">
        <f t="shared" si="147"/>
        <v>1</v>
      </c>
    </row>
    <row r="1718" spans="1:30" ht="15" hidden="1" customHeight="1" x14ac:dyDescent="0.2">
      <c r="A1718" s="7" t="s">
        <v>670</v>
      </c>
      <c r="B1718" s="7" t="s">
        <v>710</v>
      </c>
      <c r="C1718" s="2" t="s">
        <v>641</v>
      </c>
      <c r="D1718" s="6" t="s">
        <v>649</v>
      </c>
      <c r="E1718" s="32" t="s">
        <v>651</v>
      </c>
      <c r="F1718" s="7"/>
      <c r="G1718" s="7"/>
      <c r="H1718" s="7"/>
      <c r="I1718" s="7"/>
      <c r="J1718" s="7"/>
      <c r="K1718" s="7"/>
      <c r="L1718" s="7" t="s">
        <v>662</v>
      </c>
      <c r="M1718" s="8">
        <v>44501</v>
      </c>
      <c r="N1718" s="8">
        <v>44501</v>
      </c>
      <c r="O1718" s="13">
        <v>1452380.95</v>
      </c>
      <c r="P1718" s="13"/>
      <c r="Q1718" s="33"/>
      <c r="R1718" s="9"/>
      <c r="S1718" s="9"/>
      <c r="T1718" s="9"/>
      <c r="U1718" s="9"/>
      <c r="X1718" s="15" t="str">
        <f>IF(B1718="",VLOOKUP(A1718,items_lookup!A:B,2,FALSE),B1718)</f>
        <v>13. Item 13</v>
      </c>
      <c r="Y1718" s="15">
        <f t="shared" si="146"/>
        <v>11</v>
      </c>
      <c r="Z1718" s="15">
        <f t="shared" si="146"/>
        <v>11</v>
      </c>
      <c r="AA1718" s="15">
        <f t="shared" si="148"/>
        <v>2021</v>
      </c>
      <c r="AB1718" s="15">
        <f t="shared" si="149"/>
        <v>2021</v>
      </c>
      <c r="AC1718" s="15">
        <f t="shared" si="150"/>
        <v>2021</v>
      </c>
      <c r="AD1718" s="18" t="b">
        <f t="shared" si="147"/>
        <v>1</v>
      </c>
    </row>
    <row r="1719" spans="1:30" ht="15" hidden="1" customHeight="1" x14ac:dyDescent="0.2">
      <c r="A1719" s="7" t="s">
        <v>670</v>
      </c>
      <c r="B1719" s="7"/>
      <c r="C1719" s="2" t="s">
        <v>641</v>
      </c>
      <c r="D1719" s="6" t="s">
        <v>649</v>
      </c>
      <c r="E1719" s="32" t="s">
        <v>651</v>
      </c>
      <c r="F1719" s="7"/>
      <c r="G1719" s="7"/>
      <c r="H1719" s="7"/>
      <c r="I1719" s="7"/>
      <c r="J1719" s="7"/>
      <c r="K1719" s="7"/>
      <c r="L1719" s="7" t="s">
        <v>662</v>
      </c>
      <c r="M1719" s="8">
        <v>44501</v>
      </c>
      <c r="N1719" s="8">
        <v>44501</v>
      </c>
      <c r="O1719" s="13">
        <v>1056890.52</v>
      </c>
      <c r="P1719" s="13"/>
      <c r="Q1719" s="33"/>
      <c r="R1719" s="22"/>
      <c r="S1719" s="22"/>
      <c r="T1719" s="22"/>
      <c r="U1719" s="22"/>
      <c r="X1719" s="15" t="str">
        <f>IF(B1719="",VLOOKUP(A1719,items_lookup!A:B,2,FALSE),B1719)</f>
        <v>04. Item 04</v>
      </c>
      <c r="Y1719" s="15">
        <f t="shared" si="146"/>
        <v>11</v>
      </c>
      <c r="Z1719" s="15">
        <f t="shared" si="146"/>
        <v>11</v>
      </c>
      <c r="AA1719" s="15">
        <f t="shared" si="148"/>
        <v>2021</v>
      </c>
      <c r="AB1719" s="15">
        <f t="shared" si="149"/>
        <v>2021</v>
      </c>
      <c r="AC1719" s="15">
        <f t="shared" si="150"/>
        <v>2021</v>
      </c>
      <c r="AD1719" s="18" t="b">
        <f t="shared" si="147"/>
        <v>1</v>
      </c>
    </row>
    <row r="1720" spans="1:30" ht="15" hidden="1" customHeight="1" x14ac:dyDescent="0.2">
      <c r="A1720" s="7" t="s">
        <v>687</v>
      </c>
      <c r="B1720" s="7"/>
      <c r="C1720" s="2" t="s">
        <v>641</v>
      </c>
      <c r="D1720" s="6" t="s">
        <v>649</v>
      </c>
      <c r="E1720" s="32" t="s">
        <v>651</v>
      </c>
      <c r="F1720" s="7"/>
      <c r="G1720" s="7"/>
      <c r="H1720" s="7"/>
      <c r="I1720" s="7"/>
      <c r="J1720" s="7"/>
      <c r="K1720" s="7"/>
      <c r="L1720" s="7" t="s">
        <v>662</v>
      </c>
      <c r="M1720" s="8">
        <v>44501</v>
      </c>
      <c r="N1720" s="8">
        <v>44501</v>
      </c>
      <c r="O1720" s="13">
        <v>523809.52</v>
      </c>
      <c r="P1720" s="13"/>
      <c r="Q1720" s="33"/>
      <c r="R1720" s="22"/>
      <c r="S1720" s="22"/>
      <c r="T1720" s="22"/>
      <c r="U1720" s="22"/>
      <c r="X1720" s="15" t="str">
        <f>IF(B1720="",VLOOKUP(A1720,items_lookup!A:B,2,FALSE),B1720)</f>
        <v>14. Item 14</v>
      </c>
      <c r="Y1720" s="15">
        <f t="shared" si="146"/>
        <v>11</v>
      </c>
      <c r="Z1720" s="15">
        <f t="shared" si="146"/>
        <v>11</v>
      </c>
      <c r="AA1720" s="15">
        <f t="shared" si="148"/>
        <v>2021</v>
      </c>
      <c r="AB1720" s="15">
        <f t="shared" si="149"/>
        <v>2021</v>
      </c>
      <c r="AC1720" s="15">
        <f t="shared" si="150"/>
        <v>2021</v>
      </c>
      <c r="AD1720" s="18" t="b">
        <f t="shared" si="147"/>
        <v>1</v>
      </c>
    </row>
    <row r="1721" spans="1:30" ht="27.75" hidden="1" customHeight="1" x14ac:dyDescent="0.2">
      <c r="A1721" s="7" t="s">
        <v>682</v>
      </c>
      <c r="B1721" s="7"/>
      <c r="C1721" s="2" t="s">
        <v>641</v>
      </c>
      <c r="D1721" s="6" t="s">
        <v>649</v>
      </c>
      <c r="E1721" s="32" t="s">
        <v>651</v>
      </c>
      <c r="F1721" s="7"/>
      <c r="G1721" s="7"/>
      <c r="H1721" s="7"/>
      <c r="I1721" s="7"/>
      <c r="J1721" s="7"/>
      <c r="K1721" s="7"/>
      <c r="L1721" s="7" t="s">
        <v>662</v>
      </c>
      <c r="M1721" s="8">
        <v>44531</v>
      </c>
      <c r="N1721" s="8">
        <v>44531</v>
      </c>
      <c r="O1721" s="13">
        <v>7579138.7599999998</v>
      </c>
      <c r="P1721" s="13"/>
      <c r="Q1721" s="33"/>
      <c r="R1721" s="9"/>
      <c r="S1721" s="9"/>
      <c r="T1721" s="9"/>
      <c r="U1721" s="9"/>
      <c r="X1721" s="15" t="str">
        <f>IF(B1721="",VLOOKUP(A1721,items_lookup!A:B,2,FALSE),B1721)</f>
        <v>06. Item 06</v>
      </c>
      <c r="Y1721" s="15">
        <f t="shared" si="146"/>
        <v>12</v>
      </c>
      <c r="Z1721" s="15">
        <f t="shared" si="146"/>
        <v>12</v>
      </c>
      <c r="AA1721" s="15">
        <f t="shared" si="148"/>
        <v>2021</v>
      </c>
      <c r="AB1721" s="15">
        <f t="shared" si="149"/>
        <v>2021</v>
      </c>
      <c r="AC1721" s="15">
        <f t="shared" si="150"/>
        <v>2021</v>
      </c>
      <c r="AD1721" s="18" t="b">
        <f t="shared" si="147"/>
        <v>1</v>
      </c>
    </row>
    <row r="1722" spans="1:30" ht="15" hidden="1" customHeight="1" x14ac:dyDescent="0.2">
      <c r="A1722" s="7" t="s">
        <v>702</v>
      </c>
      <c r="B1722" s="7"/>
      <c r="C1722" s="2" t="s">
        <v>641</v>
      </c>
      <c r="D1722" s="6" t="s">
        <v>649</v>
      </c>
      <c r="E1722" s="32" t="s">
        <v>651</v>
      </c>
      <c r="F1722" s="7"/>
      <c r="G1722" s="7"/>
      <c r="H1722" s="7"/>
      <c r="I1722" s="7"/>
      <c r="J1722" s="7"/>
      <c r="K1722" s="7"/>
      <c r="L1722" s="7" t="s">
        <v>662</v>
      </c>
      <c r="M1722" s="8">
        <v>44531</v>
      </c>
      <c r="N1722" s="8">
        <v>44531</v>
      </c>
      <c r="O1722" s="13">
        <v>1595238.1</v>
      </c>
      <c r="P1722" s="13"/>
      <c r="Q1722" s="33"/>
      <c r="R1722" s="9"/>
      <c r="S1722" s="9"/>
      <c r="T1722" s="9"/>
      <c r="U1722" s="9"/>
      <c r="X1722" s="15" t="str">
        <f>IF(B1722="",VLOOKUP(A1722,items_lookup!A:B,2,FALSE),B1722)</f>
        <v>17. Item 17</v>
      </c>
      <c r="Y1722" s="15">
        <f t="shared" si="146"/>
        <v>12</v>
      </c>
      <c r="Z1722" s="15">
        <f t="shared" si="146"/>
        <v>12</v>
      </c>
      <c r="AA1722" s="15">
        <f t="shared" si="148"/>
        <v>2021</v>
      </c>
      <c r="AB1722" s="15">
        <f t="shared" si="149"/>
        <v>2021</v>
      </c>
      <c r="AC1722" s="15">
        <f t="shared" si="150"/>
        <v>2021</v>
      </c>
      <c r="AD1722" s="18" t="b">
        <f t="shared" si="147"/>
        <v>1</v>
      </c>
    </row>
    <row r="1723" spans="1:30" ht="15" hidden="1" customHeight="1" x14ac:dyDescent="0.2">
      <c r="A1723" s="7" t="s">
        <v>675</v>
      </c>
      <c r="B1723" s="7" t="s">
        <v>708</v>
      </c>
      <c r="C1723" s="2" t="s">
        <v>641</v>
      </c>
      <c r="D1723" s="6" t="s">
        <v>649</v>
      </c>
      <c r="E1723" s="32" t="s">
        <v>651</v>
      </c>
      <c r="F1723" s="7"/>
      <c r="G1723" s="7"/>
      <c r="H1723" s="7"/>
      <c r="I1723" s="7"/>
      <c r="J1723" s="7"/>
      <c r="K1723" s="7"/>
      <c r="L1723" s="7" t="s">
        <v>662</v>
      </c>
      <c r="M1723" s="8">
        <v>44531</v>
      </c>
      <c r="N1723" s="8">
        <v>44531</v>
      </c>
      <c r="O1723" s="13">
        <v>3500000</v>
      </c>
      <c r="P1723" s="13"/>
      <c r="Q1723" s="33"/>
      <c r="R1723" s="9"/>
      <c r="S1723" s="9"/>
      <c r="T1723" s="9"/>
      <c r="U1723" s="9"/>
      <c r="X1723" s="15" t="str">
        <f>IF(B1723="",VLOOKUP(A1723,items_lookup!A:B,2,FALSE),B1723)</f>
        <v>03. Item 03</v>
      </c>
      <c r="Y1723" s="15">
        <f t="shared" si="146"/>
        <v>12</v>
      </c>
      <c r="Z1723" s="15">
        <f t="shared" si="146"/>
        <v>12</v>
      </c>
      <c r="AA1723" s="15">
        <f t="shared" si="148"/>
        <v>2021</v>
      </c>
      <c r="AB1723" s="15">
        <f t="shared" si="149"/>
        <v>2021</v>
      </c>
      <c r="AC1723" s="15">
        <f t="shared" si="150"/>
        <v>2021</v>
      </c>
      <c r="AD1723" s="18" t="b">
        <f t="shared" si="147"/>
        <v>1</v>
      </c>
    </row>
    <row r="1724" spans="1:30" ht="15" hidden="1" customHeight="1" x14ac:dyDescent="0.2">
      <c r="A1724" s="7" t="s">
        <v>675</v>
      </c>
      <c r="B1724" s="7"/>
      <c r="C1724" s="2" t="s">
        <v>641</v>
      </c>
      <c r="D1724" s="6" t="s">
        <v>649</v>
      </c>
      <c r="E1724" s="32" t="s">
        <v>651</v>
      </c>
      <c r="F1724" s="7"/>
      <c r="G1724" s="7"/>
      <c r="H1724" s="7"/>
      <c r="I1724" s="7"/>
      <c r="J1724" s="7"/>
      <c r="K1724" s="7"/>
      <c r="L1724" s="7" t="s">
        <v>662</v>
      </c>
      <c r="M1724" s="8">
        <v>44531</v>
      </c>
      <c r="N1724" s="8">
        <v>44531</v>
      </c>
      <c r="O1724" s="13">
        <v>9295085.3200000003</v>
      </c>
      <c r="P1724" s="13"/>
      <c r="Q1724" s="33"/>
      <c r="R1724" s="9"/>
      <c r="S1724" s="9"/>
      <c r="T1724" s="9"/>
      <c r="U1724" s="9"/>
      <c r="X1724" s="15" t="str">
        <f>IF(B1724="",VLOOKUP(A1724,items_lookup!A:B,2,FALSE),B1724)</f>
        <v>09. Item 09</v>
      </c>
      <c r="Y1724" s="15">
        <f t="shared" si="146"/>
        <v>12</v>
      </c>
      <c r="Z1724" s="15">
        <f t="shared" si="146"/>
        <v>12</v>
      </c>
      <c r="AA1724" s="15">
        <f t="shared" si="148"/>
        <v>2021</v>
      </c>
      <c r="AB1724" s="15">
        <f t="shared" si="149"/>
        <v>2021</v>
      </c>
      <c r="AC1724" s="15">
        <f t="shared" si="150"/>
        <v>2021</v>
      </c>
      <c r="AD1724" s="18" t="b">
        <f t="shared" si="147"/>
        <v>1</v>
      </c>
    </row>
    <row r="1725" spans="1:30" ht="15" hidden="1" customHeight="1" x14ac:dyDescent="0.2">
      <c r="A1725" s="7" t="s">
        <v>703</v>
      </c>
      <c r="B1725" s="7"/>
      <c r="C1725" s="2" t="s">
        <v>641</v>
      </c>
      <c r="D1725" s="6" t="s">
        <v>649</v>
      </c>
      <c r="E1725" s="32" t="s">
        <v>651</v>
      </c>
      <c r="F1725" s="7"/>
      <c r="G1725" s="7"/>
      <c r="H1725" s="7"/>
      <c r="I1725" s="7"/>
      <c r="J1725" s="7"/>
      <c r="K1725" s="7"/>
      <c r="L1725" s="7" t="s">
        <v>662</v>
      </c>
      <c r="M1725" s="8">
        <v>44531</v>
      </c>
      <c r="N1725" s="8">
        <v>44531</v>
      </c>
      <c r="O1725" s="13">
        <v>100089.41</v>
      </c>
      <c r="P1725" s="13"/>
      <c r="Q1725" s="33"/>
      <c r="R1725" s="9"/>
      <c r="S1725" s="9"/>
      <c r="T1725" s="9"/>
      <c r="U1725" s="9"/>
      <c r="X1725" s="15" t="str">
        <f>IF(B1725="",VLOOKUP(A1725,items_lookup!A:B,2,FALSE),B1725)</f>
        <v>_3. Item _3</v>
      </c>
      <c r="Y1725" s="15">
        <f t="shared" si="146"/>
        <v>12</v>
      </c>
      <c r="Z1725" s="15">
        <f t="shared" si="146"/>
        <v>12</v>
      </c>
      <c r="AA1725" s="15">
        <f t="shared" si="148"/>
        <v>2021</v>
      </c>
      <c r="AB1725" s="15">
        <f t="shared" si="149"/>
        <v>2021</v>
      </c>
      <c r="AC1725" s="15">
        <f t="shared" si="150"/>
        <v>2021</v>
      </c>
      <c r="AD1725" s="18" t="b">
        <f t="shared" si="147"/>
        <v>1</v>
      </c>
    </row>
    <row r="1726" spans="1:30" ht="15" hidden="1" customHeight="1" x14ac:dyDescent="0.2">
      <c r="A1726" s="7" t="s">
        <v>683</v>
      </c>
      <c r="B1726" s="7"/>
      <c r="C1726" s="2" t="s">
        <v>641</v>
      </c>
      <c r="D1726" s="6" t="s">
        <v>649</v>
      </c>
      <c r="E1726" s="32" t="s">
        <v>651</v>
      </c>
      <c r="F1726" s="7"/>
      <c r="G1726" s="7"/>
      <c r="H1726" s="7"/>
      <c r="I1726" s="7"/>
      <c r="J1726" s="7"/>
      <c r="K1726" s="7"/>
      <c r="L1726" s="7" t="s">
        <v>662</v>
      </c>
      <c r="M1726" s="8">
        <v>44531</v>
      </c>
      <c r="N1726" s="8">
        <v>44531</v>
      </c>
      <c r="O1726" s="13">
        <v>4708809.5199999996</v>
      </c>
      <c r="P1726" s="13"/>
      <c r="Q1726" s="33"/>
      <c r="R1726" s="9"/>
      <c r="S1726" s="9"/>
      <c r="T1726" s="9"/>
      <c r="U1726" s="9"/>
      <c r="X1726" s="15" t="str">
        <f>IF(B1726="",VLOOKUP(A1726,items_lookup!A:B,2,FALSE),B1726)</f>
        <v>_1. Item _1</v>
      </c>
      <c r="Y1726" s="15">
        <f t="shared" si="146"/>
        <v>12</v>
      </c>
      <c r="Z1726" s="15">
        <f t="shared" si="146"/>
        <v>12</v>
      </c>
      <c r="AA1726" s="15">
        <f t="shared" si="148"/>
        <v>2021</v>
      </c>
      <c r="AB1726" s="15">
        <f t="shared" si="149"/>
        <v>2021</v>
      </c>
      <c r="AC1726" s="15">
        <f t="shared" si="150"/>
        <v>2021</v>
      </c>
      <c r="AD1726" s="18" t="b">
        <f t="shared" si="147"/>
        <v>1</v>
      </c>
    </row>
    <row r="1727" spans="1:30" ht="18" hidden="1" customHeight="1" x14ac:dyDescent="0.2">
      <c r="A1727" s="7" t="s">
        <v>697</v>
      </c>
      <c r="B1727" s="7"/>
      <c r="C1727" s="2" t="s">
        <v>641</v>
      </c>
      <c r="D1727" s="6" t="s">
        <v>649</v>
      </c>
      <c r="E1727" s="32" t="s">
        <v>651</v>
      </c>
      <c r="F1727" s="7"/>
      <c r="G1727" s="7"/>
      <c r="H1727" s="7"/>
      <c r="I1727" s="7"/>
      <c r="J1727" s="7"/>
      <c r="K1727" s="7"/>
      <c r="L1727" s="7" t="s">
        <v>662</v>
      </c>
      <c r="M1727" s="8">
        <v>44531</v>
      </c>
      <c r="N1727" s="8">
        <v>44531</v>
      </c>
      <c r="O1727" s="13">
        <v>9272888.0899999999</v>
      </c>
      <c r="P1727" s="13"/>
      <c r="Q1727" s="33"/>
      <c r="R1727" s="9"/>
      <c r="S1727" s="9"/>
      <c r="T1727" s="9"/>
      <c r="U1727" s="9"/>
      <c r="X1727" s="15" t="str">
        <f>IF(B1727="",VLOOKUP(A1727,items_lookup!A:B,2,FALSE),B1727)</f>
        <v>10. Item 10</v>
      </c>
      <c r="Y1727" s="15">
        <f t="shared" ref="Y1727:Z1778" si="151">MONTH(M1727)</f>
        <v>12</v>
      </c>
      <c r="Z1727" s="15">
        <f t="shared" si="151"/>
        <v>12</v>
      </c>
      <c r="AA1727" s="15">
        <f t="shared" si="148"/>
        <v>2021</v>
      </c>
      <c r="AB1727" s="15">
        <f t="shared" si="149"/>
        <v>2021</v>
      </c>
      <c r="AC1727" s="15">
        <f t="shared" si="150"/>
        <v>2021</v>
      </c>
      <c r="AD1727" s="18" t="b">
        <f t="shared" si="147"/>
        <v>1</v>
      </c>
    </row>
    <row r="1728" spans="1:30" ht="15" hidden="1" customHeight="1" x14ac:dyDescent="0.2">
      <c r="A1728" s="7" t="s">
        <v>699</v>
      </c>
      <c r="B1728" s="20"/>
      <c r="C1728" s="2" t="s">
        <v>641</v>
      </c>
      <c r="D1728" s="6" t="s">
        <v>649</v>
      </c>
      <c r="E1728" s="32" t="s">
        <v>651</v>
      </c>
      <c r="F1728" s="7"/>
      <c r="G1728" s="7"/>
      <c r="H1728" s="7"/>
      <c r="I1728" s="7"/>
      <c r="J1728" s="7"/>
      <c r="K1728" s="7"/>
      <c r="L1728" s="7" t="s">
        <v>662</v>
      </c>
      <c r="M1728" s="8">
        <v>44531</v>
      </c>
      <c r="N1728" s="8">
        <v>44531</v>
      </c>
      <c r="O1728" s="13">
        <v>7902666.6699999999</v>
      </c>
      <c r="P1728" s="13"/>
      <c r="Q1728" s="33"/>
      <c r="R1728" s="9"/>
      <c r="S1728" s="9"/>
      <c r="T1728" s="9"/>
      <c r="U1728" s="9"/>
      <c r="X1728" s="15" t="str">
        <f>IF(B1728="",VLOOKUP(A1728,items_lookup!A:B,2,FALSE),B1728)</f>
        <v>12. Item 12</v>
      </c>
      <c r="Y1728" s="15">
        <f t="shared" si="151"/>
        <v>12</v>
      </c>
      <c r="Z1728" s="15">
        <f t="shared" si="151"/>
        <v>12</v>
      </c>
      <c r="AA1728" s="15">
        <f t="shared" si="148"/>
        <v>2021</v>
      </c>
      <c r="AB1728" s="15">
        <f t="shared" si="149"/>
        <v>2021</v>
      </c>
      <c r="AC1728" s="15">
        <f t="shared" si="150"/>
        <v>2021</v>
      </c>
      <c r="AD1728" s="18" t="b">
        <f t="shared" si="147"/>
        <v>1</v>
      </c>
    </row>
    <row r="1729" spans="1:30" ht="15" hidden="1" customHeight="1" x14ac:dyDescent="0.2">
      <c r="A1729" s="7" t="s">
        <v>698</v>
      </c>
      <c r="B1729" s="7"/>
      <c r="C1729" s="2" t="s">
        <v>641</v>
      </c>
      <c r="D1729" s="6" t="s">
        <v>649</v>
      </c>
      <c r="E1729" s="32" t="s">
        <v>651</v>
      </c>
      <c r="F1729" s="7"/>
      <c r="G1729" s="7"/>
      <c r="H1729" s="7"/>
      <c r="I1729" s="7"/>
      <c r="J1729" s="7"/>
      <c r="K1729" s="7"/>
      <c r="L1729" s="7" t="s">
        <v>662</v>
      </c>
      <c r="M1729" s="8">
        <v>44531</v>
      </c>
      <c r="N1729" s="8">
        <v>44531</v>
      </c>
      <c r="O1729" s="13">
        <v>284751.77</v>
      </c>
      <c r="P1729" s="13"/>
      <c r="Q1729" s="33"/>
      <c r="R1729" s="9"/>
      <c r="S1729" s="9"/>
      <c r="T1729" s="9"/>
      <c r="U1729" s="9"/>
      <c r="X1729" s="15" t="str">
        <f>IF(B1729="",VLOOKUP(A1729,items_lookup!A:B,2,FALSE),B1729)</f>
        <v>10. Item 10</v>
      </c>
      <c r="Y1729" s="15">
        <f t="shared" si="151"/>
        <v>12</v>
      </c>
      <c r="Z1729" s="15">
        <f t="shared" si="151"/>
        <v>12</v>
      </c>
      <c r="AA1729" s="15">
        <f t="shared" si="148"/>
        <v>2021</v>
      </c>
      <c r="AB1729" s="15">
        <f t="shared" si="149"/>
        <v>2021</v>
      </c>
      <c r="AC1729" s="15">
        <f t="shared" si="150"/>
        <v>2021</v>
      </c>
      <c r="AD1729" s="18" t="b">
        <f t="shared" si="147"/>
        <v>1</v>
      </c>
    </row>
    <row r="1730" spans="1:30" ht="15.75" hidden="1" customHeight="1" x14ac:dyDescent="0.2">
      <c r="A1730" s="7" t="s">
        <v>671</v>
      </c>
      <c r="B1730" s="7"/>
      <c r="C1730" s="2" t="s">
        <v>641</v>
      </c>
      <c r="D1730" s="6" t="s">
        <v>649</v>
      </c>
      <c r="E1730" s="32" t="s">
        <v>651</v>
      </c>
      <c r="F1730" s="7"/>
      <c r="G1730" s="7"/>
      <c r="H1730" s="7"/>
      <c r="I1730" s="7"/>
      <c r="J1730" s="7"/>
      <c r="K1730" s="7"/>
      <c r="L1730" s="7" t="s">
        <v>662</v>
      </c>
      <c r="M1730" s="8">
        <v>44531</v>
      </c>
      <c r="N1730" s="8">
        <v>44531</v>
      </c>
      <c r="O1730" s="13">
        <v>215768.59</v>
      </c>
      <c r="P1730" s="13"/>
      <c r="Q1730" s="33"/>
      <c r="R1730" s="9"/>
      <c r="S1730" s="9"/>
      <c r="T1730" s="9"/>
      <c r="U1730" s="9"/>
      <c r="X1730" s="15" t="str">
        <f>IF(B1730="",VLOOKUP(A1730,items_lookup!A:B,2,FALSE),B1730)</f>
        <v>05. Item 05</v>
      </c>
      <c r="Y1730" s="15">
        <f t="shared" si="151"/>
        <v>12</v>
      </c>
      <c r="Z1730" s="15">
        <f t="shared" si="151"/>
        <v>12</v>
      </c>
      <c r="AA1730" s="15">
        <f t="shared" si="148"/>
        <v>2021</v>
      </c>
      <c r="AB1730" s="15">
        <f t="shared" si="149"/>
        <v>2021</v>
      </c>
      <c r="AC1730" s="15">
        <f t="shared" si="150"/>
        <v>2021</v>
      </c>
      <c r="AD1730" s="18" t="b">
        <f t="shared" si="147"/>
        <v>1</v>
      </c>
    </row>
    <row r="1731" spans="1:30" ht="15" hidden="1" customHeight="1" x14ac:dyDescent="0.2">
      <c r="A1731" s="7" t="s">
        <v>668</v>
      </c>
      <c r="B1731" s="7" t="s">
        <v>712</v>
      </c>
      <c r="C1731" s="2" t="s">
        <v>641</v>
      </c>
      <c r="D1731" s="6" t="s">
        <v>649</v>
      </c>
      <c r="E1731" s="32" t="s">
        <v>651</v>
      </c>
      <c r="F1731" s="7"/>
      <c r="G1731" s="7"/>
      <c r="H1731" s="7"/>
      <c r="I1731" s="7"/>
      <c r="J1731" s="7"/>
      <c r="K1731" s="7"/>
      <c r="L1731" s="7" t="s">
        <v>662</v>
      </c>
      <c r="M1731" s="8">
        <v>44531</v>
      </c>
      <c r="N1731" s="8">
        <v>44531</v>
      </c>
      <c r="O1731" s="13">
        <v>13015.75</v>
      </c>
      <c r="P1731" s="13"/>
      <c r="Q1731" s="33"/>
      <c r="R1731" s="22"/>
      <c r="S1731" s="22"/>
      <c r="T1731" s="22"/>
      <c r="U1731" s="22"/>
      <c r="X1731" s="15" t="str">
        <f>IF(B1731="",VLOOKUP(A1731,items_lookup!A:B,2,FALSE),B1731)</f>
        <v>10. Item 10</v>
      </c>
      <c r="Y1731" s="15">
        <f t="shared" si="151"/>
        <v>12</v>
      </c>
      <c r="Z1731" s="15">
        <f t="shared" si="151"/>
        <v>12</v>
      </c>
      <c r="AA1731" s="15">
        <f t="shared" si="148"/>
        <v>2021</v>
      </c>
      <c r="AB1731" s="15">
        <f t="shared" si="149"/>
        <v>2021</v>
      </c>
      <c r="AC1731" s="15">
        <f t="shared" si="150"/>
        <v>2021</v>
      </c>
      <c r="AD1731" s="18" t="b">
        <f t="shared" ref="AD1731:AD1794" si="152">AND(ROUND(O1731,2)=O1731,ROUND(P1731,2)=P1731,OR(AND(O1731&lt;&gt;0,L1731="p"),AND(P1731&lt;&gt;0,L1731="f")),_xlfn.ISFORMULA(X1731),_xlfn.ISFORMULA(Y1731),_xlfn.ISFORMULA(Z1731),_xlfn.ISFORMULA(AA1731),_xlfn.ISFORMULA(AB1731),_xlfn.ISFORMULA(AC1731),NOT(_xlfn.ISFORMULA(O1731)),NOT(_xlfn.ISFORMULA(P1731)),M1731&lt;&gt;0,N1731&lt;&gt;0)</f>
        <v>1</v>
      </c>
    </row>
    <row r="1732" spans="1:30" ht="15" hidden="1" customHeight="1" x14ac:dyDescent="0.2">
      <c r="A1732" s="7" t="s">
        <v>669</v>
      </c>
      <c r="B1732" s="7"/>
      <c r="C1732" s="2" t="s">
        <v>641</v>
      </c>
      <c r="D1732" s="6" t="s">
        <v>649</v>
      </c>
      <c r="E1732" s="32" t="s">
        <v>651</v>
      </c>
      <c r="F1732" s="7"/>
      <c r="G1732" s="7"/>
      <c r="H1732" s="7"/>
      <c r="I1732" s="7"/>
      <c r="J1732" s="7"/>
      <c r="K1732" s="7"/>
      <c r="L1732" s="7" t="s">
        <v>662</v>
      </c>
      <c r="M1732" s="8">
        <v>44531</v>
      </c>
      <c r="N1732" s="8">
        <v>44531</v>
      </c>
      <c r="O1732" s="13">
        <v>48841.68</v>
      </c>
      <c r="P1732" s="13"/>
      <c r="Q1732" s="33"/>
      <c r="R1732" s="22"/>
      <c r="S1732" s="22"/>
      <c r="T1732" s="22"/>
      <c r="U1732" s="22"/>
      <c r="X1732" s="15" t="str">
        <f>IF(B1732="",VLOOKUP(A1732,items_lookup!A:B,2,FALSE),B1732)</f>
        <v>02. Item 02</v>
      </c>
      <c r="Y1732" s="15">
        <f t="shared" si="151"/>
        <v>12</v>
      </c>
      <c r="Z1732" s="15">
        <f t="shared" si="151"/>
        <v>12</v>
      </c>
      <c r="AA1732" s="15">
        <f t="shared" si="148"/>
        <v>2021</v>
      </c>
      <c r="AB1732" s="15">
        <f t="shared" si="149"/>
        <v>2021</v>
      </c>
      <c r="AC1732" s="15">
        <f t="shared" si="150"/>
        <v>2021</v>
      </c>
      <c r="AD1732" s="18" t="b">
        <f t="shared" si="152"/>
        <v>1</v>
      </c>
    </row>
    <row r="1733" spans="1:30" ht="18.75" hidden="1" customHeight="1" x14ac:dyDescent="0.2">
      <c r="A1733" s="7" t="s">
        <v>689</v>
      </c>
      <c r="B1733" s="7" t="s">
        <v>711</v>
      </c>
      <c r="C1733" s="2" t="s">
        <v>641</v>
      </c>
      <c r="D1733" s="6" t="s">
        <v>649</v>
      </c>
      <c r="E1733" s="32" t="s">
        <v>651</v>
      </c>
      <c r="F1733" s="7"/>
      <c r="G1733" s="7"/>
      <c r="H1733" s="7"/>
      <c r="I1733" s="7"/>
      <c r="J1733" s="7"/>
      <c r="K1733" s="7"/>
      <c r="L1733" s="7" t="s">
        <v>662</v>
      </c>
      <c r="M1733" s="8">
        <v>44531</v>
      </c>
      <c r="N1733" s="8">
        <v>44531</v>
      </c>
      <c r="O1733" s="13">
        <v>473845.93</v>
      </c>
      <c r="P1733" s="13"/>
      <c r="Q1733" s="33"/>
      <c r="R1733" s="22"/>
      <c r="S1733" s="22"/>
      <c r="T1733" s="22"/>
      <c r="U1733" s="22"/>
      <c r="X1733" s="15" t="str">
        <f>IF(B1733="",VLOOKUP(A1733,items_lookup!A:B,2,FALSE),B1733)</f>
        <v>12. Item 12</v>
      </c>
      <c r="Y1733" s="15">
        <f t="shared" si="151"/>
        <v>12</v>
      </c>
      <c r="Z1733" s="15">
        <f t="shared" si="151"/>
        <v>12</v>
      </c>
      <c r="AA1733" s="15">
        <f t="shared" si="148"/>
        <v>2021</v>
      </c>
      <c r="AB1733" s="15">
        <f t="shared" si="149"/>
        <v>2021</v>
      </c>
      <c r="AC1733" s="15">
        <f t="shared" si="150"/>
        <v>2021</v>
      </c>
      <c r="AD1733" s="18" t="b">
        <f t="shared" si="152"/>
        <v>1</v>
      </c>
    </row>
    <row r="1734" spans="1:30" ht="15" hidden="1" customHeight="1" x14ac:dyDescent="0.2">
      <c r="A1734" s="7" t="s">
        <v>670</v>
      </c>
      <c r="B1734" s="7" t="s">
        <v>710</v>
      </c>
      <c r="C1734" s="2" t="s">
        <v>641</v>
      </c>
      <c r="D1734" s="6" t="s">
        <v>649</v>
      </c>
      <c r="E1734" s="32" t="s">
        <v>651</v>
      </c>
      <c r="F1734" s="7"/>
      <c r="G1734" s="7"/>
      <c r="H1734" s="7"/>
      <c r="I1734" s="7"/>
      <c r="J1734" s="7"/>
      <c r="K1734" s="7"/>
      <c r="L1734" s="7" t="s">
        <v>662</v>
      </c>
      <c r="M1734" s="8">
        <v>44531</v>
      </c>
      <c r="N1734" s="8">
        <v>44531</v>
      </c>
      <c r="O1734" s="13">
        <v>2126101.87</v>
      </c>
      <c r="P1734" s="13"/>
      <c r="Q1734" s="33"/>
      <c r="R1734" s="9"/>
      <c r="S1734" s="9"/>
      <c r="T1734" s="9"/>
      <c r="U1734" s="9"/>
      <c r="X1734" s="15" t="str">
        <f>IF(B1734="",VLOOKUP(A1734,items_lookup!A:B,2,FALSE),B1734)</f>
        <v>13. Item 13</v>
      </c>
      <c r="Y1734" s="15">
        <f t="shared" si="151"/>
        <v>12</v>
      </c>
      <c r="Z1734" s="15">
        <f t="shared" si="151"/>
        <v>12</v>
      </c>
      <c r="AA1734" s="15">
        <f t="shared" si="148"/>
        <v>2021</v>
      </c>
      <c r="AB1734" s="15">
        <f t="shared" si="149"/>
        <v>2021</v>
      </c>
      <c r="AC1734" s="15">
        <f t="shared" si="150"/>
        <v>2021</v>
      </c>
      <c r="AD1734" s="18" t="b">
        <f t="shared" si="152"/>
        <v>1</v>
      </c>
    </row>
    <row r="1735" spans="1:30" ht="15" hidden="1" customHeight="1" x14ac:dyDescent="0.2">
      <c r="A1735" s="7" t="s">
        <v>671</v>
      </c>
      <c r="B1735" s="7"/>
      <c r="C1735" s="2" t="s">
        <v>641</v>
      </c>
      <c r="D1735" s="6" t="s">
        <v>649</v>
      </c>
      <c r="E1735" s="32" t="s">
        <v>651</v>
      </c>
      <c r="F1735" s="7"/>
      <c r="G1735" s="7"/>
      <c r="H1735" s="7"/>
      <c r="I1735" s="7"/>
      <c r="J1735" s="7"/>
      <c r="K1735" s="7"/>
      <c r="L1735" s="7" t="s">
        <v>662</v>
      </c>
      <c r="M1735" s="8">
        <v>44531</v>
      </c>
      <c r="N1735" s="8">
        <v>44531</v>
      </c>
      <c r="O1735" s="13">
        <v>1057137.24</v>
      </c>
      <c r="P1735" s="13"/>
      <c r="Q1735" s="33"/>
      <c r="R1735" s="22"/>
      <c r="S1735" s="22"/>
      <c r="T1735" s="22"/>
      <c r="U1735" s="22"/>
      <c r="X1735" s="15" t="str">
        <f>IF(B1735="",VLOOKUP(A1735,items_lookup!A:B,2,FALSE),B1735)</f>
        <v>05. Item 05</v>
      </c>
      <c r="Y1735" s="15">
        <f t="shared" si="151"/>
        <v>12</v>
      </c>
      <c r="Z1735" s="15">
        <f t="shared" si="151"/>
        <v>12</v>
      </c>
      <c r="AA1735" s="15">
        <f t="shared" si="148"/>
        <v>2021</v>
      </c>
      <c r="AB1735" s="15">
        <f t="shared" si="149"/>
        <v>2021</v>
      </c>
      <c r="AC1735" s="15">
        <f t="shared" si="150"/>
        <v>2021</v>
      </c>
      <c r="AD1735" s="18" t="b">
        <f t="shared" si="152"/>
        <v>1</v>
      </c>
    </row>
    <row r="1736" spans="1:30" ht="15" hidden="1" customHeight="1" x14ac:dyDescent="0.2">
      <c r="A1736" s="7" t="s">
        <v>672</v>
      </c>
      <c r="B1736" s="7"/>
      <c r="C1736" s="2" t="s">
        <v>641</v>
      </c>
      <c r="D1736" s="6" t="s">
        <v>649</v>
      </c>
      <c r="E1736" s="32" t="s">
        <v>651</v>
      </c>
      <c r="F1736" s="7"/>
      <c r="G1736" s="7"/>
      <c r="H1736" s="7"/>
      <c r="I1736" s="7"/>
      <c r="J1736" s="7"/>
      <c r="K1736" s="7"/>
      <c r="L1736" s="7" t="s">
        <v>662</v>
      </c>
      <c r="M1736" s="8">
        <v>44531</v>
      </c>
      <c r="N1736" s="8">
        <v>44531</v>
      </c>
      <c r="O1736" s="13">
        <v>1047625.12</v>
      </c>
      <c r="P1736" s="13"/>
      <c r="Q1736" s="33"/>
      <c r="R1736" s="22"/>
      <c r="S1736" s="22"/>
      <c r="T1736" s="22"/>
      <c r="U1736" s="22"/>
      <c r="X1736" s="15" t="str">
        <f>IF(B1736="",VLOOKUP(A1736,items_lookup!A:B,2,FALSE),B1736)</f>
        <v>05. Item 05</v>
      </c>
      <c r="Y1736" s="15">
        <f t="shared" si="151"/>
        <v>12</v>
      </c>
      <c r="Z1736" s="15">
        <f t="shared" si="151"/>
        <v>12</v>
      </c>
      <c r="AA1736" s="15">
        <f t="shared" si="148"/>
        <v>2021</v>
      </c>
      <c r="AB1736" s="15">
        <f t="shared" si="149"/>
        <v>2021</v>
      </c>
      <c r="AC1736" s="15">
        <f t="shared" si="150"/>
        <v>2021</v>
      </c>
      <c r="AD1736" s="18" t="b">
        <f t="shared" si="152"/>
        <v>1</v>
      </c>
    </row>
    <row r="1737" spans="1:30" ht="27.75" hidden="1" customHeight="1" x14ac:dyDescent="0.2">
      <c r="A1737" s="7" t="s">
        <v>682</v>
      </c>
      <c r="B1737" s="20"/>
      <c r="C1737" s="2" t="s">
        <v>641</v>
      </c>
      <c r="D1737" s="6" t="s">
        <v>649</v>
      </c>
      <c r="E1737" s="32" t="s">
        <v>651</v>
      </c>
      <c r="F1737" s="7"/>
      <c r="G1737" s="7"/>
      <c r="H1737" s="7"/>
      <c r="I1737" s="7"/>
      <c r="J1737" s="7">
        <v>3</v>
      </c>
      <c r="K1737" s="7" t="s">
        <v>660</v>
      </c>
      <c r="L1737" s="7" t="s">
        <v>663</v>
      </c>
      <c r="M1737" s="8">
        <v>44481</v>
      </c>
      <c r="N1737" s="8">
        <v>44489</v>
      </c>
      <c r="O1737" s="13"/>
      <c r="P1737" s="13">
        <v>353.26</v>
      </c>
      <c r="Q1737" s="33"/>
      <c r="R1737" s="22"/>
      <c r="S1737" s="22"/>
      <c r="T1737" s="22"/>
      <c r="U1737" s="22"/>
      <c r="X1737" s="15" t="str">
        <f>IF(B1737="",VLOOKUP(A1737,items_lookup!A:B,2,FALSE),B1737)</f>
        <v>06. Item 06</v>
      </c>
      <c r="Y1737" s="15">
        <f t="shared" si="151"/>
        <v>10</v>
      </c>
      <c r="Z1737" s="15">
        <f t="shared" si="151"/>
        <v>10</v>
      </c>
      <c r="AA1737" s="15">
        <f t="shared" si="148"/>
        <v>2021</v>
      </c>
      <c r="AB1737" s="15">
        <f t="shared" si="149"/>
        <v>2021</v>
      </c>
      <c r="AC1737" s="15">
        <f t="shared" si="150"/>
        <v>2021</v>
      </c>
      <c r="AD1737" s="18" t="b">
        <f t="shared" si="152"/>
        <v>1</v>
      </c>
    </row>
    <row r="1738" spans="1:30" ht="15.75" hidden="1" customHeight="1" x14ac:dyDescent="0.2">
      <c r="A1738" s="7" t="s">
        <v>673</v>
      </c>
      <c r="B1738" s="20"/>
      <c r="C1738" s="2" t="s">
        <v>641</v>
      </c>
      <c r="D1738" s="6" t="s">
        <v>649</v>
      </c>
      <c r="E1738" s="32" t="s">
        <v>651</v>
      </c>
      <c r="F1738" s="7"/>
      <c r="G1738" s="7"/>
      <c r="H1738" s="7"/>
      <c r="I1738" s="7"/>
      <c r="J1738" s="7">
        <v>1</v>
      </c>
      <c r="K1738" s="7" t="s">
        <v>660</v>
      </c>
      <c r="L1738" s="7" t="s">
        <v>663</v>
      </c>
      <c r="M1738" s="8">
        <v>44470</v>
      </c>
      <c r="N1738" s="8">
        <v>44484</v>
      </c>
      <c r="O1738" s="13"/>
      <c r="P1738" s="13">
        <v>15237.26</v>
      </c>
      <c r="Q1738" s="33"/>
      <c r="R1738" s="9"/>
      <c r="S1738" s="9"/>
      <c r="T1738" s="9"/>
      <c r="U1738" s="9"/>
      <c r="X1738" s="15" t="str">
        <f>IF(B1738="",VLOOKUP(A1738,items_lookup!A:B,2,FALSE),B1738)</f>
        <v>07. Item 07</v>
      </c>
      <c r="Y1738" s="15">
        <f t="shared" si="151"/>
        <v>10</v>
      </c>
      <c r="Z1738" s="15">
        <f t="shared" si="151"/>
        <v>10</v>
      </c>
      <c r="AA1738" s="15">
        <f t="shared" si="148"/>
        <v>2021</v>
      </c>
      <c r="AB1738" s="15">
        <f t="shared" si="149"/>
        <v>2021</v>
      </c>
      <c r="AC1738" s="15">
        <f t="shared" si="150"/>
        <v>2021</v>
      </c>
      <c r="AD1738" s="18" t="b">
        <f t="shared" si="152"/>
        <v>1</v>
      </c>
    </row>
    <row r="1739" spans="1:30" ht="15" hidden="1" customHeight="1" x14ac:dyDescent="0.2">
      <c r="A1739" s="7" t="s">
        <v>674</v>
      </c>
      <c r="B1739" s="7"/>
      <c r="C1739" s="2" t="s">
        <v>641</v>
      </c>
      <c r="D1739" s="6" t="s">
        <v>649</v>
      </c>
      <c r="E1739" s="32" t="s">
        <v>651</v>
      </c>
      <c r="F1739" s="7"/>
      <c r="G1739" s="7"/>
      <c r="H1739" s="7"/>
      <c r="I1739" s="7" t="s">
        <v>20</v>
      </c>
      <c r="J1739" s="7">
        <v>2</v>
      </c>
      <c r="K1739" s="7" t="s">
        <v>660</v>
      </c>
      <c r="L1739" s="7" t="s">
        <v>663</v>
      </c>
      <c r="M1739" s="8">
        <v>44479</v>
      </c>
      <c r="N1739" s="8">
        <v>44488</v>
      </c>
      <c r="O1739" s="13"/>
      <c r="P1739" s="13">
        <v>63074.84</v>
      </c>
      <c r="Q1739" s="33"/>
      <c r="R1739" s="9"/>
      <c r="S1739" s="9"/>
      <c r="T1739" s="9"/>
      <c r="U1739" s="9"/>
      <c r="X1739" s="15" t="str">
        <f>IF(B1739="",VLOOKUP(A1739,items_lookup!A:B,2,FALSE),B1739)</f>
        <v>08. Item 08</v>
      </c>
      <c r="Y1739" s="15">
        <f t="shared" si="151"/>
        <v>10</v>
      </c>
      <c r="Z1739" s="15">
        <f t="shared" si="151"/>
        <v>10</v>
      </c>
      <c r="AA1739" s="15">
        <f t="shared" si="148"/>
        <v>2021</v>
      </c>
      <c r="AB1739" s="15">
        <f t="shared" si="149"/>
        <v>2021</v>
      </c>
      <c r="AC1739" s="15">
        <f t="shared" si="150"/>
        <v>2021</v>
      </c>
      <c r="AD1739" s="18" t="b">
        <f t="shared" si="152"/>
        <v>1</v>
      </c>
    </row>
    <row r="1740" spans="1:30" ht="15" hidden="1" customHeight="1" x14ac:dyDescent="0.2">
      <c r="A1740" s="7" t="s">
        <v>688</v>
      </c>
      <c r="B1740" s="20"/>
      <c r="C1740" s="2" t="s">
        <v>641</v>
      </c>
      <c r="D1740" s="6" t="s">
        <v>649</v>
      </c>
      <c r="E1740" s="32" t="s">
        <v>651</v>
      </c>
      <c r="F1740" s="7"/>
      <c r="G1740" s="7"/>
      <c r="H1740" s="7"/>
      <c r="I1740" s="7"/>
      <c r="J1740" s="7">
        <v>3</v>
      </c>
      <c r="K1740" s="7" t="s">
        <v>660</v>
      </c>
      <c r="L1740" s="7" t="s">
        <v>663</v>
      </c>
      <c r="M1740" s="8">
        <v>44481</v>
      </c>
      <c r="N1740" s="8">
        <v>44489</v>
      </c>
      <c r="O1740" s="13"/>
      <c r="P1740" s="13">
        <v>17313.29</v>
      </c>
      <c r="Q1740" s="33"/>
      <c r="R1740" s="22"/>
      <c r="S1740" s="22"/>
      <c r="T1740" s="22"/>
      <c r="U1740" s="22"/>
      <c r="X1740" s="15" t="str">
        <f>IF(B1740="",VLOOKUP(A1740,items_lookup!A:B,2,FALSE),B1740)</f>
        <v>09. Item 09</v>
      </c>
      <c r="Y1740" s="15">
        <f t="shared" si="151"/>
        <v>10</v>
      </c>
      <c r="Z1740" s="15">
        <f t="shared" si="151"/>
        <v>10</v>
      </c>
      <c r="AA1740" s="15">
        <f t="shared" si="148"/>
        <v>2021</v>
      </c>
      <c r="AB1740" s="15">
        <f t="shared" si="149"/>
        <v>2021</v>
      </c>
      <c r="AC1740" s="15">
        <f t="shared" si="150"/>
        <v>2021</v>
      </c>
      <c r="AD1740" s="18" t="b">
        <f t="shared" si="152"/>
        <v>1</v>
      </c>
    </row>
    <row r="1741" spans="1:30" ht="15.75" hidden="1" customHeight="1" x14ac:dyDescent="0.2">
      <c r="A1741" s="7" t="s">
        <v>675</v>
      </c>
      <c r="B1741" s="7"/>
      <c r="C1741" s="2" t="s">
        <v>641</v>
      </c>
      <c r="D1741" s="6" t="s">
        <v>649</v>
      </c>
      <c r="E1741" s="32" t="s">
        <v>651</v>
      </c>
      <c r="F1741" s="7"/>
      <c r="G1741" s="7"/>
      <c r="H1741" s="7"/>
      <c r="I1741" s="7"/>
      <c r="J1741" s="7">
        <v>4</v>
      </c>
      <c r="K1741" s="7" t="s">
        <v>660</v>
      </c>
      <c r="L1741" s="7" t="s">
        <v>663</v>
      </c>
      <c r="M1741" s="8">
        <v>44479</v>
      </c>
      <c r="N1741" s="8">
        <v>44489</v>
      </c>
      <c r="O1741" s="13"/>
      <c r="P1741" s="13">
        <v>12543.09</v>
      </c>
      <c r="Q1741" s="33"/>
      <c r="R1741" s="22"/>
      <c r="S1741" s="22"/>
      <c r="T1741" s="22"/>
      <c r="U1741" s="22"/>
      <c r="X1741" s="15" t="str">
        <f>IF(B1741="",VLOOKUP(A1741,items_lookup!A:B,2,FALSE),B1741)</f>
        <v>09. Item 09</v>
      </c>
      <c r="Y1741" s="15">
        <f t="shared" si="151"/>
        <v>10</v>
      </c>
      <c r="Z1741" s="15">
        <f t="shared" si="151"/>
        <v>10</v>
      </c>
      <c r="AA1741" s="15">
        <f t="shared" si="148"/>
        <v>2021</v>
      </c>
      <c r="AB1741" s="15">
        <f t="shared" si="149"/>
        <v>2021</v>
      </c>
      <c r="AC1741" s="15">
        <f t="shared" si="150"/>
        <v>2021</v>
      </c>
      <c r="AD1741" s="18" t="b">
        <f t="shared" si="152"/>
        <v>1</v>
      </c>
    </row>
    <row r="1742" spans="1:30" ht="12.6" hidden="1" customHeight="1" x14ac:dyDescent="0.2">
      <c r="A1742" s="7" t="s">
        <v>676</v>
      </c>
      <c r="B1742" s="7"/>
      <c r="C1742" s="2" t="s">
        <v>641</v>
      </c>
      <c r="D1742" s="6" t="s">
        <v>649</v>
      </c>
      <c r="E1742" s="32" t="s">
        <v>651</v>
      </c>
      <c r="F1742" s="7"/>
      <c r="G1742" s="7"/>
      <c r="H1742" s="7"/>
      <c r="I1742" s="7"/>
      <c r="J1742" s="7"/>
      <c r="K1742" s="7" t="s">
        <v>660</v>
      </c>
      <c r="L1742" s="7" t="s">
        <v>663</v>
      </c>
      <c r="M1742" s="8">
        <v>44480</v>
      </c>
      <c r="N1742" s="8">
        <v>44480</v>
      </c>
      <c r="O1742" s="13"/>
      <c r="P1742" s="13">
        <v>72679.38</v>
      </c>
      <c r="Q1742" s="33"/>
      <c r="R1742" s="22"/>
      <c r="S1742" s="22"/>
      <c r="T1742" s="22"/>
      <c r="U1742" s="22"/>
      <c r="X1742" s="15" t="str">
        <f>IF(B1742="",VLOOKUP(A1742,items_lookup!A:B,2,FALSE),B1742)</f>
        <v>09. Item 09</v>
      </c>
      <c r="Y1742" s="15">
        <f t="shared" si="151"/>
        <v>10</v>
      </c>
      <c r="Z1742" s="15">
        <f t="shared" si="151"/>
        <v>10</v>
      </c>
      <c r="AA1742" s="15">
        <f t="shared" si="148"/>
        <v>2021</v>
      </c>
      <c r="AB1742" s="15">
        <f t="shared" si="149"/>
        <v>2021</v>
      </c>
      <c r="AC1742" s="15">
        <f t="shared" si="150"/>
        <v>2021</v>
      </c>
      <c r="AD1742" s="18" t="b">
        <f t="shared" si="152"/>
        <v>1</v>
      </c>
    </row>
    <row r="1743" spans="1:30" ht="15" hidden="1" customHeight="1" x14ac:dyDescent="0.2">
      <c r="A1743" s="7" t="s">
        <v>677</v>
      </c>
      <c r="B1743" s="7"/>
      <c r="C1743" s="2" t="s">
        <v>641</v>
      </c>
      <c r="D1743" s="6" t="s">
        <v>650</v>
      </c>
      <c r="E1743" s="32" t="s">
        <v>651</v>
      </c>
      <c r="F1743" s="7"/>
      <c r="G1743" s="7"/>
      <c r="H1743" s="7"/>
      <c r="I1743" s="7"/>
      <c r="J1743" s="7">
        <v>1</v>
      </c>
      <c r="K1743" s="7" t="s">
        <v>660</v>
      </c>
      <c r="L1743" s="7" t="s">
        <v>663</v>
      </c>
      <c r="M1743" s="8">
        <v>44470</v>
      </c>
      <c r="N1743" s="8">
        <v>44483</v>
      </c>
      <c r="O1743" s="13"/>
      <c r="P1743" s="13">
        <v>59232.42</v>
      </c>
      <c r="Q1743" s="33"/>
      <c r="R1743" s="22"/>
      <c r="S1743" s="22"/>
      <c r="T1743" s="22"/>
      <c r="U1743" s="22"/>
      <c r="X1743" s="15" t="str">
        <f>IF(B1743="",VLOOKUP(A1743,items_lookup!A:B,2,FALSE),B1743)</f>
        <v>11. Item 11</v>
      </c>
      <c r="Y1743" s="15">
        <f t="shared" si="151"/>
        <v>10</v>
      </c>
      <c r="Z1743" s="15">
        <f t="shared" si="151"/>
        <v>10</v>
      </c>
      <c r="AA1743" s="15">
        <f t="shared" si="148"/>
        <v>2021</v>
      </c>
      <c r="AB1743" s="15">
        <f t="shared" si="149"/>
        <v>2021</v>
      </c>
      <c r="AC1743" s="15">
        <f t="shared" si="150"/>
        <v>2021</v>
      </c>
      <c r="AD1743" s="18" t="b">
        <f t="shared" si="152"/>
        <v>1</v>
      </c>
    </row>
    <row r="1744" spans="1:30" ht="12.6" hidden="1" customHeight="1" x14ac:dyDescent="0.2">
      <c r="A1744" s="7" t="s">
        <v>690</v>
      </c>
      <c r="B1744" s="7"/>
      <c r="C1744" s="2" t="s">
        <v>648</v>
      </c>
      <c r="D1744" s="6" t="s">
        <v>649</v>
      </c>
      <c r="E1744" s="32" t="s">
        <v>651</v>
      </c>
      <c r="F1744" s="7"/>
      <c r="G1744" s="7"/>
      <c r="H1744" s="7"/>
      <c r="I1744" s="7"/>
      <c r="J1744" s="7"/>
      <c r="K1744" s="7"/>
      <c r="L1744" s="7" t="s">
        <v>663</v>
      </c>
      <c r="M1744" s="8">
        <v>44469</v>
      </c>
      <c r="N1744" s="8">
        <v>44469</v>
      </c>
      <c r="O1744" s="13"/>
      <c r="P1744" s="13">
        <v>55699930.079999998</v>
      </c>
      <c r="Q1744" s="33"/>
      <c r="R1744" s="22"/>
      <c r="S1744" s="22"/>
      <c r="T1744" s="22"/>
      <c r="U1744" s="22"/>
      <c r="X1744" s="15" t="str">
        <f>IF(B1744="",VLOOKUP(A1744,items_lookup!A:B,2,FALSE),B1744)</f>
        <v>21. Item 21</v>
      </c>
      <c r="Y1744" s="15">
        <f t="shared" si="151"/>
        <v>9</v>
      </c>
      <c r="Z1744" s="15">
        <f t="shared" si="151"/>
        <v>9</v>
      </c>
      <c r="AA1744" s="15">
        <f t="shared" si="148"/>
        <v>2021</v>
      </c>
      <c r="AB1744" s="15">
        <f t="shared" si="149"/>
        <v>2021</v>
      </c>
      <c r="AC1744" s="15">
        <f t="shared" si="150"/>
        <v>2021</v>
      </c>
      <c r="AD1744" s="18" t="b">
        <f t="shared" si="152"/>
        <v>1</v>
      </c>
    </row>
    <row r="1745" spans="1:30" ht="15" hidden="1" customHeight="1" x14ac:dyDescent="0.2">
      <c r="A1745" s="7" t="s">
        <v>681</v>
      </c>
      <c r="B1745" s="7"/>
      <c r="C1745" s="2" t="s">
        <v>648</v>
      </c>
      <c r="D1745" s="6" t="s">
        <v>649</v>
      </c>
      <c r="E1745" s="32" t="s">
        <v>651</v>
      </c>
      <c r="F1745" s="7"/>
      <c r="G1745" s="7"/>
      <c r="H1745" s="7"/>
      <c r="I1745" s="7"/>
      <c r="J1745" s="7"/>
      <c r="K1745" s="7"/>
      <c r="L1745" s="7" t="s">
        <v>663</v>
      </c>
      <c r="M1745" s="8">
        <v>44470</v>
      </c>
      <c r="N1745" s="8">
        <v>44470</v>
      </c>
      <c r="O1745" s="13"/>
      <c r="P1745" s="13">
        <v>6180641.7999999998</v>
      </c>
      <c r="Q1745" s="33"/>
      <c r="R1745" s="22"/>
      <c r="S1745" s="22"/>
      <c r="T1745" s="22"/>
      <c r="U1745" s="22"/>
      <c r="X1745" s="15" t="str">
        <f>IF(B1745="",VLOOKUP(A1745,items_lookup!A:B,2,FALSE),B1745)</f>
        <v>19. Item 19</v>
      </c>
      <c r="Y1745" s="15">
        <f t="shared" si="151"/>
        <v>10</v>
      </c>
      <c r="Z1745" s="15">
        <f t="shared" si="151"/>
        <v>10</v>
      </c>
      <c r="AA1745" s="15">
        <f t="shared" si="148"/>
        <v>2021</v>
      </c>
      <c r="AB1745" s="15">
        <f t="shared" si="149"/>
        <v>2021</v>
      </c>
      <c r="AC1745" s="15">
        <f t="shared" si="150"/>
        <v>2021</v>
      </c>
      <c r="AD1745" s="18" t="b">
        <f t="shared" si="152"/>
        <v>1</v>
      </c>
    </row>
    <row r="1746" spans="1:30" ht="15" hidden="1" customHeight="1" x14ac:dyDescent="0.2">
      <c r="A1746" s="7" t="s">
        <v>687</v>
      </c>
      <c r="B1746" s="7"/>
      <c r="C1746" s="2" t="s">
        <v>648</v>
      </c>
      <c r="D1746" s="6" t="s">
        <v>649</v>
      </c>
      <c r="E1746" s="32" t="s">
        <v>651</v>
      </c>
      <c r="F1746" s="7"/>
      <c r="G1746" s="7"/>
      <c r="H1746" s="7"/>
      <c r="I1746" s="7"/>
      <c r="J1746" s="7"/>
      <c r="K1746" s="7"/>
      <c r="L1746" s="7" t="s">
        <v>663</v>
      </c>
      <c r="M1746" s="8">
        <v>44470</v>
      </c>
      <c r="N1746" s="8">
        <v>44470</v>
      </c>
      <c r="O1746" s="13"/>
      <c r="P1746" s="13">
        <v>6860616</v>
      </c>
      <c r="Q1746" s="33"/>
      <c r="R1746" s="22"/>
      <c r="S1746" s="22"/>
      <c r="T1746" s="22"/>
      <c r="U1746" s="22"/>
      <c r="X1746" s="15" t="str">
        <f>IF(B1746="",VLOOKUP(A1746,items_lookup!A:B,2,FALSE),B1746)</f>
        <v>14. Item 14</v>
      </c>
      <c r="Y1746" s="15">
        <f t="shared" si="151"/>
        <v>10</v>
      </c>
      <c r="Z1746" s="15">
        <f t="shared" si="151"/>
        <v>10</v>
      </c>
      <c r="AA1746" s="15">
        <f t="shared" si="148"/>
        <v>2021</v>
      </c>
      <c r="AB1746" s="15">
        <f t="shared" si="149"/>
        <v>2021</v>
      </c>
      <c r="AC1746" s="15">
        <f t="shared" si="150"/>
        <v>2021</v>
      </c>
      <c r="AD1746" s="18" t="b">
        <f t="shared" si="152"/>
        <v>1</v>
      </c>
    </row>
    <row r="1747" spans="1:30" ht="15" hidden="1" customHeight="1" x14ac:dyDescent="0.2">
      <c r="A1747" s="7" t="s">
        <v>671</v>
      </c>
      <c r="B1747" s="7"/>
      <c r="C1747" s="2" t="s">
        <v>648</v>
      </c>
      <c r="D1747" s="6" t="s">
        <v>649</v>
      </c>
      <c r="E1747" s="32" t="s">
        <v>651</v>
      </c>
      <c r="F1747" s="7"/>
      <c r="G1747" s="7"/>
      <c r="H1747" s="7"/>
      <c r="I1747" s="7"/>
      <c r="J1747" s="7"/>
      <c r="K1747" s="7"/>
      <c r="L1747" s="7" t="s">
        <v>663</v>
      </c>
      <c r="M1747" s="8">
        <v>44470</v>
      </c>
      <c r="N1747" s="8">
        <v>44470</v>
      </c>
      <c r="O1747" s="13">
        <v>764.6</v>
      </c>
      <c r="P1747" s="13">
        <v>9649.77</v>
      </c>
      <c r="Q1747" s="33"/>
      <c r="R1747" s="22"/>
      <c r="S1747" s="22"/>
      <c r="T1747" s="22"/>
      <c r="U1747" s="22"/>
      <c r="X1747" s="15" t="str">
        <f>IF(B1747="",VLOOKUP(A1747,items_lookup!A:B,2,FALSE),B1747)</f>
        <v>05. Item 05</v>
      </c>
      <c r="Y1747" s="15">
        <f t="shared" si="151"/>
        <v>10</v>
      </c>
      <c r="Z1747" s="15">
        <f t="shared" si="151"/>
        <v>10</v>
      </c>
      <c r="AA1747" s="15">
        <f t="shared" si="148"/>
        <v>2021</v>
      </c>
      <c r="AB1747" s="15">
        <f t="shared" si="149"/>
        <v>2021</v>
      </c>
      <c r="AC1747" s="15">
        <f t="shared" si="150"/>
        <v>2021</v>
      </c>
      <c r="AD1747" s="18" t="b">
        <f t="shared" si="152"/>
        <v>1</v>
      </c>
    </row>
    <row r="1748" spans="1:30" ht="15" hidden="1" customHeight="1" x14ac:dyDescent="0.2">
      <c r="A1748" s="7" t="s">
        <v>668</v>
      </c>
      <c r="B1748" s="7"/>
      <c r="C1748" s="2" t="s">
        <v>648</v>
      </c>
      <c r="D1748" s="6" t="s">
        <v>649</v>
      </c>
      <c r="E1748" s="32" t="s">
        <v>651</v>
      </c>
      <c r="F1748" s="7"/>
      <c r="G1748" s="7"/>
      <c r="H1748" s="7"/>
      <c r="I1748" s="7"/>
      <c r="J1748" s="7"/>
      <c r="K1748" s="7"/>
      <c r="L1748" s="7" t="s">
        <v>663</v>
      </c>
      <c r="M1748" s="8">
        <v>44470</v>
      </c>
      <c r="N1748" s="8">
        <v>44470</v>
      </c>
      <c r="O1748" s="13"/>
      <c r="P1748" s="13">
        <v>304370.01</v>
      </c>
      <c r="Q1748" s="33"/>
      <c r="R1748" s="22"/>
      <c r="S1748" s="22"/>
      <c r="T1748" s="22"/>
      <c r="U1748" s="22"/>
      <c r="X1748" s="15" t="str">
        <f>IF(B1748="",VLOOKUP(A1748,items_lookup!A:B,2,FALSE),B1748)</f>
        <v>01. Item 01</v>
      </c>
      <c r="Y1748" s="15">
        <f t="shared" si="151"/>
        <v>10</v>
      </c>
      <c r="Z1748" s="15">
        <f t="shared" si="151"/>
        <v>10</v>
      </c>
      <c r="AA1748" s="15">
        <f t="shared" si="148"/>
        <v>2021</v>
      </c>
      <c r="AB1748" s="15">
        <f t="shared" si="149"/>
        <v>2021</v>
      </c>
      <c r="AC1748" s="15">
        <f t="shared" si="150"/>
        <v>2021</v>
      </c>
      <c r="AD1748" s="18" t="b">
        <f t="shared" si="152"/>
        <v>1</v>
      </c>
    </row>
    <row r="1749" spans="1:30" ht="15" hidden="1" customHeight="1" x14ac:dyDescent="0.2">
      <c r="A1749" s="7" t="s">
        <v>669</v>
      </c>
      <c r="B1749" s="7"/>
      <c r="C1749" s="2" t="s">
        <v>648</v>
      </c>
      <c r="D1749" s="6" t="s">
        <v>649</v>
      </c>
      <c r="E1749" s="32" t="s">
        <v>651</v>
      </c>
      <c r="F1749" s="7"/>
      <c r="G1749" s="7"/>
      <c r="H1749" s="7"/>
      <c r="I1749" s="7"/>
      <c r="J1749" s="7"/>
      <c r="K1749" s="7"/>
      <c r="L1749" s="7" t="s">
        <v>663</v>
      </c>
      <c r="M1749" s="8">
        <v>44470</v>
      </c>
      <c r="N1749" s="8">
        <v>44470</v>
      </c>
      <c r="O1749" s="13"/>
      <c r="P1749" s="13">
        <v>11129845.52</v>
      </c>
      <c r="Q1749" s="33"/>
      <c r="R1749" s="22"/>
      <c r="S1749" s="22"/>
      <c r="T1749" s="22"/>
      <c r="U1749" s="22"/>
      <c r="X1749" s="15" t="str">
        <f>IF(B1749="",VLOOKUP(A1749,items_lookup!A:B,2,FALSE),B1749)</f>
        <v>02. Item 02</v>
      </c>
      <c r="Y1749" s="15">
        <f t="shared" si="151"/>
        <v>10</v>
      </c>
      <c r="Z1749" s="15">
        <f t="shared" si="151"/>
        <v>10</v>
      </c>
      <c r="AA1749" s="15">
        <f t="shared" si="148"/>
        <v>2021</v>
      </c>
      <c r="AB1749" s="15">
        <f t="shared" si="149"/>
        <v>2021</v>
      </c>
      <c r="AC1749" s="15">
        <f t="shared" si="150"/>
        <v>2021</v>
      </c>
      <c r="AD1749" s="18" t="b">
        <f t="shared" si="152"/>
        <v>1</v>
      </c>
    </row>
    <row r="1750" spans="1:30" ht="15" hidden="1" customHeight="1" x14ac:dyDescent="0.2">
      <c r="A1750" s="7" t="s">
        <v>689</v>
      </c>
      <c r="B1750" s="7"/>
      <c r="C1750" s="2" t="s">
        <v>648</v>
      </c>
      <c r="D1750" s="6" t="s">
        <v>649</v>
      </c>
      <c r="E1750" s="32" t="s">
        <v>651</v>
      </c>
      <c r="F1750" s="7"/>
      <c r="G1750" s="7"/>
      <c r="H1750" s="7"/>
      <c r="I1750" s="7"/>
      <c r="J1750" s="7"/>
      <c r="K1750" s="7"/>
      <c r="L1750" s="7" t="s">
        <v>663</v>
      </c>
      <c r="M1750" s="8">
        <v>44470</v>
      </c>
      <c r="N1750" s="8">
        <v>44470</v>
      </c>
      <c r="O1750" s="13"/>
      <c r="P1750" s="13">
        <v>1003292.61</v>
      </c>
      <c r="Q1750" s="33"/>
      <c r="X1750" s="15" t="str">
        <f>IF(B1750="",VLOOKUP(A1750,items_lookup!A:B,2,FALSE),B1750)</f>
        <v>04. Item 04</v>
      </c>
      <c r="Y1750" s="15">
        <f t="shared" si="151"/>
        <v>10</v>
      </c>
      <c r="Z1750" s="15">
        <f t="shared" si="151"/>
        <v>10</v>
      </c>
      <c r="AA1750" s="15">
        <f t="shared" si="148"/>
        <v>2021</v>
      </c>
      <c r="AB1750" s="15">
        <f t="shared" si="149"/>
        <v>2021</v>
      </c>
      <c r="AC1750" s="15">
        <f t="shared" si="150"/>
        <v>2021</v>
      </c>
      <c r="AD1750" s="18" t="b">
        <f t="shared" si="152"/>
        <v>1</v>
      </c>
    </row>
    <row r="1751" spans="1:30" ht="15" hidden="1" customHeight="1" x14ac:dyDescent="0.2">
      <c r="A1751" s="7" t="s">
        <v>670</v>
      </c>
      <c r="B1751" s="7"/>
      <c r="C1751" s="2" t="s">
        <v>648</v>
      </c>
      <c r="D1751" s="6" t="s">
        <v>649</v>
      </c>
      <c r="E1751" s="32" t="s">
        <v>651</v>
      </c>
      <c r="F1751" s="7"/>
      <c r="G1751" s="7"/>
      <c r="H1751" s="7"/>
      <c r="I1751" s="7"/>
      <c r="J1751" s="7"/>
      <c r="K1751" s="7"/>
      <c r="L1751" s="7" t="s">
        <v>663</v>
      </c>
      <c r="M1751" s="8">
        <v>44470</v>
      </c>
      <c r="N1751" s="8">
        <v>44470</v>
      </c>
      <c r="O1751" s="13"/>
      <c r="P1751" s="13">
        <v>201853.6</v>
      </c>
      <c r="Q1751" s="33"/>
      <c r="X1751" s="15" t="str">
        <f>IF(B1751="",VLOOKUP(A1751,items_lookup!A:B,2,FALSE),B1751)</f>
        <v>04. Item 04</v>
      </c>
      <c r="Y1751" s="15">
        <f t="shared" si="151"/>
        <v>10</v>
      </c>
      <c r="Z1751" s="15">
        <f t="shared" si="151"/>
        <v>10</v>
      </c>
      <c r="AA1751" s="15">
        <f t="shared" si="148"/>
        <v>2021</v>
      </c>
      <c r="AB1751" s="15">
        <f t="shared" si="149"/>
        <v>2021</v>
      </c>
      <c r="AC1751" s="15">
        <f t="shared" si="150"/>
        <v>2021</v>
      </c>
      <c r="AD1751" s="18" t="b">
        <f t="shared" si="152"/>
        <v>1</v>
      </c>
    </row>
    <row r="1752" spans="1:30" ht="15" hidden="1" customHeight="1" x14ac:dyDescent="0.2">
      <c r="A1752" s="7" t="s">
        <v>671</v>
      </c>
      <c r="B1752" s="7"/>
      <c r="C1752" s="2" t="s">
        <v>648</v>
      </c>
      <c r="D1752" s="6" t="s">
        <v>649</v>
      </c>
      <c r="E1752" s="32" t="s">
        <v>651</v>
      </c>
      <c r="F1752" s="7"/>
      <c r="G1752" s="7"/>
      <c r="H1752" s="7"/>
      <c r="I1752" s="7"/>
      <c r="J1752" s="7"/>
      <c r="K1752" s="7"/>
      <c r="L1752" s="7" t="s">
        <v>663</v>
      </c>
      <c r="M1752" s="8">
        <v>44470</v>
      </c>
      <c r="N1752" s="8">
        <v>44470</v>
      </c>
      <c r="O1752" s="13">
        <v>5960.47</v>
      </c>
      <c r="P1752" s="13">
        <v>61823.75</v>
      </c>
      <c r="Q1752" s="33"/>
      <c r="X1752" s="15" t="str">
        <f>IF(B1752="",VLOOKUP(A1752,items_lookup!A:B,2,FALSE),B1752)</f>
        <v>05. Item 05</v>
      </c>
      <c r="Y1752" s="15">
        <f t="shared" si="151"/>
        <v>10</v>
      </c>
      <c r="Z1752" s="15">
        <f t="shared" si="151"/>
        <v>10</v>
      </c>
      <c r="AA1752" s="15">
        <f t="shared" si="148"/>
        <v>2021</v>
      </c>
      <c r="AB1752" s="15">
        <f t="shared" si="149"/>
        <v>2021</v>
      </c>
      <c r="AC1752" s="15">
        <f t="shared" si="150"/>
        <v>2021</v>
      </c>
      <c r="AD1752" s="18" t="b">
        <f t="shared" si="152"/>
        <v>1</v>
      </c>
    </row>
    <row r="1753" spans="1:30" ht="12.75" hidden="1" customHeight="1" x14ac:dyDescent="0.2">
      <c r="A1753" s="7" t="s">
        <v>672</v>
      </c>
      <c r="B1753" s="7"/>
      <c r="C1753" s="2" t="s">
        <v>648</v>
      </c>
      <c r="D1753" s="6" t="s">
        <v>649</v>
      </c>
      <c r="E1753" s="32" t="s">
        <v>651</v>
      </c>
      <c r="F1753" s="7"/>
      <c r="G1753" s="7"/>
      <c r="H1753" s="7"/>
      <c r="I1753" s="7"/>
      <c r="J1753" s="7"/>
      <c r="K1753" s="7"/>
      <c r="L1753" s="7" t="s">
        <v>663</v>
      </c>
      <c r="M1753" s="8">
        <v>44470</v>
      </c>
      <c r="N1753" s="8">
        <v>44470</v>
      </c>
      <c r="O1753" s="13"/>
      <c r="P1753" s="13">
        <v>15389.44</v>
      </c>
      <c r="Q1753" s="33"/>
      <c r="R1753" s="22"/>
      <c r="S1753" s="22"/>
      <c r="T1753" s="22"/>
      <c r="U1753" s="22"/>
      <c r="X1753" s="15" t="str">
        <f>IF(B1753="",VLOOKUP(A1753,items_lookup!A:B,2,FALSE),B1753)</f>
        <v>05. Item 05</v>
      </c>
      <c r="Y1753" s="15">
        <f t="shared" si="151"/>
        <v>10</v>
      </c>
      <c r="Z1753" s="15">
        <f t="shared" si="151"/>
        <v>10</v>
      </c>
      <c r="AA1753" s="15">
        <f t="shared" si="148"/>
        <v>2021</v>
      </c>
      <c r="AB1753" s="15">
        <f t="shared" si="149"/>
        <v>2021</v>
      </c>
      <c r="AC1753" s="15">
        <f t="shared" si="150"/>
        <v>2021</v>
      </c>
      <c r="AD1753" s="18" t="b">
        <f t="shared" si="152"/>
        <v>1</v>
      </c>
    </row>
    <row r="1754" spans="1:30" ht="15.75" hidden="1" customHeight="1" x14ac:dyDescent="0.2">
      <c r="A1754" s="7" t="s">
        <v>682</v>
      </c>
      <c r="B1754" s="7"/>
      <c r="C1754" s="2" t="s">
        <v>648</v>
      </c>
      <c r="D1754" s="6" t="s">
        <v>649</v>
      </c>
      <c r="E1754" s="32" t="s">
        <v>651</v>
      </c>
      <c r="F1754" s="7"/>
      <c r="G1754" s="7"/>
      <c r="H1754" s="7"/>
      <c r="I1754" s="7"/>
      <c r="J1754" s="7"/>
      <c r="K1754" s="7"/>
      <c r="L1754" s="7" t="s">
        <v>663</v>
      </c>
      <c r="M1754" s="8">
        <v>44470</v>
      </c>
      <c r="N1754" s="8">
        <v>44470</v>
      </c>
      <c r="O1754" s="13"/>
      <c r="P1754" s="13">
        <v>33968.660000000003</v>
      </c>
      <c r="Q1754" s="33"/>
      <c r="R1754" s="22"/>
      <c r="S1754" s="22"/>
      <c r="T1754" s="22"/>
      <c r="U1754" s="22"/>
      <c r="X1754" s="15" t="str">
        <f>IF(B1754="",VLOOKUP(A1754,items_lookup!A:B,2,FALSE),B1754)</f>
        <v>06. Item 06</v>
      </c>
      <c r="Y1754" s="15">
        <f t="shared" si="151"/>
        <v>10</v>
      </c>
      <c r="Z1754" s="15">
        <f t="shared" si="151"/>
        <v>10</v>
      </c>
      <c r="AA1754" s="15">
        <f t="shared" si="148"/>
        <v>2021</v>
      </c>
      <c r="AB1754" s="15">
        <f t="shared" si="149"/>
        <v>2021</v>
      </c>
      <c r="AC1754" s="15">
        <f t="shared" si="150"/>
        <v>2021</v>
      </c>
      <c r="AD1754" s="18" t="b">
        <f t="shared" si="152"/>
        <v>1</v>
      </c>
    </row>
    <row r="1755" spans="1:30" ht="15.75" hidden="1" customHeight="1" x14ac:dyDescent="0.2">
      <c r="A1755" s="7" t="s">
        <v>673</v>
      </c>
      <c r="B1755" s="7"/>
      <c r="C1755" s="2" t="s">
        <v>648</v>
      </c>
      <c r="D1755" s="6" t="s">
        <v>649</v>
      </c>
      <c r="E1755" s="32" t="s">
        <v>651</v>
      </c>
      <c r="F1755" s="7"/>
      <c r="G1755" s="7"/>
      <c r="H1755" s="7"/>
      <c r="I1755" s="7"/>
      <c r="J1755" s="7"/>
      <c r="K1755" s="7"/>
      <c r="L1755" s="7" t="s">
        <v>663</v>
      </c>
      <c r="M1755" s="8">
        <v>44470</v>
      </c>
      <c r="N1755" s="8">
        <v>44470</v>
      </c>
      <c r="O1755" s="13"/>
      <c r="P1755" s="13">
        <v>32288.54</v>
      </c>
      <c r="Q1755" s="33"/>
      <c r="R1755" s="22"/>
      <c r="S1755" s="22"/>
      <c r="T1755" s="22"/>
      <c r="U1755" s="22"/>
      <c r="X1755" s="15" t="str">
        <f>IF(B1755="",VLOOKUP(A1755,items_lookup!A:B,2,FALSE),B1755)</f>
        <v>07. Item 07</v>
      </c>
      <c r="Y1755" s="15">
        <f t="shared" si="151"/>
        <v>10</v>
      </c>
      <c r="Z1755" s="15">
        <f t="shared" si="151"/>
        <v>10</v>
      </c>
      <c r="AA1755" s="15">
        <f t="shared" si="148"/>
        <v>2021</v>
      </c>
      <c r="AB1755" s="15">
        <f t="shared" si="149"/>
        <v>2021</v>
      </c>
      <c r="AC1755" s="15">
        <f t="shared" si="150"/>
        <v>2021</v>
      </c>
      <c r="AD1755" s="18" t="b">
        <f t="shared" si="152"/>
        <v>1</v>
      </c>
    </row>
    <row r="1756" spans="1:30" ht="15" hidden="1" customHeight="1" x14ac:dyDescent="0.2">
      <c r="A1756" s="7" t="s">
        <v>674</v>
      </c>
      <c r="B1756" s="7"/>
      <c r="C1756" s="2" t="s">
        <v>648</v>
      </c>
      <c r="D1756" s="6" t="s">
        <v>649</v>
      </c>
      <c r="E1756" s="32" t="s">
        <v>651</v>
      </c>
      <c r="F1756" s="7"/>
      <c r="G1756" s="7"/>
      <c r="H1756" s="7"/>
      <c r="I1756" s="7"/>
      <c r="J1756" s="7"/>
      <c r="K1756" s="7"/>
      <c r="L1756" s="7" t="s">
        <v>663</v>
      </c>
      <c r="M1756" s="8">
        <v>44470</v>
      </c>
      <c r="N1756" s="8">
        <v>44470</v>
      </c>
      <c r="O1756" s="13">
        <v>1605.04</v>
      </c>
      <c r="P1756" s="13">
        <v>396802.13</v>
      </c>
      <c r="Q1756" s="33"/>
      <c r="R1756" s="22"/>
      <c r="S1756" s="22"/>
      <c r="T1756" s="22"/>
      <c r="U1756" s="22"/>
      <c r="X1756" s="15" t="str">
        <f>IF(B1756="",VLOOKUP(A1756,items_lookup!A:B,2,FALSE),B1756)</f>
        <v>08. Item 08</v>
      </c>
      <c r="Y1756" s="15">
        <f t="shared" si="151"/>
        <v>10</v>
      </c>
      <c r="Z1756" s="15">
        <f t="shared" si="151"/>
        <v>10</v>
      </c>
      <c r="AA1756" s="15">
        <f t="shared" si="148"/>
        <v>2021</v>
      </c>
      <c r="AB1756" s="15">
        <f t="shared" si="149"/>
        <v>2021</v>
      </c>
      <c r="AC1756" s="15">
        <f t="shared" si="150"/>
        <v>2021</v>
      </c>
      <c r="AD1756" s="18" t="b">
        <f t="shared" si="152"/>
        <v>1</v>
      </c>
    </row>
    <row r="1757" spans="1:30" ht="15" hidden="1" customHeight="1" x14ac:dyDescent="0.2">
      <c r="A1757" s="7" t="s">
        <v>688</v>
      </c>
      <c r="B1757" s="7"/>
      <c r="C1757" s="2" t="s">
        <v>648</v>
      </c>
      <c r="D1757" s="6" t="s">
        <v>649</v>
      </c>
      <c r="E1757" s="32" t="s">
        <v>651</v>
      </c>
      <c r="F1757" s="7"/>
      <c r="G1757" s="7"/>
      <c r="H1757" s="7"/>
      <c r="I1757" s="7"/>
      <c r="J1757" s="7"/>
      <c r="K1757" s="7"/>
      <c r="L1757" s="7" t="s">
        <v>663</v>
      </c>
      <c r="M1757" s="8">
        <v>44470</v>
      </c>
      <c r="N1757" s="8">
        <v>44470</v>
      </c>
      <c r="O1757" s="13"/>
      <c r="P1757" s="13">
        <v>1429898.17</v>
      </c>
      <c r="Q1757" s="33"/>
      <c r="R1757" s="22"/>
      <c r="S1757" s="22"/>
      <c r="T1757" s="22"/>
      <c r="U1757" s="22"/>
      <c r="X1757" s="15" t="str">
        <f>IF(B1757="",VLOOKUP(A1757,items_lookup!A:B,2,FALSE),B1757)</f>
        <v>09. Item 09</v>
      </c>
      <c r="Y1757" s="15">
        <f t="shared" si="151"/>
        <v>10</v>
      </c>
      <c r="Z1757" s="15">
        <f t="shared" si="151"/>
        <v>10</v>
      </c>
      <c r="AA1757" s="15">
        <f t="shared" si="148"/>
        <v>2021</v>
      </c>
      <c r="AB1757" s="15">
        <f t="shared" si="149"/>
        <v>2021</v>
      </c>
      <c r="AC1757" s="15">
        <f t="shared" si="150"/>
        <v>2021</v>
      </c>
      <c r="AD1757" s="18" t="b">
        <f t="shared" si="152"/>
        <v>1</v>
      </c>
    </row>
    <row r="1758" spans="1:30" ht="17.25" hidden="1" customHeight="1" x14ac:dyDescent="0.2">
      <c r="A1758" s="7" t="s">
        <v>675</v>
      </c>
      <c r="B1758" s="7"/>
      <c r="C1758" s="2" t="s">
        <v>648</v>
      </c>
      <c r="D1758" s="6" t="s">
        <v>649</v>
      </c>
      <c r="E1758" s="32" t="s">
        <v>651</v>
      </c>
      <c r="F1758" s="7"/>
      <c r="G1758" s="7"/>
      <c r="H1758" s="7"/>
      <c r="I1758" s="7"/>
      <c r="J1758" s="7"/>
      <c r="K1758" s="7"/>
      <c r="L1758" s="7" t="s">
        <v>663</v>
      </c>
      <c r="M1758" s="8">
        <v>44470</v>
      </c>
      <c r="N1758" s="8">
        <v>44470</v>
      </c>
      <c r="O1758" s="13"/>
      <c r="P1758" s="13">
        <v>217826.84</v>
      </c>
      <c r="Q1758" s="33"/>
      <c r="R1758" s="22"/>
      <c r="S1758" s="22"/>
      <c r="T1758" s="22"/>
      <c r="U1758" s="22"/>
      <c r="X1758" s="15" t="str">
        <f>IF(B1758="",VLOOKUP(A1758,items_lookup!A:B,2,FALSE),B1758)</f>
        <v>09. Item 09</v>
      </c>
      <c r="Y1758" s="15">
        <f t="shared" si="151"/>
        <v>10</v>
      </c>
      <c r="Z1758" s="15">
        <f t="shared" si="151"/>
        <v>10</v>
      </c>
      <c r="AA1758" s="15">
        <f t="shared" si="148"/>
        <v>2021</v>
      </c>
      <c r="AB1758" s="15">
        <f t="shared" si="149"/>
        <v>2021</v>
      </c>
      <c r="AC1758" s="15">
        <f t="shared" si="150"/>
        <v>2021</v>
      </c>
      <c r="AD1758" s="18" t="b">
        <f t="shared" si="152"/>
        <v>1</v>
      </c>
    </row>
    <row r="1759" spans="1:30" ht="15" hidden="1" customHeight="1" x14ac:dyDescent="0.2">
      <c r="A1759" s="7" t="s">
        <v>676</v>
      </c>
      <c r="B1759" s="7"/>
      <c r="C1759" s="2" t="s">
        <v>648</v>
      </c>
      <c r="D1759" s="6" t="s">
        <v>649</v>
      </c>
      <c r="E1759" s="32" t="s">
        <v>651</v>
      </c>
      <c r="F1759" s="7"/>
      <c r="G1759" s="7"/>
      <c r="H1759" s="7"/>
      <c r="I1759" s="7"/>
      <c r="J1759" s="7"/>
      <c r="K1759" s="7"/>
      <c r="L1759" s="7" t="s">
        <v>663</v>
      </c>
      <c r="M1759" s="8">
        <v>44470</v>
      </c>
      <c r="N1759" s="8">
        <v>44470</v>
      </c>
      <c r="O1759" s="13"/>
      <c r="P1759" s="13">
        <v>141.9</v>
      </c>
      <c r="Q1759" s="33"/>
      <c r="R1759" s="22"/>
      <c r="S1759" s="22"/>
      <c r="T1759" s="22"/>
      <c r="U1759" s="22"/>
      <c r="X1759" s="15" t="str">
        <f>IF(B1759="",VLOOKUP(A1759,items_lookup!A:B,2,FALSE),B1759)</f>
        <v>09. Item 09</v>
      </c>
      <c r="Y1759" s="15">
        <f t="shared" si="151"/>
        <v>10</v>
      </c>
      <c r="Z1759" s="15">
        <f t="shared" si="151"/>
        <v>10</v>
      </c>
      <c r="AA1759" s="15">
        <f t="shared" si="148"/>
        <v>2021</v>
      </c>
      <c r="AB1759" s="15">
        <f t="shared" si="149"/>
        <v>2021</v>
      </c>
      <c r="AC1759" s="15">
        <f t="shared" si="150"/>
        <v>2021</v>
      </c>
      <c r="AD1759" s="18" t="b">
        <f t="shared" si="152"/>
        <v>1</v>
      </c>
    </row>
    <row r="1760" spans="1:30" ht="13.5" hidden="1" x14ac:dyDescent="0.2">
      <c r="A1760" s="7" t="s">
        <v>677</v>
      </c>
      <c r="B1760" s="7"/>
      <c r="C1760" s="2" t="s">
        <v>648</v>
      </c>
      <c r="D1760" s="6" t="s">
        <v>649</v>
      </c>
      <c r="E1760" s="32" t="s">
        <v>651</v>
      </c>
      <c r="F1760" s="7"/>
      <c r="G1760" s="7"/>
      <c r="H1760" s="7"/>
      <c r="I1760" s="7"/>
      <c r="J1760" s="7"/>
      <c r="K1760" s="7"/>
      <c r="L1760" s="7" t="s">
        <v>663</v>
      </c>
      <c r="M1760" s="8">
        <v>44470</v>
      </c>
      <c r="N1760" s="8">
        <v>44470</v>
      </c>
      <c r="O1760" s="13">
        <v>25069.279999999999</v>
      </c>
      <c r="P1760" s="13">
        <v>587489.11</v>
      </c>
      <c r="Q1760" s="33"/>
      <c r="R1760" s="22"/>
      <c r="S1760" s="22"/>
      <c r="T1760" s="22"/>
      <c r="U1760" s="22"/>
      <c r="X1760" s="15" t="str">
        <f>IF(B1760="",VLOOKUP(A1760,items_lookup!A:B,2,FALSE),B1760)</f>
        <v>11. Item 11</v>
      </c>
      <c r="Y1760" s="15">
        <f t="shared" si="151"/>
        <v>10</v>
      </c>
      <c r="Z1760" s="15">
        <f t="shared" si="151"/>
        <v>10</v>
      </c>
      <c r="AA1760" s="15">
        <f t="shared" si="148"/>
        <v>2021</v>
      </c>
      <c r="AB1760" s="15">
        <f t="shared" si="149"/>
        <v>2021</v>
      </c>
      <c r="AC1760" s="15">
        <f t="shared" si="150"/>
        <v>2021</v>
      </c>
      <c r="AD1760" s="18" t="b">
        <f t="shared" si="152"/>
        <v>1</v>
      </c>
    </row>
    <row r="1761" spans="1:30" ht="15" hidden="1" customHeight="1" x14ac:dyDescent="0.2">
      <c r="A1761" s="7" t="s">
        <v>690</v>
      </c>
      <c r="B1761" s="7"/>
      <c r="C1761" s="2" t="s">
        <v>648</v>
      </c>
      <c r="D1761" s="6" t="s">
        <v>649</v>
      </c>
      <c r="E1761" s="32" t="s">
        <v>651</v>
      </c>
      <c r="F1761" s="7"/>
      <c r="G1761" s="7"/>
      <c r="H1761" s="7"/>
      <c r="I1761" s="7"/>
      <c r="J1761" s="7"/>
      <c r="K1761" s="7"/>
      <c r="L1761" s="7" t="s">
        <v>663</v>
      </c>
      <c r="M1761" s="8">
        <v>44470</v>
      </c>
      <c r="N1761" s="8">
        <v>44470</v>
      </c>
      <c r="O1761" s="13"/>
      <c r="P1761" s="13">
        <v>249792.73</v>
      </c>
      <c r="Q1761" s="33"/>
      <c r="R1761" s="22"/>
      <c r="S1761" s="22"/>
      <c r="T1761" s="22"/>
      <c r="U1761" s="22"/>
      <c r="X1761" s="15" t="str">
        <f>IF(B1761="",VLOOKUP(A1761,items_lookup!A:B,2,FALSE),B1761)</f>
        <v>21. Item 21</v>
      </c>
      <c r="Y1761" s="15">
        <f t="shared" si="151"/>
        <v>10</v>
      </c>
      <c r="Z1761" s="15">
        <f t="shared" si="151"/>
        <v>10</v>
      </c>
      <c r="AA1761" s="15">
        <f t="shared" si="148"/>
        <v>2021</v>
      </c>
      <c r="AB1761" s="15">
        <f t="shared" si="149"/>
        <v>2021</v>
      </c>
      <c r="AC1761" s="15">
        <f t="shared" si="150"/>
        <v>2021</v>
      </c>
      <c r="AD1761" s="18" t="b">
        <f t="shared" si="152"/>
        <v>1</v>
      </c>
    </row>
    <row r="1762" spans="1:30" ht="15" hidden="1" customHeight="1" x14ac:dyDescent="0.2">
      <c r="A1762" s="7" t="s">
        <v>681</v>
      </c>
      <c r="B1762" s="7"/>
      <c r="C1762" s="2" t="s">
        <v>641</v>
      </c>
      <c r="D1762" s="6" t="s">
        <v>649</v>
      </c>
      <c r="E1762" s="32" t="s">
        <v>651</v>
      </c>
      <c r="F1762" s="7"/>
      <c r="G1762" s="7"/>
      <c r="H1762" s="7"/>
      <c r="I1762" s="7"/>
      <c r="J1762" s="7">
        <v>3</v>
      </c>
      <c r="K1762" s="7" t="s">
        <v>660</v>
      </c>
      <c r="L1762" s="7" t="s">
        <v>663</v>
      </c>
      <c r="M1762" s="8">
        <v>44484</v>
      </c>
      <c r="N1762" s="8">
        <v>44491</v>
      </c>
      <c r="O1762" s="13"/>
      <c r="P1762" s="13">
        <v>306972.42</v>
      </c>
      <c r="Q1762" s="33"/>
      <c r="X1762" s="15" t="str">
        <f>IF(B1762="",VLOOKUP(A1762,items_lookup!A:B,2,FALSE),B1762)</f>
        <v>19. Item 19</v>
      </c>
      <c r="Y1762" s="15">
        <f t="shared" si="151"/>
        <v>10</v>
      </c>
      <c r="Z1762" s="15">
        <f t="shared" si="151"/>
        <v>10</v>
      </c>
      <c r="AA1762" s="15">
        <f t="shared" si="148"/>
        <v>2021</v>
      </c>
      <c r="AB1762" s="15">
        <f t="shared" si="149"/>
        <v>2021</v>
      </c>
      <c r="AC1762" s="15">
        <f t="shared" si="150"/>
        <v>2021</v>
      </c>
      <c r="AD1762" s="18" t="b">
        <f t="shared" si="152"/>
        <v>1</v>
      </c>
    </row>
    <row r="1763" spans="1:30" ht="14.25" hidden="1" customHeight="1" x14ac:dyDescent="0.2">
      <c r="A1763" s="7" t="s">
        <v>687</v>
      </c>
      <c r="B1763" s="7"/>
      <c r="C1763" s="2" t="s">
        <v>641</v>
      </c>
      <c r="D1763" s="6" t="s">
        <v>649</v>
      </c>
      <c r="E1763" s="32" t="s">
        <v>651</v>
      </c>
      <c r="F1763" s="7"/>
      <c r="G1763" s="7"/>
      <c r="H1763" s="7"/>
      <c r="I1763" s="7" t="s">
        <v>20</v>
      </c>
      <c r="J1763" s="7">
        <v>3</v>
      </c>
      <c r="K1763" s="7" t="s">
        <v>660</v>
      </c>
      <c r="L1763" s="7" t="s">
        <v>663</v>
      </c>
      <c r="M1763" s="8">
        <v>44484</v>
      </c>
      <c r="N1763" s="8">
        <v>44496</v>
      </c>
      <c r="O1763" s="13"/>
      <c r="P1763" s="13">
        <v>27547.39</v>
      </c>
      <c r="Q1763" s="33"/>
      <c r="X1763" s="15" t="str">
        <f>IF(B1763="",VLOOKUP(A1763,items_lookup!A:B,2,FALSE),B1763)</f>
        <v>14. Item 14</v>
      </c>
      <c r="Y1763" s="15">
        <f t="shared" si="151"/>
        <v>10</v>
      </c>
      <c r="Z1763" s="15">
        <f t="shared" si="151"/>
        <v>10</v>
      </c>
      <c r="AA1763" s="15">
        <f t="shared" si="148"/>
        <v>2021</v>
      </c>
      <c r="AB1763" s="15">
        <f t="shared" si="149"/>
        <v>2021</v>
      </c>
      <c r="AC1763" s="15">
        <f t="shared" si="150"/>
        <v>2021</v>
      </c>
      <c r="AD1763" s="18" t="b">
        <f t="shared" si="152"/>
        <v>1</v>
      </c>
    </row>
    <row r="1764" spans="1:30" ht="14.25" hidden="1" customHeight="1" x14ac:dyDescent="0.2">
      <c r="A1764" s="7" t="s">
        <v>668</v>
      </c>
      <c r="B1764" s="7"/>
      <c r="C1764" s="2" t="s">
        <v>641</v>
      </c>
      <c r="D1764" s="6" t="s">
        <v>649</v>
      </c>
      <c r="E1764" s="32" t="s">
        <v>651</v>
      </c>
      <c r="F1764" s="7"/>
      <c r="G1764" s="7"/>
      <c r="H1764" s="7"/>
      <c r="I1764" s="7" t="s">
        <v>20</v>
      </c>
      <c r="J1764" s="7">
        <v>3</v>
      </c>
      <c r="K1764" s="7" t="s">
        <v>660</v>
      </c>
      <c r="L1764" s="7" t="s">
        <v>663</v>
      </c>
      <c r="M1764" s="8">
        <v>44484</v>
      </c>
      <c r="N1764" s="8">
        <v>44497</v>
      </c>
      <c r="O1764" s="13"/>
      <c r="P1764" s="13">
        <v>3972.86</v>
      </c>
      <c r="Q1764" s="33"/>
      <c r="X1764" s="15" t="str">
        <f>IF(B1764="",VLOOKUP(A1764,items_lookup!A:B,2,FALSE),B1764)</f>
        <v>01. Item 01</v>
      </c>
      <c r="Y1764" s="15">
        <f t="shared" si="151"/>
        <v>10</v>
      </c>
      <c r="Z1764" s="15">
        <f t="shared" si="151"/>
        <v>10</v>
      </c>
      <c r="AA1764" s="15">
        <f t="shared" si="148"/>
        <v>2021</v>
      </c>
      <c r="AB1764" s="15">
        <f t="shared" si="149"/>
        <v>2021</v>
      </c>
      <c r="AC1764" s="15">
        <f t="shared" si="150"/>
        <v>2021</v>
      </c>
      <c r="AD1764" s="18" t="b">
        <f t="shared" si="152"/>
        <v>1</v>
      </c>
    </row>
    <row r="1765" spans="1:30" ht="14.25" hidden="1" customHeight="1" x14ac:dyDescent="0.2">
      <c r="A1765" s="7" t="s">
        <v>669</v>
      </c>
      <c r="B1765" s="7"/>
      <c r="C1765" s="2" t="s">
        <v>641</v>
      </c>
      <c r="D1765" s="6" t="s">
        <v>649</v>
      </c>
      <c r="E1765" s="32" t="s">
        <v>651</v>
      </c>
      <c r="F1765" s="7"/>
      <c r="G1765" s="7"/>
      <c r="H1765" s="7"/>
      <c r="I1765" s="7"/>
      <c r="J1765" s="7">
        <v>3</v>
      </c>
      <c r="K1765" s="7" t="s">
        <v>660</v>
      </c>
      <c r="L1765" s="7" t="s">
        <v>663</v>
      </c>
      <c r="M1765" s="8">
        <v>44484</v>
      </c>
      <c r="N1765" s="8">
        <v>44495</v>
      </c>
      <c r="O1765" s="13"/>
      <c r="P1765" s="13">
        <v>2571.4299999999998</v>
      </c>
      <c r="Q1765" s="33"/>
      <c r="X1765" s="15" t="str">
        <f>IF(B1765="",VLOOKUP(A1765,items_lookup!A:B,2,FALSE),B1765)</f>
        <v>02. Item 02</v>
      </c>
      <c r="Y1765" s="15">
        <f t="shared" si="151"/>
        <v>10</v>
      </c>
      <c r="Z1765" s="15">
        <f t="shared" si="151"/>
        <v>10</v>
      </c>
      <c r="AA1765" s="15">
        <f t="shared" si="148"/>
        <v>2021</v>
      </c>
      <c r="AB1765" s="15">
        <f t="shared" si="149"/>
        <v>2021</v>
      </c>
      <c r="AC1765" s="15">
        <f t="shared" si="150"/>
        <v>2021</v>
      </c>
      <c r="AD1765" s="18" t="b">
        <f t="shared" si="152"/>
        <v>1</v>
      </c>
    </row>
    <row r="1766" spans="1:30" ht="14.25" hidden="1" customHeight="1" x14ac:dyDescent="0.2">
      <c r="A1766" s="7" t="s">
        <v>671</v>
      </c>
      <c r="B1766" s="7"/>
      <c r="C1766" s="2" t="s">
        <v>641</v>
      </c>
      <c r="D1766" s="6" t="s">
        <v>649</v>
      </c>
      <c r="E1766" s="32" t="s">
        <v>651</v>
      </c>
      <c r="F1766" s="7"/>
      <c r="G1766" s="7"/>
      <c r="H1766" s="7"/>
      <c r="I1766" s="7"/>
      <c r="J1766" s="7">
        <v>3</v>
      </c>
      <c r="K1766" s="7" t="s">
        <v>660</v>
      </c>
      <c r="L1766" s="7" t="s">
        <v>663</v>
      </c>
      <c r="M1766" s="8">
        <v>44509</v>
      </c>
      <c r="N1766" s="8">
        <v>44559</v>
      </c>
      <c r="O1766" s="13"/>
      <c r="P1766" s="13">
        <v>121.07</v>
      </c>
      <c r="Q1766" s="33"/>
      <c r="X1766" s="15" t="str">
        <f>IF(B1766="",VLOOKUP(A1766,items_lookup!A:B,2,FALSE),B1766)</f>
        <v>05. Item 05</v>
      </c>
      <c r="Y1766" s="15">
        <f t="shared" si="151"/>
        <v>11</v>
      </c>
      <c r="Z1766" s="15">
        <f t="shared" si="151"/>
        <v>12</v>
      </c>
      <c r="AA1766" s="15">
        <f t="shared" ref="AA1766:AA1826" si="153">YEAR(N1766)</f>
        <v>2021</v>
      </c>
      <c r="AB1766" s="15">
        <f t="shared" ref="AB1766:AB1826" si="154">YEAR(M1766)</f>
        <v>2021</v>
      </c>
      <c r="AC1766" s="15">
        <f t="shared" ref="AC1766:AC1826" si="155">IF(F1766="X",AA1766-1,AA1766)</f>
        <v>2021</v>
      </c>
      <c r="AD1766" s="18" t="b">
        <f t="shared" si="152"/>
        <v>1</v>
      </c>
    </row>
    <row r="1767" spans="1:30" ht="14.25" hidden="1" customHeight="1" x14ac:dyDescent="0.2">
      <c r="A1767" s="7" t="s">
        <v>672</v>
      </c>
      <c r="B1767" s="7"/>
      <c r="C1767" s="2" t="s">
        <v>641</v>
      </c>
      <c r="D1767" s="6" t="s">
        <v>649</v>
      </c>
      <c r="E1767" s="32" t="s">
        <v>651</v>
      </c>
      <c r="F1767" s="7"/>
      <c r="G1767" s="7"/>
      <c r="H1767" s="7"/>
      <c r="I1767" s="7"/>
      <c r="J1767" s="7">
        <v>3</v>
      </c>
      <c r="K1767" s="7" t="s">
        <v>660</v>
      </c>
      <c r="L1767" s="7" t="s">
        <v>663</v>
      </c>
      <c r="M1767" s="8">
        <v>44484</v>
      </c>
      <c r="N1767" s="8">
        <v>44496</v>
      </c>
      <c r="O1767" s="13"/>
      <c r="P1767" s="13">
        <v>25173.33</v>
      </c>
      <c r="Q1767" s="33"/>
      <c r="R1767" s="22"/>
      <c r="S1767" s="22"/>
      <c r="T1767" s="22"/>
      <c r="U1767" s="22"/>
      <c r="X1767" s="15" t="str">
        <f>IF(B1767="",VLOOKUP(A1767,items_lookup!A:B,2,FALSE),B1767)</f>
        <v>05. Item 05</v>
      </c>
      <c r="Y1767" s="15">
        <f t="shared" si="151"/>
        <v>10</v>
      </c>
      <c r="Z1767" s="15">
        <f t="shared" si="151"/>
        <v>10</v>
      </c>
      <c r="AA1767" s="15">
        <f t="shared" si="153"/>
        <v>2021</v>
      </c>
      <c r="AB1767" s="15">
        <f t="shared" si="154"/>
        <v>2021</v>
      </c>
      <c r="AC1767" s="15">
        <f t="shared" si="155"/>
        <v>2021</v>
      </c>
      <c r="AD1767" s="18" t="b">
        <f t="shared" si="152"/>
        <v>1</v>
      </c>
    </row>
    <row r="1768" spans="1:30" ht="12.6" hidden="1" customHeight="1" x14ac:dyDescent="0.2">
      <c r="A1768" s="7" t="s">
        <v>682</v>
      </c>
      <c r="B1768" s="20"/>
      <c r="C1768" s="2" t="s">
        <v>641</v>
      </c>
      <c r="D1768" s="6" t="s">
        <v>649</v>
      </c>
      <c r="E1768" s="32" t="s">
        <v>651</v>
      </c>
      <c r="F1768" s="7"/>
      <c r="G1768" s="7"/>
      <c r="H1768" s="7"/>
      <c r="I1768" s="7"/>
      <c r="J1768" s="7">
        <v>3</v>
      </c>
      <c r="K1768" s="7" t="s">
        <v>660</v>
      </c>
      <c r="L1768" s="7" t="s">
        <v>663</v>
      </c>
      <c r="M1768" s="8">
        <v>44484</v>
      </c>
      <c r="N1768" s="8">
        <v>44495</v>
      </c>
      <c r="O1768" s="13"/>
      <c r="P1768" s="13">
        <v>9245.39</v>
      </c>
      <c r="Q1768" s="33"/>
      <c r="R1768" s="9"/>
      <c r="S1768" s="9"/>
      <c r="T1768" s="9"/>
      <c r="U1768" s="9"/>
      <c r="X1768" s="15" t="str">
        <f>IF(B1768="",VLOOKUP(A1768,items_lookup!A:B,2,FALSE),B1768)</f>
        <v>06. Item 06</v>
      </c>
      <c r="Y1768" s="15">
        <f t="shared" si="151"/>
        <v>10</v>
      </c>
      <c r="Z1768" s="15">
        <f t="shared" si="151"/>
        <v>10</v>
      </c>
      <c r="AA1768" s="15">
        <f t="shared" si="153"/>
        <v>2021</v>
      </c>
      <c r="AB1768" s="15">
        <f t="shared" si="154"/>
        <v>2021</v>
      </c>
      <c r="AC1768" s="15">
        <f t="shared" si="155"/>
        <v>2021</v>
      </c>
      <c r="AD1768" s="18" t="b">
        <f t="shared" si="152"/>
        <v>1</v>
      </c>
    </row>
    <row r="1769" spans="1:30" ht="15" hidden="1" customHeight="1" x14ac:dyDescent="0.2">
      <c r="A1769" s="7" t="s">
        <v>673</v>
      </c>
      <c r="B1769" s="20"/>
      <c r="C1769" s="2" t="s">
        <v>641</v>
      </c>
      <c r="D1769" s="6" t="s">
        <v>649</v>
      </c>
      <c r="E1769" s="32" t="s">
        <v>651</v>
      </c>
      <c r="F1769" s="7"/>
      <c r="G1769" s="7"/>
      <c r="H1769" s="7"/>
      <c r="I1769" s="7" t="s">
        <v>20</v>
      </c>
      <c r="J1769" s="7">
        <v>3</v>
      </c>
      <c r="K1769" s="7" t="s">
        <v>660</v>
      </c>
      <c r="L1769" s="7" t="s">
        <v>663</v>
      </c>
      <c r="M1769" s="8">
        <v>44484</v>
      </c>
      <c r="N1769" s="8">
        <v>44495</v>
      </c>
      <c r="O1769" s="13"/>
      <c r="P1769" s="13">
        <v>20567.009999999998</v>
      </c>
      <c r="Q1769" s="33"/>
      <c r="R1769" s="9"/>
      <c r="S1769" s="9"/>
      <c r="T1769" s="9"/>
      <c r="U1769" s="9"/>
      <c r="X1769" s="15" t="str">
        <f>IF(B1769="",VLOOKUP(A1769,items_lookup!A:B,2,FALSE),B1769)</f>
        <v>07. Item 07</v>
      </c>
      <c r="Y1769" s="15">
        <f t="shared" si="151"/>
        <v>10</v>
      </c>
      <c r="Z1769" s="15">
        <f t="shared" si="151"/>
        <v>10</v>
      </c>
      <c r="AA1769" s="15">
        <f t="shared" si="153"/>
        <v>2021</v>
      </c>
      <c r="AB1769" s="15">
        <f t="shared" si="154"/>
        <v>2021</v>
      </c>
      <c r="AC1769" s="15">
        <f t="shared" si="155"/>
        <v>2021</v>
      </c>
      <c r="AD1769" s="18" t="b">
        <f t="shared" si="152"/>
        <v>1</v>
      </c>
    </row>
    <row r="1770" spans="1:30" ht="15" hidden="1" customHeight="1" x14ac:dyDescent="0.2">
      <c r="A1770" s="7" t="s">
        <v>688</v>
      </c>
      <c r="B1770" s="7"/>
      <c r="C1770" s="2" t="s">
        <v>641</v>
      </c>
      <c r="D1770" s="6" t="s">
        <v>649</v>
      </c>
      <c r="E1770" s="32" t="s">
        <v>651</v>
      </c>
      <c r="F1770" s="7"/>
      <c r="G1770" s="7"/>
      <c r="H1770" s="7"/>
      <c r="I1770" s="7"/>
      <c r="J1770" s="7">
        <v>3</v>
      </c>
      <c r="K1770" s="7" t="s">
        <v>660</v>
      </c>
      <c r="L1770" s="7" t="s">
        <v>663</v>
      </c>
      <c r="M1770" s="8">
        <v>44484</v>
      </c>
      <c r="N1770" s="8">
        <v>44495</v>
      </c>
      <c r="O1770" s="13"/>
      <c r="P1770" s="13">
        <v>5914531.1600000001</v>
      </c>
      <c r="Q1770" s="33"/>
      <c r="R1770" s="22"/>
      <c r="S1770" s="22"/>
      <c r="T1770" s="22"/>
      <c r="U1770" s="22"/>
      <c r="X1770" s="15" t="str">
        <f>IF(B1770="",VLOOKUP(A1770,items_lookup!A:B,2,FALSE),B1770)</f>
        <v>09. Item 09</v>
      </c>
      <c r="Y1770" s="15">
        <f t="shared" si="151"/>
        <v>10</v>
      </c>
      <c r="Z1770" s="15">
        <f t="shared" si="151"/>
        <v>10</v>
      </c>
      <c r="AA1770" s="15">
        <f t="shared" si="153"/>
        <v>2021</v>
      </c>
      <c r="AB1770" s="15">
        <f t="shared" si="154"/>
        <v>2021</v>
      </c>
      <c r="AC1770" s="15">
        <f t="shared" si="155"/>
        <v>2021</v>
      </c>
      <c r="AD1770" s="18" t="b">
        <f t="shared" si="152"/>
        <v>1</v>
      </c>
    </row>
    <row r="1771" spans="1:30" ht="15" hidden="1" customHeight="1" x14ac:dyDescent="0.2">
      <c r="A1771" s="7" t="s">
        <v>675</v>
      </c>
      <c r="B1771" s="7"/>
      <c r="C1771" s="2" t="s">
        <v>641</v>
      </c>
      <c r="D1771" s="6" t="s">
        <v>649</v>
      </c>
      <c r="E1771" s="32" t="s">
        <v>651</v>
      </c>
      <c r="F1771" s="7"/>
      <c r="G1771" s="7"/>
      <c r="H1771" s="7"/>
      <c r="I1771" s="7"/>
      <c r="J1771" s="7">
        <v>3</v>
      </c>
      <c r="K1771" s="7" t="s">
        <v>660</v>
      </c>
      <c r="L1771" s="7" t="s">
        <v>663</v>
      </c>
      <c r="M1771" s="8">
        <v>44484</v>
      </c>
      <c r="N1771" s="8">
        <v>44498</v>
      </c>
      <c r="O1771" s="13"/>
      <c r="P1771" s="13">
        <v>6252996.9500000002</v>
      </c>
      <c r="Q1771" s="33"/>
      <c r="R1771" s="22"/>
      <c r="S1771" s="22"/>
      <c r="T1771" s="22"/>
      <c r="U1771" s="22"/>
      <c r="X1771" s="15" t="str">
        <f>IF(B1771="",VLOOKUP(A1771,items_lookup!A:B,2,FALSE),B1771)</f>
        <v>09. Item 09</v>
      </c>
      <c r="Y1771" s="15">
        <f t="shared" si="151"/>
        <v>10</v>
      </c>
      <c r="Z1771" s="15">
        <f t="shared" si="151"/>
        <v>10</v>
      </c>
      <c r="AA1771" s="15">
        <f t="shared" si="153"/>
        <v>2021</v>
      </c>
      <c r="AB1771" s="15">
        <f t="shared" si="154"/>
        <v>2021</v>
      </c>
      <c r="AC1771" s="15">
        <f t="shared" si="155"/>
        <v>2021</v>
      </c>
      <c r="AD1771" s="18" t="b">
        <f t="shared" si="152"/>
        <v>1</v>
      </c>
    </row>
    <row r="1772" spans="1:30" ht="12.6" hidden="1" customHeight="1" x14ac:dyDescent="0.2">
      <c r="A1772" s="7" t="s">
        <v>676</v>
      </c>
      <c r="B1772" s="7"/>
      <c r="C1772" s="2" t="s">
        <v>641</v>
      </c>
      <c r="D1772" s="6" t="s">
        <v>649</v>
      </c>
      <c r="E1772" s="32" t="s">
        <v>651</v>
      </c>
      <c r="F1772" s="7"/>
      <c r="G1772" s="7"/>
      <c r="H1772" s="7"/>
      <c r="I1772" s="7"/>
      <c r="J1772" s="7">
        <v>1</v>
      </c>
      <c r="K1772" s="7" t="s">
        <v>660</v>
      </c>
      <c r="L1772" s="7" t="s">
        <v>663</v>
      </c>
      <c r="M1772" s="8">
        <v>44487</v>
      </c>
      <c r="N1772" s="8">
        <v>44495</v>
      </c>
      <c r="O1772" s="13"/>
      <c r="P1772" s="13">
        <v>304278.59999999998</v>
      </c>
      <c r="Q1772" s="33"/>
      <c r="R1772" s="22"/>
      <c r="S1772" s="22"/>
      <c r="T1772" s="22"/>
      <c r="U1772" s="22"/>
      <c r="X1772" s="15" t="str">
        <f>IF(B1772="",VLOOKUP(A1772,items_lookup!A:B,2,FALSE),B1772)</f>
        <v>09. Item 09</v>
      </c>
      <c r="Y1772" s="15">
        <f t="shared" si="151"/>
        <v>10</v>
      </c>
      <c r="Z1772" s="15">
        <f t="shared" si="151"/>
        <v>10</v>
      </c>
      <c r="AA1772" s="15">
        <f t="shared" si="153"/>
        <v>2021</v>
      </c>
      <c r="AB1772" s="15">
        <f t="shared" si="154"/>
        <v>2021</v>
      </c>
      <c r="AC1772" s="15">
        <f t="shared" si="155"/>
        <v>2021</v>
      </c>
      <c r="AD1772" s="18" t="b">
        <f t="shared" si="152"/>
        <v>1</v>
      </c>
    </row>
    <row r="1773" spans="1:30" ht="15" hidden="1" customHeight="1" x14ac:dyDescent="0.2">
      <c r="A1773" s="7" t="s">
        <v>677</v>
      </c>
      <c r="B1773" s="7"/>
      <c r="C1773" s="2" t="s">
        <v>641</v>
      </c>
      <c r="D1773" s="6" t="s">
        <v>649</v>
      </c>
      <c r="E1773" s="32" t="s">
        <v>651</v>
      </c>
      <c r="F1773" s="7"/>
      <c r="G1773" s="7"/>
      <c r="H1773" s="7"/>
      <c r="I1773" s="7"/>
      <c r="J1773" s="7">
        <v>3</v>
      </c>
      <c r="K1773" s="7" t="s">
        <v>660</v>
      </c>
      <c r="L1773" s="7" t="s">
        <v>663</v>
      </c>
      <c r="M1773" s="8">
        <v>44484</v>
      </c>
      <c r="N1773" s="8">
        <v>44495</v>
      </c>
      <c r="O1773" s="13"/>
      <c r="P1773" s="13">
        <v>797000.91</v>
      </c>
      <c r="Q1773" s="33"/>
      <c r="R1773" s="22"/>
      <c r="S1773" s="22"/>
      <c r="T1773" s="22"/>
      <c r="U1773" s="22"/>
      <c r="X1773" s="15" t="str">
        <f>IF(B1773="",VLOOKUP(A1773,items_lookup!A:B,2,FALSE),B1773)</f>
        <v>11. Item 11</v>
      </c>
      <c r="Y1773" s="15">
        <f t="shared" si="151"/>
        <v>10</v>
      </c>
      <c r="Z1773" s="15">
        <f t="shared" si="151"/>
        <v>10</v>
      </c>
      <c r="AA1773" s="15">
        <f t="shared" si="153"/>
        <v>2021</v>
      </c>
      <c r="AB1773" s="15">
        <f t="shared" si="154"/>
        <v>2021</v>
      </c>
      <c r="AC1773" s="15">
        <f t="shared" si="155"/>
        <v>2021</v>
      </c>
      <c r="AD1773" s="18" t="b">
        <f t="shared" si="152"/>
        <v>1</v>
      </c>
    </row>
    <row r="1774" spans="1:30" ht="15" hidden="1" customHeight="1" x14ac:dyDescent="0.2">
      <c r="A1774" s="7" t="s">
        <v>690</v>
      </c>
      <c r="B1774" s="7"/>
      <c r="C1774" s="2" t="s">
        <v>641</v>
      </c>
      <c r="D1774" s="6" t="s">
        <v>649</v>
      </c>
      <c r="E1774" s="32" t="s">
        <v>651</v>
      </c>
      <c r="F1774" s="7"/>
      <c r="G1774" s="7"/>
      <c r="H1774" s="7"/>
      <c r="I1774" s="7"/>
      <c r="J1774" s="7">
        <v>4</v>
      </c>
      <c r="K1774" s="7" t="s">
        <v>660</v>
      </c>
      <c r="L1774" s="7" t="s">
        <v>663</v>
      </c>
      <c r="M1774" s="8">
        <v>44484</v>
      </c>
      <c r="N1774" s="8">
        <v>44497</v>
      </c>
      <c r="O1774" s="13"/>
      <c r="P1774" s="13">
        <v>33968.660000000003</v>
      </c>
      <c r="Q1774" s="33"/>
      <c r="R1774" s="22"/>
      <c r="S1774" s="22"/>
      <c r="T1774" s="22"/>
      <c r="U1774" s="22"/>
      <c r="X1774" s="15" t="str">
        <f>IF(B1774="",VLOOKUP(A1774,items_lookup!A:B,2,FALSE),B1774)</f>
        <v>21. Item 21</v>
      </c>
      <c r="Y1774" s="15">
        <f t="shared" si="151"/>
        <v>10</v>
      </c>
      <c r="Z1774" s="15">
        <f t="shared" si="151"/>
        <v>10</v>
      </c>
      <c r="AA1774" s="15">
        <f t="shared" si="153"/>
        <v>2021</v>
      </c>
      <c r="AB1774" s="15">
        <f t="shared" si="154"/>
        <v>2021</v>
      </c>
      <c r="AC1774" s="15">
        <f t="shared" si="155"/>
        <v>2021</v>
      </c>
      <c r="AD1774" s="18" t="b">
        <f t="shared" si="152"/>
        <v>1</v>
      </c>
    </row>
    <row r="1775" spans="1:30" ht="15" hidden="1" customHeight="1" x14ac:dyDescent="0.2">
      <c r="A1775" s="7" t="s">
        <v>681</v>
      </c>
      <c r="B1775" s="7"/>
      <c r="C1775" s="2" t="s">
        <v>641</v>
      </c>
      <c r="D1775" s="6" t="s">
        <v>649</v>
      </c>
      <c r="E1775" s="32" t="s">
        <v>651</v>
      </c>
      <c r="F1775" s="7"/>
      <c r="G1775" s="7"/>
      <c r="H1775" s="7"/>
      <c r="I1775" s="7"/>
      <c r="J1775" s="7">
        <v>3</v>
      </c>
      <c r="K1775" s="7" t="s">
        <v>660</v>
      </c>
      <c r="L1775" s="7" t="s">
        <v>663</v>
      </c>
      <c r="M1775" s="8">
        <v>44484</v>
      </c>
      <c r="N1775" s="8">
        <v>44496</v>
      </c>
      <c r="O1775" s="13"/>
      <c r="P1775" s="13">
        <v>37013.949999999997</v>
      </c>
      <c r="Q1775" s="33"/>
      <c r="R1775" s="22"/>
      <c r="S1775" s="22"/>
      <c r="T1775" s="22"/>
      <c r="U1775" s="22"/>
      <c r="X1775" s="15" t="str">
        <f>IF(B1775="",VLOOKUP(A1775,items_lookup!A:B,2,FALSE),B1775)</f>
        <v>19. Item 19</v>
      </c>
      <c r="Y1775" s="15">
        <f t="shared" si="151"/>
        <v>10</v>
      </c>
      <c r="Z1775" s="15">
        <f t="shared" si="151"/>
        <v>10</v>
      </c>
      <c r="AA1775" s="15">
        <f t="shared" si="153"/>
        <v>2021</v>
      </c>
      <c r="AB1775" s="15">
        <f t="shared" si="154"/>
        <v>2021</v>
      </c>
      <c r="AC1775" s="15">
        <f t="shared" si="155"/>
        <v>2021</v>
      </c>
      <c r="AD1775" s="18" t="b">
        <f t="shared" si="152"/>
        <v>1</v>
      </c>
    </row>
    <row r="1776" spans="1:30" ht="15" hidden="1" customHeight="1" x14ac:dyDescent="0.2">
      <c r="A1776" s="7" t="s">
        <v>687</v>
      </c>
      <c r="B1776" s="7"/>
      <c r="C1776" s="2" t="s">
        <v>641</v>
      </c>
      <c r="D1776" s="6" t="s">
        <v>649</v>
      </c>
      <c r="E1776" s="32" t="s">
        <v>651</v>
      </c>
      <c r="F1776" s="7"/>
      <c r="G1776" s="7"/>
      <c r="H1776" s="7"/>
      <c r="I1776" s="7"/>
      <c r="J1776" s="7">
        <v>4</v>
      </c>
      <c r="K1776" s="7" t="s">
        <v>660</v>
      </c>
      <c r="L1776" s="7" t="s">
        <v>663</v>
      </c>
      <c r="M1776" s="8">
        <v>44488</v>
      </c>
      <c r="N1776" s="8">
        <v>44498</v>
      </c>
      <c r="O1776" s="13"/>
      <c r="P1776" s="13">
        <v>19324.88</v>
      </c>
      <c r="Q1776" s="33"/>
      <c r="R1776" s="22"/>
      <c r="S1776" s="22"/>
      <c r="T1776" s="22"/>
      <c r="U1776" s="22"/>
      <c r="X1776" s="15" t="str">
        <f>IF(B1776="",VLOOKUP(A1776,items_lookup!A:B,2,FALSE),B1776)</f>
        <v>14. Item 14</v>
      </c>
      <c r="Y1776" s="15">
        <f t="shared" si="151"/>
        <v>10</v>
      </c>
      <c r="Z1776" s="15">
        <f t="shared" si="151"/>
        <v>10</v>
      </c>
      <c r="AA1776" s="15">
        <f t="shared" si="153"/>
        <v>2021</v>
      </c>
      <c r="AB1776" s="15">
        <f t="shared" si="154"/>
        <v>2021</v>
      </c>
      <c r="AC1776" s="15">
        <f t="shared" si="155"/>
        <v>2021</v>
      </c>
      <c r="AD1776" s="18" t="b">
        <f t="shared" si="152"/>
        <v>1</v>
      </c>
    </row>
    <row r="1777" spans="1:30" ht="15" hidden="1" customHeight="1" x14ac:dyDescent="0.2">
      <c r="A1777" s="7" t="s">
        <v>691</v>
      </c>
      <c r="B1777" s="7"/>
      <c r="C1777" s="2" t="s">
        <v>641</v>
      </c>
      <c r="D1777" s="6" t="s">
        <v>649</v>
      </c>
      <c r="E1777" s="32" t="s">
        <v>651</v>
      </c>
      <c r="F1777" s="7"/>
      <c r="G1777" s="7"/>
      <c r="H1777" s="7"/>
      <c r="I1777" s="7"/>
      <c r="J1777" s="7">
        <v>4</v>
      </c>
      <c r="K1777" s="7" t="s">
        <v>660</v>
      </c>
      <c r="L1777" s="7" t="s">
        <v>663</v>
      </c>
      <c r="M1777" s="8">
        <v>44488</v>
      </c>
      <c r="N1777" s="8">
        <v>44498</v>
      </c>
      <c r="O1777" s="13"/>
      <c r="P1777" s="13">
        <v>43939.33</v>
      </c>
      <c r="Q1777" s="33"/>
      <c r="R1777" s="22"/>
      <c r="S1777" s="22"/>
      <c r="T1777" s="22"/>
      <c r="U1777" s="22"/>
      <c r="X1777" s="15" t="str">
        <f>IF(B1777="",VLOOKUP(A1777,items_lookup!A:B,2,FALSE),B1777)</f>
        <v>03. Item 03</v>
      </c>
      <c r="Y1777" s="15">
        <f t="shared" si="151"/>
        <v>10</v>
      </c>
      <c r="Z1777" s="15">
        <f t="shared" si="151"/>
        <v>10</v>
      </c>
      <c r="AA1777" s="15">
        <f t="shared" si="153"/>
        <v>2021</v>
      </c>
      <c r="AB1777" s="15">
        <f t="shared" si="154"/>
        <v>2021</v>
      </c>
      <c r="AC1777" s="15">
        <f t="shared" si="155"/>
        <v>2021</v>
      </c>
      <c r="AD1777" s="18" t="b">
        <f t="shared" si="152"/>
        <v>1</v>
      </c>
    </row>
    <row r="1778" spans="1:30" ht="15" hidden="1" customHeight="1" x14ac:dyDescent="0.2">
      <c r="A1778" s="7" t="s">
        <v>675</v>
      </c>
      <c r="B1778" s="7"/>
      <c r="C1778" s="2" t="s">
        <v>641</v>
      </c>
      <c r="D1778" s="6" t="s">
        <v>649</v>
      </c>
      <c r="E1778" s="32" t="s">
        <v>651</v>
      </c>
      <c r="F1778" s="7"/>
      <c r="G1778" s="7"/>
      <c r="H1778" s="7"/>
      <c r="I1778" s="7"/>
      <c r="J1778" s="7">
        <v>4</v>
      </c>
      <c r="K1778" s="7" t="s">
        <v>660</v>
      </c>
      <c r="L1778" s="7" t="s">
        <v>663</v>
      </c>
      <c r="M1778" s="8">
        <v>44488</v>
      </c>
      <c r="N1778" s="8">
        <v>44497</v>
      </c>
      <c r="O1778" s="13"/>
      <c r="P1778" s="13">
        <v>190.95</v>
      </c>
      <c r="Q1778" s="33"/>
      <c r="R1778" s="22"/>
      <c r="S1778" s="22"/>
      <c r="T1778" s="22"/>
      <c r="U1778" s="22"/>
      <c r="X1778" s="15" t="str">
        <f>IF(B1778="",VLOOKUP(A1778,items_lookup!A:B,2,FALSE),B1778)</f>
        <v>09. Item 09</v>
      </c>
      <c r="Y1778" s="15">
        <f t="shared" si="151"/>
        <v>10</v>
      </c>
      <c r="Z1778" s="15">
        <f t="shared" si="151"/>
        <v>10</v>
      </c>
      <c r="AA1778" s="15">
        <f t="shared" si="153"/>
        <v>2021</v>
      </c>
      <c r="AB1778" s="15">
        <f t="shared" si="154"/>
        <v>2021</v>
      </c>
      <c r="AC1778" s="15">
        <f t="shared" si="155"/>
        <v>2021</v>
      </c>
      <c r="AD1778" s="18" t="b">
        <f t="shared" si="152"/>
        <v>1</v>
      </c>
    </row>
    <row r="1779" spans="1:30" ht="15" hidden="1" customHeight="1" x14ac:dyDescent="0.2">
      <c r="A1779" s="7" t="s">
        <v>690</v>
      </c>
      <c r="B1779" s="7"/>
      <c r="C1779" s="2" t="s">
        <v>641</v>
      </c>
      <c r="D1779" s="6" t="s">
        <v>649</v>
      </c>
      <c r="E1779" s="32" t="s">
        <v>651</v>
      </c>
      <c r="F1779" s="7"/>
      <c r="G1779" s="7"/>
      <c r="H1779" s="7"/>
      <c r="I1779" s="7"/>
      <c r="J1779" s="7">
        <v>4</v>
      </c>
      <c r="K1779" s="7" t="s">
        <v>660</v>
      </c>
      <c r="L1779" s="7" t="s">
        <v>663</v>
      </c>
      <c r="M1779" s="8">
        <v>44488</v>
      </c>
      <c r="N1779" s="8">
        <v>44498</v>
      </c>
      <c r="O1779" s="13"/>
      <c r="P1779" s="13">
        <v>302064.02</v>
      </c>
      <c r="Q1779" s="33"/>
      <c r="R1779" s="22"/>
      <c r="S1779" s="22"/>
      <c r="T1779" s="22"/>
      <c r="U1779" s="22"/>
      <c r="X1779" s="15" t="str">
        <f>IF(B1779="",VLOOKUP(A1779,items_lookup!A:B,2,FALSE),B1779)</f>
        <v>21. Item 21</v>
      </c>
      <c r="Y1779" s="15">
        <f t="shared" ref="Y1779:Z1842" si="156">MONTH(M1779)</f>
        <v>10</v>
      </c>
      <c r="Z1779" s="15">
        <f t="shared" si="156"/>
        <v>10</v>
      </c>
      <c r="AA1779" s="15">
        <f t="shared" si="153"/>
        <v>2021</v>
      </c>
      <c r="AB1779" s="15">
        <f t="shared" si="154"/>
        <v>2021</v>
      </c>
      <c r="AC1779" s="15">
        <f t="shared" si="155"/>
        <v>2021</v>
      </c>
      <c r="AD1779" s="18" t="b">
        <f t="shared" si="152"/>
        <v>1</v>
      </c>
    </row>
    <row r="1780" spans="1:30" ht="15" hidden="1" customHeight="1" x14ac:dyDescent="0.2">
      <c r="A1780" s="7" t="s">
        <v>695</v>
      </c>
      <c r="B1780" s="7"/>
      <c r="C1780" s="2" t="s">
        <v>641</v>
      </c>
      <c r="D1780" s="6" t="s">
        <v>649</v>
      </c>
      <c r="E1780" s="32" t="s">
        <v>651</v>
      </c>
      <c r="F1780" s="7"/>
      <c r="G1780" s="7"/>
      <c r="H1780" s="7"/>
      <c r="I1780" s="7"/>
      <c r="J1780" s="7">
        <v>3</v>
      </c>
      <c r="K1780" s="7" t="s">
        <v>660</v>
      </c>
      <c r="L1780" s="7" t="s">
        <v>663</v>
      </c>
      <c r="M1780" s="8">
        <v>44484</v>
      </c>
      <c r="N1780" s="8">
        <v>44494</v>
      </c>
      <c r="O1780" s="13"/>
      <c r="P1780" s="13">
        <v>3500000</v>
      </c>
      <c r="Q1780" s="33"/>
      <c r="R1780" s="22"/>
      <c r="S1780" s="22"/>
      <c r="T1780" s="22"/>
      <c r="U1780" s="22"/>
      <c r="X1780" s="15" t="str">
        <f>IF(B1780="",VLOOKUP(A1780,items_lookup!A:B,2,FALSE),B1780)</f>
        <v>03. Item 03</v>
      </c>
      <c r="Y1780" s="15">
        <f t="shared" si="156"/>
        <v>10</v>
      </c>
      <c r="Z1780" s="15">
        <f t="shared" si="156"/>
        <v>10</v>
      </c>
      <c r="AA1780" s="15">
        <f t="shared" si="153"/>
        <v>2021</v>
      </c>
      <c r="AB1780" s="15">
        <f t="shared" si="154"/>
        <v>2021</v>
      </c>
      <c r="AC1780" s="15">
        <f t="shared" si="155"/>
        <v>2021</v>
      </c>
      <c r="AD1780" s="18" t="b">
        <f t="shared" si="152"/>
        <v>1</v>
      </c>
    </row>
    <row r="1781" spans="1:30" ht="15" hidden="1" customHeight="1" x14ac:dyDescent="0.2">
      <c r="A1781" s="7" t="s">
        <v>687</v>
      </c>
      <c r="B1781" s="7"/>
      <c r="C1781" s="2" t="s">
        <v>641</v>
      </c>
      <c r="D1781" s="6" t="s">
        <v>649</v>
      </c>
      <c r="E1781" s="32" t="s">
        <v>651</v>
      </c>
      <c r="F1781" s="7"/>
      <c r="G1781" s="7"/>
      <c r="H1781" s="7"/>
      <c r="I1781" s="7"/>
      <c r="J1781" s="7"/>
      <c r="K1781" s="7" t="s">
        <v>660</v>
      </c>
      <c r="L1781" s="7" t="s">
        <v>663</v>
      </c>
      <c r="M1781" s="8">
        <v>44487</v>
      </c>
      <c r="N1781" s="8">
        <v>44487</v>
      </c>
      <c r="O1781" s="13"/>
      <c r="P1781" s="13">
        <v>145331.38</v>
      </c>
      <c r="Q1781" s="33"/>
      <c r="R1781" s="22"/>
      <c r="S1781" s="22"/>
      <c r="T1781" s="22"/>
      <c r="U1781" s="22"/>
      <c r="X1781" s="15" t="str">
        <f>IF(B1781="",VLOOKUP(A1781,items_lookup!A:B,2,FALSE),B1781)</f>
        <v>14. Item 14</v>
      </c>
      <c r="Y1781" s="15">
        <f t="shared" si="156"/>
        <v>10</v>
      </c>
      <c r="Z1781" s="15">
        <f t="shared" si="156"/>
        <v>10</v>
      </c>
      <c r="AA1781" s="15">
        <f t="shared" si="153"/>
        <v>2021</v>
      </c>
      <c r="AB1781" s="15">
        <f t="shared" si="154"/>
        <v>2021</v>
      </c>
      <c r="AC1781" s="15">
        <f t="shared" si="155"/>
        <v>2021</v>
      </c>
      <c r="AD1781" s="18" t="b">
        <f t="shared" si="152"/>
        <v>1</v>
      </c>
    </row>
    <row r="1782" spans="1:30" ht="15" hidden="1" customHeight="1" x14ac:dyDescent="0.2">
      <c r="A1782" s="7" t="s">
        <v>683</v>
      </c>
      <c r="B1782" s="7"/>
      <c r="C1782" s="2" t="s">
        <v>641</v>
      </c>
      <c r="D1782" s="6" t="s">
        <v>649</v>
      </c>
      <c r="E1782" s="32" t="s">
        <v>651</v>
      </c>
      <c r="F1782" s="7"/>
      <c r="G1782" s="7"/>
      <c r="H1782" s="7"/>
      <c r="I1782" s="7"/>
      <c r="J1782" s="7"/>
      <c r="K1782" s="7" t="s">
        <v>660</v>
      </c>
      <c r="L1782" s="7" t="s">
        <v>663</v>
      </c>
      <c r="M1782" s="8">
        <v>44484</v>
      </c>
      <c r="N1782" s="8">
        <v>44484</v>
      </c>
      <c r="O1782" s="13"/>
      <c r="P1782" s="13">
        <v>3363287.22</v>
      </c>
      <c r="Q1782" s="33"/>
      <c r="R1782" s="22"/>
      <c r="S1782" s="22"/>
      <c r="T1782" s="22"/>
      <c r="U1782" s="22"/>
      <c r="X1782" s="15" t="str">
        <f>IF(B1782="",VLOOKUP(A1782,items_lookup!A:B,2,FALSE),B1782)</f>
        <v>_1. Item _1</v>
      </c>
      <c r="Y1782" s="15">
        <f t="shared" si="156"/>
        <v>10</v>
      </c>
      <c r="Z1782" s="15">
        <f t="shared" si="156"/>
        <v>10</v>
      </c>
      <c r="AA1782" s="15">
        <f t="shared" si="153"/>
        <v>2021</v>
      </c>
      <c r="AB1782" s="15">
        <f t="shared" si="154"/>
        <v>2021</v>
      </c>
      <c r="AC1782" s="15">
        <f t="shared" si="155"/>
        <v>2021</v>
      </c>
      <c r="AD1782" s="18" t="b">
        <f t="shared" si="152"/>
        <v>1</v>
      </c>
    </row>
    <row r="1783" spans="1:30" ht="15" hidden="1" customHeight="1" x14ac:dyDescent="0.2">
      <c r="A1783" s="7" t="s">
        <v>683</v>
      </c>
      <c r="B1783" s="7"/>
      <c r="C1783" s="2" t="s">
        <v>641</v>
      </c>
      <c r="D1783" s="6" t="s">
        <v>649</v>
      </c>
      <c r="E1783" s="32" t="s">
        <v>651</v>
      </c>
      <c r="F1783" s="7"/>
      <c r="G1783" s="7"/>
      <c r="H1783" s="7"/>
      <c r="I1783" s="7"/>
      <c r="J1783" s="7">
        <v>3</v>
      </c>
      <c r="K1783" s="7" t="s">
        <v>660</v>
      </c>
      <c r="L1783" s="7" t="s">
        <v>663</v>
      </c>
      <c r="M1783" s="8">
        <v>44484</v>
      </c>
      <c r="N1783" s="8">
        <v>44498</v>
      </c>
      <c r="O1783" s="13"/>
      <c r="P1783" s="13">
        <v>9874.77</v>
      </c>
      <c r="Q1783" s="33"/>
      <c r="R1783" s="22"/>
      <c r="S1783" s="22"/>
      <c r="T1783" s="22"/>
      <c r="U1783" s="22"/>
      <c r="X1783" s="15" t="str">
        <f>IF(B1783="",VLOOKUP(A1783,items_lookup!A:B,2,FALSE),B1783)</f>
        <v>_1. Item _1</v>
      </c>
      <c r="Y1783" s="15">
        <f t="shared" si="156"/>
        <v>10</v>
      </c>
      <c r="Z1783" s="15">
        <f t="shared" si="156"/>
        <v>10</v>
      </c>
      <c r="AA1783" s="15">
        <f t="shared" si="153"/>
        <v>2021</v>
      </c>
      <c r="AB1783" s="15">
        <f t="shared" si="154"/>
        <v>2021</v>
      </c>
      <c r="AC1783" s="15">
        <f t="shared" si="155"/>
        <v>2021</v>
      </c>
      <c r="AD1783" s="18" t="b">
        <f t="shared" si="152"/>
        <v>1</v>
      </c>
    </row>
    <row r="1784" spans="1:30" ht="15" hidden="1" customHeight="1" x14ac:dyDescent="0.2">
      <c r="A1784" s="7" t="s">
        <v>702</v>
      </c>
      <c r="B1784" s="7"/>
      <c r="C1784" s="2" t="s">
        <v>641</v>
      </c>
      <c r="D1784" s="6" t="s">
        <v>649</v>
      </c>
      <c r="E1784" s="32" t="s">
        <v>651</v>
      </c>
      <c r="F1784" s="7"/>
      <c r="G1784" s="7"/>
      <c r="H1784" s="7"/>
      <c r="I1784" s="7" t="s">
        <v>20</v>
      </c>
      <c r="J1784" s="7">
        <v>1</v>
      </c>
      <c r="K1784" s="7" t="s">
        <v>660</v>
      </c>
      <c r="L1784" s="7" t="s">
        <v>663</v>
      </c>
      <c r="M1784" s="8">
        <v>44487</v>
      </c>
      <c r="N1784" s="8">
        <v>44496</v>
      </c>
      <c r="O1784" s="13"/>
      <c r="P1784" s="13">
        <v>2621911.88</v>
      </c>
      <c r="Q1784" s="33"/>
      <c r="R1784" s="22"/>
      <c r="S1784" s="22"/>
      <c r="T1784" s="22"/>
      <c r="U1784" s="22"/>
      <c r="X1784" s="15" t="str">
        <f>IF(B1784="",VLOOKUP(A1784,items_lookup!A:B,2,FALSE),B1784)</f>
        <v>17. Item 17</v>
      </c>
      <c r="Y1784" s="15">
        <f t="shared" si="156"/>
        <v>10</v>
      </c>
      <c r="Z1784" s="15">
        <f t="shared" si="156"/>
        <v>10</v>
      </c>
      <c r="AA1784" s="15">
        <f t="shared" si="153"/>
        <v>2021</v>
      </c>
      <c r="AB1784" s="15">
        <f t="shared" si="154"/>
        <v>2021</v>
      </c>
      <c r="AC1784" s="15">
        <f t="shared" si="155"/>
        <v>2021</v>
      </c>
      <c r="AD1784" s="18" t="b">
        <f t="shared" si="152"/>
        <v>1</v>
      </c>
    </row>
    <row r="1785" spans="1:30" ht="15" hidden="1" customHeight="1" x14ac:dyDescent="0.2">
      <c r="A1785" s="7" t="s">
        <v>683</v>
      </c>
      <c r="B1785" s="20"/>
      <c r="C1785" s="2" t="s">
        <v>641</v>
      </c>
      <c r="D1785" s="6" t="s">
        <v>649</v>
      </c>
      <c r="E1785" s="32" t="s">
        <v>651</v>
      </c>
      <c r="F1785" s="7"/>
      <c r="G1785" s="7"/>
      <c r="H1785" s="7"/>
      <c r="I1785" s="7"/>
      <c r="J1785" s="7">
        <v>2</v>
      </c>
      <c r="K1785" s="7" t="s">
        <v>660</v>
      </c>
      <c r="L1785" s="7" t="s">
        <v>663</v>
      </c>
      <c r="M1785" s="8">
        <v>44480</v>
      </c>
      <c r="N1785" s="8">
        <v>44491</v>
      </c>
      <c r="O1785" s="13"/>
      <c r="P1785" s="13">
        <v>2318.7399999999998</v>
      </c>
      <c r="Q1785" s="33"/>
      <c r="R1785" s="9"/>
      <c r="S1785" s="9"/>
      <c r="T1785" s="9"/>
      <c r="U1785" s="9"/>
      <c r="X1785" s="15" t="str">
        <f>IF(B1785="",VLOOKUP(A1785,items_lookup!A:B,2,FALSE),B1785)</f>
        <v>_1. Item _1</v>
      </c>
      <c r="Y1785" s="15">
        <f t="shared" si="156"/>
        <v>10</v>
      </c>
      <c r="Z1785" s="15">
        <f t="shared" si="156"/>
        <v>10</v>
      </c>
      <c r="AA1785" s="15">
        <f t="shared" si="153"/>
        <v>2021</v>
      </c>
      <c r="AB1785" s="15">
        <f t="shared" si="154"/>
        <v>2021</v>
      </c>
      <c r="AC1785" s="15">
        <f t="shared" si="155"/>
        <v>2021</v>
      </c>
      <c r="AD1785" s="18" t="b">
        <f t="shared" si="152"/>
        <v>1</v>
      </c>
    </row>
    <row r="1786" spans="1:30" ht="15" hidden="1" customHeight="1" x14ac:dyDescent="0.2">
      <c r="A1786" s="7" t="s">
        <v>683</v>
      </c>
      <c r="B1786" s="20"/>
      <c r="C1786" s="2" t="s">
        <v>641</v>
      </c>
      <c r="D1786" s="6" t="s">
        <v>649</v>
      </c>
      <c r="E1786" s="32" t="s">
        <v>651</v>
      </c>
      <c r="F1786" s="7"/>
      <c r="G1786" s="7"/>
      <c r="H1786" s="7"/>
      <c r="I1786" s="7"/>
      <c r="J1786" s="7">
        <v>3</v>
      </c>
      <c r="K1786" s="7" t="s">
        <v>660</v>
      </c>
      <c r="L1786" s="7" t="s">
        <v>663</v>
      </c>
      <c r="M1786" s="8">
        <v>44470</v>
      </c>
      <c r="N1786" s="8">
        <v>44495</v>
      </c>
      <c r="O1786" s="13"/>
      <c r="P1786" s="13">
        <v>10726.76</v>
      </c>
      <c r="Q1786" s="33"/>
      <c r="R1786" s="9"/>
      <c r="S1786" s="9"/>
      <c r="T1786" s="9"/>
      <c r="U1786" s="9"/>
      <c r="X1786" s="15" t="str">
        <f>IF(B1786="",VLOOKUP(A1786,items_lookup!A:B,2,FALSE),B1786)</f>
        <v>_1. Item _1</v>
      </c>
      <c r="Y1786" s="15">
        <f t="shared" si="156"/>
        <v>10</v>
      </c>
      <c r="Z1786" s="15">
        <f t="shared" si="156"/>
        <v>10</v>
      </c>
      <c r="AA1786" s="15">
        <f t="shared" si="153"/>
        <v>2021</v>
      </c>
      <c r="AB1786" s="15">
        <f t="shared" si="154"/>
        <v>2021</v>
      </c>
      <c r="AC1786" s="15">
        <f t="shared" si="155"/>
        <v>2021</v>
      </c>
      <c r="AD1786" s="18" t="b">
        <f t="shared" si="152"/>
        <v>1</v>
      </c>
    </row>
    <row r="1787" spans="1:30" ht="15" hidden="1" customHeight="1" x14ac:dyDescent="0.2">
      <c r="A1787" s="7" t="s">
        <v>670</v>
      </c>
      <c r="B1787" s="7"/>
      <c r="C1787" s="2" t="s">
        <v>641</v>
      </c>
      <c r="D1787" s="6" t="s">
        <v>649</v>
      </c>
      <c r="E1787" s="32" t="s">
        <v>651</v>
      </c>
      <c r="F1787" s="7"/>
      <c r="G1787" s="7"/>
      <c r="H1787" s="7"/>
      <c r="I1787" s="7"/>
      <c r="J1787" s="7">
        <v>3</v>
      </c>
      <c r="K1787" s="7" t="s">
        <v>660</v>
      </c>
      <c r="L1787" s="7" t="s">
        <v>663</v>
      </c>
      <c r="M1787" s="8">
        <v>44484</v>
      </c>
      <c r="N1787" s="8">
        <v>44495</v>
      </c>
      <c r="O1787" s="13"/>
      <c r="P1787" s="13">
        <v>201853.6</v>
      </c>
      <c r="Q1787" s="33"/>
      <c r="R1787" s="22"/>
      <c r="S1787" s="22"/>
      <c r="T1787" s="22"/>
      <c r="U1787" s="22"/>
      <c r="X1787" s="15" t="str">
        <f>IF(B1787="",VLOOKUP(A1787,items_lookup!A:B,2,FALSE),B1787)</f>
        <v>04. Item 04</v>
      </c>
      <c r="Y1787" s="15">
        <f t="shared" si="156"/>
        <v>10</v>
      </c>
      <c r="Z1787" s="15">
        <f t="shared" si="156"/>
        <v>10</v>
      </c>
      <c r="AA1787" s="15">
        <f t="shared" si="153"/>
        <v>2021</v>
      </c>
      <c r="AB1787" s="15">
        <f t="shared" si="154"/>
        <v>2021</v>
      </c>
      <c r="AC1787" s="15">
        <f t="shared" si="155"/>
        <v>2021</v>
      </c>
      <c r="AD1787" s="18" t="b">
        <f t="shared" si="152"/>
        <v>1</v>
      </c>
    </row>
    <row r="1788" spans="1:30" ht="15" hidden="1" customHeight="1" x14ac:dyDescent="0.2">
      <c r="A1788" s="7" t="s">
        <v>689</v>
      </c>
      <c r="B1788" s="20"/>
      <c r="C1788" s="2" t="s">
        <v>641</v>
      </c>
      <c r="D1788" s="6" t="s">
        <v>649</v>
      </c>
      <c r="E1788" s="32" t="s">
        <v>651</v>
      </c>
      <c r="F1788" s="7"/>
      <c r="G1788" s="7"/>
      <c r="H1788" s="7"/>
      <c r="I1788" s="7"/>
      <c r="J1788" s="7">
        <v>3</v>
      </c>
      <c r="K1788" s="7" t="s">
        <v>660</v>
      </c>
      <c r="L1788" s="7" t="s">
        <v>663</v>
      </c>
      <c r="M1788" s="8">
        <v>44487</v>
      </c>
      <c r="N1788" s="8">
        <v>44497</v>
      </c>
      <c r="O1788" s="13"/>
      <c r="P1788" s="13">
        <v>540045.72</v>
      </c>
      <c r="Q1788" s="33"/>
      <c r="R1788" s="22"/>
      <c r="S1788" s="22"/>
      <c r="T1788" s="22"/>
      <c r="U1788" s="22"/>
      <c r="X1788" s="15" t="str">
        <f>IF(B1788="",VLOOKUP(A1788,items_lookup!A:B,2,FALSE),B1788)</f>
        <v>04. Item 04</v>
      </c>
      <c r="Y1788" s="15">
        <f t="shared" si="156"/>
        <v>10</v>
      </c>
      <c r="Z1788" s="15">
        <f t="shared" si="156"/>
        <v>10</v>
      </c>
      <c r="AA1788" s="15">
        <f t="shared" si="153"/>
        <v>2021</v>
      </c>
      <c r="AB1788" s="15">
        <f t="shared" si="154"/>
        <v>2021</v>
      </c>
      <c r="AC1788" s="15">
        <f t="shared" si="155"/>
        <v>2021</v>
      </c>
      <c r="AD1788" s="18" t="b">
        <f t="shared" si="152"/>
        <v>1</v>
      </c>
    </row>
    <row r="1789" spans="1:30" ht="15.75" hidden="1" customHeight="1" x14ac:dyDescent="0.2">
      <c r="A1789" s="7" t="s">
        <v>671</v>
      </c>
      <c r="B1789" s="7"/>
      <c r="C1789" s="2" t="s">
        <v>641</v>
      </c>
      <c r="D1789" s="6" t="s">
        <v>649</v>
      </c>
      <c r="E1789" s="32" t="s">
        <v>651</v>
      </c>
      <c r="F1789" s="7"/>
      <c r="G1789" s="7"/>
      <c r="H1789" s="7"/>
      <c r="I1789" s="7"/>
      <c r="J1789" s="7">
        <v>4</v>
      </c>
      <c r="K1789" s="7" t="s">
        <v>660</v>
      </c>
      <c r="L1789" s="7" t="s">
        <v>663</v>
      </c>
      <c r="M1789" s="8">
        <v>44482</v>
      </c>
      <c r="N1789" s="8">
        <v>44497</v>
      </c>
      <c r="O1789" s="13"/>
      <c r="P1789" s="13">
        <v>3165.6</v>
      </c>
      <c r="Q1789" s="33"/>
      <c r="R1789" s="22"/>
      <c r="S1789" s="22"/>
      <c r="T1789" s="22"/>
      <c r="U1789" s="22"/>
      <c r="X1789" s="15" t="str">
        <f>IF(B1789="",VLOOKUP(A1789,items_lookup!A:B,2,FALSE),B1789)</f>
        <v>05. Item 05</v>
      </c>
      <c r="Y1789" s="15">
        <f t="shared" si="156"/>
        <v>10</v>
      </c>
      <c r="Z1789" s="15">
        <f t="shared" si="156"/>
        <v>10</v>
      </c>
      <c r="AA1789" s="15">
        <f t="shared" si="153"/>
        <v>2021</v>
      </c>
      <c r="AB1789" s="15">
        <f t="shared" si="154"/>
        <v>2021</v>
      </c>
      <c r="AC1789" s="15">
        <f t="shared" si="155"/>
        <v>2021</v>
      </c>
      <c r="AD1789" s="18" t="b">
        <f t="shared" si="152"/>
        <v>1</v>
      </c>
    </row>
    <row r="1790" spans="1:30" ht="15" hidden="1" customHeight="1" x14ac:dyDescent="0.2">
      <c r="A1790" s="7" t="s">
        <v>672</v>
      </c>
      <c r="B1790" s="7"/>
      <c r="C1790" s="2" t="s">
        <v>641</v>
      </c>
      <c r="D1790" s="6" t="s">
        <v>649</v>
      </c>
      <c r="E1790" s="32" t="s">
        <v>651</v>
      </c>
      <c r="F1790" s="7"/>
      <c r="G1790" s="7"/>
      <c r="H1790" s="7"/>
      <c r="I1790" s="7"/>
      <c r="J1790" s="7">
        <v>4</v>
      </c>
      <c r="K1790" s="7" t="s">
        <v>660</v>
      </c>
      <c r="L1790" s="7" t="s">
        <v>663</v>
      </c>
      <c r="M1790" s="8">
        <v>44479</v>
      </c>
      <c r="N1790" s="8">
        <v>44497</v>
      </c>
      <c r="O1790" s="13"/>
      <c r="P1790" s="13">
        <v>141434.17000000001</v>
      </c>
      <c r="Q1790" s="33"/>
      <c r="R1790" s="22"/>
      <c r="S1790" s="22"/>
      <c r="T1790" s="22"/>
      <c r="U1790" s="22"/>
      <c r="X1790" s="15" t="str">
        <f>IF(B1790="",VLOOKUP(A1790,items_lookup!A:B,2,FALSE),B1790)</f>
        <v>05. Item 05</v>
      </c>
      <c r="Y1790" s="15">
        <f t="shared" si="156"/>
        <v>10</v>
      </c>
      <c r="Z1790" s="15">
        <f t="shared" si="156"/>
        <v>10</v>
      </c>
      <c r="AA1790" s="15">
        <f t="shared" si="153"/>
        <v>2021</v>
      </c>
      <c r="AB1790" s="15">
        <f t="shared" si="154"/>
        <v>2021</v>
      </c>
      <c r="AC1790" s="15">
        <f t="shared" si="155"/>
        <v>2021</v>
      </c>
      <c r="AD1790" s="18" t="b">
        <f t="shared" si="152"/>
        <v>1</v>
      </c>
    </row>
    <row r="1791" spans="1:30" ht="12.6" hidden="1" customHeight="1" x14ac:dyDescent="0.2">
      <c r="A1791" s="7" t="s">
        <v>682</v>
      </c>
      <c r="B1791" s="7"/>
      <c r="C1791" s="2" t="s">
        <v>641</v>
      </c>
      <c r="D1791" s="6" t="s">
        <v>649</v>
      </c>
      <c r="E1791" s="32" t="s">
        <v>651</v>
      </c>
      <c r="F1791" s="7"/>
      <c r="G1791" s="7"/>
      <c r="H1791" s="7"/>
      <c r="I1791" s="7"/>
      <c r="J1791" s="7">
        <v>4</v>
      </c>
      <c r="K1791" s="7" t="s">
        <v>660</v>
      </c>
      <c r="L1791" s="7" t="s">
        <v>663</v>
      </c>
      <c r="M1791" s="8">
        <v>44488</v>
      </c>
      <c r="N1791" s="8">
        <v>44497</v>
      </c>
      <c r="O1791" s="13"/>
      <c r="P1791" s="13">
        <v>4032971.12</v>
      </c>
      <c r="Q1791" s="33"/>
      <c r="R1791" s="22"/>
      <c r="S1791" s="22"/>
      <c r="T1791" s="22"/>
      <c r="U1791" s="22"/>
      <c r="X1791" s="15" t="str">
        <f>IF(B1791="",VLOOKUP(A1791,items_lookup!A:B,2,FALSE),B1791)</f>
        <v>06. Item 06</v>
      </c>
      <c r="Y1791" s="15">
        <f t="shared" si="156"/>
        <v>10</v>
      </c>
      <c r="Z1791" s="15">
        <f t="shared" si="156"/>
        <v>10</v>
      </c>
      <c r="AA1791" s="15">
        <f t="shared" si="153"/>
        <v>2021</v>
      </c>
      <c r="AB1791" s="15">
        <f t="shared" si="154"/>
        <v>2021</v>
      </c>
      <c r="AC1791" s="15">
        <f t="shared" si="155"/>
        <v>2021</v>
      </c>
      <c r="AD1791" s="18" t="b">
        <f t="shared" si="152"/>
        <v>1</v>
      </c>
    </row>
    <row r="1792" spans="1:30" ht="13.5" hidden="1" customHeight="1" x14ac:dyDescent="0.2">
      <c r="A1792" s="7" t="s">
        <v>673</v>
      </c>
      <c r="B1792" s="20"/>
      <c r="C1792" s="2" t="s">
        <v>641</v>
      </c>
      <c r="D1792" s="6" t="s">
        <v>649</v>
      </c>
      <c r="E1792" s="32" t="s">
        <v>651</v>
      </c>
      <c r="F1792" s="7"/>
      <c r="G1792" s="7"/>
      <c r="H1792" s="7"/>
      <c r="I1792" s="7"/>
      <c r="J1792" s="7">
        <v>3</v>
      </c>
      <c r="K1792" s="7" t="s">
        <v>660</v>
      </c>
      <c r="L1792" s="7" t="s">
        <v>663</v>
      </c>
      <c r="M1792" s="8">
        <v>44489</v>
      </c>
      <c r="N1792" s="8">
        <v>44497</v>
      </c>
      <c r="O1792" s="13"/>
      <c r="P1792" s="13">
        <v>2640</v>
      </c>
      <c r="Q1792" s="33"/>
      <c r="R1792" s="9"/>
      <c r="S1792" s="9"/>
      <c r="T1792" s="9"/>
      <c r="U1792" s="9"/>
      <c r="X1792" s="15" t="str">
        <f>IF(B1792="",VLOOKUP(A1792,items_lookup!A:B,2,FALSE),B1792)</f>
        <v>07. Item 07</v>
      </c>
      <c r="Y1792" s="15">
        <f t="shared" si="156"/>
        <v>10</v>
      </c>
      <c r="Z1792" s="15">
        <f t="shared" si="156"/>
        <v>10</v>
      </c>
      <c r="AA1792" s="15">
        <f t="shared" si="153"/>
        <v>2021</v>
      </c>
      <c r="AB1792" s="15">
        <f t="shared" si="154"/>
        <v>2021</v>
      </c>
      <c r="AC1792" s="15">
        <f t="shared" si="155"/>
        <v>2021</v>
      </c>
      <c r="AD1792" s="18" t="b">
        <f t="shared" si="152"/>
        <v>1</v>
      </c>
    </row>
    <row r="1793" spans="1:30" ht="15" hidden="1" customHeight="1" x14ac:dyDescent="0.2">
      <c r="A1793" s="7" t="s">
        <v>674</v>
      </c>
      <c r="B1793" s="7"/>
      <c r="C1793" s="2" t="s">
        <v>641</v>
      </c>
      <c r="D1793" s="6" t="s">
        <v>649</v>
      </c>
      <c r="E1793" s="32" t="s">
        <v>651</v>
      </c>
      <c r="F1793" s="7"/>
      <c r="G1793" s="7"/>
      <c r="H1793" s="7"/>
      <c r="I1793" s="7"/>
      <c r="J1793" s="7"/>
      <c r="K1793" s="7" t="s">
        <v>660</v>
      </c>
      <c r="L1793" s="7" t="s">
        <v>663</v>
      </c>
      <c r="M1793" s="8">
        <v>44488</v>
      </c>
      <c r="N1793" s="8">
        <v>44488</v>
      </c>
      <c r="O1793" s="13"/>
      <c r="P1793" s="13">
        <v>155369.29999999999</v>
      </c>
      <c r="Q1793" s="33"/>
      <c r="R1793" s="22"/>
      <c r="S1793" s="22"/>
      <c r="T1793" s="22"/>
      <c r="U1793" s="22"/>
      <c r="X1793" s="15" t="str">
        <f>IF(B1793="",VLOOKUP(A1793,items_lookup!A:B,2,FALSE),B1793)</f>
        <v>08. Item 08</v>
      </c>
      <c r="Y1793" s="15">
        <f t="shared" si="156"/>
        <v>10</v>
      </c>
      <c r="Z1793" s="15">
        <f t="shared" si="156"/>
        <v>10</v>
      </c>
      <c r="AA1793" s="15">
        <f t="shared" si="153"/>
        <v>2021</v>
      </c>
      <c r="AB1793" s="15">
        <f t="shared" si="154"/>
        <v>2021</v>
      </c>
      <c r="AC1793" s="15">
        <f t="shared" si="155"/>
        <v>2021</v>
      </c>
      <c r="AD1793" s="18" t="b">
        <f t="shared" si="152"/>
        <v>1</v>
      </c>
    </row>
    <row r="1794" spans="1:30" ht="15" hidden="1" customHeight="1" x14ac:dyDescent="0.2">
      <c r="A1794" s="7" t="s">
        <v>688</v>
      </c>
      <c r="B1794" s="7"/>
      <c r="C1794" s="2" t="s">
        <v>641</v>
      </c>
      <c r="D1794" s="6" t="s">
        <v>649</v>
      </c>
      <c r="E1794" s="32" t="s">
        <v>651</v>
      </c>
      <c r="F1794" s="7"/>
      <c r="G1794" s="7"/>
      <c r="H1794" s="7"/>
      <c r="I1794" s="7"/>
      <c r="J1794" s="7"/>
      <c r="K1794" s="7" t="s">
        <v>660</v>
      </c>
      <c r="L1794" s="7" t="s">
        <v>663</v>
      </c>
      <c r="M1794" s="8">
        <v>44489</v>
      </c>
      <c r="N1794" s="8">
        <v>44489</v>
      </c>
      <c r="O1794" s="13"/>
      <c r="P1794" s="13">
        <v>30209.63</v>
      </c>
      <c r="Q1794" s="33"/>
      <c r="R1794" s="22"/>
      <c r="S1794" s="22"/>
      <c r="T1794" s="22"/>
      <c r="U1794" s="22"/>
      <c r="X1794" s="15" t="str">
        <f>IF(B1794="",VLOOKUP(A1794,items_lookup!A:B,2,FALSE),B1794)</f>
        <v>09. Item 09</v>
      </c>
      <c r="Y1794" s="15">
        <f t="shared" si="156"/>
        <v>10</v>
      </c>
      <c r="Z1794" s="15">
        <f t="shared" si="156"/>
        <v>10</v>
      </c>
      <c r="AA1794" s="15">
        <f t="shared" si="153"/>
        <v>2021</v>
      </c>
      <c r="AB1794" s="15">
        <f t="shared" si="154"/>
        <v>2021</v>
      </c>
      <c r="AC1794" s="15">
        <f t="shared" si="155"/>
        <v>2021</v>
      </c>
      <c r="AD1794" s="18" t="b">
        <f t="shared" si="152"/>
        <v>1</v>
      </c>
    </row>
    <row r="1795" spans="1:30" ht="15" hidden="1" customHeight="1" x14ac:dyDescent="0.2">
      <c r="A1795" s="7" t="s">
        <v>676</v>
      </c>
      <c r="B1795" s="7"/>
      <c r="C1795" s="2" t="s">
        <v>641</v>
      </c>
      <c r="D1795" s="6" t="s">
        <v>649</v>
      </c>
      <c r="E1795" s="32" t="s">
        <v>651</v>
      </c>
      <c r="F1795" s="7"/>
      <c r="G1795" s="7"/>
      <c r="H1795" s="7"/>
      <c r="I1795" s="7"/>
      <c r="J1795" s="7"/>
      <c r="K1795" s="7" t="s">
        <v>660</v>
      </c>
      <c r="L1795" s="7" t="s">
        <v>663</v>
      </c>
      <c r="M1795" s="8">
        <v>44491</v>
      </c>
      <c r="N1795" s="8">
        <v>44491</v>
      </c>
      <c r="O1795" s="13"/>
      <c r="P1795" s="13">
        <v>523395.77</v>
      </c>
      <c r="Q1795" s="33"/>
      <c r="R1795" s="22"/>
      <c r="S1795" s="22"/>
      <c r="T1795" s="22"/>
      <c r="U1795" s="22"/>
      <c r="X1795" s="15" t="str">
        <f>IF(B1795="",VLOOKUP(A1795,items_lookup!A:B,2,FALSE),B1795)</f>
        <v>09. Item 09</v>
      </c>
      <c r="Y1795" s="15">
        <f t="shared" si="156"/>
        <v>10</v>
      </c>
      <c r="Z1795" s="15">
        <f t="shared" si="156"/>
        <v>10</v>
      </c>
      <c r="AA1795" s="15">
        <f t="shared" si="153"/>
        <v>2021</v>
      </c>
      <c r="AB1795" s="15">
        <f t="shared" si="154"/>
        <v>2021</v>
      </c>
      <c r="AC1795" s="15">
        <f t="shared" si="155"/>
        <v>2021</v>
      </c>
      <c r="AD1795" s="18" t="b">
        <f t="shared" ref="AD1795:AD1858" si="157">AND(ROUND(O1795,2)=O1795,ROUND(P1795,2)=P1795,OR(AND(O1795&lt;&gt;0,L1795="p"),AND(P1795&lt;&gt;0,L1795="f")),_xlfn.ISFORMULA(X1795),_xlfn.ISFORMULA(Y1795),_xlfn.ISFORMULA(Z1795),_xlfn.ISFORMULA(AA1795),_xlfn.ISFORMULA(AB1795),_xlfn.ISFORMULA(AC1795),NOT(_xlfn.ISFORMULA(O1795)),NOT(_xlfn.ISFORMULA(P1795)),M1795&lt;&gt;0,N1795&lt;&gt;0)</f>
        <v>1</v>
      </c>
    </row>
    <row r="1796" spans="1:30" ht="15" hidden="1" customHeight="1" x14ac:dyDescent="0.2">
      <c r="A1796" s="7" t="s">
        <v>675</v>
      </c>
      <c r="B1796" s="7"/>
      <c r="C1796" s="2" t="s">
        <v>641</v>
      </c>
      <c r="D1796" s="6" t="s">
        <v>649</v>
      </c>
      <c r="E1796" s="32" t="s">
        <v>651</v>
      </c>
      <c r="F1796" s="7"/>
      <c r="G1796" s="7"/>
      <c r="H1796" s="7"/>
      <c r="I1796" s="7"/>
      <c r="J1796" s="7">
        <v>3</v>
      </c>
      <c r="K1796" s="7" t="s">
        <v>660</v>
      </c>
      <c r="L1796" s="7" t="s">
        <v>663</v>
      </c>
      <c r="M1796" s="8">
        <v>44501</v>
      </c>
      <c r="N1796" s="8">
        <v>44519</v>
      </c>
      <c r="O1796" s="13"/>
      <c r="P1796" s="13">
        <v>239674.3</v>
      </c>
      <c r="Q1796" s="33"/>
      <c r="R1796" s="22"/>
      <c r="S1796" s="22"/>
      <c r="T1796" s="22"/>
      <c r="U1796" s="22"/>
      <c r="X1796" s="15" t="str">
        <f>IF(B1796="",VLOOKUP(A1796,items_lookup!A:B,2,FALSE),B1796)</f>
        <v>09. Item 09</v>
      </c>
      <c r="Y1796" s="15">
        <f t="shared" si="156"/>
        <v>11</v>
      </c>
      <c r="Z1796" s="15">
        <f t="shared" si="156"/>
        <v>11</v>
      </c>
      <c r="AA1796" s="15">
        <f t="shared" si="153"/>
        <v>2021</v>
      </c>
      <c r="AB1796" s="15">
        <f t="shared" si="154"/>
        <v>2021</v>
      </c>
      <c r="AC1796" s="15">
        <f t="shared" si="155"/>
        <v>2021</v>
      </c>
      <c r="AD1796" s="18" t="b">
        <f t="shared" si="157"/>
        <v>1</v>
      </c>
    </row>
    <row r="1797" spans="1:30" ht="15" hidden="1" customHeight="1" x14ac:dyDescent="0.2">
      <c r="A1797" s="7" t="s">
        <v>697</v>
      </c>
      <c r="B1797" s="20"/>
      <c r="C1797" s="2" t="s">
        <v>641</v>
      </c>
      <c r="D1797" s="6" t="s">
        <v>649</v>
      </c>
      <c r="E1797" s="32" t="s">
        <v>651</v>
      </c>
      <c r="F1797" s="7"/>
      <c r="G1797" s="7"/>
      <c r="H1797" s="7"/>
      <c r="I1797" s="7"/>
      <c r="J1797" s="7">
        <v>3</v>
      </c>
      <c r="K1797" s="7" t="s">
        <v>660</v>
      </c>
      <c r="L1797" s="7" t="s">
        <v>663</v>
      </c>
      <c r="M1797" s="8">
        <v>44487</v>
      </c>
      <c r="N1797" s="8">
        <v>44498</v>
      </c>
      <c r="O1797" s="13"/>
      <c r="P1797" s="13">
        <v>793958.15</v>
      </c>
      <c r="Q1797" s="33"/>
      <c r="R1797" s="22"/>
      <c r="S1797" s="22"/>
      <c r="T1797" s="22"/>
      <c r="U1797" s="22"/>
      <c r="X1797" s="15" t="str">
        <f>IF(B1797="",VLOOKUP(A1797,items_lookup!A:B,2,FALSE),B1797)</f>
        <v>10. Item 10</v>
      </c>
      <c r="Y1797" s="15">
        <f t="shared" si="156"/>
        <v>10</v>
      </c>
      <c r="Z1797" s="15">
        <f t="shared" si="156"/>
        <v>10</v>
      </c>
      <c r="AA1797" s="15">
        <f t="shared" si="153"/>
        <v>2021</v>
      </c>
      <c r="AB1797" s="15">
        <f t="shared" si="154"/>
        <v>2021</v>
      </c>
      <c r="AC1797" s="15">
        <f t="shared" si="155"/>
        <v>2021</v>
      </c>
      <c r="AD1797" s="18" t="b">
        <f t="shared" si="157"/>
        <v>1</v>
      </c>
    </row>
    <row r="1798" spans="1:30" ht="15.75" hidden="1" customHeight="1" x14ac:dyDescent="0.2">
      <c r="A1798" s="7" t="s">
        <v>698</v>
      </c>
      <c r="B1798" s="7"/>
      <c r="C1798" s="2" t="s">
        <v>641</v>
      </c>
      <c r="D1798" s="6" t="s">
        <v>650</v>
      </c>
      <c r="E1798" s="32" t="s">
        <v>651</v>
      </c>
      <c r="F1798" s="7"/>
      <c r="G1798" s="7"/>
      <c r="H1798" s="7"/>
      <c r="I1798" s="7"/>
      <c r="J1798" s="7">
        <v>4</v>
      </c>
      <c r="K1798" s="7" t="s">
        <v>660</v>
      </c>
      <c r="L1798" s="7" t="s">
        <v>663</v>
      </c>
      <c r="M1798" s="8">
        <v>44470</v>
      </c>
      <c r="N1798" s="8">
        <v>44474</v>
      </c>
      <c r="O1798" s="13"/>
      <c r="P1798" s="13">
        <v>223780.11</v>
      </c>
      <c r="Q1798" s="33"/>
      <c r="R1798" s="22"/>
      <c r="S1798" s="22"/>
      <c r="T1798" s="22"/>
      <c r="U1798" s="22"/>
      <c r="X1798" s="15" t="str">
        <f>IF(B1798="",VLOOKUP(A1798,items_lookup!A:B,2,FALSE),B1798)</f>
        <v>10. Item 10</v>
      </c>
      <c r="Y1798" s="15">
        <f t="shared" si="156"/>
        <v>10</v>
      </c>
      <c r="Z1798" s="15">
        <f t="shared" si="156"/>
        <v>10</v>
      </c>
      <c r="AA1798" s="15">
        <f t="shared" si="153"/>
        <v>2021</v>
      </c>
      <c r="AB1798" s="15">
        <f t="shared" si="154"/>
        <v>2021</v>
      </c>
      <c r="AC1798" s="15">
        <f t="shared" si="155"/>
        <v>2021</v>
      </c>
      <c r="AD1798" s="18" t="b">
        <f t="shared" si="157"/>
        <v>1</v>
      </c>
    </row>
    <row r="1799" spans="1:30" ht="12.6" hidden="1" customHeight="1" x14ac:dyDescent="0.2">
      <c r="A1799" s="7" t="s">
        <v>677</v>
      </c>
      <c r="B1799" s="7"/>
      <c r="C1799" s="2" t="s">
        <v>641</v>
      </c>
      <c r="D1799" s="6" t="s">
        <v>649</v>
      </c>
      <c r="E1799" s="32" t="s">
        <v>651</v>
      </c>
      <c r="F1799" s="7"/>
      <c r="G1799" s="7"/>
      <c r="H1799" s="7"/>
      <c r="I1799" s="7"/>
      <c r="J1799" s="7"/>
      <c r="K1799" s="7" t="s">
        <v>660</v>
      </c>
      <c r="L1799" s="7" t="s">
        <v>663</v>
      </c>
      <c r="M1799" s="8">
        <v>44494</v>
      </c>
      <c r="N1799" s="8">
        <v>44494</v>
      </c>
      <c r="O1799" s="13"/>
      <c r="P1799" s="13">
        <v>3500000</v>
      </c>
      <c r="Q1799" s="33"/>
      <c r="R1799" s="22"/>
      <c r="S1799" s="22"/>
      <c r="T1799" s="22"/>
      <c r="U1799" s="22"/>
      <c r="X1799" s="15" t="str">
        <f>IF(B1799="",VLOOKUP(A1799,items_lookup!A:B,2,FALSE),B1799)</f>
        <v>11. Item 11</v>
      </c>
      <c r="Y1799" s="15">
        <f t="shared" si="156"/>
        <v>10</v>
      </c>
      <c r="Z1799" s="15">
        <f t="shared" si="156"/>
        <v>10</v>
      </c>
      <c r="AA1799" s="15">
        <f t="shared" si="153"/>
        <v>2021</v>
      </c>
      <c r="AB1799" s="15">
        <f t="shared" si="154"/>
        <v>2021</v>
      </c>
      <c r="AC1799" s="15">
        <f t="shared" si="155"/>
        <v>2021</v>
      </c>
      <c r="AD1799" s="18" t="b">
        <f t="shared" si="157"/>
        <v>1</v>
      </c>
    </row>
    <row r="1800" spans="1:30" ht="15" hidden="1" customHeight="1" x14ac:dyDescent="0.2">
      <c r="A1800" s="7" t="s">
        <v>699</v>
      </c>
      <c r="B1800" s="7"/>
      <c r="C1800" s="2" t="s">
        <v>641</v>
      </c>
      <c r="D1800" s="6" t="s">
        <v>649</v>
      </c>
      <c r="E1800" s="32" t="s">
        <v>651</v>
      </c>
      <c r="F1800" s="7"/>
      <c r="G1800" s="7"/>
      <c r="H1800" s="7"/>
      <c r="I1800" s="7"/>
      <c r="J1800" s="7"/>
      <c r="K1800" s="7" t="s">
        <v>660</v>
      </c>
      <c r="L1800" s="7" t="s">
        <v>663</v>
      </c>
      <c r="M1800" s="8">
        <v>44495</v>
      </c>
      <c r="N1800" s="8">
        <v>44495</v>
      </c>
      <c r="O1800" s="13"/>
      <c r="P1800" s="13">
        <v>7302410.0999999996</v>
      </c>
      <c r="Q1800" s="33"/>
      <c r="R1800" s="22"/>
      <c r="S1800" s="22"/>
      <c r="T1800" s="22"/>
      <c r="U1800" s="22"/>
      <c r="X1800" s="15" t="str">
        <f>IF(B1800="",VLOOKUP(A1800,items_lookup!A:B,2,FALSE),B1800)</f>
        <v>12. Item 12</v>
      </c>
      <c r="Y1800" s="15">
        <f t="shared" si="156"/>
        <v>10</v>
      </c>
      <c r="Z1800" s="15">
        <f t="shared" si="156"/>
        <v>10</v>
      </c>
      <c r="AA1800" s="15">
        <f t="shared" si="153"/>
        <v>2021</v>
      </c>
      <c r="AB1800" s="15">
        <f t="shared" si="154"/>
        <v>2021</v>
      </c>
      <c r="AC1800" s="15">
        <f t="shared" si="155"/>
        <v>2021</v>
      </c>
      <c r="AD1800" s="18" t="b">
        <f t="shared" si="157"/>
        <v>1</v>
      </c>
    </row>
    <row r="1801" spans="1:30" ht="15" hidden="1" customHeight="1" x14ac:dyDescent="0.2">
      <c r="A1801" s="7" t="s">
        <v>696</v>
      </c>
      <c r="B1801" s="7"/>
      <c r="C1801" s="2" t="s">
        <v>641</v>
      </c>
      <c r="D1801" s="6" t="s">
        <v>649</v>
      </c>
      <c r="E1801" s="32" t="s">
        <v>651</v>
      </c>
      <c r="F1801" s="7"/>
      <c r="G1801" s="7"/>
      <c r="H1801" s="7"/>
      <c r="I1801" s="7"/>
      <c r="J1801" s="7"/>
      <c r="K1801" s="7" t="s">
        <v>660</v>
      </c>
      <c r="L1801" s="7" t="s">
        <v>663</v>
      </c>
      <c r="M1801" s="8">
        <v>44496</v>
      </c>
      <c r="N1801" s="8">
        <v>44496</v>
      </c>
      <c r="O1801" s="13"/>
      <c r="P1801" s="13">
        <v>4301184.83</v>
      </c>
      <c r="Q1801" s="33"/>
      <c r="R1801" s="22"/>
      <c r="S1801" s="22"/>
      <c r="T1801" s="22"/>
      <c r="U1801" s="22"/>
      <c r="X1801" s="15" t="str">
        <f>IF(B1801="",VLOOKUP(A1801,items_lookup!A:B,2,FALSE),B1801)</f>
        <v>13. Item 13</v>
      </c>
      <c r="Y1801" s="15">
        <f t="shared" si="156"/>
        <v>10</v>
      </c>
      <c r="Z1801" s="15">
        <f t="shared" si="156"/>
        <v>10</v>
      </c>
      <c r="AA1801" s="15">
        <f t="shared" si="153"/>
        <v>2021</v>
      </c>
      <c r="AB1801" s="15">
        <f t="shared" si="154"/>
        <v>2021</v>
      </c>
      <c r="AC1801" s="15">
        <f t="shared" si="155"/>
        <v>2021</v>
      </c>
      <c r="AD1801" s="18" t="b">
        <f t="shared" si="157"/>
        <v>1</v>
      </c>
    </row>
    <row r="1802" spans="1:30" ht="15" hidden="1" customHeight="1" x14ac:dyDescent="0.2">
      <c r="A1802" s="7" t="s">
        <v>678</v>
      </c>
      <c r="B1802" s="7"/>
      <c r="C1802" s="2" t="s">
        <v>641</v>
      </c>
      <c r="D1802" s="6" t="s">
        <v>649</v>
      </c>
      <c r="E1802" s="32" t="s">
        <v>651</v>
      </c>
      <c r="F1802" s="7"/>
      <c r="G1802" s="7"/>
      <c r="H1802" s="7"/>
      <c r="I1802" s="7"/>
      <c r="J1802" s="7"/>
      <c r="K1802" s="7" t="s">
        <v>660</v>
      </c>
      <c r="L1802" s="7" t="s">
        <v>663</v>
      </c>
      <c r="M1802" s="8">
        <v>44497</v>
      </c>
      <c r="N1802" s="8">
        <v>44497</v>
      </c>
      <c r="O1802" s="13"/>
      <c r="P1802" s="13">
        <v>4758389.08</v>
      </c>
      <c r="Q1802" s="33"/>
      <c r="R1802" s="22"/>
      <c r="S1802" s="22"/>
      <c r="T1802" s="22"/>
      <c r="U1802" s="22"/>
      <c r="X1802" s="15" t="str">
        <f>IF(B1802="",VLOOKUP(A1802,items_lookup!A:B,2,FALSE),B1802)</f>
        <v>13. Item 13</v>
      </c>
      <c r="Y1802" s="15">
        <f t="shared" si="156"/>
        <v>10</v>
      </c>
      <c r="Z1802" s="15">
        <f t="shared" si="156"/>
        <v>10</v>
      </c>
      <c r="AA1802" s="15">
        <f t="shared" si="153"/>
        <v>2021</v>
      </c>
      <c r="AB1802" s="15">
        <f t="shared" si="154"/>
        <v>2021</v>
      </c>
      <c r="AC1802" s="15">
        <f t="shared" si="155"/>
        <v>2021</v>
      </c>
      <c r="AD1802" s="18" t="b">
        <f t="shared" si="157"/>
        <v>1</v>
      </c>
    </row>
    <row r="1803" spans="1:30" ht="15" hidden="1" customHeight="1" x14ac:dyDescent="0.2">
      <c r="A1803" s="7" t="s">
        <v>700</v>
      </c>
      <c r="B1803" s="7"/>
      <c r="C1803" s="2" t="s">
        <v>641</v>
      </c>
      <c r="D1803" s="6" t="s">
        <v>649</v>
      </c>
      <c r="E1803" s="32" t="s">
        <v>651</v>
      </c>
      <c r="F1803" s="7"/>
      <c r="G1803" s="7"/>
      <c r="H1803" s="7"/>
      <c r="I1803" s="7" t="s">
        <v>20</v>
      </c>
      <c r="J1803" s="7">
        <v>1</v>
      </c>
      <c r="K1803" s="7" t="s">
        <v>660</v>
      </c>
      <c r="L1803" s="7" t="s">
        <v>663</v>
      </c>
      <c r="M1803" s="8">
        <v>44501</v>
      </c>
      <c r="N1803" s="8">
        <v>44519</v>
      </c>
      <c r="O1803" s="13"/>
      <c r="P1803" s="13">
        <v>2690476.19</v>
      </c>
      <c r="Q1803" s="33"/>
      <c r="R1803" s="22"/>
      <c r="S1803" s="22"/>
      <c r="T1803" s="22"/>
      <c r="U1803" s="22"/>
      <c r="X1803" s="15" t="str">
        <f>IF(B1803="",VLOOKUP(A1803,items_lookup!A:B,2,FALSE),B1803)</f>
        <v>13. Item 13</v>
      </c>
      <c r="Y1803" s="15">
        <f t="shared" si="156"/>
        <v>11</v>
      </c>
      <c r="Z1803" s="15">
        <f t="shared" si="156"/>
        <v>11</v>
      </c>
      <c r="AA1803" s="15">
        <f t="shared" si="153"/>
        <v>2021</v>
      </c>
      <c r="AB1803" s="15">
        <f t="shared" si="154"/>
        <v>2021</v>
      </c>
      <c r="AC1803" s="15">
        <f t="shared" si="155"/>
        <v>2021</v>
      </c>
      <c r="AD1803" s="18" t="b">
        <f t="shared" si="157"/>
        <v>1</v>
      </c>
    </row>
    <row r="1804" spans="1:30" ht="15" hidden="1" customHeight="1" x14ac:dyDescent="0.2">
      <c r="A1804" s="7" t="s">
        <v>701</v>
      </c>
      <c r="B1804" s="7"/>
      <c r="C1804" s="2" t="s">
        <v>641</v>
      </c>
      <c r="D1804" s="6" t="s">
        <v>649</v>
      </c>
      <c r="E1804" s="32" t="s">
        <v>651</v>
      </c>
      <c r="F1804" s="7"/>
      <c r="G1804" s="7"/>
      <c r="H1804" s="7"/>
      <c r="I1804" s="7"/>
      <c r="J1804" s="7">
        <v>1</v>
      </c>
      <c r="K1804" s="7" t="s">
        <v>660</v>
      </c>
      <c r="L1804" s="7" t="s">
        <v>663</v>
      </c>
      <c r="M1804" s="8">
        <v>44501</v>
      </c>
      <c r="N1804" s="8">
        <v>44519</v>
      </c>
      <c r="O1804" s="13"/>
      <c r="P1804" s="13">
        <v>11724.21</v>
      </c>
      <c r="Q1804" s="33"/>
      <c r="R1804" s="22"/>
      <c r="S1804" s="22"/>
      <c r="T1804" s="22"/>
      <c r="U1804" s="22"/>
      <c r="X1804" s="15" t="str">
        <f>IF(B1804="",VLOOKUP(A1804,items_lookup!A:B,2,FALSE),B1804)</f>
        <v>13. Item 13</v>
      </c>
      <c r="Y1804" s="15">
        <f t="shared" si="156"/>
        <v>11</v>
      </c>
      <c r="Z1804" s="15">
        <f t="shared" si="156"/>
        <v>11</v>
      </c>
      <c r="AA1804" s="15">
        <f t="shared" si="153"/>
        <v>2021</v>
      </c>
      <c r="AB1804" s="15">
        <f t="shared" si="154"/>
        <v>2021</v>
      </c>
      <c r="AC1804" s="15">
        <f t="shared" si="155"/>
        <v>2021</v>
      </c>
      <c r="AD1804" s="18" t="b">
        <f t="shared" si="157"/>
        <v>1</v>
      </c>
    </row>
    <row r="1805" spans="1:30" ht="15" hidden="1" customHeight="1" x14ac:dyDescent="0.2">
      <c r="A1805" s="7" t="s">
        <v>680</v>
      </c>
      <c r="B1805" s="7"/>
      <c r="C1805" s="2" t="s">
        <v>641</v>
      </c>
      <c r="D1805" s="6" t="s">
        <v>649</v>
      </c>
      <c r="E1805" s="32" t="s">
        <v>651</v>
      </c>
      <c r="F1805" s="7"/>
      <c r="G1805" s="7"/>
      <c r="H1805" s="7"/>
      <c r="I1805" s="7"/>
      <c r="J1805" s="7">
        <v>1</v>
      </c>
      <c r="K1805" s="7" t="s">
        <v>660</v>
      </c>
      <c r="L1805" s="7" t="s">
        <v>663</v>
      </c>
      <c r="M1805" s="8">
        <v>44501</v>
      </c>
      <c r="N1805" s="8">
        <v>44516</v>
      </c>
      <c r="O1805" s="13"/>
      <c r="P1805" s="13">
        <v>32038.94</v>
      </c>
      <c r="Q1805" s="33"/>
      <c r="R1805" s="22"/>
      <c r="S1805" s="22"/>
      <c r="T1805" s="22"/>
      <c r="U1805" s="22"/>
      <c r="X1805" s="15" t="str">
        <f>IF(B1805="",VLOOKUP(A1805,items_lookup!A:B,2,FALSE),B1805)</f>
        <v>13. Item 13</v>
      </c>
      <c r="Y1805" s="15">
        <f t="shared" si="156"/>
        <v>11</v>
      </c>
      <c r="Z1805" s="15">
        <f t="shared" si="156"/>
        <v>11</v>
      </c>
      <c r="AA1805" s="15">
        <f t="shared" si="153"/>
        <v>2021</v>
      </c>
      <c r="AB1805" s="15">
        <f t="shared" si="154"/>
        <v>2021</v>
      </c>
      <c r="AC1805" s="15">
        <f t="shared" si="155"/>
        <v>2021</v>
      </c>
      <c r="AD1805" s="18" t="b">
        <f t="shared" si="157"/>
        <v>1</v>
      </c>
    </row>
    <row r="1806" spans="1:30" ht="15" hidden="1" customHeight="1" x14ac:dyDescent="0.2">
      <c r="A1806" s="7" t="s">
        <v>687</v>
      </c>
      <c r="B1806" s="7"/>
      <c r="C1806" s="2" t="s">
        <v>641</v>
      </c>
      <c r="D1806" s="6" t="s">
        <v>649</v>
      </c>
      <c r="E1806" s="32" t="s">
        <v>651</v>
      </c>
      <c r="F1806" s="7"/>
      <c r="G1806" s="7"/>
      <c r="H1806" s="7"/>
      <c r="I1806" s="7"/>
      <c r="J1806" s="7"/>
      <c r="K1806" s="7" t="s">
        <v>660</v>
      </c>
      <c r="L1806" s="7" t="s">
        <v>663</v>
      </c>
      <c r="M1806" s="8">
        <v>44498</v>
      </c>
      <c r="N1806" s="8">
        <v>44498</v>
      </c>
      <c r="O1806" s="13"/>
      <c r="P1806" s="13">
        <v>18552003.620000001</v>
      </c>
      <c r="Q1806" s="33"/>
      <c r="R1806" s="22"/>
      <c r="S1806" s="22"/>
      <c r="T1806" s="22"/>
      <c r="U1806" s="22"/>
      <c r="X1806" s="15" t="str">
        <f>IF(B1806="",VLOOKUP(A1806,items_lookup!A:B,2,FALSE),B1806)</f>
        <v>14. Item 14</v>
      </c>
      <c r="Y1806" s="15">
        <f t="shared" si="156"/>
        <v>10</v>
      </c>
      <c r="Z1806" s="15">
        <f t="shared" si="156"/>
        <v>10</v>
      </c>
      <c r="AA1806" s="15">
        <f t="shared" si="153"/>
        <v>2021</v>
      </c>
      <c r="AB1806" s="15">
        <f t="shared" si="154"/>
        <v>2021</v>
      </c>
      <c r="AC1806" s="15">
        <f t="shared" si="155"/>
        <v>2021</v>
      </c>
      <c r="AD1806" s="18" t="b">
        <f t="shared" si="157"/>
        <v>1</v>
      </c>
    </row>
    <row r="1807" spans="1:30" ht="15" hidden="1" customHeight="1" x14ac:dyDescent="0.2">
      <c r="A1807" s="7" t="s">
        <v>702</v>
      </c>
      <c r="B1807" s="7"/>
      <c r="C1807" s="2" t="s">
        <v>641</v>
      </c>
      <c r="D1807" s="6" t="s">
        <v>649</v>
      </c>
      <c r="E1807" s="32" t="s">
        <v>651</v>
      </c>
      <c r="F1807" s="7"/>
      <c r="G1807" s="7"/>
      <c r="H1807" s="7"/>
      <c r="I1807" s="7" t="s">
        <v>20</v>
      </c>
      <c r="J1807" s="7">
        <v>1</v>
      </c>
      <c r="K1807" s="7" t="s">
        <v>660</v>
      </c>
      <c r="L1807" s="7" t="s">
        <v>663</v>
      </c>
      <c r="M1807" s="8">
        <v>44508</v>
      </c>
      <c r="N1807" s="8">
        <v>44519</v>
      </c>
      <c r="O1807" s="13"/>
      <c r="P1807" s="13">
        <v>8582.16</v>
      </c>
      <c r="Q1807" s="33"/>
      <c r="R1807" s="22"/>
      <c r="S1807" s="22"/>
      <c r="T1807" s="22"/>
      <c r="U1807" s="22"/>
      <c r="X1807" s="15" t="str">
        <f>IF(B1807="",VLOOKUP(A1807,items_lookup!A:B,2,FALSE),B1807)</f>
        <v>17. Item 17</v>
      </c>
      <c r="Y1807" s="15">
        <f t="shared" si="156"/>
        <v>11</v>
      </c>
      <c r="Z1807" s="15">
        <f t="shared" si="156"/>
        <v>11</v>
      </c>
      <c r="AA1807" s="15">
        <f t="shared" si="153"/>
        <v>2021</v>
      </c>
      <c r="AB1807" s="15">
        <f t="shared" si="154"/>
        <v>2021</v>
      </c>
      <c r="AC1807" s="15">
        <f t="shared" si="155"/>
        <v>2021</v>
      </c>
      <c r="AD1807" s="18" t="b">
        <f t="shared" si="157"/>
        <v>1</v>
      </c>
    </row>
    <row r="1808" spans="1:30" ht="15" hidden="1" customHeight="1" x14ac:dyDescent="0.2">
      <c r="A1808" s="7" t="s">
        <v>677</v>
      </c>
      <c r="B1808" s="7"/>
      <c r="C1808" s="2" t="s">
        <v>641</v>
      </c>
      <c r="D1808" s="6" t="s">
        <v>649</v>
      </c>
      <c r="E1808" s="32" t="s">
        <v>651</v>
      </c>
      <c r="F1808" s="7"/>
      <c r="G1808" s="7"/>
      <c r="H1808" s="7"/>
      <c r="I1808" s="7"/>
      <c r="J1808" s="7">
        <v>3</v>
      </c>
      <c r="K1808" s="7" t="s">
        <v>660</v>
      </c>
      <c r="L1808" s="7" t="s">
        <v>663</v>
      </c>
      <c r="M1808" s="8">
        <v>44501</v>
      </c>
      <c r="N1808" s="8">
        <v>44512</v>
      </c>
      <c r="O1808" s="13"/>
      <c r="P1808" s="13">
        <v>66.55</v>
      </c>
      <c r="Q1808" s="33"/>
      <c r="X1808" s="15" t="str">
        <f>IF(B1808="",VLOOKUP(A1808,items_lookup!A:B,2,FALSE),B1808)</f>
        <v>11. Item 11</v>
      </c>
      <c r="Y1808" s="15">
        <f t="shared" si="156"/>
        <v>11</v>
      </c>
      <c r="Z1808" s="15">
        <f t="shared" si="156"/>
        <v>11</v>
      </c>
      <c r="AA1808" s="15">
        <f t="shared" si="153"/>
        <v>2021</v>
      </c>
      <c r="AB1808" s="15">
        <f t="shared" si="154"/>
        <v>2021</v>
      </c>
      <c r="AC1808" s="15">
        <f t="shared" si="155"/>
        <v>2021</v>
      </c>
      <c r="AD1808" s="18" t="b">
        <f t="shared" si="157"/>
        <v>1</v>
      </c>
    </row>
    <row r="1809" spans="1:30" ht="14.25" hidden="1" customHeight="1" x14ac:dyDescent="0.2">
      <c r="A1809" s="7" t="s">
        <v>680</v>
      </c>
      <c r="B1809" s="7"/>
      <c r="C1809" s="2" t="s">
        <v>641</v>
      </c>
      <c r="D1809" s="6" t="s">
        <v>649</v>
      </c>
      <c r="E1809" s="32" t="s">
        <v>651</v>
      </c>
      <c r="F1809" s="7"/>
      <c r="G1809" s="7"/>
      <c r="H1809" s="7"/>
      <c r="I1809" s="7" t="s">
        <v>20</v>
      </c>
      <c r="J1809" s="7">
        <v>1</v>
      </c>
      <c r="K1809" s="7" t="s">
        <v>660</v>
      </c>
      <c r="L1809" s="7" t="s">
        <v>663</v>
      </c>
      <c r="M1809" s="8">
        <v>44508</v>
      </c>
      <c r="N1809" s="8">
        <v>44516</v>
      </c>
      <c r="O1809" s="13"/>
      <c r="P1809" s="13">
        <v>595.24</v>
      </c>
      <c r="Q1809" s="33"/>
      <c r="X1809" s="15" t="str">
        <f>IF(B1809="",VLOOKUP(A1809,items_lookup!A:B,2,FALSE),B1809)</f>
        <v>13. Item 13</v>
      </c>
      <c r="Y1809" s="15">
        <f t="shared" si="156"/>
        <v>11</v>
      </c>
      <c r="Z1809" s="15">
        <f t="shared" si="156"/>
        <v>11</v>
      </c>
      <c r="AA1809" s="15">
        <f t="shared" si="153"/>
        <v>2021</v>
      </c>
      <c r="AB1809" s="15">
        <f t="shared" si="154"/>
        <v>2021</v>
      </c>
      <c r="AC1809" s="15">
        <f t="shared" si="155"/>
        <v>2021</v>
      </c>
      <c r="AD1809" s="18" t="b">
        <f t="shared" si="157"/>
        <v>1</v>
      </c>
    </row>
    <row r="1810" spans="1:30" ht="14.25" hidden="1" customHeight="1" x14ac:dyDescent="0.2">
      <c r="A1810" s="7" t="s">
        <v>680</v>
      </c>
      <c r="B1810" s="7"/>
      <c r="C1810" s="2" t="s">
        <v>641</v>
      </c>
      <c r="D1810" s="6" t="s">
        <v>649</v>
      </c>
      <c r="E1810" s="32" t="s">
        <v>651</v>
      </c>
      <c r="F1810" s="7"/>
      <c r="G1810" s="7"/>
      <c r="H1810" s="7"/>
      <c r="I1810" s="7"/>
      <c r="J1810" s="7">
        <v>1</v>
      </c>
      <c r="K1810" s="7" t="s">
        <v>660</v>
      </c>
      <c r="L1810" s="7" t="s">
        <v>663</v>
      </c>
      <c r="M1810" s="8">
        <v>44508</v>
      </c>
      <c r="N1810" s="8">
        <v>44516</v>
      </c>
      <c r="O1810" s="13"/>
      <c r="P1810" s="13">
        <v>29605.77</v>
      </c>
      <c r="Q1810" s="33"/>
      <c r="X1810" s="15" t="str">
        <f>IF(B1810="",VLOOKUP(A1810,items_lookup!A:B,2,FALSE),B1810)</f>
        <v>13. Item 13</v>
      </c>
      <c r="Y1810" s="15">
        <f t="shared" si="156"/>
        <v>11</v>
      </c>
      <c r="Z1810" s="15">
        <f t="shared" si="156"/>
        <v>11</v>
      </c>
      <c r="AA1810" s="15">
        <f t="shared" si="153"/>
        <v>2021</v>
      </c>
      <c r="AB1810" s="15">
        <f t="shared" si="154"/>
        <v>2021</v>
      </c>
      <c r="AC1810" s="15">
        <f t="shared" si="155"/>
        <v>2021</v>
      </c>
      <c r="AD1810" s="18" t="b">
        <f t="shared" si="157"/>
        <v>1</v>
      </c>
    </row>
    <row r="1811" spans="1:30" ht="14.25" hidden="1" customHeight="1" x14ac:dyDescent="0.2">
      <c r="A1811" s="7" t="s">
        <v>680</v>
      </c>
      <c r="B1811" s="7"/>
      <c r="C1811" s="2" t="s">
        <v>641</v>
      </c>
      <c r="D1811" s="6" t="s">
        <v>649</v>
      </c>
      <c r="E1811" s="32" t="s">
        <v>651</v>
      </c>
      <c r="F1811" s="7"/>
      <c r="G1811" s="7"/>
      <c r="H1811" s="7"/>
      <c r="I1811" s="7" t="s">
        <v>20</v>
      </c>
      <c r="J1811" s="7">
        <v>1</v>
      </c>
      <c r="K1811" s="7" t="s">
        <v>660</v>
      </c>
      <c r="L1811" s="7" t="s">
        <v>663</v>
      </c>
      <c r="M1811" s="8">
        <v>44508</v>
      </c>
      <c r="N1811" s="8">
        <v>44517</v>
      </c>
      <c r="O1811" s="13"/>
      <c r="P1811" s="13">
        <v>4544.05</v>
      </c>
      <c r="Q1811" s="33"/>
      <c r="X1811" s="15" t="str">
        <f>IF(B1811="",VLOOKUP(A1811,items_lookup!A:B,2,FALSE),B1811)</f>
        <v>13. Item 13</v>
      </c>
      <c r="Y1811" s="15">
        <f t="shared" si="156"/>
        <v>11</v>
      </c>
      <c r="Z1811" s="15">
        <f t="shared" si="156"/>
        <v>11</v>
      </c>
      <c r="AA1811" s="15">
        <f t="shared" si="153"/>
        <v>2021</v>
      </c>
      <c r="AB1811" s="15">
        <f t="shared" si="154"/>
        <v>2021</v>
      </c>
      <c r="AC1811" s="15">
        <f t="shared" si="155"/>
        <v>2021</v>
      </c>
      <c r="AD1811" s="18" t="b">
        <f t="shared" si="157"/>
        <v>1</v>
      </c>
    </row>
    <row r="1812" spans="1:30" ht="14.25" hidden="1" customHeight="1" x14ac:dyDescent="0.2">
      <c r="A1812" s="7" t="s">
        <v>680</v>
      </c>
      <c r="B1812" s="7"/>
      <c r="C1812" s="2" t="s">
        <v>641</v>
      </c>
      <c r="D1812" s="6" t="s">
        <v>649</v>
      </c>
      <c r="E1812" s="32" t="s">
        <v>651</v>
      </c>
      <c r="F1812" s="7"/>
      <c r="G1812" s="7"/>
      <c r="H1812" s="7"/>
      <c r="I1812" s="7"/>
      <c r="J1812" s="7">
        <v>1</v>
      </c>
      <c r="K1812" s="7" t="s">
        <v>660</v>
      </c>
      <c r="L1812" s="7" t="s">
        <v>663</v>
      </c>
      <c r="M1812" s="8">
        <v>44508</v>
      </c>
      <c r="N1812" s="8">
        <v>44517</v>
      </c>
      <c r="O1812" s="13"/>
      <c r="P1812" s="13">
        <v>6612.32</v>
      </c>
      <c r="Q1812" s="33"/>
      <c r="X1812" s="15" t="str">
        <f>IF(B1812="",VLOOKUP(A1812,items_lookup!A:B,2,FALSE),B1812)</f>
        <v>13. Item 13</v>
      </c>
      <c r="Y1812" s="15">
        <f t="shared" si="156"/>
        <v>11</v>
      </c>
      <c r="Z1812" s="15">
        <f t="shared" si="156"/>
        <v>11</v>
      </c>
      <c r="AA1812" s="15">
        <f t="shared" si="153"/>
        <v>2021</v>
      </c>
      <c r="AB1812" s="15">
        <f t="shared" si="154"/>
        <v>2021</v>
      </c>
      <c r="AC1812" s="15">
        <f t="shared" si="155"/>
        <v>2021</v>
      </c>
      <c r="AD1812" s="18" t="b">
        <f t="shared" si="157"/>
        <v>1</v>
      </c>
    </row>
    <row r="1813" spans="1:30" ht="14.25" hidden="1" customHeight="1" x14ac:dyDescent="0.2">
      <c r="A1813" s="7" t="s">
        <v>680</v>
      </c>
      <c r="B1813" s="7"/>
      <c r="C1813" s="2" t="s">
        <v>641</v>
      </c>
      <c r="D1813" s="6" t="s">
        <v>649</v>
      </c>
      <c r="E1813" s="32" t="s">
        <v>651</v>
      </c>
      <c r="F1813" s="7"/>
      <c r="G1813" s="7"/>
      <c r="H1813" s="7"/>
      <c r="I1813" s="7"/>
      <c r="J1813" s="7"/>
      <c r="K1813" s="7" t="s">
        <v>660</v>
      </c>
      <c r="L1813" s="7" t="s">
        <v>663</v>
      </c>
      <c r="M1813" s="8">
        <v>44509</v>
      </c>
      <c r="N1813" s="8">
        <v>44518</v>
      </c>
      <c r="O1813" s="13"/>
      <c r="P1813" s="13">
        <v>51810.89</v>
      </c>
      <c r="Q1813" s="33"/>
      <c r="X1813" s="15" t="str">
        <f>IF(B1813="",VLOOKUP(A1813,items_lookup!A:B,2,FALSE),B1813)</f>
        <v>13. Item 13</v>
      </c>
      <c r="Y1813" s="15">
        <f t="shared" si="156"/>
        <v>11</v>
      </c>
      <c r="Z1813" s="15">
        <f t="shared" si="156"/>
        <v>11</v>
      </c>
      <c r="AA1813" s="15">
        <f t="shared" si="153"/>
        <v>2021</v>
      </c>
      <c r="AB1813" s="15">
        <f t="shared" si="154"/>
        <v>2021</v>
      </c>
      <c r="AC1813" s="15">
        <f t="shared" si="155"/>
        <v>2021</v>
      </c>
      <c r="AD1813" s="18" t="b">
        <f t="shared" si="157"/>
        <v>1</v>
      </c>
    </row>
    <row r="1814" spans="1:30" ht="14.25" hidden="1" customHeight="1" x14ac:dyDescent="0.2">
      <c r="A1814" s="7" t="s">
        <v>680</v>
      </c>
      <c r="B1814" s="7"/>
      <c r="C1814" s="2" t="s">
        <v>641</v>
      </c>
      <c r="D1814" s="6" t="s">
        <v>649</v>
      </c>
      <c r="E1814" s="32" t="s">
        <v>651</v>
      </c>
      <c r="F1814" s="7"/>
      <c r="G1814" s="7"/>
      <c r="H1814" s="7"/>
      <c r="I1814" s="7" t="s">
        <v>20</v>
      </c>
      <c r="J1814" s="7"/>
      <c r="K1814" s="7" t="s">
        <v>660</v>
      </c>
      <c r="L1814" s="7" t="s">
        <v>663</v>
      </c>
      <c r="M1814" s="8">
        <v>44510</v>
      </c>
      <c r="N1814" s="8">
        <v>44522</v>
      </c>
      <c r="O1814" s="13"/>
      <c r="P1814" s="13">
        <v>256714.83</v>
      </c>
      <c r="Q1814" s="33"/>
      <c r="X1814" s="15" t="str">
        <f>IF(B1814="",VLOOKUP(A1814,items_lookup!A:B,2,FALSE),B1814)</f>
        <v>13. Item 13</v>
      </c>
      <c r="Y1814" s="15">
        <f t="shared" si="156"/>
        <v>11</v>
      </c>
      <c r="Z1814" s="15">
        <f t="shared" si="156"/>
        <v>11</v>
      </c>
      <c r="AA1814" s="15">
        <f t="shared" si="153"/>
        <v>2021</v>
      </c>
      <c r="AB1814" s="15">
        <f t="shared" si="154"/>
        <v>2021</v>
      </c>
      <c r="AC1814" s="15">
        <f t="shared" si="155"/>
        <v>2021</v>
      </c>
      <c r="AD1814" s="18" t="b">
        <f t="shared" si="157"/>
        <v>1</v>
      </c>
    </row>
    <row r="1815" spans="1:30" ht="14.25" hidden="1" customHeight="1" x14ac:dyDescent="0.2">
      <c r="A1815" s="7" t="s">
        <v>701</v>
      </c>
      <c r="B1815" s="7"/>
      <c r="C1815" s="2" t="s">
        <v>641</v>
      </c>
      <c r="D1815" s="6" t="s">
        <v>649</v>
      </c>
      <c r="E1815" s="32" t="s">
        <v>651</v>
      </c>
      <c r="F1815" s="7"/>
      <c r="G1815" s="7"/>
      <c r="H1815" s="7"/>
      <c r="I1815" s="7" t="s">
        <v>20</v>
      </c>
      <c r="J1815" s="7"/>
      <c r="K1815" s="7" t="s">
        <v>660</v>
      </c>
      <c r="L1815" s="7" t="s">
        <v>663</v>
      </c>
      <c r="M1815" s="8">
        <v>44510</v>
      </c>
      <c r="N1815" s="8">
        <v>44519</v>
      </c>
      <c r="O1815" s="13"/>
      <c r="P1815" s="13">
        <v>14003.76</v>
      </c>
      <c r="Q1815" s="33"/>
      <c r="X1815" s="15" t="str">
        <f>IF(B1815="",VLOOKUP(A1815,items_lookup!A:B,2,FALSE),B1815)</f>
        <v>13. Item 13</v>
      </c>
      <c r="Y1815" s="15">
        <f t="shared" si="156"/>
        <v>11</v>
      </c>
      <c r="Z1815" s="15">
        <f t="shared" si="156"/>
        <v>11</v>
      </c>
      <c r="AA1815" s="15">
        <f t="shared" si="153"/>
        <v>2021</v>
      </c>
      <c r="AB1815" s="15">
        <f t="shared" si="154"/>
        <v>2021</v>
      </c>
      <c r="AC1815" s="15">
        <f t="shared" si="155"/>
        <v>2021</v>
      </c>
      <c r="AD1815" s="18" t="b">
        <f t="shared" si="157"/>
        <v>1</v>
      </c>
    </row>
    <row r="1816" spans="1:30" ht="14.25" hidden="1" customHeight="1" x14ac:dyDescent="0.2">
      <c r="A1816" s="7" t="s">
        <v>672</v>
      </c>
      <c r="B1816" s="7"/>
      <c r="C1816" s="2" t="s">
        <v>641</v>
      </c>
      <c r="D1816" s="6" t="s">
        <v>649</v>
      </c>
      <c r="E1816" s="32" t="s">
        <v>651</v>
      </c>
      <c r="F1816" s="7"/>
      <c r="G1816" s="7"/>
      <c r="H1816" s="7"/>
      <c r="I1816" s="7"/>
      <c r="J1816" s="7"/>
      <c r="K1816" s="7" t="s">
        <v>660</v>
      </c>
      <c r="L1816" s="7" t="s">
        <v>663</v>
      </c>
      <c r="M1816" s="8">
        <v>44510</v>
      </c>
      <c r="N1816" s="8">
        <v>44519</v>
      </c>
      <c r="O1816" s="13"/>
      <c r="P1816" s="13">
        <v>10009</v>
      </c>
      <c r="Q1816" s="33"/>
      <c r="X1816" s="15" t="str">
        <f>IF(B1816="",VLOOKUP(A1816,items_lookup!A:B,2,FALSE),B1816)</f>
        <v>05. Item 05</v>
      </c>
      <c r="Y1816" s="15">
        <f t="shared" si="156"/>
        <v>11</v>
      </c>
      <c r="Z1816" s="15">
        <f t="shared" si="156"/>
        <v>11</v>
      </c>
      <c r="AA1816" s="15">
        <f t="shared" si="153"/>
        <v>2021</v>
      </c>
      <c r="AB1816" s="15">
        <f t="shared" si="154"/>
        <v>2021</v>
      </c>
      <c r="AC1816" s="15">
        <f t="shared" si="155"/>
        <v>2021</v>
      </c>
      <c r="AD1816" s="18" t="b">
        <f t="shared" si="157"/>
        <v>1</v>
      </c>
    </row>
    <row r="1817" spans="1:30" ht="14.25" hidden="1" customHeight="1" x14ac:dyDescent="0.2">
      <c r="A1817" s="7" t="s">
        <v>670</v>
      </c>
      <c r="B1817" s="20"/>
      <c r="C1817" s="2" t="s">
        <v>641</v>
      </c>
      <c r="D1817" s="6" t="s">
        <v>649</v>
      </c>
      <c r="E1817" s="32" t="s">
        <v>651</v>
      </c>
      <c r="F1817" s="7"/>
      <c r="G1817" s="7"/>
      <c r="H1817" s="7"/>
      <c r="I1817" s="7" t="s">
        <v>20</v>
      </c>
      <c r="J1817" s="7">
        <v>1</v>
      </c>
      <c r="K1817" s="7" t="s">
        <v>660</v>
      </c>
      <c r="L1817" s="7" t="s">
        <v>663</v>
      </c>
      <c r="M1817" s="8">
        <v>44508</v>
      </c>
      <c r="N1817" s="8">
        <v>44519</v>
      </c>
      <c r="O1817" s="13"/>
      <c r="P1817" s="13">
        <v>5621.27</v>
      </c>
      <c r="Q1817" s="33"/>
      <c r="R1817" s="9"/>
      <c r="S1817" s="9"/>
      <c r="T1817" s="9"/>
      <c r="U1817" s="9"/>
      <c r="X1817" s="15" t="str">
        <f>IF(B1817="",VLOOKUP(A1817,items_lookup!A:B,2,FALSE),B1817)</f>
        <v>04. Item 04</v>
      </c>
      <c r="Y1817" s="15">
        <f t="shared" si="156"/>
        <v>11</v>
      </c>
      <c r="Z1817" s="15">
        <f t="shared" si="156"/>
        <v>11</v>
      </c>
      <c r="AA1817" s="15">
        <f t="shared" si="153"/>
        <v>2021</v>
      </c>
      <c r="AB1817" s="15">
        <f t="shared" si="154"/>
        <v>2021</v>
      </c>
      <c r="AC1817" s="15">
        <f t="shared" si="155"/>
        <v>2021</v>
      </c>
      <c r="AD1817" s="18" t="b">
        <f t="shared" si="157"/>
        <v>1</v>
      </c>
    </row>
    <row r="1818" spans="1:30" ht="15" hidden="1" customHeight="1" x14ac:dyDescent="0.2">
      <c r="A1818" s="7" t="s">
        <v>689</v>
      </c>
      <c r="B1818" s="20"/>
      <c r="C1818" s="2" t="s">
        <v>641</v>
      </c>
      <c r="D1818" s="6" t="s">
        <v>649</v>
      </c>
      <c r="E1818" s="32" t="s">
        <v>651</v>
      </c>
      <c r="F1818" s="7"/>
      <c r="G1818" s="7"/>
      <c r="H1818" s="7"/>
      <c r="I1818" s="7"/>
      <c r="J1818" s="7">
        <v>1</v>
      </c>
      <c r="K1818" s="7" t="s">
        <v>660</v>
      </c>
      <c r="L1818" s="7" t="s">
        <v>663</v>
      </c>
      <c r="M1818" s="8">
        <v>44508</v>
      </c>
      <c r="N1818" s="8">
        <v>44519</v>
      </c>
      <c r="O1818" s="13"/>
      <c r="P1818" s="13">
        <v>54216.75</v>
      </c>
      <c r="Q1818" s="33"/>
      <c r="R1818" s="9"/>
      <c r="S1818" s="9"/>
      <c r="T1818" s="9"/>
      <c r="U1818" s="9"/>
      <c r="X1818" s="15" t="str">
        <f>IF(B1818="",VLOOKUP(A1818,items_lookup!A:B,2,FALSE),B1818)</f>
        <v>04. Item 04</v>
      </c>
      <c r="Y1818" s="15">
        <f t="shared" si="156"/>
        <v>11</v>
      </c>
      <c r="Z1818" s="15">
        <f t="shared" si="156"/>
        <v>11</v>
      </c>
      <c r="AA1818" s="15">
        <f t="shared" si="153"/>
        <v>2021</v>
      </c>
      <c r="AB1818" s="15">
        <f t="shared" si="154"/>
        <v>2021</v>
      </c>
      <c r="AC1818" s="15">
        <f t="shared" si="155"/>
        <v>2021</v>
      </c>
      <c r="AD1818" s="18" t="b">
        <f t="shared" si="157"/>
        <v>1</v>
      </c>
    </row>
    <row r="1819" spans="1:30" ht="15" hidden="1" customHeight="1" x14ac:dyDescent="0.2">
      <c r="A1819" s="7" t="s">
        <v>671</v>
      </c>
      <c r="B1819" s="20"/>
      <c r="C1819" s="2" t="s">
        <v>641</v>
      </c>
      <c r="D1819" s="6" t="s">
        <v>649</v>
      </c>
      <c r="E1819" s="32" t="s">
        <v>651</v>
      </c>
      <c r="F1819" s="7"/>
      <c r="G1819" s="7"/>
      <c r="H1819" s="7"/>
      <c r="I1819" s="7" t="s">
        <v>20</v>
      </c>
      <c r="J1819" s="7">
        <v>1</v>
      </c>
      <c r="K1819" s="7" t="s">
        <v>660</v>
      </c>
      <c r="L1819" s="7" t="s">
        <v>663</v>
      </c>
      <c r="M1819" s="8">
        <v>44508</v>
      </c>
      <c r="N1819" s="8">
        <v>44519</v>
      </c>
      <c r="O1819" s="13"/>
      <c r="P1819" s="13">
        <v>15116.28</v>
      </c>
      <c r="Q1819" s="33"/>
      <c r="R1819" s="9"/>
      <c r="S1819" s="9"/>
      <c r="T1819" s="9"/>
      <c r="U1819" s="9"/>
      <c r="X1819" s="15" t="str">
        <f>IF(B1819="",VLOOKUP(A1819,items_lookup!A:B,2,FALSE),B1819)</f>
        <v>05. Item 05</v>
      </c>
      <c r="Y1819" s="15">
        <f t="shared" si="156"/>
        <v>11</v>
      </c>
      <c r="Z1819" s="15">
        <f t="shared" si="156"/>
        <v>11</v>
      </c>
      <c r="AA1819" s="15">
        <f t="shared" si="153"/>
        <v>2021</v>
      </c>
      <c r="AB1819" s="15">
        <f t="shared" si="154"/>
        <v>2021</v>
      </c>
      <c r="AC1819" s="15">
        <f t="shared" si="155"/>
        <v>2021</v>
      </c>
      <c r="AD1819" s="18" t="b">
        <f t="shared" si="157"/>
        <v>1</v>
      </c>
    </row>
    <row r="1820" spans="1:30" ht="15" hidden="1" customHeight="1" x14ac:dyDescent="0.2">
      <c r="A1820" s="7" t="s">
        <v>682</v>
      </c>
      <c r="B1820" s="7"/>
      <c r="C1820" s="2" t="s">
        <v>641</v>
      </c>
      <c r="D1820" s="6" t="s">
        <v>649</v>
      </c>
      <c r="E1820" s="32" t="s">
        <v>651</v>
      </c>
      <c r="F1820" s="7"/>
      <c r="G1820" s="7"/>
      <c r="H1820" s="7"/>
      <c r="I1820" s="7"/>
      <c r="J1820" s="7">
        <v>4</v>
      </c>
      <c r="K1820" s="7" t="s">
        <v>660</v>
      </c>
      <c r="L1820" s="7" t="s">
        <v>663</v>
      </c>
      <c r="M1820" s="8">
        <v>44501</v>
      </c>
      <c r="N1820" s="8">
        <v>44523</v>
      </c>
      <c r="O1820" s="13"/>
      <c r="P1820" s="13">
        <v>336054.53</v>
      </c>
      <c r="Q1820" s="33"/>
      <c r="R1820" s="22"/>
      <c r="S1820" s="22"/>
      <c r="T1820" s="22"/>
      <c r="U1820" s="22"/>
      <c r="X1820" s="15" t="str">
        <f>IF(B1820="",VLOOKUP(A1820,items_lookup!A:B,2,FALSE),B1820)</f>
        <v>06. Item 06</v>
      </c>
      <c r="Y1820" s="15">
        <f t="shared" si="156"/>
        <v>11</v>
      </c>
      <c r="Z1820" s="15">
        <f t="shared" si="156"/>
        <v>11</v>
      </c>
      <c r="AA1820" s="15">
        <f t="shared" si="153"/>
        <v>2021</v>
      </c>
      <c r="AB1820" s="15">
        <f t="shared" si="154"/>
        <v>2021</v>
      </c>
      <c r="AC1820" s="15">
        <f t="shared" si="155"/>
        <v>2021</v>
      </c>
      <c r="AD1820" s="18" t="b">
        <f t="shared" si="157"/>
        <v>1</v>
      </c>
    </row>
    <row r="1821" spans="1:30" ht="12.6" hidden="1" customHeight="1" x14ac:dyDescent="0.2">
      <c r="A1821" s="7" t="s">
        <v>673</v>
      </c>
      <c r="B1821" s="20"/>
      <c r="C1821" s="2" t="s">
        <v>641</v>
      </c>
      <c r="D1821" s="6" t="s">
        <v>649</v>
      </c>
      <c r="E1821" s="32" t="s">
        <v>651</v>
      </c>
      <c r="F1821" s="7"/>
      <c r="G1821" s="7"/>
      <c r="H1821" s="7"/>
      <c r="I1821" s="7"/>
      <c r="J1821" s="7">
        <v>1</v>
      </c>
      <c r="K1821" s="7" t="s">
        <v>660</v>
      </c>
      <c r="L1821" s="7" t="s">
        <v>663</v>
      </c>
      <c r="M1821" s="8">
        <v>44501</v>
      </c>
      <c r="N1821" s="8">
        <v>44516</v>
      </c>
      <c r="O1821" s="13"/>
      <c r="P1821" s="13">
        <v>14429.46</v>
      </c>
      <c r="Q1821" s="33"/>
      <c r="R1821" s="9"/>
      <c r="S1821" s="9"/>
      <c r="T1821" s="9"/>
      <c r="U1821" s="9"/>
      <c r="X1821" s="15" t="str">
        <f>IF(B1821="",VLOOKUP(A1821,items_lookup!A:B,2,FALSE),B1821)</f>
        <v>07. Item 07</v>
      </c>
      <c r="Y1821" s="15">
        <f t="shared" si="156"/>
        <v>11</v>
      </c>
      <c r="Z1821" s="15">
        <f t="shared" si="156"/>
        <v>11</v>
      </c>
      <c r="AA1821" s="15">
        <f t="shared" si="153"/>
        <v>2021</v>
      </c>
      <c r="AB1821" s="15">
        <f t="shared" si="154"/>
        <v>2021</v>
      </c>
      <c r="AC1821" s="15">
        <f t="shared" si="155"/>
        <v>2021</v>
      </c>
      <c r="AD1821" s="18" t="b">
        <f t="shared" si="157"/>
        <v>1</v>
      </c>
    </row>
    <row r="1822" spans="1:30" ht="15" hidden="1" customHeight="1" x14ac:dyDescent="0.2">
      <c r="A1822" s="7" t="s">
        <v>674</v>
      </c>
      <c r="B1822" s="20"/>
      <c r="C1822" s="2" t="s">
        <v>641</v>
      </c>
      <c r="D1822" s="6" t="s">
        <v>649</v>
      </c>
      <c r="E1822" s="32" t="s">
        <v>651</v>
      </c>
      <c r="F1822" s="7"/>
      <c r="G1822" s="7"/>
      <c r="H1822" s="7"/>
      <c r="I1822" s="7"/>
      <c r="J1822" s="7">
        <v>1</v>
      </c>
      <c r="K1822" s="7" t="s">
        <v>660</v>
      </c>
      <c r="L1822" s="7" t="s">
        <v>663</v>
      </c>
      <c r="M1822" s="8">
        <v>44501</v>
      </c>
      <c r="N1822" s="8">
        <v>44517</v>
      </c>
      <c r="O1822" s="13"/>
      <c r="P1822" s="13">
        <v>57446.33</v>
      </c>
      <c r="Q1822" s="33"/>
      <c r="R1822" s="9"/>
      <c r="S1822" s="9"/>
      <c r="T1822" s="9"/>
      <c r="U1822" s="9"/>
      <c r="X1822" s="15" t="str">
        <f>IF(B1822="",VLOOKUP(A1822,items_lookup!A:B,2,FALSE),B1822)</f>
        <v>08. Item 08</v>
      </c>
      <c r="Y1822" s="15">
        <f t="shared" si="156"/>
        <v>11</v>
      </c>
      <c r="Z1822" s="15">
        <f t="shared" si="156"/>
        <v>11</v>
      </c>
      <c r="AA1822" s="15">
        <f t="shared" si="153"/>
        <v>2021</v>
      </c>
      <c r="AB1822" s="15">
        <f t="shared" si="154"/>
        <v>2021</v>
      </c>
      <c r="AC1822" s="15">
        <f t="shared" si="155"/>
        <v>2021</v>
      </c>
      <c r="AD1822" s="18" t="b">
        <f t="shared" si="157"/>
        <v>1</v>
      </c>
    </row>
    <row r="1823" spans="1:30" ht="15" hidden="1" customHeight="1" x14ac:dyDescent="0.2">
      <c r="A1823" s="7" t="s">
        <v>698</v>
      </c>
      <c r="B1823" s="7"/>
      <c r="C1823" s="2" t="s">
        <v>641</v>
      </c>
      <c r="D1823" s="6" t="s">
        <v>649</v>
      </c>
      <c r="E1823" s="32" t="s">
        <v>651</v>
      </c>
      <c r="F1823" s="7"/>
      <c r="G1823" s="7"/>
      <c r="H1823" s="7"/>
      <c r="I1823" s="7"/>
      <c r="J1823" s="7">
        <v>3</v>
      </c>
      <c r="K1823" s="7" t="s">
        <v>660</v>
      </c>
      <c r="L1823" s="7" t="s">
        <v>663</v>
      </c>
      <c r="M1823" s="8">
        <v>44501</v>
      </c>
      <c r="N1823" s="8">
        <v>44524</v>
      </c>
      <c r="O1823" s="13"/>
      <c r="P1823" s="13">
        <v>666580.30000000005</v>
      </c>
      <c r="Q1823" s="33"/>
      <c r="R1823" s="22"/>
      <c r="S1823" s="22"/>
      <c r="T1823" s="22"/>
      <c r="U1823" s="22"/>
      <c r="X1823" s="15" t="str">
        <f>IF(B1823="",VLOOKUP(A1823,items_lookup!A:B,2,FALSE),B1823)</f>
        <v>10. Item 10</v>
      </c>
      <c r="Y1823" s="15">
        <f t="shared" si="156"/>
        <v>11</v>
      </c>
      <c r="Z1823" s="15">
        <f t="shared" si="156"/>
        <v>11</v>
      </c>
      <c r="AA1823" s="15">
        <f t="shared" si="153"/>
        <v>2021</v>
      </c>
      <c r="AB1823" s="15">
        <f t="shared" si="154"/>
        <v>2021</v>
      </c>
      <c r="AC1823" s="15">
        <f t="shared" si="155"/>
        <v>2021</v>
      </c>
      <c r="AD1823" s="18" t="b">
        <f t="shared" si="157"/>
        <v>1</v>
      </c>
    </row>
    <row r="1824" spans="1:30" ht="15" hidden="1" customHeight="1" x14ac:dyDescent="0.2">
      <c r="A1824" s="7" t="s">
        <v>678</v>
      </c>
      <c r="B1824" s="7"/>
      <c r="C1824" s="2" t="s">
        <v>641</v>
      </c>
      <c r="D1824" s="6" t="s">
        <v>649</v>
      </c>
      <c r="E1824" s="32" t="s">
        <v>651</v>
      </c>
      <c r="F1824" s="7"/>
      <c r="G1824" s="7"/>
      <c r="H1824" s="7"/>
      <c r="I1824" s="7"/>
      <c r="J1824" s="7">
        <v>3</v>
      </c>
      <c r="K1824" s="7" t="s">
        <v>660</v>
      </c>
      <c r="L1824" s="7" t="s">
        <v>663</v>
      </c>
      <c r="M1824" s="8">
        <v>44512</v>
      </c>
      <c r="N1824" s="8">
        <v>44530</v>
      </c>
      <c r="O1824" s="13"/>
      <c r="P1824" s="13">
        <v>50042.400000000001</v>
      </c>
      <c r="Q1824" s="33"/>
      <c r="R1824" s="22"/>
      <c r="S1824" s="22"/>
      <c r="T1824" s="22"/>
      <c r="U1824" s="22"/>
      <c r="X1824" s="15" t="str">
        <f>IF(B1824="",VLOOKUP(A1824,items_lookup!A:B,2,FALSE),B1824)</f>
        <v>13. Item 13</v>
      </c>
      <c r="Y1824" s="15">
        <f t="shared" si="156"/>
        <v>11</v>
      </c>
      <c r="Z1824" s="15">
        <f t="shared" si="156"/>
        <v>11</v>
      </c>
      <c r="AA1824" s="15">
        <f t="shared" si="153"/>
        <v>2021</v>
      </c>
      <c r="AB1824" s="15">
        <f t="shared" si="154"/>
        <v>2021</v>
      </c>
      <c r="AC1824" s="15">
        <f t="shared" si="155"/>
        <v>2021</v>
      </c>
      <c r="AD1824" s="18" t="b">
        <f t="shared" si="157"/>
        <v>1</v>
      </c>
    </row>
    <row r="1825" spans="1:30" ht="15" hidden="1" customHeight="1" x14ac:dyDescent="0.2">
      <c r="A1825" s="7" t="s">
        <v>696</v>
      </c>
      <c r="B1825" s="7"/>
      <c r="C1825" s="2" t="s">
        <v>648</v>
      </c>
      <c r="D1825" s="6" t="s">
        <v>649</v>
      </c>
      <c r="E1825" s="32" t="s">
        <v>651</v>
      </c>
      <c r="F1825" s="7"/>
      <c r="G1825" s="7"/>
      <c r="H1825" s="7"/>
      <c r="I1825" s="7"/>
      <c r="J1825" s="7"/>
      <c r="K1825" s="7"/>
      <c r="L1825" s="7" t="s">
        <v>663</v>
      </c>
      <c r="M1825" s="8">
        <v>44500</v>
      </c>
      <c r="N1825" s="8">
        <v>44500</v>
      </c>
      <c r="O1825" s="13"/>
      <c r="P1825" s="13">
        <v>45012017.759999998</v>
      </c>
      <c r="Q1825" s="33"/>
      <c r="R1825" s="22"/>
      <c r="S1825" s="22"/>
      <c r="T1825" s="22"/>
      <c r="U1825" s="22"/>
      <c r="X1825" s="15" t="str">
        <f>IF(B1825="",VLOOKUP(A1825,items_lookup!A:B,2,FALSE),B1825)</f>
        <v>13. Item 13</v>
      </c>
      <c r="Y1825" s="15">
        <f t="shared" si="156"/>
        <v>10</v>
      </c>
      <c r="Z1825" s="15">
        <f t="shared" si="156"/>
        <v>10</v>
      </c>
      <c r="AA1825" s="15">
        <f t="shared" si="153"/>
        <v>2021</v>
      </c>
      <c r="AB1825" s="15">
        <f t="shared" si="154"/>
        <v>2021</v>
      </c>
      <c r="AC1825" s="15">
        <f t="shared" si="155"/>
        <v>2021</v>
      </c>
      <c r="AD1825" s="18" t="b">
        <f t="shared" si="157"/>
        <v>1</v>
      </c>
    </row>
    <row r="1826" spans="1:30" ht="15" hidden="1" customHeight="1" x14ac:dyDescent="0.2">
      <c r="A1826" s="7" t="s">
        <v>678</v>
      </c>
      <c r="B1826" s="7"/>
      <c r="C1826" s="2" t="s">
        <v>648</v>
      </c>
      <c r="D1826" s="6" t="s">
        <v>649</v>
      </c>
      <c r="E1826" s="32" t="s">
        <v>651</v>
      </c>
      <c r="F1826" s="7"/>
      <c r="G1826" s="7"/>
      <c r="H1826" s="7"/>
      <c r="I1826" s="7"/>
      <c r="J1826" s="7"/>
      <c r="K1826" s="7"/>
      <c r="L1826" s="7" t="s">
        <v>663</v>
      </c>
      <c r="M1826" s="8">
        <v>44501</v>
      </c>
      <c r="N1826" s="8">
        <v>44501</v>
      </c>
      <c r="O1826" s="13"/>
      <c r="P1826" s="13">
        <v>54489.7</v>
      </c>
      <c r="Q1826" s="33"/>
      <c r="R1826" s="22"/>
      <c r="S1826" s="22"/>
      <c r="T1826" s="22"/>
      <c r="U1826" s="22"/>
      <c r="X1826" s="15" t="str">
        <f>IF(B1826="",VLOOKUP(A1826,items_lookup!A:B,2,FALSE),B1826)</f>
        <v>13. Item 13</v>
      </c>
      <c r="Y1826" s="15">
        <f t="shared" si="156"/>
        <v>11</v>
      </c>
      <c r="Z1826" s="15">
        <f t="shared" si="156"/>
        <v>11</v>
      </c>
      <c r="AA1826" s="15">
        <f t="shared" si="153"/>
        <v>2021</v>
      </c>
      <c r="AB1826" s="15">
        <f t="shared" si="154"/>
        <v>2021</v>
      </c>
      <c r="AC1826" s="15">
        <f t="shared" si="155"/>
        <v>2021</v>
      </c>
      <c r="AD1826" s="18" t="b">
        <f t="shared" si="157"/>
        <v>1</v>
      </c>
    </row>
    <row r="1827" spans="1:30" ht="15" hidden="1" customHeight="1" x14ac:dyDescent="0.2">
      <c r="A1827" s="7" t="s">
        <v>705</v>
      </c>
      <c r="B1827" s="7"/>
      <c r="C1827" s="2" t="s">
        <v>648</v>
      </c>
      <c r="D1827" s="6" t="s">
        <v>649</v>
      </c>
      <c r="E1827" s="32" t="s">
        <v>651</v>
      </c>
      <c r="F1827" s="7"/>
      <c r="G1827" s="7"/>
      <c r="H1827" s="7"/>
      <c r="I1827" s="7"/>
      <c r="J1827" s="7"/>
      <c r="K1827" s="7"/>
      <c r="L1827" s="7" t="s">
        <v>663</v>
      </c>
      <c r="M1827" s="8">
        <v>44501</v>
      </c>
      <c r="N1827" s="8">
        <v>44501</v>
      </c>
      <c r="O1827" s="13"/>
      <c r="P1827" s="13">
        <v>956475.99</v>
      </c>
      <c r="Q1827" s="33"/>
      <c r="R1827" s="22"/>
      <c r="S1827" s="22"/>
      <c r="T1827" s="22"/>
      <c r="U1827" s="22"/>
      <c r="X1827" s="15" t="str">
        <f>IF(B1827="",VLOOKUP(A1827,items_lookup!A:B,2,FALSE),B1827)</f>
        <v>03. Item 03</v>
      </c>
      <c r="Y1827" s="15">
        <f t="shared" si="156"/>
        <v>11</v>
      </c>
      <c r="Z1827" s="15">
        <f t="shared" si="156"/>
        <v>11</v>
      </c>
      <c r="AA1827" s="15">
        <f t="shared" ref="AA1827:AA1890" si="158">YEAR(N1827)</f>
        <v>2021</v>
      </c>
      <c r="AB1827" s="15">
        <f t="shared" ref="AB1827:AB1890" si="159">YEAR(M1827)</f>
        <v>2021</v>
      </c>
      <c r="AC1827" s="15">
        <f t="shared" ref="AC1827:AC1890" si="160">IF(F1827="X",AA1827-1,AA1827)</f>
        <v>2021</v>
      </c>
      <c r="AD1827" s="18" t="b">
        <f t="shared" si="157"/>
        <v>1</v>
      </c>
    </row>
    <row r="1828" spans="1:30" ht="15" hidden="1" customHeight="1" x14ac:dyDescent="0.2">
      <c r="A1828" s="7" t="s">
        <v>694</v>
      </c>
      <c r="B1828" s="7"/>
      <c r="C1828" s="2" t="s">
        <v>648</v>
      </c>
      <c r="D1828" s="6" t="s">
        <v>649</v>
      </c>
      <c r="E1828" s="32" t="s">
        <v>651</v>
      </c>
      <c r="F1828" s="7"/>
      <c r="G1828" s="7"/>
      <c r="H1828" s="7"/>
      <c r="I1828" s="7"/>
      <c r="J1828" s="7"/>
      <c r="K1828" s="7"/>
      <c r="L1828" s="7" t="s">
        <v>663</v>
      </c>
      <c r="M1828" s="8">
        <v>44501</v>
      </c>
      <c r="N1828" s="8">
        <v>44501</v>
      </c>
      <c r="O1828" s="13"/>
      <c r="P1828" s="13">
        <v>4426203.8600000003</v>
      </c>
      <c r="Q1828" s="33"/>
      <c r="R1828" s="22"/>
      <c r="S1828" s="22"/>
      <c r="T1828" s="22"/>
      <c r="U1828" s="22"/>
      <c r="X1828" s="15" t="str">
        <f>IF(B1828="",VLOOKUP(A1828,items_lookup!A:B,2,FALSE),B1828)</f>
        <v>03. Item 03</v>
      </c>
      <c r="Y1828" s="15">
        <f t="shared" si="156"/>
        <v>11</v>
      </c>
      <c r="Z1828" s="15">
        <f t="shared" si="156"/>
        <v>11</v>
      </c>
      <c r="AA1828" s="15">
        <f t="shared" si="158"/>
        <v>2021</v>
      </c>
      <c r="AB1828" s="15">
        <f t="shared" si="159"/>
        <v>2021</v>
      </c>
      <c r="AC1828" s="15">
        <f t="shared" si="160"/>
        <v>2021</v>
      </c>
      <c r="AD1828" s="18" t="b">
        <f t="shared" si="157"/>
        <v>1</v>
      </c>
    </row>
    <row r="1829" spans="1:30" ht="15" hidden="1" customHeight="1" x14ac:dyDescent="0.2">
      <c r="A1829" s="7" t="s">
        <v>706</v>
      </c>
      <c r="B1829" s="7"/>
      <c r="C1829" s="2" t="s">
        <v>648</v>
      </c>
      <c r="D1829" s="6" t="s">
        <v>649</v>
      </c>
      <c r="E1829" s="32" t="s">
        <v>651</v>
      </c>
      <c r="F1829" s="7"/>
      <c r="G1829" s="7"/>
      <c r="H1829" s="7"/>
      <c r="I1829" s="7"/>
      <c r="J1829" s="7"/>
      <c r="K1829" s="7"/>
      <c r="L1829" s="7" t="s">
        <v>663</v>
      </c>
      <c r="M1829" s="8">
        <v>44501</v>
      </c>
      <c r="N1829" s="8">
        <v>44501</v>
      </c>
      <c r="O1829" s="13">
        <v>80.81</v>
      </c>
      <c r="P1829" s="13">
        <v>15676.35</v>
      </c>
      <c r="Q1829" s="33"/>
      <c r="R1829" s="22"/>
      <c r="S1829" s="22"/>
      <c r="T1829" s="22"/>
      <c r="U1829" s="22"/>
      <c r="X1829" s="15" t="str">
        <f>IF(B1829="",VLOOKUP(A1829,items_lookup!A:B,2,FALSE),B1829)</f>
        <v>03. Item 03</v>
      </c>
      <c r="Y1829" s="15">
        <f t="shared" si="156"/>
        <v>11</v>
      </c>
      <c r="Z1829" s="15">
        <f t="shared" si="156"/>
        <v>11</v>
      </c>
      <c r="AA1829" s="15">
        <f t="shared" si="158"/>
        <v>2021</v>
      </c>
      <c r="AB1829" s="15">
        <f t="shared" si="159"/>
        <v>2021</v>
      </c>
      <c r="AC1829" s="15">
        <f t="shared" si="160"/>
        <v>2021</v>
      </c>
      <c r="AD1829" s="18" t="b">
        <f t="shared" si="157"/>
        <v>1</v>
      </c>
    </row>
    <row r="1830" spans="1:30" ht="15" hidden="1" customHeight="1" x14ac:dyDescent="0.2">
      <c r="A1830" s="7" t="s">
        <v>706</v>
      </c>
      <c r="B1830" s="7"/>
      <c r="C1830" s="2" t="s">
        <v>648</v>
      </c>
      <c r="D1830" s="6" t="s">
        <v>649</v>
      </c>
      <c r="E1830" s="32" t="s">
        <v>651</v>
      </c>
      <c r="F1830" s="7"/>
      <c r="G1830" s="7"/>
      <c r="H1830" s="7"/>
      <c r="I1830" s="7"/>
      <c r="J1830" s="7"/>
      <c r="K1830" s="7"/>
      <c r="L1830" s="7" t="s">
        <v>663</v>
      </c>
      <c r="M1830" s="8">
        <v>44501</v>
      </c>
      <c r="N1830" s="8">
        <v>44501</v>
      </c>
      <c r="O1830" s="13"/>
      <c r="P1830" s="13">
        <v>10701643.25</v>
      </c>
      <c r="Q1830" s="33"/>
      <c r="R1830" s="22"/>
      <c r="S1830" s="22"/>
      <c r="T1830" s="22"/>
      <c r="U1830" s="22"/>
      <c r="X1830" s="15" t="str">
        <f>IF(B1830="",VLOOKUP(A1830,items_lookup!A:B,2,FALSE),B1830)</f>
        <v>03. Item 03</v>
      </c>
      <c r="Y1830" s="15">
        <f t="shared" si="156"/>
        <v>11</v>
      </c>
      <c r="Z1830" s="15">
        <f t="shared" si="156"/>
        <v>11</v>
      </c>
      <c r="AA1830" s="15">
        <f t="shared" si="158"/>
        <v>2021</v>
      </c>
      <c r="AB1830" s="15">
        <f t="shared" si="159"/>
        <v>2021</v>
      </c>
      <c r="AC1830" s="15">
        <f t="shared" si="160"/>
        <v>2021</v>
      </c>
      <c r="AD1830" s="18" t="b">
        <f t="shared" si="157"/>
        <v>1</v>
      </c>
    </row>
    <row r="1831" spans="1:30" ht="15" hidden="1" customHeight="1" x14ac:dyDescent="0.2">
      <c r="A1831" s="7" t="s">
        <v>692</v>
      </c>
      <c r="B1831" s="7"/>
      <c r="C1831" s="2" t="s">
        <v>648</v>
      </c>
      <c r="D1831" s="6" t="s">
        <v>649</v>
      </c>
      <c r="E1831" s="32" t="s">
        <v>651</v>
      </c>
      <c r="F1831" s="7"/>
      <c r="G1831" s="7"/>
      <c r="H1831" s="7"/>
      <c r="I1831" s="7"/>
      <c r="J1831" s="7"/>
      <c r="K1831" s="7"/>
      <c r="L1831" s="7" t="s">
        <v>663</v>
      </c>
      <c r="M1831" s="8">
        <v>44501</v>
      </c>
      <c r="N1831" s="8">
        <v>44501</v>
      </c>
      <c r="O1831" s="13"/>
      <c r="P1831" s="13">
        <v>66151.41</v>
      </c>
      <c r="Q1831" s="33"/>
      <c r="R1831" s="22"/>
      <c r="S1831" s="22"/>
      <c r="T1831" s="22"/>
      <c r="U1831" s="22"/>
      <c r="X1831" s="15" t="str">
        <f>IF(B1831="",VLOOKUP(A1831,items_lookup!A:B,2,FALSE),B1831)</f>
        <v>03. Item 03</v>
      </c>
      <c r="Y1831" s="15">
        <f t="shared" si="156"/>
        <v>11</v>
      </c>
      <c r="Z1831" s="15">
        <f t="shared" si="156"/>
        <v>11</v>
      </c>
      <c r="AA1831" s="15">
        <f t="shared" si="158"/>
        <v>2021</v>
      </c>
      <c r="AB1831" s="15">
        <f t="shared" si="159"/>
        <v>2021</v>
      </c>
      <c r="AC1831" s="15">
        <f t="shared" si="160"/>
        <v>2021</v>
      </c>
      <c r="AD1831" s="18" t="b">
        <f t="shared" si="157"/>
        <v>1</v>
      </c>
    </row>
    <row r="1832" spans="1:30" ht="15" hidden="1" customHeight="1" x14ac:dyDescent="0.2">
      <c r="A1832" s="7" t="s">
        <v>683</v>
      </c>
      <c r="B1832" s="7"/>
      <c r="C1832" s="2" t="s">
        <v>648</v>
      </c>
      <c r="D1832" s="6" t="s">
        <v>649</v>
      </c>
      <c r="E1832" s="32" t="s">
        <v>651</v>
      </c>
      <c r="F1832" s="7"/>
      <c r="G1832" s="7"/>
      <c r="H1832" s="7"/>
      <c r="I1832" s="7"/>
      <c r="J1832" s="7"/>
      <c r="K1832" s="7"/>
      <c r="L1832" s="7" t="s">
        <v>663</v>
      </c>
      <c r="M1832" s="8">
        <v>44501</v>
      </c>
      <c r="N1832" s="8">
        <v>44501</v>
      </c>
      <c r="O1832" s="13"/>
      <c r="P1832" s="13">
        <v>2615460.2799999998</v>
      </c>
      <c r="Q1832" s="33"/>
      <c r="X1832" s="15" t="str">
        <f>IF(B1832="",VLOOKUP(A1832,items_lookup!A:B,2,FALSE),B1832)</f>
        <v>_1. Item _1</v>
      </c>
      <c r="Y1832" s="15">
        <f t="shared" si="156"/>
        <v>11</v>
      </c>
      <c r="Z1832" s="15">
        <f t="shared" si="156"/>
        <v>11</v>
      </c>
      <c r="AA1832" s="15">
        <f t="shared" si="158"/>
        <v>2021</v>
      </c>
      <c r="AB1832" s="15">
        <f t="shared" si="159"/>
        <v>2021</v>
      </c>
      <c r="AC1832" s="15">
        <f t="shared" si="160"/>
        <v>2021</v>
      </c>
      <c r="AD1832" s="18" t="b">
        <f t="shared" si="157"/>
        <v>1</v>
      </c>
    </row>
    <row r="1833" spans="1:30" ht="15" hidden="1" customHeight="1" x14ac:dyDescent="0.2">
      <c r="A1833" s="7" t="s">
        <v>683</v>
      </c>
      <c r="B1833" s="7"/>
      <c r="C1833" s="2" t="s">
        <v>648</v>
      </c>
      <c r="D1833" s="6" t="s">
        <v>649</v>
      </c>
      <c r="E1833" s="32" t="s">
        <v>651</v>
      </c>
      <c r="F1833" s="7"/>
      <c r="G1833" s="7"/>
      <c r="H1833" s="7"/>
      <c r="I1833" s="7"/>
      <c r="J1833" s="7"/>
      <c r="K1833" s="7"/>
      <c r="L1833" s="7" t="s">
        <v>663</v>
      </c>
      <c r="M1833" s="8">
        <v>44501</v>
      </c>
      <c r="N1833" s="8">
        <v>44501</v>
      </c>
      <c r="O1833" s="13"/>
      <c r="P1833" s="13">
        <v>228028.08</v>
      </c>
      <c r="Q1833" s="33"/>
      <c r="X1833" s="15" t="str">
        <f>IF(B1833="",VLOOKUP(A1833,items_lookup!A:B,2,FALSE),B1833)</f>
        <v>_1. Item _1</v>
      </c>
      <c r="Y1833" s="15">
        <f t="shared" si="156"/>
        <v>11</v>
      </c>
      <c r="Z1833" s="15">
        <f t="shared" si="156"/>
        <v>11</v>
      </c>
      <c r="AA1833" s="15">
        <f t="shared" si="158"/>
        <v>2021</v>
      </c>
      <c r="AB1833" s="15">
        <f t="shared" si="159"/>
        <v>2021</v>
      </c>
      <c r="AC1833" s="15">
        <f t="shared" si="160"/>
        <v>2021</v>
      </c>
      <c r="AD1833" s="18" t="b">
        <f t="shared" si="157"/>
        <v>1</v>
      </c>
    </row>
    <row r="1834" spans="1:30" ht="15" hidden="1" customHeight="1" x14ac:dyDescent="0.2">
      <c r="A1834" s="7" t="s">
        <v>689</v>
      </c>
      <c r="B1834" s="7"/>
      <c r="C1834" s="2" t="s">
        <v>648</v>
      </c>
      <c r="D1834" s="6" t="s">
        <v>649</v>
      </c>
      <c r="E1834" s="32" t="s">
        <v>651</v>
      </c>
      <c r="F1834" s="7"/>
      <c r="G1834" s="7"/>
      <c r="H1834" s="7"/>
      <c r="I1834" s="7"/>
      <c r="J1834" s="7"/>
      <c r="K1834" s="7"/>
      <c r="L1834" s="7" t="s">
        <v>663</v>
      </c>
      <c r="M1834" s="8">
        <v>44501</v>
      </c>
      <c r="N1834" s="8">
        <v>44501</v>
      </c>
      <c r="O1834" s="13">
        <v>5960.47</v>
      </c>
      <c r="P1834" s="13">
        <v>92389.14</v>
      </c>
      <c r="Q1834" s="33"/>
      <c r="X1834" s="15" t="str">
        <f>IF(B1834="",VLOOKUP(A1834,items_lookup!A:B,2,FALSE),B1834)</f>
        <v>04. Item 04</v>
      </c>
      <c r="Y1834" s="15">
        <f t="shared" si="156"/>
        <v>11</v>
      </c>
      <c r="Z1834" s="15">
        <f t="shared" si="156"/>
        <v>11</v>
      </c>
      <c r="AA1834" s="15">
        <f t="shared" si="158"/>
        <v>2021</v>
      </c>
      <c r="AB1834" s="15">
        <f t="shared" si="159"/>
        <v>2021</v>
      </c>
      <c r="AC1834" s="15">
        <f t="shared" si="160"/>
        <v>2021</v>
      </c>
      <c r="AD1834" s="18" t="b">
        <f t="shared" si="157"/>
        <v>1</v>
      </c>
    </row>
    <row r="1835" spans="1:30" ht="12.75" hidden="1" customHeight="1" x14ac:dyDescent="0.2">
      <c r="A1835" s="7" t="s">
        <v>682</v>
      </c>
      <c r="B1835" s="7"/>
      <c r="C1835" s="2" t="s">
        <v>648</v>
      </c>
      <c r="D1835" s="6" t="s">
        <v>649</v>
      </c>
      <c r="E1835" s="32" t="s">
        <v>651</v>
      </c>
      <c r="F1835" s="7"/>
      <c r="G1835" s="7"/>
      <c r="H1835" s="7"/>
      <c r="I1835" s="7"/>
      <c r="J1835" s="7"/>
      <c r="K1835" s="7"/>
      <c r="L1835" s="7" t="s">
        <v>663</v>
      </c>
      <c r="M1835" s="8">
        <v>44501</v>
      </c>
      <c r="N1835" s="8">
        <v>44501</v>
      </c>
      <c r="O1835" s="13"/>
      <c r="P1835" s="13">
        <v>11724.21</v>
      </c>
      <c r="Q1835" s="33"/>
      <c r="R1835" s="22"/>
      <c r="S1835" s="22"/>
      <c r="T1835" s="22"/>
      <c r="U1835" s="22"/>
      <c r="X1835" s="15" t="str">
        <f>IF(B1835="",VLOOKUP(A1835,items_lookup!A:B,2,FALSE),B1835)</f>
        <v>06. Item 06</v>
      </c>
      <c r="Y1835" s="15">
        <f t="shared" si="156"/>
        <v>11</v>
      </c>
      <c r="Z1835" s="15">
        <f t="shared" si="156"/>
        <v>11</v>
      </c>
      <c r="AA1835" s="15">
        <f t="shared" si="158"/>
        <v>2021</v>
      </c>
      <c r="AB1835" s="15">
        <f t="shared" si="159"/>
        <v>2021</v>
      </c>
      <c r="AC1835" s="15">
        <f t="shared" si="160"/>
        <v>2021</v>
      </c>
      <c r="AD1835" s="18" t="b">
        <f t="shared" si="157"/>
        <v>1</v>
      </c>
    </row>
    <row r="1836" spans="1:30" ht="15.75" hidden="1" customHeight="1" x14ac:dyDescent="0.2">
      <c r="A1836" s="7" t="s">
        <v>675</v>
      </c>
      <c r="B1836" s="7"/>
      <c r="C1836" s="2" t="s">
        <v>648</v>
      </c>
      <c r="D1836" s="6" t="s">
        <v>649</v>
      </c>
      <c r="E1836" s="32" t="s">
        <v>651</v>
      </c>
      <c r="F1836" s="7"/>
      <c r="G1836" s="7"/>
      <c r="H1836" s="7"/>
      <c r="I1836" s="7"/>
      <c r="J1836" s="7"/>
      <c r="K1836" s="7"/>
      <c r="L1836" s="7" t="s">
        <v>663</v>
      </c>
      <c r="M1836" s="8">
        <v>44501</v>
      </c>
      <c r="N1836" s="8">
        <v>44501</v>
      </c>
      <c r="O1836" s="13"/>
      <c r="P1836" s="13">
        <v>34337.040000000001</v>
      </c>
      <c r="Q1836" s="33"/>
      <c r="R1836" s="22"/>
      <c r="S1836" s="22"/>
      <c r="T1836" s="22"/>
      <c r="U1836" s="22"/>
      <c r="X1836" s="15" t="str">
        <f>IF(B1836="",VLOOKUP(A1836,items_lookup!A:B,2,FALSE),B1836)</f>
        <v>09. Item 09</v>
      </c>
      <c r="Y1836" s="15">
        <f t="shared" si="156"/>
        <v>11</v>
      </c>
      <c r="Z1836" s="15">
        <f t="shared" si="156"/>
        <v>11</v>
      </c>
      <c r="AA1836" s="15">
        <f t="shared" si="158"/>
        <v>2021</v>
      </c>
      <c r="AB1836" s="15">
        <f t="shared" si="159"/>
        <v>2021</v>
      </c>
      <c r="AC1836" s="15">
        <f t="shared" si="160"/>
        <v>2021</v>
      </c>
      <c r="AD1836" s="18" t="b">
        <f t="shared" si="157"/>
        <v>1</v>
      </c>
    </row>
    <row r="1837" spans="1:30" ht="15.75" hidden="1" customHeight="1" x14ac:dyDescent="0.2">
      <c r="A1837" s="7" t="s">
        <v>675</v>
      </c>
      <c r="B1837" s="7"/>
      <c r="C1837" s="2" t="s">
        <v>648</v>
      </c>
      <c r="D1837" s="6" t="s">
        <v>649</v>
      </c>
      <c r="E1837" s="32" t="s">
        <v>651</v>
      </c>
      <c r="F1837" s="7"/>
      <c r="G1837" s="7"/>
      <c r="H1837" s="7"/>
      <c r="I1837" s="7"/>
      <c r="J1837" s="7"/>
      <c r="K1837" s="7"/>
      <c r="L1837" s="7" t="s">
        <v>663</v>
      </c>
      <c r="M1837" s="8">
        <v>44501</v>
      </c>
      <c r="N1837" s="8">
        <v>44501</v>
      </c>
      <c r="O1837" s="13"/>
      <c r="P1837" s="13">
        <v>32991.19</v>
      </c>
      <c r="Q1837" s="33"/>
      <c r="R1837" s="22"/>
      <c r="S1837" s="22"/>
      <c r="T1837" s="22"/>
      <c r="U1837" s="22"/>
      <c r="X1837" s="15" t="str">
        <f>IF(B1837="",VLOOKUP(A1837,items_lookup!A:B,2,FALSE),B1837)</f>
        <v>09. Item 09</v>
      </c>
      <c r="Y1837" s="15">
        <f t="shared" si="156"/>
        <v>11</v>
      </c>
      <c r="Z1837" s="15">
        <f t="shared" si="156"/>
        <v>11</v>
      </c>
      <c r="AA1837" s="15">
        <f t="shared" si="158"/>
        <v>2021</v>
      </c>
      <c r="AB1837" s="15">
        <f t="shared" si="159"/>
        <v>2021</v>
      </c>
      <c r="AC1837" s="15">
        <f t="shared" si="160"/>
        <v>2021</v>
      </c>
      <c r="AD1837" s="18" t="b">
        <f t="shared" si="157"/>
        <v>1</v>
      </c>
    </row>
    <row r="1838" spans="1:30" ht="15" hidden="1" customHeight="1" x14ac:dyDescent="0.2">
      <c r="A1838" s="7" t="s">
        <v>676</v>
      </c>
      <c r="B1838" s="7"/>
      <c r="C1838" s="2" t="s">
        <v>648</v>
      </c>
      <c r="D1838" s="6" t="s">
        <v>649</v>
      </c>
      <c r="E1838" s="32" t="s">
        <v>651</v>
      </c>
      <c r="F1838" s="7"/>
      <c r="G1838" s="7"/>
      <c r="H1838" s="7"/>
      <c r="I1838" s="7"/>
      <c r="J1838" s="7"/>
      <c r="K1838" s="7"/>
      <c r="L1838" s="7" t="s">
        <v>663</v>
      </c>
      <c r="M1838" s="8">
        <v>44501</v>
      </c>
      <c r="N1838" s="8">
        <v>44501</v>
      </c>
      <c r="O1838" s="13">
        <v>618.99</v>
      </c>
      <c r="P1838" s="13">
        <v>228903.23</v>
      </c>
      <c r="Q1838" s="33"/>
      <c r="R1838" s="22"/>
      <c r="S1838" s="22"/>
      <c r="T1838" s="22"/>
      <c r="U1838" s="22"/>
      <c r="X1838" s="15" t="str">
        <f>IF(B1838="",VLOOKUP(A1838,items_lookup!A:B,2,FALSE),B1838)</f>
        <v>09. Item 09</v>
      </c>
      <c r="Y1838" s="15">
        <f t="shared" si="156"/>
        <v>11</v>
      </c>
      <c r="Z1838" s="15">
        <f t="shared" si="156"/>
        <v>11</v>
      </c>
      <c r="AA1838" s="15">
        <f t="shared" si="158"/>
        <v>2021</v>
      </c>
      <c r="AB1838" s="15">
        <f t="shared" si="159"/>
        <v>2021</v>
      </c>
      <c r="AC1838" s="15">
        <f t="shared" si="160"/>
        <v>2021</v>
      </c>
      <c r="AD1838" s="18" t="b">
        <f t="shared" si="157"/>
        <v>1</v>
      </c>
    </row>
    <row r="1839" spans="1:30" ht="15" hidden="1" customHeight="1" x14ac:dyDescent="0.2">
      <c r="A1839" s="7" t="s">
        <v>688</v>
      </c>
      <c r="B1839" s="7"/>
      <c r="C1839" s="2" t="s">
        <v>648</v>
      </c>
      <c r="D1839" s="6" t="s">
        <v>649</v>
      </c>
      <c r="E1839" s="32" t="s">
        <v>651</v>
      </c>
      <c r="F1839" s="7"/>
      <c r="G1839" s="7"/>
      <c r="H1839" s="7"/>
      <c r="I1839" s="7"/>
      <c r="J1839" s="7"/>
      <c r="K1839" s="7"/>
      <c r="L1839" s="7" t="s">
        <v>663</v>
      </c>
      <c r="M1839" s="8">
        <v>44501</v>
      </c>
      <c r="N1839" s="8">
        <v>44501</v>
      </c>
      <c r="O1839" s="13"/>
      <c r="P1839" s="13">
        <v>89249.279999999999</v>
      </c>
      <c r="Q1839" s="33"/>
      <c r="R1839" s="22"/>
      <c r="S1839" s="22"/>
      <c r="T1839" s="22"/>
      <c r="U1839" s="22"/>
      <c r="X1839" s="15" t="str">
        <f>IF(B1839="",VLOOKUP(A1839,items_lookup!A:B,2,FALSE),B1839)</f>
        <v>09. Item 09</v>
      </c>
      <c r="Y1839" s="15">
        <f t="shared" si="156"/>
        <v>11</v>
      </c>
      <c r="Z1839" s="15">
        <f t="shared" si="156"/>
        <v>11</v>
      </c>
      <c r="AA1839" s="15">
        <f t="shared" si="158"/>
        <v>2021</v>
      </c>
      <c r="AB1839" s="15">
        <f t="shared" si="159"/>
        <v>2021</v>
      </c>
      <c r="AC1839" s="15">
        <f t="shared" si="160"/>
        <v>2021</v>
      </c>
      <c r="AD1839" s="18" t="b">
        <f t="shared" si="157"/>
        <v>1</v>
      </c>
    </row>
    <row r="1840" spans="1:30" ht="17.25" hidden="1" customHeight="1" x14ac:dyDescent="0.2">
      <c r="A1840" s="7" t="s">
        <v>687</v>
      </c>
      <c r="B1840" s="7"/>
      <c r="C1840" s="2" t="s">
        <v>648</v>
      </c>
      <c r="D1840" s="6" t="s">
        <v>649</v>
      </c>
      <c r="E1840" s="32" t="s">
        <v>651</v>
      </c>
      <c r="F1840" s="7"/>
      <c r="G1840" s="7"/>
      <c r="H1840" s="7"/>
      <c r="I1840" s="7"/>
      <c r="J1840" s="7"/>
      <c r="K1840" s="7"/>
      <c r="L1840" s="7" t="s">
        <v>663</v>
      </c>
      <c r="M1840" s="8">
        <v>44501</v>
      </c>
      <c r="N1840" s="8">
        <v>44501</v>
      </c>
      <c r="O1840" s="13"/>
      <c r="P1840" s="13">
        <v>14835.21</v>
      </c>
      <c r="Q1840" s="33"/>
      <c r="R1840" s="22"/>
      <c r="S1840" s="22"/>
      <c r="T1840" s="22"/>
      <c r="U1840" s="22"/>
      <c r="X1840" s="15" t="str">
        <f>IF(B1840="",VLOOKUP(A1840,items_lookup!A:B,2,FALSE),B1840)</f>
        <v>14. Item 14</v>
      </c>
      <c r="Y1840" s="15">
        <f t="shared" si="156"/>
        <v>11</v>
      </c>
      <c r="Z1840" s="15">
        <f t="shared" si="156"/>
        <v>11</v>
      </c>
      <c r="AA1840" s="15">
        <f t="shared" si="158"/>
        <v>2021</v>
      </c>
      <c r="AB1840" s="15">
        <f t="shared" si="159"/>
        <v>2021</v>
      </c>
      <c r="AC1840" s="15">
        <f t="shared" si="160"/>
        <v>2021</v>
      </c>
      <c r="AD1840" s="18" t="b">
        <f t="shared" si="157"/>
        <v>1</v>
      </c>
    </row>
    <row r="1841" spans="1:30" ht="15" hidden="1" customHeight="1" x14ac:dyDescent="0.2">
      <c r="A1841" s="7" t="s">
        <v>687</v>
      </c>
      <c r="B1841" s="7"/>
      <c r="C1841" s="2" t="s">
        <v>648</v>
      </c>
      <c r="D1841" s="6" t="s">
        <v>649</v>
      </c>
      <c r="E1841" s="32" t="s">
        <v>651</v>
      </c>
      <c r="F1841" s="7"/>
      <c r="G1841" s="7"/>
      <c r="H1841" s="7"/>
      <c r="I1841" s="7"/>
      <c r="J1841" s="7"/>
      <c r="K1841" s="7"/>
      <c r="L1841" s="7" t="s">
        <v>663</v>
      </c>
      <c r="M1841" s="8">
        <v>44501</v>
      </c>
      <c r="N1841" s="8">
        <v>44501</v>
      </c>
      <c r="O1841" s="13"/>
      <c r="P1841" s="13">
        <v>129.29</v>
      </c>
      <c r="Q1841" s="33"/>
      <c r="R1841" s="22"/>
      <c r="S1841" s="22"/>
      <c r="T1841" s="22"/>
      <c r="U1841" s="22"/>
      <c r="X1841" s="15" t="str">
        <f>IF(B1841="",VLOOKUP(A1841,items_lookup!A:B,2,FALSE),B1841)</f>
        <v>14. Item 14</v>
      </c>
      <c r="Y1841" s="15">
        <f t="shared" si="156"/>
        <v>11</v>
      </c>
      <c r="Z1841" s="15">
        <f t="shared" si="156"/>
        <v>11</v>
      </c>
      <c r="AA1841" s="15">
        <f t="shared" si="158"/>
        <v>2021</v>
      </c>
      <c r="AB1841" s="15">
        <f t="shared" si="159"/>
        <v>2021</v>
      </c>
      <c r="AC1841" s="15">
        <f t="shared" si="160"/>
        <v>2021</v>
      </c>
      <c r="AD1841" s="18" t="b">
        <f t="shared" si="157"/>
        <v>1</v>
      </c>
    </row>
    <row r="1842" spans="1:30" ht="15" hidden="1" customHeight="1" x14ac:dyDescent="0.2">
      <c r="A1842" s="7" t="s">
        <v>681</v>
      </c>
      <c r="B1842" s="7"/>
      <c r="C1842" s="2" t="s">
        <v>648</v>
      </c>
      <c r="D1842" s="6" t="s">
        <v>649</v>
      </c>
      <c r="E1842" s="32" t="s">
        <v>651</v>
      </c>
      <c r="F1842" s="7"/>
      <c r="G1842" s="7"/>
      <c r="H1842" s="7"/>
      <c r="I1842" s="7"/>
      <c r="J1842" s="7"/>
      <c r="K1842" s="7"/>
      <c r="L1842" s="7" t="s">
        <v>663</v>
      </c>
      <c r="M1842" s="8">
        <v>44501</v>
      </c>
      <c r="N1842" s="8">
        <v>44501</v>
      </c>
      <c r="O1842" s="13"/>
      <c r="P1842" s="13">
        <v>87773.33</v>
      </c>
      <c r="Q1842" s="33"/>
      <c r="R1842" s="22"/>
      <c r="S1842" s="22"/>
      <c r="T1842" s="22"/>
      <c r="U1842" s="22"/>
      <c r="X1842" s="15" t="str">
        <f>IF(B1842="",VLOOKUP(A1842,items_lookup!A:B,2,FALSE),B1842)</f>
        <v>19. Item 19</v>
      </c>
      <c r="Y1842" s="15">
        <f t="shared" si="156"/>
        <v>11</v>
      </c>
      <c r="Z1842" s="15">
        <f t="shared" si="156"/>
        <v>11</v>
      </c>
      <c r="AA1842" s="15">
        <f t="shared" si="158"/>
        <v>2021</v>
      </c>
      <c r="AB1842" s="15">
        <f t="shared" si="159"/>
        <v>2021</v>
      </c>
      <c r="AC1842" s="15">
        <f t="shared" si="160"/>
        <v>2021</v>
      </c>
      <c r="AD1842" s="18" t="b">
        <f t="shared" si="157"/>
        <v>1</v>
      </c>
    </row>
    <row r="1843" spans="1:30" ht="13.5" hidden="1" x14ac:dyDescent="0.2">
      <c r="A1843" s="7" t="s">
        <v>675</v>
      </c>
      <c r="B1843" s="7"/>
      <c r="C1843" s="2" t="s">
        <v>648</v>
      </c>
      <c r="D1843" s="6" t="s">
        <v>649</v>
      </c>
      <c r="E1843" s="32" t="s">
        <v>651</v>
      </c>
      <c r="F1843" s="7"/>
      <c r="G1843" s="7"/>
      <c r="H1843" s="7"/>
      <c r="I1843" s="7"/>
      <c r="J1843" s="7"/>
      <c r="K1843" s="7"/>
      <c r="L1843" s="7" t="s">
        <v>663</v>
      </c>
      <c r="M1843" s="8">
        <v>44501</v>
      </c>
      <c r="N1843" s="8">
        <v>44501</v>
      </c>
      <c r="O1843" s="13">
        <v>23878.799999999999</v>
      </c>
      <c r="P1843" s="13">
        <v>646548.23</v>
      </c>
      <c r="Q1843" s="33"/>
      <c r="R1843" s="22"/>
      <c r="S1843" s="22"/>
      <c r="T1843" s="22"/>
      <c r="U1843" s="22"/>
      <c r="X1843" s="15" t="str">
        <f>IF(B1843="",VLOOKUP(A1843,items_lookup!A:B,2,FALSE),B1843)</f>
        <v>09. Item 09</v>
      </c>
      <c r="Y1843" s="15">
        <f t="shared" ref="Y1843:Z1906" si="161">MONTH(M1843)</f>
        <v>11</v>
      </c>
      <c r="Z1843" s="15">
        <f t="shared" si="161"/>
        <v>11</v>
      </c>
      <c r="AA1843" s="15">
        <f t="shared" si="158"/>
        <v>2021</v>
      </c>
      <c r="AB1843" s="15">
        <f t="shared" si="159"/>
        <v>2021</v>
      </c>
      <c r="AC1843" s="15">
        <f t="shared" si="160"/>
        <v>2021</v>
      </c>
      <c r="AD1843" s="18" t="b">
        <f t="shared" si="157"/>
        <v>1</v>
      </c>
    </row>
    <row r="1844" spans="1:30" ht="15" hidden="1" customHeight="1" x14ac:dyDescent="0.2">
      <c r="A1844" s="7" t="s">
        <v>683</v>
      </c>
      <c r="B1844" s="7"/>
      <c r="C1844" s="2" t="s">
        <v>648</v>
      </c>
      <c r="D1844" s="6" t="s">
        <v>649</v>
      </c>
      <c r="E1844" s="32" t="s">
        <v>651</v>
      </c>
      <c r="F1844" s="7"/>
      <c r="G1844" s="7"/>
      <c r="H1844" s="7"/>
      <c r="I1844" s="7"/>
      <c r="J1844" s="7"/>
      <c r="K1844" s="7"/>
      <c r="L1844" s="7" t="s">
        <v>663</v>
      </c>
      <c r="M1844" s="8">
        <v>44501</v>
      </c>
      <c r="N1844" s="8">
        <v>44501</v>
      </c>
      <c r="O1844" s="13"/>
      <c r="P1844" s="13">
        <v>577331.96</v>
      </c>
      <c r="Q1844" s="33"/>
      <c r="R1844" s="22"/>
      <c r="S1844" s="22"/>
      <c r="T1844" s="22"/>
      <c r="U1844" s="22"/>
      <c r="X1844" s="15" t="str">
        <f>IF(B1844="",VLOOKUP(A1844,items_lookup!A:B,2,FALSE),B1844)</f>
        <v>_1. Item _1</v>
      </c>
      <c r="Y1844" s="15">
        <f t="shared" si="161"/>
        <v>11</v>
      </c>
      <c r="Z1844" s="15">
        <f t="shared" si="161"/>
        <v>11</v>
      </c>
      <c r="AA1844" s="15">
        <f t="shared" si="158"/>
        <v>2021</v>
      </c>
      <c r="AB1844" s="15">
        <f t="shared" si="159"/>
        <v>2021</v>
      </c>
      <c r="AC1844" s="15">
        <f t="shared" si="160"/>
        <v>2021</v>
      </c>
      <c r="AD1844" s="18" t="b">
        <f t="shared" si="157"/>
        <v>1</v>
      </c>
    </row>
    <row r="1845" spans="1:30" ht="15" hidden="1" customHeight="1" x14ac:dyDescent="0.2">
      <c r="A1845" s="7" t="s">
        <v>683</v>
      </c>
      <c r="B1845" s="7"/>
      <c r="C1845" s="2" t="s">
        <v>648</v>
      </c>
      <c r="D1845" s="6" t="s">
        <v>649</v>
      </c>
      <c r="E1845" s="32" t="s">
        <v>651</v>
      </c>
      <c r="F1845" s="7"/>
      <c r="G1845" s="7"/>
      <c r="H1845" s="7"/>
      <c r="I1845" s="7"/>
      <c r="J1845" s="7"/>
      <c r="K1845" s="7"/>
      <c r="L1845" s="7" t="s">
        <v>663</v>
      </c>
      <c r="M1845" s="8">
        <v>44501</v>
      </c>
      <c r="N1845" s="8">
        <v>44501</v>
      </c>
      <c r="O1845" s="13"/>
      <c r="P1845" s="13">
        <v>456163</v>
      </c>
      <c r="Q1845" s="33"/>
      <c r="R1845" s="22"/>
      <c r="S1845" s="22"/>
      <c r="T1845" s="22"/>
      <c r="U1845" s="22"/>
      <c r="X1845" s="15" t="str">
        <f>IF(B1845="",VLOOKUP(A1845,items_lookup!A:B,2,FALSE),B1845)</f>
        <v>_1. Item _1</v>
      </c>
      <c r="Y1845" s="15">
        <f t="shared" si="161"/>
        <v>11</v>
      </c>
      <c r="Z1845" s="15">
        <f t="shared" si="161"/>
        <v>11</v>
      </c>
      <c r="AA1845" s="15">
        <f t="shared" si="158"/>
        <v>2021</v>
      </c>
      <c r="AB1845" s="15">
        <f t="shared" si="159"/>
        <v>2021</v>
      </c>
      <c r="AC1845" s="15">
        <f t="shared" si="160"/>
        <v>2021</v>
      </c>
      <c r="AD1845" s="18" t="b">
        <f t="shared" si="157"/>
        <v>1</v>
      </c>
    </row>
    <row r="1846" spans="1:30" ht="15" hidden="1" customHeight="1" x14ac:dyDescent="0.2">
      <c r="A1846" s="7" t="s">
        <v>683</v>
      </c>
      <c r="B1846" s="7"/>
      <c r="C1846" s="2" t="s">
        <v>641</v>
      </c>
      <c r="D1846" s="6" t="s">
        <v>649</v>
      </c>
      <c r="E1846" s="32" t="s">
        <v>651</v>
      </c>
      <c r="F1846" s="7"/>
      <c r="G1846" s="7"/>
      <c r="H1846" s="7"/>
      <c r="I1846" s="7" t="s">
        <v>20</v>
      </c>
      <c r="J1846" s="7">
        <v>3</v>
      </c>
      <c r="K1846" s="7" t="s">
        <v>660</v>
      </c>
      <c r="L1846" s="7" t="s">
        <v>663</v>
      </c>
      <c r="M1846" s="8">
        <v>44515</v>
      </c>
      <c r="N1846" s="8">
        <v>44524</v>
      </c>
      <c r="O1846" s="13"/>
      <c r="P1846" s="13">
        <v>15332.19</v>
      </c>
      <c r="Q1846" s="33"/>
      <c r="X1846" s="15" t="str">
        <f>IF(B1846="",VLOOKUP(A1846,items_lookup!A:B,2,FALSE),B1846)</f>
        <v>_1. Item _1</v>
      </c>
      <c r="Y1846" s="15">
        <f t="shared" si="161"/>
        <v>11</v>
      </c>
      <c r="Z1846" s="15">
        <f t="shared" si="161"/>
        <v>11</v>
      </c>
      <c r="AA1846" s="15">
        <f t="shared" si="158"/>
        <v>2021</v>
      </c>
      <c r="AB1846" s="15">
        <f t="shared" si="159"/>
        <v>2021</v>
      </c>
      <c r="AC1846" s="15">
        <f t="shared" si="160"/>
        <v>2021</v>
      </c>
      <c r="AD1846" s="18" t="b">
        <f t="shared" si="157"/>
        <v>1</v>
      </c>
    </row>
    <row r="1847" spans="1:30" ht="14.25" hidden="1" customHeight="1" x14ac:dyDescent="0.2">
      <c r="A1847" s="7" t="s">
        <v>689</v>
      </c>
      <c r="B1847" s="7"/>
      <c r="C1847" s="2" t="s">
        <v>641</v>
      </c>
      <c r="D1847" s="6" t="s">
        <v>649</v>
      </c>
      <c r="E1847" s="32" t="s">
        <v>651</v>
      </c>
      <c r="F1847" s="7"/>
      <c r="G1847" s="7"/>
      <c r="H1847" s="7"/>
      <c r="I1847" s="7"/>
      <c r="J1847" s="7">
        <v>3</v>
      </c>
      <c r="K1847" s="7" t="s">
        <v>660</v>
      </c>
      <c r="L1847" s="7" t="s">
        <v>663</v>
      </c>
      <c r="M1847" s="8">
        <v>44515</v>
      </c>
      <c r="N1847" s="8">
        <v>44523</v>
      </c>
      <c r="O1847" s="13"/>
      <c r="P1847" s="13">
        <v>26079.62</v>
      </c>
      <c r="Q1847" s="33"/>
      <c r="X1847" s="15" t="str">
        <f>IF(B1847="",VLOOKUP(A1847,items_lookup!A:B,2,FALSE),B1847)</f>
        <v>04. Item 04</v>
      </c>
      <c r="Y1847" s="15">
        <f t="shared" si="161"/>
        <v>11</v>
      </c>
      <c r="Z1847" s="15">
        <f t="shared" si="161"/>
        <v>11</v>
      </c>
      <c r="AA1847" s="15">
        <f t="shared" si="158"/>
        <v>2021</v>
      </c>
      <c r="AB1847" s="15">
        <f t="shared" si="159"/>
        <v>2021</v>
      </c>
      <c r="AC1847" s="15">
        <f t="shared" si="160"/>
        <v>2021</v>
      </c>
      <c r="AD1847" s="18" t="b">
        <f t="shared" si="157"/>
        <v>1</v>
      </c>
    </row>
    <row r="1848" spans="1:30" ht="14.25" hidden="1" customHeight="1" x14ac:dyDescent="0.2">
      <c r="A1848" s="7" t="s">
        <v>688</v>
      </c>
      <c r="B1848" s="7"/>
      <c r="C1848" s="2" t="s">
        <v>641</v>
      </c>
      <c r="D1848" s="6" t="s">
        <v>649</v>
      </c>
      <c r="E1848" s="32" t="s">
        <v>651</v>
      </c>
      <c r="F1848" s="7"/>
      <c r="G1848" s="7"/>
      <c r="H1848" s="7"/>
      <c r="I1848" s="7"/>
      <c r="J1848" s="7">
        <v>3</v>
      </c>
      <c r="K1848" s="7" t="s">
        <v>660</v>
      </c>
      <c r="L1848" s="7" t="s">
        <v>663</v>
      </c>
      <c r="M1848" s="8">
        <v>44515</v>
      </c>
      <c r="N1848" s="8">
        <v>44524</v>
      </c>
      <c r="O1848" s="13"/>
      <c r="P1848" s="13">
        <v>436077.18</v>
      </c>
      <c r="Q1848" s="33"/>
      <c r="X1848" s="15" t="str">
        <f>IF(B1848="",VLOOKUP(A1848,items_lookup!A:B,2,FALSE),B1848)</f>
        <v>09. Item 09</v>
      </c>
      <c r="Y1848" s="15">
        <f t="shared" si="161"/>
        <v>11</v>
      </c>
      <c r="Z1848" s="15">
        <f t="shared" si="161"/>
        <v>11</v>
      </c>
      <c r="AA1848" s="15">
        <f t="shared" si="158"/>
        <v>2021</v>
      </c>
      <c r="AB1848" s="15">
        <f t="shared" si="159"/>
        <v>2021</v>
      </c>
      <c r="AC1848" s="15">
        <f t="shared" si="160"/>
        <v>2021</v>
      </c>
      <c r="AD1848" s="18" t="b">
        <f t="shared" si="157"/>
        <v>1</v>
      </c>
    </row>
    <row r="1849" spans="1:30" ht="14.25" hidden="1" customHeight="1" x14ac:dyDescent="0.2">
      <c r="A1849" s="7" t="s">
        <v>702</v>
      </c>
      <c r="B1849" s="7"/>
      <c r="C1849" s="2" t="s">
        <v>641</v>
      </c>
      <c r="D1849" s="6" t="s">
        <v>649</v>
      </c>
      <c r="E1849" s="32" t="s">
        <v>651</v>
      </c>
      <c r="F1849" s="7"/>
      <c r="G1849" s="7"/>
      <c r="H1849" s="7"/>
      <c r="I1849" s="7"/>
      <c r="J1849" s="7">
        <v>3</v>
      </c>
      <c r="K1849" s="7" t="s">
        <v>660</v>
      </c>
      <c r="L1849" s="7" t="s">
        <v>663</v>
      </c>
      <c r="M1849" s="8">
        <v>44515</v>
      </c>
      <c r="N1849" s="8">
        <v>44525</v>
      </c>
      <c r="O1849" s="13"/>
      <c r="P1849" s="13">
        <v>2854.67</v>
      </c>
      <c r="Q1849" s="33"/>
      <c r="X1849" s="15" t="str">
        <f>IF(B1849="",VLOOKUP(A1849,items_lookup!A:B,2,FALSE),B1849)</f>
        <v>17. Item 17</v>
      </c>
      <c r="Y1849" s="15">
        <f t="shared" si="161"/>
        <v>11</v>
      </c>
      <c r="Z1849" s="15">
        <f t="shared" si="161"/>
        <v>11</v>
      </c>
      <c r="AA1849" s="15">
        <f t="shared" si="158"/>
        <v>2021</v>
      </c>
      <c r="AB1849" s="15">
        <f t="shared" si="159"/>
        <v>2021</v>
      </c>
      <c r="AC1849" s="15">
        <f t="shared" si="160"/>
        <v>2021</v>
      </c>
      <c r="AD1849" s="18" t="b">
        <f t="shared" si="157"/>
        <v>1</v>
      </c>
    </row>
    <row r="1850" spans="1:30" ht="14.25" hidden="1" customHeight="1" x14ac:dyDescent="0.2">
      <c r="A1850" s="7" t="s">
        <v>683</v>
      </c>
      <c r="B1850" s="7"/>
      <c r="C1850" s="2" t="s">
        <v>641</v>
      </c>
      <c r="D1850" s="6" t="s">
        <v>649</v>
      </c>
      <c r="E1850" s="32" t="s">
        <v>651</v>
      </c>
      <c r="F1850" s="7"/>
      <c r="G1850" s="7"/>
      <c r="H1850" s="7"/>
      <c r="I1850" s="7"/>
      <c r="J1850" s="7">
        <v>3</v>
      </c>
      <c r="K1850" s="7" t="s">
        <v>660</v>
      </c>
      <c r="L1850" s="7" t="s">
        <v>663</v>
      </c>
      <c r="M1850" s="8">
        <v>44515</v>
      </c>
      <c r="N1850" s="8">
        <v>44524</v>
      </c>
      <c r="O1850" s="13"/>
      <c r="P1850" s="13">
        <v>87773.33</v>
      </c>
      <c r="Q1850" s="33"/>
      <c r="R1850" s="22"/>
      <c r="S1850" s="22"/>
      <c r="T1850" s="22"/>
      <c r="U1850" s="22"/>
      <c r="X1850" s="15" t="str">
        <f>IF(B1850="",VLOOKUP(A1850,items_lookup!A:B,2,FALSE),B1850)</f>
        <v>_1. Item _1</v>
      </c>
      <c r="Y1850" s="15">
        <f t="shared" si="161"/>
        <v>11</v>
      </c>
      <c r="Z1850" s="15">
        <f t="shared" si="161"/>
        <v>11</v>
      </c>
      <c r="AA1850" s="15">
        <f t="shared" si="158"/>
        <v>2021</v>
      </c>
      <c r="AB1850" s="15">
        <f t="shared" si="159"/>
        <v>2021</v>
      </c>
      <c r="AC1850" s="15">
        <f t="shared" si="160"/>
        <v>2021</v>
      </c>
      <c r="AD1850" s="18" t="b">
        <f t="shared" si="157"/>
        <v>1</v>
      </c>
    </row>
    <row r="1851" spans="1:30" ht="12.6" hidden="1" customHeight="1" x14ac:dyDescent="0.2">
      <c r="A1851" s="7" t="s">
        <v>683</v>
      </c>
      <c r="B1851" s="7"/>
      <c r="C1851" s="2" t="s">
        <v>641</v>
      </c>
      <c r="D1851" s="6" t="s">
        <v>649</v>
      </c>
      <c r="E1851" s="32" t="s">
        <v>651</v>
      </c>
      <c r="F1851" s="7"/>
      <c r="G1851" s="7"/>
      <c r="H1851" s="7"/>
      <c r="I1851" s="7"/>
      <c r="J1851" s="7">
        <v>3</v>
      </c>
      <c r="K1851" s="7" t="s">
        <v>660</v>
      </c>
      <c r="L1851" s="7" t="s">
        <v>663</v>
      </c>
      <c r="M1851" s="8">
        <v>44515</v>
      </c>
      <c r="N1851" s="8">
        <v>44525</v>
      </c>
      <c r="O1851" s="13"/>
      <c r="P1851" s="13">
        <v>33173.01</v>
      </c>
      <c r="Q1851" s="33"/>
      <c r="R1851" s="22"/>
      <c r="S1851" s="22"/>
      <c r="T1851" s="22"/>
      <c r="U1851" s="22"/>
      <c r="X1851" s="15" t="str">
        <f>IF(B1851="",VLOOKUP(A1851,items_lookup!A:B,2,FALSE),B1851)</f>
        <v>_1. Item _1</v>
      </c>
      <c r="Y1851" s="15">
        <f t="shared" si="161"/>
        <v>11</v>
      </c>
      <c r="Z1851" s="15">
        <f t="shared" si="161"/>
        <v>11</v>
      </c>
      <c r="AA1851" s="15">
        <f t="shared" si="158"/>
        <v>2021</v>
      </c>
      <c r="AB1851" s="15">
        <f t="shared" si="159"/>
        <v>2021</v>
      </c>
      <c r="AC1851" s="15">
        <f t="shared" si="160"/>
        <v>2021</v>
      </c>
      <c r="AD1851" s="18" t="b">
        <f t="shared" si="157"/>
        <v>1</v>
      </c>
    </row>
    <row r="1852" spans="1:30" ht="15" hidden="1" customHeight="1" x14ac:dyDescent="0.2">
      <c r="A1852" s="7" t="s">
        <v>683</v>
      </c>
      <c r="B1852" s="20"/>
      <c r="C1852" s="2" t="s">
        <v>641</v>
      </c>
      <c r="D1852" s="6" t="s">
        <v>649</v>
      </c>
      <c r="E1852" s="32" t="s">
        <v>651</v>
      </c>
      <c r="F1852" s="7"/>
      <c r="G1852" s="7"/>
      <c r="H1852" s="7"/>
      <c r="I1852" s="7"/>
      <c r="J1852" s="7">
        <v>3</v>
      </c>
      <c r="K1852" s="7" t="s">
        <v>660</v>
      </c>
      <c r="L1852" s="7" t="s">
        <v>663</v>
      </c>
      <c r="M1852" s="8">
        <v>44515</v>
      </c>
      <c r="N1852" s="8">
        <v>44525</v>
      </c>
      <c r="O1852" s="13"/>
      <c r="P1852" s="13">
        <v>8734.2900000000009</v>
      </c>
      <c r="Q1852" s="33"/>
      <c r="R1852" s="9"/>
      <c r="S1852" s="9"/>
      <c r="T1852" s="9"/>
      <c r="U1852" s="9"/>
      <c r="X1852" s="15" t="str">
        <f>IF(B1852="",VLOOKUP(A1852,items_lookup!A:B,2,FALSE),B1852)</f>
        <v>_1. Item _1</v>
      </c>
      <c r="Y1852" s="15">
        <f t="shared" si="161"/>
        <v>11</v>
      </c>
      <c r="Z1852" s="15">
        <f t="shared" si="161"/>
        <v>11</v>
      </c>
      <c r="AA1852" s="15">
        <f t="shared" si="158"/>
        <v>2021</v>
      </c>
      <c r="AB1852" s="15">
        <f t="shared" si="159"/>
        <v>2021</v>
      </c>
      <c r="AC1852" s="15">
        <f t="shared" si="160"/>
        <v>2021</v>
      </c>
      <c r="AD1852" s="18" t="b">
        <f t="shared" si="157"/>
        <v>1</v>
      </c>
    </row>
    <row r="1853" spans="1:30" ht="15" hidden="1" customHeight="1" x14ac:dyDescent="0.2">
      <c r="A1853" s="7" t="s">
        <v>683</v>
      </c>
      <c r="B1853" s="20"/>
      <c r="C1853" s="2" t="s">
        <v>641</v>
      </c>
      <c r="D1853" s="6" t="s">
        <v>649</v>
      </c>
      <c r="E1853" s="32" t="s">
        <v>651</v>
      </c>
      <c r="F1853" s="7"/>
      <c r="G1853" s="7"/>
      <c r="H1853" s="7"/>
      <c r="I1853" s="7" t="s">
        <v>20</v>
      </c>
      <c r="J1853" s="7">
        <v>3</v>
      </c>
      <c r="K1853" s="7" t="s">
        <v>660</v>
      </c>
      <c r="L1853" s="7" t="s">
        <v>663</v>
      </c>
      <c r="M1853" s="8">
        <v>44515</v>
      </c>
      <c r="N1853" s="8">
        <v>44525</v>
      </c>
      <c r="O1853" s="13"/>
      <c r="P1853" s="13">
        <v>24</v>
      </c>
      <c r="Q1853" s="33"/>
      <c r="R1853" s="9"/>
      <c r="S1853" s="9"/>
      <c r="T1853" s="9"/>
      <c r="U1853" s="9"/>
      <c r="X1853" s="15" t="str">
        <f>IF(B1853="",VLOOKUP(A1853,items_lookup!A:B,2,FALSE),B1853)</f>
        <v>_1. Item _1</v>
      </c>
      <c r="Y1853" s="15">
        <f t="shared" si="161"/>
        <v>11</v>
      </c>
      <c r="Z1853" s="15">
        <f t="shared" si="161"/>
        <v>11</v>
      </c>
      <c r="AA1853" s="15">
        <f t="shared" si="158"/>
        <v>2021</v>
      </c>
      <c r="AB1853" s="15">
        <f t="shared" si="159"/>
        <v>2021</v>
      </c>
      <c r="AC1853" s="15">
        <f t="shared" si="160"/>
        <v>2021</v>
      </c>
      <c r="AD1853" s="18" t="b">
        <f t="shared" si="157"/>
        <v>1</v>
      </c>
    </row>
    <row r="1854" spans="1:30" ht="15" hidden="1" customHeight="1" x14ac:dyDescent="0.2">
      <c r="A1854" s="7" t="s">
        <v>682</v>
      </c>
      <c r="B1854" s="7"/>
      <c r="C1854" s="2" t="s">
        <v>641</v>
      </c>
      <c r="D1854" s="6" t="s">
        <v>649</v>
      </c>
      <c r="E1854" s="32" t="s">
        <v>651</v>
      </c>
      <c r="F1854" s="7"/>
      <c r="G1854" s="7"/>
      <c r="H1854" s="7"/>
      <c r="I1854" s="7"/>
      <c r="J1854" s="7">
        <v>3</v>
      </c>
      <c r="K1854" s="7" t="s">
        <v>660</v>
      </c>
      <c r="L1854" s="7" t="s">
        <v>663</v>
      </c>
      <c r="M1854" s="8">
        <v>44515</v>
      </c>
      <c r="N1854" s="8">
        <v>44530</v>
      </c>
      <c r="O1854" s="13"/>
      <c r="P1854" s="13">
        <v>3845251.48</v>
      </c>
      <c r="Q1854" s="33"/>
      <c r="R1854" s="22"/>
      <c r="S1854" s="22"/>
      <c r="T1854" s="22"/>
      <c r="U1854" s="22"/>
      <c r="X1854" s="15" t="str">
        <f>IF(B1854="",VLOOKUP(A1854,items_lookup!A:B,2,FALSE),B1854)</f>
        <v>06. Item 06</v>
      </c>
      <c r="Y1854" s="15">
        <f t="shared" si="161"/>
        <v>11</v>
      </c>
      <c r="Z1854" s="15">
        <f t="shared" si="161"/>
        <v>11</v>
      </c>
      <c r="AA1854" s="15">
        <f t="shared" si="158"/>
        <v>2021</v>
      </c>
      <c r="AB1854" s="15">
        <f t="shared" si="159"/>
        <v>2021</v>
      </c>
      <c r="AC1854" s="15">
        <f t="shared" si="160"/>
        <v>2021</v>
      </c>
      <c r="AD1854" s="18" t="b">
        <f t="shared" si="157"/>
        <v>1</v>
      </c>
    </row>
    <row r="1855" spans="1:30" ht="12.6" hidden="1" customHeight="1" x14ac:dyDescent="0.2">
      <c r="A1855" s="7" t="s">
        <v>697</v>
      </c>
      <c r="B1855" s="7"/>
      <c r="C1855" s="2" t="s">
        <v>641</v>
      </c>
      <c r="D1855" s="6" t="s">
        <v>649</v>
      </c>
      <c r="E1855" s="32" t="s">
        <v>651</v>
      </c>
      <c r="F1855" s="7"/>
      <c r="G1855" s="7"/>
      <c r="H1855" s="7"/>
      <c r="I1855" s="7"/>
      <c r="J1855" s="7">
        <v>3</v>
      </c>
      <c r="K1855" s="7" t="s">
        <v>660</v>
      </c>
      <c r="L1855" s="7" t="s">
        <v>663</v>
      </c>
      <c r="M1855" s="8">
        <v>44515</v>
      </c>
      <c r="N1855" s="8">
        <v>44530</v>
      </c>
      <c r="O1855" s="13"/>
      <c r="P1855" s="13">
        <v>10701643.25</v>
      </c>
      <c r="Q1855" s="33"/>
      <c r="R1855" s="22"/>
      <c r="S1855" s="22"/>
      <c r="T1855" s="22"/>
      <c r="U1855" s="22"/>
      <c r="X1855" s="15" t="str">
        <f>IF(B1855="",VLOOKUP(A1855,items_lookup!A:B,2,FALSE),B1855)</f>
        <v>10. Item 10</v>
      </c>
      <c r="Y1855" s="15">
        <f t="shared" si="161"/>
        <v>11</v>
      </c>
      <c r="Z1855" s="15">
        <f t="shared" si="161"/>
        <v>11</v>
      </c>
      <c r="AA1855" s="15">
        <f t="shared" si="158"/>
        <v>2021</v>
      </c>
      <c r="AB1855" s="15">
        <f t="shared" si="159"/>
        <v>2021</v>
      </c>
      <c r="AC1855" s="15">
        <f t="shared" si="160"/>
        <v>2021</v>
      </c>
      <c r="AD1855" s="18" t="b">
        <f t="shared" si="157"/>
        <v>1</v>
      </c>
    </row>
    <row r="1856" spans="1:30" ht="15" hidden="1" customHeight="1" x14ac:dyDescent="0.2">
      <c r="A1856" s="7" t="s">
        <v>678</v>
      </c>
      <c r="B1856" s="7"/>
      <c r="C1856" s="2" t="s">
        <v>641</v>
      </c>
      <c r="D1856" s="6" t="s">
        <v>649</v>
      </c>
      <c r="E1856" s="32" t="s">
        <v>651</v>
      </c>
      <c r="F1856" s="7"/>
      <c r="G1856" s="7"/>
      <c r="H1856" s="7"/>
      <c r="I1856" s="7"/>
      <c r="J1856" s="7">
        <v>3</v>
      </c>
      <c r="K1856" s="7" t="s">
        <v>660</v>
      </c>
      <c r="L1856" s="7" t="s">
        <v>663</v>
      </c>
      <c r="M1856" s="8">
        <v>44515</v>
      </c>
      <c r="N1856" s="8">
        <v>44525</v>
      </c>
      <c r="O1856" s="13"/>
      <c r="P1856" s="13">
        <v>66151.41</v>
      </c>
      <c r="Q1856" s="33"/>
      <c r="R1856" s="22"/>
      <c r="S1856" s="22"/>
      <c r="T1856" s="22"/>
      <c r="U1856" s="22"/>
      <c r="X1856" s="15" t="str">
        <f>IF(B1856="",VLOOKUP(A1856,items_lookup!A:B,2,FALSE),B1856)</f>
        <v>13. Item 13</v>
      </c>
      <c r="Y1856" s="15">
        <f t="shared" si="161"/>
        <v>11</v>
      </c>
      <c r="Z1856" s="15">
        <f t="shared" si="161"/>
        <v>11</v>
      </c>
      <c r="AA1856" s="15">
        <f t="shared" si="158"/>
        <v>2021</v>
      </c>
      <c r="AB1856" s="15">
        <f t="shared" si="159"/>
        <v>2021</v>
      </c>
      <c r="AC1856" s="15">
        <f t="shared" si="160"/>
        <v>2021</v>
      </c>
      <c r="AD1856" s="18" t="b">
        <f t="shared" si="157"/>
        <v>1</v>
      </c>
    </row>
    <row r="1857" spans="1:30" ht="15" hidden="1" customHeight="1" x14ac:dyDescent="0.2">
      <c r="A1857" s="7" t="s">
        <v>683</v>
      </c>
      <c r="B1857" s="20"/>
      <c r="C1857" s="2" t="s">
        <v>641</v>
      </c>
      <c r="D1857" s="6" t="s">
        <v>649</v>
      </c>
      <c r="E1857" s="32" t="s">
        <v>651</v>
      </c>
      <c r="F1857" s="7"/>
      <c r="G1857" s="7"/>
      <c r="H1857" s="7"/>
      <c r="I1857" s="7"/>
      <c r="J1857" s="7">
        <v>3</v>
      </c>
      <c r="K1857" s="7" t="s">
        <v>660</v>
      </c>
      <c r="L1857" s="7" t="s">
        <v>663</v>
      </c>
      <c r="M1857" s="8">
        <v>44515</v>
      </c>
      <c r="N1857" s="8">
        <v>44519</v>
      </c>
      <c r="O1857" s="13"/>
      <c r="P1857" s="13">
        <v>48965.06</v>
      </c>
      <c r="Q1857" s="33"/>
      <c r="R1857" s="22"/>
      <c r="S1857" s="22"/>
      <c r="T1857" s="22"/>
      <c r="U1857" s="22"/>
      <c r="X1857" s="15" t="str">
        <f>IF(B1857="",VLOOKUP(A1857,items_lookup!A:B,2,FALSE),B1857)</f>
        <v>_1. Item _1</v>
      </c>
      <c r="Y1857" s="15">
        <f t="shared" si="161"/>
        <v>11</v>
      </c>
      <c r="Z1857" s="15">
        <f t="shared" si="161"/>
        <v>11</v>
      </c>
      <c r="AA1857" s="15">
        <f t="shared" si="158"/>
        <v>2021</v>
      </c>
      <c r="AB1857" s="15">
        <f t="shared" si="159"/>
        <v>2021</v>
      </c>
      <c r="AC1857" s="15">
        <f t="shared" si="160"/>
        <v>2021</v>
      </c>
      <c r="AD1857" s="18" t="b">
        <f t="shared" si="157"/>
        <v>1</v>
      </c>
    </row>
    <row r="1858" spans="1:30" ht="15.75" hidden="1" customHeight="1" x14ac:dyDescent="0.2">
      <c r="A1858" s="7" t="s">
        <v>677</v>
      </c>
      <c r="B1858" s="20"/>
      <c r="C1858" s="2" t="s">
        <v>641</v>
      </c>
      <c r="D1858" s="6" t="s">
        <v>649</v>
      </c>
      <c r="E1858" s="32" t="s">
        <v>651</v>
      </c>
      <c r="F1858" s="7"/>
      <c r="G1858" s="7"/>
      <c r="H1858" s="7"/>
      <c r="I1858" s="7"/>
      <c r="J1858" s="7">
        <v>3</v>
      </c>
      <c r="K1858" s="7" t="s">
        <v>660</v>
      </c>
      <c r="L1858" s="7" t="s">
        <v>663</v>
      </c>
      <c r="M1858" s="8">
        <v>44515</v>
      </c>
      <c r="N1858" s="8">
        <v>44519</v>
      </c>
      <c r="O1858" s="13"/>
      <c r="P1858" s="13">
        <v>214527.74</v>
      </c>
      <c r="Q1858" s="33"/>
      <c r="R1858" s="22"/>
      <c r="S1858" s="22"/>
      <c r="T1858" s="22"/>
      <c r="U1858" s="22"/>
      <c r="X1858" s="15" t="str">
        <f>IF(B1858="",VLOOKUP(A1858,items_lookup!A:B,2,FALSE),B1858)</f>
        <v>11. Item 11</v>
      </c>
      <c r="Y1858" s="15">
        <f t="shared" si="161"/>
        <v>11</v>
      </c>
      <c r="Z1858" s="15">
        <f t="shared" si="161"/>
        <v>11</v>
      </c>
      <c r="AA1858" s="15">
        <f t="shared" si="158"/>
        <v>2021</v>
      </c>
      <c r="AB1858" s="15">
        <f t="shared" si="159"/>
        <v>2021</v>
      </c>
      <c r="AC1858" s="15">
        <f t="shared" si="160"/>
        <v>2021</v>
      </c>
      <c r="AD1858" s="18" t="b">
        <f t="shared" si="157"/>
        <v>1</v>
      </c>
    </row>
    <row r="1859" spans="1:30" ht="15.75" hidden="1" customHeight="1" x14ac:dyDescent="0.2">
      <c r="A1859" s="7" t="s">
        <v>680</v>
      </c>
      <c r="B1859" s="7"/>
      <c r="C1859" s="2" t="s">
        <v>641</v>
      </c>
      <c r="D1859" s="6" t="s">
        <v>649</v>
      </c>
      <c r="E1859" s="32" t="s">
        <v>651</v>
      </c>
      <c r="F1859" s="7"/>
      <c r="G1859" s="7"/>
      <c r="H1859" s="7"/>
      <c r="I1859" s="7"/>
      <c r="J1859" s="7">
        <v>3</v>
      </c>
      <c r="K1859" s="7" t="s">
        <v>660</v>
      </c>
      <c r="L1859" s="7" t="s">
        <v>663</v>
      </c>
      <c r="M1859" s="8">
        <v>44515</v>
      </c>
      <c r="N1859" s="8">
        <v>44523</v>
      </c>
      <c r="O1859" s="13"/>
      <c r="P1859" s="13">
        <v>228028.08</v>
      </c>
      <c r="Q1859" s="33"/>
      <c r="R1859" s="22"/>
      <c r="S1859" s="22"/>
      <c r="T1859" s="22"/>
      <c r="U1859" s="22"/>
      <c r="X1859" s="15" t="str">
        <f>IF(B1859="",VLOOKUP(A1859,items_lookup!A:B,2,FALSE),B1859)</f>
        <v>13. Item 13</v>
      </c>
      <c r="Y1859" s="15">
        <f t="shared" si="161"/>
        <v>11</v>
      </c>
      <c r="Z1859" s="15">
        <f t="shared" si="161"/>
        <v>11</v>
      </c>
      <c r="AA1859" s="15">
        <f t="shared" si="158"/>
        <v>2021</v>
      </c>
      <c r="AB1859" s="15">
        <f t="shared" si="159"/>
        <v>2021</v>
      </c>
      <c r="AC1859" s="15">
        <f t="shared" si="160"/>
        <v>2021</v>
      </c>
      <c r="AD1859" s="18" t="b">
        <f t="shared" ref="AD1859:AD1922" si="162">AND(ROUND(O1859,2)=O1859,ROUND(P1859,2)=P1859,OR(AND(O1859&lt;&gt;0,L1859="p"),AND(P1859&lt;&gt;0,L1859="f")),_xlfn.ISFORMULA(X1859),_xlfn.ISFORMULA(Y1859),_xlfn.ISFORMULA(Z1859),_xlfn.ISFORMULA(AA1859),_xlfn.ISFORMULA(AB1859),_xlfn.ISFORMULA(AC1859),NOT(_xlfn.ISFORMULA(O1859)),NOT(_xlfn.ISFORMULA(P1859)),M1859&lt;&gt;0,N1859&lt;&gt;0)</f>
        <v>1</v>
      </c>
    </row>
    <row r="1860" spans="1:30" ht="15" hidden="1" customHeight="1" x14ac:dyDescent="0.2">
      <c r="A1860" s="7" t="s">
        <v>680</v>
      </c>
      <c r="B1860" s="20"/>
      <c r="C1860" s="2" t="s">
        <v>641</v>
      </c>
      <c r="D1860" s="6" t="s">
        <v>649</v>
      </c>
      <c r="E1860" s="32" t="s">
        <v>651</v>
      </c>
      <c r="F1860" s="7"/>
      <c r="G1860" s="7"/>
      <c r="H1860" s="7"/>
      <c r="I1860" s="7"/>
      <c r="J1860" s="7">
        <v>1</v>
      </c>
      <c r="K1860" s="7" t="s">
        <v>660</v>
      </c>
      <c r="L1860" s="7" t="s">
        <v>663</v>
      </c>
      <c r="M1860" s="8">
        <v>44515</v>
      </c>
      <c r="N1860" s="8">
        <v>44524</v>
      </c>
      <c r="O1860" s="13"/>
      <c r="P1860" s="13">
        <v>14552.89</v>
      </c>
      <c r="Q1860" s="33"/>
      <c r="R1860" s="9"/>
      <c r="S1860" s="9"/>
      <c r="T1860" s="9"/>
      <c r="U1860" s="9"/>
      <c r="X1860" s="15" t="str">
        <f>IF(B1860="",VLOOKUP(A1860,items_lookup!A:B,2,FALSE),B1860)</f>
        <v>13. Item 13</v>
      </c>
      <c r="Y1860" s="15">
        <f t="shared" si="161"/>
        <v>11</v>
      </c>
      <c r="Z1860" s="15">
        <f t="shared" si="161"/>
        <v>11</v>
      </c>
      <c r="AA1860" s="15">
        <f t="shared" si="158"/>
        <v>2021</v>
      </c>
      <c r="AB1860" s="15">
        <f t="shared" si="159"/>
        <v>2021</v>
      </c>
      <c r="AC1860" s="15">
        <f t="shared" si="160"/>
        <v>2021</v>
      </c>
      <c r="AD1860" s="18" t="b">
        <f t="shared" si="162"/>
        <v>1</v>
      </c>
    </row>
    <row r="1861" spans="1:30" ht="15" hidden="1" customHeight="1" x14ac:dyDescent="0.2">
      <c r="A1861" s="7" t="s">
        <v>680</v>
      </c>
      <c r="B1861" s="7"/>
      <c r="C1861" s="2" t="s">
        <v>641</v>
      </c>
      <c r="D1861" s="6" t="s">
        <v>649</v>
      </c>
      <c r="E1861" s="32" t="s">
        <v>651</v>
      </c>
      <c r="F1861" s="7"/>
      <c r="G1861" s="7"/>
      <c r="H1861" s="7"/>
      <c r="I1861" s="7"/>
      <c r="J1861" s="7">
        <v>4</v>
      </c>
      <c r="K1861" s="7" t="s">
        <v>660</v>
      </c>
      <c r="L1861" s="7" t="s">
        <v>663</v>
      </c>
      <c r="M1861" s="8">
        <v>44515</v>
      </c>
      <c r="N1861" s="8">
        <v>44530</v>
      </c>
      <c r="O1861" s="13"/>
      <c r="P1861" s="13">
        <v>34337.040000000001</v>
      </c>
      <c r="Q1861" s="33"/>
      <c r="R1861" s="22"/>
      <c r="S1861" s="22"/>
      <c r="T1861" s="22"/>
      <c r="U1861" s="22"/>
      <c r="X1861" s="15" t="str">
        <f>IF(B1861="",VLOOKUP(A1861,items_lookup!A:B,2,FALSE),B1861)</f>
        <v>13. Item 13</v>
      </c>
      <c r="Y1861" s="15">
        <f t="shared" si="161"/>
        <v>11</v>
      </c>
      <c r="Z1861" s="15">
        <f t="shared" si="161"/>
        <v>11</v>
      </c>
      <c r="AA1861" s="15">
        <f t="shared" si="158"/>
        <v>2021</v>
      </c>
      <c r="AB1861" s="15">
        <f t="shared" si="159"/>
        <v>2021</v>
      </c>
      <c r="AC1861" s="15">
        <f t="shared" si="160"/>
        <v>2021</v>
      </c>
      <c r="AD1861" s="18" t="b">
        <f t="shared" si="162"/>
        <v>1</v>
      </c>
    </row>
    <row r="1862" spans="1:30" ht="15" hidden="1" customHeight="1" x14ac:dyDescent="0.2">
      <c r="A1862" s="7" t="s">
        <v>680</v>
      </c>
      <c r="B1862" s="7"/>
      <c r="C1862" s="2" t="s">
        <v>641</v>
      </c>
      <c r="D1862" s="6" t="s">
        <v>649</v>
      </c>
      <c r="E1862" s="32" t="s">
        <v>651</v>
      </c>
      <c r="F1862" s="7"/>
      <c r="G1862" s="7"/>
      <c r="H1862" s="7"/>
      <c r="I1862" s="7" t="s">
        <v>20</v>
      </c>
      <c r="J1862" s="7">
        <v>2</v>
      </c>
      <c r="K1862" s="7" t="s">
        <v>660</v>
      </c>
      <c r="L1862" s="7" t="s">
        <v>663</v>
      </c>
      <c r="M1862" s="8">
        <v>44510</v>
      </c>
      <c r="N1862" s="8">
        <v>44519</v>
      </c>
      <c r="O1862" s="13"/>
      <c r="P1862" s="13">
        <v>82289.149999999994</v>
      </c>
      <c r="Q1862" s="33"/>
      <c r="R1862" s="9"/>
      <c r="S1862" s="9"/>
      <c r="T1862" s="9"/>
      <c r="U1862" s="9"/>
      <c r="X1862" s="15" t="str">
        <f>IF(B1862="",VLOOKUP(A1862,items_lookup!A:B,2,FALSE),B1862)</f>
        <v>13. Item 13</v>
      </c>
      <c r="Y1862" s="15">
        <f t="shared" si="161"/>
        <v>11</v>
      </c>
      <c r="Z1862" s="15">
        <f t="shared" si="161"/>
        <v>11</v>
      </c>
      <c r="AA1862" s="15">
        <f t="shared" si="158"/>
        <v>2021</v>
      </c>
      <c r="AB1862" s="15">
        <f t="shared" si="159"/>
        <v>2021</v>
      </c>
      <c r="AC1862" s="15">
        <f t="shared" si="160"/>
        <v>2021</v>
      </c>
      <c r="AD1862" s="18" t="b">
        <f t="shared" si="162"/>
        <v>1</v>
      </c>
    </row>
    <row r="1863" spans="1:30" ht="15" hidden="1" customHeight="1" x14ac:dyDescent="0.2">
      <c r="A1863" s="7" t="s">
        <v>680</v>
      </c>
      <c r="B1863" s="7"/>
      <c r="C1863" s="2" t="s">
        <v>641</v>
      </c>
      <c r="D1863" s="6" t="s">
        <v>649</v>
      </c>
      <c r="E1863" s="32" t="s">
        <v>651</v>
      </c>
      <c r="F1863" s="7"/>
      <c r="G1863" s="7"/>
      <c r="H1863" s="7"/>
      <c r="I1863" s="7"/>
      <c r="J1863" s="7">
        <v>2</v>
      </c>
      <c r="K1863" s="7" t="s">
        <v>660</v>
      </c>
      <c r="L1863" s="7" t="s">
        <v>663</v>
      </c>
      <c r="M1863" s="8">
        <v>44505</v>
      </c>
      <c r="N1863" s="8">
        <v>44519</v>
      </c>
      <c r="O1863" s="13"/>
      <c r="P1863" s="13">
        <v>178571.43</v>
      </c>
      <c r="Q1863" s="33"/>
      <c r="R1863" s="22"/>
      <c r="S1863" s="22"/>
      <c r="T1863" s="22"/>
      <c r="U1863" s="22"/>
      <c r="X1863" s="15" t="str">
        <f>IF(B1863="",VLOOKUP(A1863,items_lookup!A:B,2,FALSE),B1863)</f>
        <v>13. Item 13</v>
      </c>
      <c r="Y1863" s="15">
        <f t="shared" si="161"/>
        <v>11</v>
      </c>
      <c r="Z1863" s="15">
        <f t="shared" si="161"/>
        <v>11</v>
      </c>
      <c r="AA1863" s="15">
        <f t="shared" si="158"/>
        <v>2021</v>
      </c>
      <c r="AB1863" s="15">
        <f t="shared" si="159"/>
        <v>2021</v>
      </c>
      <c r="AC1863" s="15">
        <f t="shared" si="160"/>
        <v>2021</v>
      </c>
      <c r="AD1863" s="18" t="b">
        <f t="shared" si="162"/>
        <v>1</v>
      </c>
    </row>
    <row r="1864" spans="1:30" ht="16.5" hidden="1" customHeight="1" x14ac:dyDescent="0.2">
      <c r="A1864" s="7" t="s">
        <v>680</v>
      </c>
      <c r="B1864" s="7"/>
      <c r="C1864" s="2" t="s">
        <v>641</v>
      </c>
      <c r="D1864" s="6" t="s">
        <v>649</v>
      </c>
      <c r="E1864" s="32" t="s">
        <v>651</v>
      </c>
      <c r="F1864" s="7"/>
      <c r="G1864" s="7"/>
      <c r="H1864" s="7"/>
      <c r="I1864" s="7"/>
      <c r="J1864" s="7">
        <v>1</v>
      </c>
      <c r="K1864" s="7" t="s">
        <v>660</v>
      </c>
      <c r="L1864" s="7" t="s">
        <v>663</v>
      </c>
      <c r="M1864" s="8">
        <v>44515</v>
      </c>
      <c r="N1864" s="8">
        <v>44523</v>
      </c>
      <c r="O1864" s="13"/>
      <c r="P1864" s="13">
        <v>2156128.71</v>
      </c>
      <c r="Q1864" s="33"/>
      <c r="R1864" s="22"/>
      <c r="S1864" s="22"/>
      <c r="T1864" s="22"/>
      <c r="U1864" s="22"/>
      <c r="X1864" s="15" t="str">
        <f>IF(B1864="",VLOOKUP(A1864,items_lookup!A:B,2,FALSE),B1864)</f>
        <v>13. Item 13</v>
      </c>
      <c r="Y1864" s="15">
        <f t="shared" si="161"/>
        <v>11</v>
      </c>
      <c r="Z1864" s="15">
        <f t="shared" si="161"/>
        <v>11</v>
      </c>
      <c r="AA1864" s="15">
        <f t="shared" si="158"/>
        <v>2021</v>
      </c>
      <c r="AB1864" s="15">
        <f t="shared" si="159"/>
        <v>2021</v>
      </c>
      <c r="AC1864" s="15">
        <f t="shared" si="160"/>
        <v>2021</v>
      </c>
      <c r="AD1864" s="18" t="b">
        <f t="shared" si="162"/>
        <v>1</v>
      </c>
    </row>
    <row r="1865" spans="1:30" ht="12.6" hidden="1" customHeight="1" x14ac:dyDescent="0.2">
      <c r="A1865" s="7" t="s">
        <v>680</v>
      </c>
      <c r="B1865" s="7"/>
      <c r="C1865" s="2" t="s">
        <v>641</v>
      </c>
      <c r="D1865" s="6" t="s">
        <v>649</v>
      </c>
      <c r="E1865" s="32" t="s">
        <v>651</v>
      </c>
      <c r="F1865" s="7"/>
      <c r="G1865" s="7"/>
      <c r="H1865" s="7"/>
      <c r="I1865" s="7"/>
      <c r="J1865" s="7">
        <v>3</v>
      </c>
      <c r="K1865" s="7" t="s">
        <v>660</v>
      </c>
      <c r="L1865" s="7" t="s">
        <v>663</v>
      </c>
      <c r="M1865" s="8">
        <v>44515</v>
      </c>
      <c r="N1865" s="8">
        <v>44524</v>
      </c>
      <c r="O1865" s="13"/>
      <c r="P1865" s="13">
        <v>184572.4</v>
      </c>
      <c r="Q1865" s="33"/>
      <c r="R1865" s="22"/>
      <c r="S1865" s="22"/>
      <c r="T1865" s="22"/>
      <c r="U1865" s="22"/>
      <c r="X1865" s="15" t="str">
        <f>IF(B1865="",VLOOKUP(A1865,items_lookup!A:B,2,FALSE),B1865)</f>
        <v>13. Item 13</v>
      </c>
      <c r="Y1865" s="15">
        <f t="shared" si="161"/>
        <v>11</v>
      </c>
      <c r="Z1865" s="15">
        <f t="shared" si="161"/>
        <v>11</v>
      </c>
      <c r="AA1865" s="15">
        <f t="shared" si="158"/>
        <v>2021</v>
      </c>
      <c r="AB1865" s="15">
        <f t="shared" si="159"/>
        <v>2021</v>
      </c>
      <c r="AC1865" s="15">
        <f t="shared" si="160"/>
        <v>2021</v>
      </c>
      <c r="AD1865" s="18" t="b">
        <f t="shared" si="162"/>
        <v>1</v>
      </c>
    </row>
    <row r="1866" spans="1:30" ht="15" hidden="1" customHeight="1" x14ac:dyDescent="0.2">
      <c r="A1866" s="7" t="s">
        <v>680</v>
      </c>
      <c r="B1866" s="7"/>
      <c r="C1866" s="2" t="s">
        <v>641</v>
      </c>
      <c r="D1866" s="6" t="s">
        <v>649</v>
      </c>
      <c r="E1866" s="32" t="s">
        <v>651</v>
      </c>
      <c r="F1866" s="7"/>
      <c r="G1866" s="7"/>
      <c r="H1866" s="7"/>
      <c r="I1866" s="7"/>
      <c r="J1866" s="7">
        <v>3</v>
      </c>
      <c r="K1866" s="7" t="s">
        <v>660</v>
      </c>
      <c r="L1866" s="7" t="s">
        <v>663</v>
      </c>
      <c r="M1866" s="8">
        <v>44515</v>
      </c>
      <c r="N1866" s="8">
        <v>44524</v>
      </c>
      <c r="O1866" s="13"/>
      <c r="P1866" s="13">
        <v>60725.79</v>
      </c>
      <c r="Q1866" s="33"/>
      <c r="R1866" s="22"/>
      <c r="S1866" s="22"/>
      <c r="T1866" s="22"/>
      <c r="U1866" s="22"/>
      <c r="X1866" s="15" t="str">
        <f>IF(B1866="",VLOOKUP(A1866,items_lookup!A:B,2,FALSE),B1866)</f>
        <v>13. Item 13</v>
      </c>
      <c r="Y1866" s="15">
        <f t="shared" si="161"/>
        <v>11</v>
      </c>
      <c r="Z1866" s="15">
        <f t="shared" si="161"/>
        <v>11</v>
      </c>
      <c r="AA1866" s="15">
        <f t="shared" si="158"/>
        <v>2021</v>
      </c>
      <c r="AB1866" s="15">
        <f t="shared" si="159"/>
        <v>2021</v>
      </c>
      <c r="AC1866" s="15">
        <f t="shared" si="160"/>
        <v>2021</v>
      </c>
      <c r="AD1866" s="18" t="b">
        <f t="shared" si="162"/>
        <v>1</v>
      </c>
    </row>
    <row r="1867" spans="1:30" ht="15" hidden="1" customHeight="1" x14ac:dyDescent="0.2">
      <c r="A1867" s="7" t="s">
        <v>680</v>
      </c>
      <c r="B1867" s="20"/>
      <c r="C1867" s="2" t="s">
        <v>641</v>
      </c>
      <c r="D1867" s="6" t="s">
        <v>649</v>
      </c>
      <c r="E1867" s="32" t="s">
        <v>651</v>
      </c>
      <c r="F1867" s="7"/>
      <c r="G1867" s="7"/>
      <c r="H1867" s="7"/>
      <c r="I1867" s="7"/>
      <c r="J1867" s="7">
        <v>1</v>
      </c>
      <c r="K1867" s="7" t="s">
        <v>660</v>
      </c>
      <c r="L1867" s="7" t="s">
        <v>663</v>
      </c>
      <c r="M1867" s="8">
        <v>44515</v>
      </c>
      <c r="N1867" s="8">
        <v>44524</v>
      </c>
      <c r="O1867" s="13"/>
      <c r="P1867" s="13">
        <v>363.93</v>
      </c>
      <c r="Q1867" s="33"/>
      <c r="R1867" s="9"/>
      <c r="S1867" s="9"/>
      <c r="T1867" s="9"/>
      <c r="U1867" s="9"/>
      <c r="X1867" s="15" t="str">
        <f>IF(B1867="",VLOOKUP(A1867,items_lookup!A:B,2,FALSE),B1867)</f>
        <v>13. Item 13</v>
      </c>
      <c r="Y1867" s="15">
        <f t="shared" si="161"/>
        <v>11</v>
      </c>
      <c r="Z1867" s="15">
        <f t="shared" si="161"/>
        <v>11</v>
      </c>
      <c r="AA1867" s="15">
        <f t="shared" si="158"/>
        <v>2021</v>
      </c>
      <c r="AB1867" s="15">
        <f t="shared" si="159"/>
        <v>2021</v>
      </c>
      <c r="AC1867" s="15">
        <f t="shared" si="160"/>
        <v>2021</v>
      </c>
      <c r="AD1867" s="18" t="b">
        <f t="shared" si="162"/>
        <v>1</v>
      </c>
    </row>
    <row r="1868" spans="1:30" ht="15" hidden="1" customHeight="1" x14ac:dyDescent="0.2">
      <c r="A1868" s="7" t="s">
        <v>670</v>
      </c>
      <c r="B1868" s="7"/>
      <c r="C1868" s="2" t="s">
        <v>641</v>
      </c>
      <c r="D1868" s="6" t="s">
        <v>649</v>
      </c>
      <c r="E1868" s="32" t="s">
        <v>651</v>
      </c>
      <c r="F1868" s="7"/>
      <c r="G1868" s="7"/>
      <c r="H1868" s="7"/>
      <c r="I1868" s="7"/>
      <c r="J1868" s="7"/>
      <c r="K1868" s="7" t="s">
        <v>660</v>
      </c>
      <c r="L1868" s="7" t="s">
        <v>663</v>
      </c>
      <c r="M1868" s="8">
        <v>44512</v>
      </c>
      <c r="N1868" s="8">
        <v>44512</v>
      </c>
      <c r="O1868" s="13"/>
      <c r="P1868" s="13">
        <v>66.55</v>
      </c>
      <c r="Q1868" s="33"/>
      <c r="R1868" s="22"/>
      <c r="S1868" s="22"/>
      <c r="T1868" s="22"/>
      <c r="U1868" s="22"/>
      <c r="X1868" s="15" t="str">
        <f>IF(B1868="",VLOOKUP(A1868,items_lookup!A:B,2,FALSE),B1868)</f>
        <v>04. Item 04</v>
      </c>
      <c r="Y1868" s="15">
        <f t="shared" si="161"/>
        <v>11</v>
      </c>
      <c r="Z1868" s="15">
        <f t="shared" si="161"/>
        <v>11</v>
      </c>
      <c r="AA1868" s="15">
        <f t="shared" si="158"/>
        <v>2021</v>
      </c>
      <c r="AB1868" s="15">
        <f t="shared" si="159"/>
        <v>2021</v>
      </c>
      <c r="AC1868" s="15">
        <f t="shared" si="160"/>
        <v>2021</v>
      </c>
      <c r="AD1868" s="18" t="b">
        <f t="shared" si="162"/>
        <v>1</v>
      </c>
    </row>
    <row r="1869" spans="1:30" ht="15" hidden="1" customHeight="1" x14ac:dyDescent="0.2">
      <c r="A1869" s="7" t="s">
        <v>670</v>
      </c>
      <c r="B1869" s="7"/>
      <c r="C1869" s="2" t="s">
        <v>641</v>
      </c>
      <c r="D1869" s="6" t="s">
        <v>649</v>
      </c>
      <c r="E1869" s="32" t="s">
        <v>651</v>
      </c>
      <c r="F1869" s="7"/>
      <c r="G1869" s="7"/>
      <c r="H1869" s="7"/>
      <c r="I1869" s="7"/>
      <c r="J1869" s="7"/>
      <c r="K1869" s="7" t="s">
        <v>660</v>
      </c>
      <c r="L1869" s="7" t="s">
        <v>663</v>
      </c>
      <c r="M1869" s="8">
        <v>44516</v>
      </c>
      <c r="N1869" s="8">
        <v>44516</v>
      </c>
      <c r="O1869" s="13"/>
      <c r="P1869" s="13">
        <v>76669.399999999994</v>
      </c>
      <c r="Q1869" s="33"/>
      <c r="R1869" s="22"/>
      <c r="S1869" s="22"/>
      <c r="T1869" s="22"/>
      <c r="U1869" s="22"/>
      <c r="X1869" s="15" t="str">
        <f>IF(B1869="",VLOOKUP(A1869,items_lookup!A:B,2,FALSE),B1869)</f>
        <v>04. Item 04</v>
      </c>
      <c r="Y1869" s="15">
        <f t="shared" si="161"/>
        <v>11</v>
      </c>
      <c r="Z1869" s="15">
        <f t="shared" si="161"/>
        <v>11</v>
      </c>
      <c r="AA1869" s="15">
        <f t="shared" si="158"/>
        <v>2021</v>
      </c>
      <c r="AB1869" s="15">
        <f t="shared" si="159"/>
        <v>2021</v>
      </c>
      <c r="AC1869" s="15">
        <f t="shared" si="160"/>
        <v>2021</v>
      </c>
      <c r="AD1869" s="18" t="b">
        <f t="shared" si="162"/>
        <v>1</v>
      </c>
    </row>
    <row r="1870" spans="1:30" ht="15" hidden="1" customHeight="1" x14ac:dyDescent="0.2">
      <c r="A1870" s="7" t="s">
        <v>672</v>
      </c>
      <c r="B1870" s="7"/>
      <c r="C1870" s="2" t="s">
        <v>641</v>
      </c>
      <c r="D1870" s="6" t="s">
        <v>649</v>
      </c>
      <c r="E1870" s="32" t="s">
        <v>651</v>
      </c>
      <c r="F1870" s="7"/>
      <c r="G1870" s="7"/>
      <c r="H1870" s="7"/>
      <c r="I1870" s="7"/>
      <c r="J1870" s="7">
        <v>3</v>
      </c>
      <c r="K1870" s="7" t="s">
        <v>660</v>
      </c>
      <c r="L1870" s="7" t="s">
        <v>663</v>
      </c>
      <c r="M1870" s="8">
        <v>44517</v>
      </c>
      <c r="N1870" s="8">
        <v>44526</v>
      </c>
      <c r="O1870" s="13"/>
      <c r="P1870" s="13">
        <v>11666.67</v>
      </c>
      <c r="Q1870" s="33"/>
      <c r="X1870" s="15" t="str">
        <f>IF(B1870="",VLOOKUP(A1870,items_lookup!A:B,2,FALSE),B1870)</f>
        <v>05. Item 05</v>
      </c>
      <c r="Y1870" s="15">
        <f t="shared" si="161"/>
        <v>11</v>
      </c>
      <c r="Z1870" s="15">
        <f t="shared" si="161"/>
        <v>11</v>
      </c>
      <c r="AA1870" s="15">
        <f t="shared" si="158"/>
        <v>2021</v>
      </c>
      <c r="AB1870" s="15">
        <f t="shared" si="159"/>
        <v>2021</v>
      </c>
      <c r="AC1870" s="15">
        <f t="shared" si="160"/>
        <v>2021</v>
      </c>
      <c r="AD1870" s="18" t="b">
        <f t="shared" si="162"/>
        <v>1</v>
      </c>
    </row>
    <row r="1871" spans="1:30" ht="14.25" hidden="1" customHeight="1" x14ac:dyDescent="0.2">
      <c r="A1871" s="7" t="s">
        <v>687</v>
      </c>
      <c r="B1871" s="7"/>
      <c r="C1871" s="2" t="s">
        <v>641</v>
      </c>
      <c r="D1871" s="6" t="s">
        <v>649</v>
      </c>
      <c r="E1871" s="32" t="s">
        <v>651</v>
      </c>
      <c r="F1871" s="7"/>
      <c r="G1871" s="7"/>
      <c r="H1871" s="7"/>
      <c r="I1871" s="7"/>
      <c r="J1871" s="7"/>
      <c r="K1871" s="7" t="s">
        <v>660</v>
      </c>
      <c r="L1871" s="7" t="s">
        <v>663</v>
      </c>
      <c r="M1871" s="8">
        <v>44517</v>
      </c>
      <c r="N1871" s="8">
        <v>44517</v>
      </c>
      <c r="O1871" s="13"/>
      <c r="P1871" s="13">
        <v>11156.36</v>
      </c>
      <c r="Q1871" s="33"/>
      <c r="R1871" s="22"/>
      <c r="S1871" s="22"/>
      <c r="T1871" s="22"/>
      <c r="U1871" s="22"/>
      <c r="X1871" s="15" t="str">
        <f>IF(B1871="",VLOOKUP(A1871,items_lookup!A:B,2,FALSE),B1871)</f>
        <v>14. Item 14</v>
      </c>
      <c r="Y1871" s="15">
        <f t="shared" si="161"/>
        <v>11</v>
      </c>
      <c r="Z1871" s="15">
        <f t="shared" si="161"/>
        <v>11</v>
      </c>
      <c r="AA1871" s="15">
        <f t="shared" si="158"/>
        <v>2021</v>
      </c>
      <c r="AB1871" s="15">
        <f t="shared" si="159"/>
        <v>2021</v>
      </c>
      <c r="AC1871" s="15">
        <f t="shared" si="160"/>
        <v>2021</v>
      </c>
      <c r="AD1871" s="18" t="b">
        <f t="shared" si="162"/>
        <v>1</v>
      </c>
    </row>
    <row r="1872" spans="1:30" ht="15" hidden="1" customHeight="1" x14ac:dyDescent="0.2">
      <c r="A1872" s="7" t="s">
        <v>675</v>
      </c>
      <c r="B1872" s="7"/>
      <c r="C1872" s="2" t="s">
        <v>641</v>
      </c>
      <c r="D1872" s="6" t="s">
        <v>649</v>
      </c>
      <c r="E1872" s="32" t="s">
        <v>651</v>
      </c>
      <c r="F1872" s="7"/>
      <c r="G1872" s="7"/>
      <c r="H1872" s="7"/>
      <c r="I1872" s="7"/>
      <c r="J1872" s="7"/>
      <c r="K1872" s="7" t="s">
        <v>660</v>
      </c>
      <c r="L1872" s="7" t="s">
        <v>663</v>
      </c>
      <c r="M1872" s="8">
        <v>44518</v>
      </c>
      <c r="N1872" s="8">
        <v>44518</v>
      </c>
      <c r="O1872" s="13"/>
      <c r="P1872" s="13">
        <v>109257.22</v>
      </c>
      <c r="Q1872" s="33"/>
      <c r="R1872" s="22"/>
      <c r="S1872" s="22"/>
      <c r="T1872" s="22"/>
      <c r="U1872" s="22"/>
      <c r="X1872" s="15" t="str">
        <f>IF(B1872="",VLOOKUP(A1872,items_lookup!A:B,2,FALSE),B1872)</f>
        <v>09. Item 09</v>
      </c>
      <c r="Y1872" s="15">
        <f t="shared" si="161"/>
        <v>11</v>
      </c>
      <c r="Z1872" s="15">
        <f t="shared" si="161"/>
        <v>11</v>
      </c>
      <c r="AA1872" s="15">
        <f t="shared" si="158"/>
        <v>2021</v>
      </c>
      <c r="AB1872" s="15">
        <f t="shared" si="159"/>
        <v>2021</v>
      </c>
      <c r="AC1872" s="15">
        <f t="shared" si="160"/>
        <v>2021</v>
      </c>
      <c r="AD1872" s="18" t="b">
        <f t="shared" si="162"/>
        <v>1</v>
      </c>
    </row>
    <row r="1873" spans="1:30" ht="15" hidden="1" customHeight="1" x14ac:dyDescent="0.2">
      <c r="A1873" s="7" t="s">
        <v>675</v>
      </c>
      <c r="B1873" s="20"/>
      <c r="C1873" s="2" t="s">
        <v>641</v>
      </c>
      <c r="D1873" s="6" t="s">
        <v>649</v>
      </c>
      <c r="E1873" s="32" t="s">
        <v>651</v>
      </c>
      <c r="F1873" s="7"/>
      <c r="G1873" s="7"/>
      <c r="H1873" s="7"/>
      <c r="I1873" s="7"/>
      <c r="J1873" s="7">
        <v>3</v>
      </c>
      <c r="K1873" s="7" t="s">
        <v>660</v>
      </c>
      <c r="L1873" s="7" t="s">
        <v>663</v>
      </c>
      <c r="M1873" s="8">
        <v>44515</v>
      </c>
      <c r="N1873" s="8">
        <v>44529</v>
      </c>
      <c r="O1873" s="13"/>
      <c r="P1873" s="13">
        <v>615015.68999999994</v>
      </c>
      <c r="Q1873" s="33"/>
      <c r="R1873" s="22"/>
      <c r="S1873" s="22"/>
      <c r="T1873" s="22"/>
      <c r="U1873" s="22"/>
      <c r="X1873" s="15" t="str">
        <f>IF(B1873="",VLOOKUP(A1873,items_lookup!A:B,2,FALSE),B1873)</f>
        <v>09. Item 09</v>
      </c>
      <c r="Y1873" s="15">
        <f t="shared" si="161"/>
        <v>11</v>
      </c>
      <c r="Z1873" s="15">
        <f t="shared" si="161"/>
        <v>11</v>
      </c>
      <c r="AA1873" s="15">
        <f t="shared" si="158"/>
        <v>2021</v>
      </c>
      <c r="AB1873" s="15">
        <f t="shared" si="159"/>
        <v>2021</v>
      </c>
      <c r="AC1873" s="15">
        <f t="shared" si="160"/>
        <v>2021</v>
      </c>
      <c r="AD1873" s="18" t="b">
        <f t="shared" si="162"/>
        <v>1</v>
      </c>
    </row>
    <row r="1874" spans="1:30" ht="15.75" hidden="1" customHeight="1" x14ac:dyDescent="0.2">
      <c r="A1874" s="7" t="s">
        <v>689</v>
      </c>
      <c r="B1874" s="20"/>
      <c r="C1874" s="2" t="s">
        <v>641</v>
      </c>
      <c r="D1874" s="6" t="s">
        <v>649</v>
      </c>
      <c r="E1874" s="32" t="s">
        <v>651</v>
      </c>
      <c r="F1874" s="7"/>
      <c r="G1874" s="7"/>
      <c r="H1874" s="7"/>
      <c r="I1874" s="7"/>
      <c r="J1874" s="7">
        <v>3</v>
      </c>
      <c r="K1874" s="7" t="s">
        <v>660</v>
      </c>
      <c r="L1874" s="7" t="s">
        <v>663</v>
      </c>
      <c r="M1874" s="8">
        <v>44515</v>
      </c>
      <c r="N1874" s="8">
        <v>44530</v>
      </c>
      <c r="O1874" s="13"/>
      <c r="P1874" s="13">
        <v>4107972.79</v>
      </c>
      <c r="Q1874" s="33"/>
      <c r="R1874" s="22"/>
      <c r="S1874" s="22"/>
      <c r="T1874" s="22"/>
      <c r="U1874" s="22"/>
      <c r="X1874" s="15" t="str">
        <f>IF(B1874="",VLOOKUP(A1874,items_lookup!A:B,2,FALSE),B1874)</f>
        <v>04. Item 04</v>
      </c>
      <c r="Y1874" s="15">
        <f t="shared" si="161"/>
        <v>11</v>
      </c>
      <c r="Z1874" s="15">
        <f t="shared" si="161"/>
        <v>11</v>
      </c>
      <c r="AA1874" s="15">
        <f t="shared" si="158"/>
        <v>2021</v>
      </c>
      <c r="AB1874" s="15">
        <f t="shared" si="159"/>
        <v>2021</v>
      </c>
      <c r="AC1874" s="15">
        <f t="shared" si="160"/>
        <v>2021</v>
      </c>
      <c r="AD1874" s="18" t="b">
        <f t="shared" si="162"/>
        <v>1</v>
      </c>
    </row>
    <row r="1875" spans="1:30" ht="15.75" hidden="1" customHeight="1" x14ac:dyDescent="0.2">
      <c r="A1875" s="7" t="s">
        <v>689</v>
      </c>
      <c r="B1875" s="7"/>
      <c r="C1875" s="2" t="s">
        <v>641</v>
      </c>
      <c r="D1875" s="6" t="s">
        <v>649</v>
      </c>
      <c r="E1875" s="32" t="s">
        <v>651</v>
      </c>
      <c r="F1875" s="7"/>
      <c r="G1875" s="7"/>
      <c r="H1875" s="7"/>
      <c r="I1875" s="7"/>
      <c r="J1875" s="7">
        <v>4</v>
      </c>
      <c r="K1875" s="7" t="s">
        <v>660</v>
      </c>
      <c r="L1875" s="7" t="s">
        <v>663</v>
      </c>
      <c r="M1875" s="8">
        <v>44501</v>
      </c>
      <c r="N1875" s="8">
        <v>44526</v>
      </c>
      <c r="O1875" s="13"/>
      <c r="P1875" s="13">
        <v>69369.710000000006</v>
      </c>
      <c r="Q1875" s="33"/>
      <c r="R1875" s="22"/>
      <c r="S1875" s="22"/>
      <c r="T1875" s="22"/>
      <c r="U1875" s="22"/>
      <c r="X1875" s="15" t="str">
        <f>IF(B1875="",VLOOKUP(A1875,items_lookup!A:B,2,FALSE),B1875)</f>
        <v>04. Item 04</v>
      </c>
      <c r="Y1875" s="15">
        <f t="shared" si="161"/>
        <v>11</v>
      </c>
      <c r="Z1875" s="15">
        <f t="shared" si="161"/>
        <v>11</v>
      </c>
      <c r="AA1875" s="15">
        <f t="shared" si="158"/>
        <v>2021</v>
      </c>
      <c r="AB1875" s="15">
        <f t="shared" si="159"/>
        <v>2021</v>
      </c>
      <c r="AC1875" s="15">
        <f t="shared" si="160"/>
        <v>2021</v>
      </c>
      <c r="AD1875" s="18" t="b">
        <f t="shared" si="162"/>
        <v>1</v>
      </c>
    </row>
    <row r="1876" spans="1:30" ht="12.6" hidden="1" customHeight="1" x14ac:dyDescent="0.2">
      <c r="A1876" s="7" t="s">
        <v>683</v>
      </c>
      <c r="B1876" s="7"/>
      <c r="C1876" s="2" t="s">
        <v>641</v>
      </c>
      <c r="D1876" s="6" t="s">
        <v>649</v>
      </c>
      <c r="E1876" s="32" t="s">
        <v>651</v>
      </c>
      <c r="F1876" s="7"/>
      <c r="G1876" s="7"/>
      <c r="H1876" s="7"/>
      <c r="I1876" s="7"/>
      <c r="J1876" s="7">
        <v>3</v>
      </c>
      <c r="K1876" s="7" t="s">
        <v>660</v>
      </c>
      <c r="L1876" s="7" t="s">
        <v>663</v>
      </c>
      <c r="M1876" s="8">
        <v>44515</v>
      </c>
      <c r="N1876" s="8">
        <v>44525</v>
      </c>
      <c r="O1876" s="13"/>
      <c r="P1876" s="13">
        <v>3500000</v>
      </c>
      <c r="Q1876" s="33"/>
      <c r="R1876" s="22"/>
      <c r="S1876" s="22"/>
      <c r="T1876" s="22"/>
      <c r="U1876" s="22"/>
      <c r="X1876" s="15" t="str">
        <f>IF(B1876="",VLOOKUP(A1876,items_lookup!A:B,2,FALSE),B1876)</f>
        <v>_1. Item _1</v>
      </c>
      <c r="Y1876" s="15">
        <f t="shared" si="161"/>
        <v>11</v>
      </c>
      <c r="Z1876" s="15">
        <f t="shared" si="161"/>
        <v>11</v>
      </c>
      <c r="AA1876" s="15">
        <f t="shared" si="158"/>
        <v>2021</v>
      </c>
      <c r="AB1876" s="15">
        <f t="shared" si="159"/>
        <v>2021</v>
      </c>
      <c r="AC1876" s="15">
        <f t="shared" si="160"/>
        <v>2021</v>
      </c>
      <c r="AD1876" s="18" t="b">
        <f t="shared" si="162"/>
        <v>1</v>
      </c>
    </row>
    <row r="1877" spans="1:30" ht="15" hidden="1" customHeight="1" x14ac:dyDescent="0.2">
      <c r="A1877" s="7" t="s">
        <v>670</v>
      </c>
      <c r="B1877" s="7"/>
      <c r="C1877" s="2" t="s">
        <v>641</v>
      </c>
      <c r="D1877" s="6" t="s">
        <v>649</v>
      </c>
      <c r="E1877" s="32" t="s">
        <v>651</v>
      </c>
      <c r="F1877" s="7"/>
      <c r="G1877" s="7"/>
      <c r="H1877" s="7"/>
      <c r="I1877" s="7"/>
      <c r="J1877" s="7">
        <v>4</v>
      </c>
      <c r="K1877" s="7" t="s">
        <v>660</v>
      </c>
      <c r="L1877" s="7" t="s">
        <v>663</v>
      </c>
      <c r="M1877" s="8">
        <v>44515</v>
      </c>
      <c r="N1877" s="8">
        <v>44529</v>
      </c>
      <c r="O1877" s="13"/>
      <c r="P1877" s="13">
        <v>1056890.52</v>
      </c>
      <c r="Q1877" s="33"/>
      <c r="R1877" s="22"/>
      <c r="S1877" s="22"/>
      <c r="T1877" s="22"/>
      <c r="U1877" s="22"/>
      <c r="X1877" s="15" t="str">
        <f>IF(B1877="",VLOOKUP(A1877,items_lookup!A:B,2,FALSE),B1877)</f>
        <v>04. Item 04</v>
      </c>
      <c r="Y1877" s="15">
        <f t="shared" si="161"/>
        <v>11</v>
      </c>
      <c r="Z1877" s="15">
        <f t="shared" si="161"/>
        <v>11</v>
      </c>
      <c r="AA1877" s="15">
        <f t="shared" si="158"/>
        <v>2021</v>
      </c>
      <c r="AB1877" s="15">
        <f t="shared" si="159"/>
        <v>2021</v>
      </c>
      <c r="AC1877" s="15">
        <f t="shared" si="160"/>
        <v>2021</v>
      </c>
      <c r="AD1877" s="18" t="b">
        <f t="shared" si="162"/>
        <v>1</v>
      </c>
    </row>
    <row r="1878" spans="1:30" ht="13.5" hidden="1" customHeight="1" x14ac:dyDescent="0.2">
      <c r="A1878" s="7" t="s">
        <v>689</v>
      </c>
      <c r="B1878" s="20"/>
      <c r="C1878" s="2" t="s">
        <v>641</v>
      </c>
      <c r="D1878" s="6" t="s">
        <v>649</v>
      </c>
      <c r="E1878" s="32" t="s">
        <v>651</v>
      </c>
      <c r="F1878" s="7"/>
      <c r="G1878" s="7"/>
      <c r="H1878" s="7"/>
      <c r="I1878" s="7"/>
      <c r="J1878" s="7">
        <v>1</v>
      </c>
      <c r="K1878" s="7" t="s">
        <v>660</v>
      </c>
      <c r="L1878" s="7" t="s">
        <v>663</v>
      </c>
      <c r="M1878" s="8">
        <v>44519</v>
      </c>
      <c r="N1878" s="8">
        <v>44530</v>
      </c>
      <c r="O1878" s="13"/>
      <c r="P1878" s="13">
        <v>21647.45</v>
      </c>
      <c r="Q1878" s="33"/>
      <c r="R1878" s="9"/>
      <c r="S1878" s="9"/>
      <c r="T1878" s="9"/>
      <c r="U1878" s="9"/>
      <c r="X1878" s="15" t="str">
        <f>IF(B1878="",VLOOKUP(A1878,items_lookup!A:B,2,FALSE),B1878)</f>
        <v>04. Item 04</v>
      </c>
      <c r="Y1878" s="15">
        <f t="shared" si="161"/>
        <v>11</v>
      </c>
      <c r="Z1878" s="15">
        <f t="shared" si="161"/>
        <v>11</v>
      </c>
      <c r="AA1878" s="15">
        <f t="shared" si="158"/>
        <v>2021</v>
      </c>
      <c r="AB1878" s="15">
        <f t="shared" si="159"/>
        <v>2021</v>
      </c>
      <c r="AC1878" s="15">
        <f t="shared" si="160"/>
        <v>2021</v>
      </c>
      <c r="AD1878" s="18" t="b">
        <f t="shared" si="162"/>
        <v>1</v>
      </c>
    </row>
    <row r="1879" spans="1:30" ht="15" hidden="1" customHeight="1" x14ac:dyDescent="0.2">
      <c r="A1879" s="7" t="s">
        <v>671</v>
      </c>
      <c r="B1879" s="7"/>
      <c r="C1879" s="2" t="s">
        <v>641</v>
      </c>
      <c r="D1879" s="6" t="s">
        <v>649</v>
      </c>
      <c r="E1879" s="32" t="s">
        <v>651</v>
      </c>
      <c r="F1879" s="7"/>
      <c r="G1879" s="7"/>
      <c r="H1879" s="7"/>
      <c r="I1879" s="7"/>
      <c r="J1879" s="7">
        <v>1</v>
      </c>
      <c r="K1879" s="7" t="s">
        <v>660</v>
      </c>
      <c r="L1879" s="7" t="s">
        <v>663</v>
      </c>
      <c r="M1879" s="8">
        <v>44501</v>
      </c>
      <c r="N1879" s="8">
        <v>44525</v>
      </c>
      <c r="O1879" s="13"/>
      <c r="P1879" s="13">
        <v>443104.42</v>
      </c>
      <c r="Q1879" s="33"/>
      <c r="R1879" s="22"/>
      <c r="S1879" s="22"/>
      <c r="T1879" s="22"/>
      <c r="U1879" s="22"/>
      <c r="X1879" s="15" t="str">
        <f>IF(B1879="",VLOOKUP(A1879,items_lookup!A:B,2,FALSE),B1879)</f>
        <v>05. Item 05</v>
      </c>
      <c r="Y1879" s="15">
        <f t="shared" si="161"/>
        <v>11</v>
      </c>
      <c r="Z1879" s="15">
        <f t="shared" si="161"/>
        <v>11</v>
      </c>
      <c r="AA1879" s="15">
        <f t="shared" si="158"/>
        <v>2021</v>
      </c>
      <c r="AB1879" s="15">
        <f t="shared" si="159"/>
        <v>2021</v>
      </c>
      <c r="AC1879" s="15">
        <f t="shared" si="160"/>
        <v>2021</v>
      </c>
      <c r="AD1879" s="18" t="b">
        <f t="shared" si="162"/>
        <v>1</v>
      </c>
    </row>
    <row r="1880" spans="1:30" ht="15" hidden="1" customHeight="1" x14ac:dyDescent="0.2">
      <c r="A1880" s="7" t="s">
        <v>672</v>
      </c>
      <c r="B1880" s="7"/>
      <c r="C1880" s="2" t="s">
        <v>641</v>
      </c>
      <c r="D1880" s="6" t="s">
        <v>649</v>
      </c>
      <c r="E1880" s="32" t="s">
        <v>651</v>
      </c>
      <c r="F1880" s="7"/>
      <c r="G1880" s="7"/>
      <c r="H1880" s="7"/>
      <c r="I1880" s="7" t="s">
        <v>20</v>
      </c>
      <c r="J1880" s="7">
        <v>1</v>
      </c>
      <c r="K1880" s="7" t="s">
        <v>660</v>
      </c>
      <c r="L1880" s="7" t="s">
        <v>663</v>
      </c>
      <c r="M1880" s="8">
        <v>44501</v>
      </c>
      <c r="N1880" s="8">
        <v>44526</v>
      </c>
      <c r="O1880" s="13"/>
      <c r="P1880" s="13">
        <v>2285467.0099999998</v>
      </c>
      <c r="Q1880" s="33"/>
      <c r="R1880" s="22"/>
      <c r="S1880" s="22"/>
      <c r="T1880" s="22"/>
      <c r="U1880" s="22"/>
      <c r="X1880" s="15" t="str">
        <f>IF(B1880="",VLOOKUP(A1880,items_lookup!A:B,2,FALSE),B1880)</f>
        <v>05. Item 05</v>
      </c>
      <c r="Y1880" s="15">
        <f t="shared" si="161"/>
        <v>11</v>
      </c>
      <c r="Z1880" s="15">
        <f t="shared" si="161"/>
        <v>11</v>
      </c>
      <c r="AA1880" s="15">
        <f t="shared" si="158"/>
        <v>2021</v>
      </c>
      <c r="AB1880" s="15">
        <f t="shared" si="159"/>
        <v>2021</v>
      </c>
      <c r="AC1880" s="15">
        <f t="shared" si="160"/>
        <v>2021</v>
      </c>
      <c r="AD1880" s="18" t="b">
        <f t="shared" si="162"/>
        <v>1</v>
      </c>
    </row>
    <row r="1881" spans="1:30" ht="15" hidden="1" customHeight="1" x14ac:dyDescent="0.2">
      <c r="A1881" s="7" t="s">
        <v>673</v>
      </c>
      <c r="B1881" s="7"/>
      <c r="C1881" s="2" t="s">
        <v>641</v>
      </c>
      <c r="D1881" s="6" t="s">
        <v>649</v>
      </c>
      <c r="E1881" s="32" t="s">
        <v>651</v>
      </c>
      <c r="F1881" s="7"/>
      <c r="G1881" s="7"/>
      <c r="H1881" s="7"/>
      <c r="I1881" s="7"/>
      <c r="J1881" s="7"/>
      <c r="K1881" s="7" t="s">
        <v>660</v>
      </c>
      <c r="L1881" s="7" t="s">
        <v>663</v>
      </c>
      <c r="M1881" s="8">
        <v>44519</v>
      </c>
      <c r="N1881" s="8">
        <v>44519</v>
      </c>
      <c r="O1881" s="13"/>
      <c r="P1881" s="13">
        <v>3573777.3</v>
      </c>
      <c r="Q1881" s="33"/>
      <c r="R1881" s="22"/>
      <c r="S1881" s="22"/>
      <c r="T1881" s="22"/>
      <c r="U1881" s="22"/>
      <c r="X1881" s="15" t="str">
        <f>IF(B1881="",VLOOKUP(A1881,items_lookup!A:B,2,FALSE),B1881)</f>
        <v>07. Item 07</v>
      </c>
      <c r="Y1881" s="15">
        <f t="shared" si="161"/>
        <v>11</v>
      </c>
      <c r="Z1881" s="15">
        <f t="shared" si="161"/>
        <v>11</v>
      </c>
      <c r="AA1881" s="15">
        <f t="shared" si="158"/>
        <v>2021</v>
      </c>
      <c r="AB1881" s="15">
        <f t="shared" si="159"/>
        <v>2021</v>
      </c>
      <c r="AC1881" s="15">
        <f t="shared" si="160"/>
        <v>2021</v>
      </c>
      <c r="AD1881" s="18" t="b">
        <f t="shared" si="162"/>
        <v>1</v>
      </c>
    </row>
    <row r="1882" spans="1:30" ht="15" hidden="1" customHeight="1" x14ac:dyDescent="0.2">
      <c r="A1882" s="7" t="s">
        <v>674</v>
      </c>
      <c r="B1882" s="7"/>
      <c r="C1882" s="2" t="s">
        <v>641</v>
      </c>
      <c r="D1882" s="6" t="s">
        <v>649</v>
      </c>
      <c r="E1882" s="32" t="s">
        <v>651</v>
      </c>
      <c r="F1882" s="7"/>
      <c r="G1882" s="7"/>
      <c r="H1882" s="7"/>
      <c r="I1882" s="7"/>
      <c r="J1882" s="7"/>
      <c r="K1882" s="7" t="s">
        <v>660</v>
      </c>
      <c r="L1882" s="7" t="s">
        <v>663</v>
      </c>
      <c r="M1882" s="8">
        <v>44522</v>
      </c>
      <c r="N1882" s="8">
        <v>44522</v>
      </c>
      <c r="O1882" s="13"/>
      <c r="P1882" s="13">
        <v>256714.83</v>
      </c>
      <c r="Q1882" s="33"/>
      <c r="R1882" s="22"/>
      <c r="S1882" s="22"/>
      <c r="T1882" s="22"/>
      <c r="U1882" s="22"/>
      <c r="X1882" s="15" t="str">
        <f>IF(B1882="",VLOOKUP(A1882,items_lookup!A:B,2,FALSE),B1882)</f>
        <v>08. Item 08</v>
      </c>
      <c r="Y1882" s="15">
        <f t="shared" si="161"/>
        <v>11</v>
      </c>
      <c r="Z1882" s="15">
        <f t="shared" si="161"/>
        <v>11</v>
      </c>
      <c r="AA1882" s="15">
        <f t="shared" si="158"/>
        <v>2021</v>
      </c>
      <c r="AB1882" s="15">
        <f t="shared" si="159"/>
        <v>2021</v>
      </c>
      <c r="AC1882" s="15">
        <f t="shared" si="160"/>
        <v>2021</v>
      </c>
      <c r="AD1882" s="18" t="b">
        <f t="shared" si="162"/>
        <v>1</v>
      </c>
    </row>
    <row r="1883" spans="1:30" ht="15" hidden="1" customHeight="1" x14ac:dyDescent="0.2">
      <c r="A1883" s="7" t="s">
        <v>688</v>
      </c>
      <c r="B1883" s="7"/>
      <c r="C1883" s="2" t="s">
        <v>641</v>
      </c>
      <c r="D1883" s="6" t="s">
        <v>649</v>
      </c>
      <c r="E1883" s="32" t="s">
        <v>651</v>
      </c>
      <c r="F1883" s="7"/>
      <c r="G1883" s="7"/>
      <c r="H1883" s="7"/>
      <c r="I1883" s="7"/>
      <c r="J1883" s="7"/>
      <c r="K1883" s="7" t="s">
        <v>660</v>
      </c>
      <c r="L1883" s="7" t="s">
        <v>663</v>
      </c>
      <c r="M1883" s="8">
        <v>44523</v>
      </c>
      <c r="N1883" s="8">
        <v>44523</v>
      </c>
      <c r="O1883" s="13"/>
      <c r="P1883" s="13">
        <v>2746290.95</v>
      </c>
      <c r="Q1883" s="33"/>
      <c r="R1883" s="22"/>
      <c r="S1883" s="22"/>
      <c r="T1883" s="22"/>
      <c r="U1883" s="22"/>
      <c r="X1883" s="15" t="str">
        <f>IF(B1883="",VLOOKUP(A1883,items_lookup!A:B,2,FALSE),B1883)</f>
        <v>09. Item 09</v>
      </c>
      <c r="Y1883" s="15">
        <f t="shared" si="161"/>
        <v>11</v>
      </c>
      <c r="Z1883" s="15">
        <f t="shared" si="161"/>
        <v>11</v>
      </c>
      <c r="AA1883" s="15">
        <f t="shared" si="158"/>
        <v>2021</v>
      </c>
      <c r="AB1883" s="15">
        <f t="shared" si="159"/>
        <v>2021</v>
      </c>
      <c r="AC1883" s="15">
        <f t="shared" si="160"/>
        <v>2021</v>
      </c>
      <c r="AD1883" s="18" t="b">
        <f t="shared" si="162"/>
        <v>1</v>
      </c>
    </row>
    <row r="1884" spans="1:30" ht="15" hidden="1" customHeight="1" x14ac:dyDescent="0.2">
      <c r="A1884" s="7" t="s">
        <v>676</v>
      </c>
      <c r="B1884" s="7"/>
      <c r="C1884" s="2" t="s">
        <v>641</v>
      </c>
      <c r="D1884" s="6" t="s">
        <v>649</v>
      </c>
      <c r="E1884" s="32" t="s">
        <v>651</v>
      </c>
      <c r="F1884" s="7"/>
      <c r="G1884" s="7"/>
      <c r="H1884" s="7"/>
      <c r="I1884" s="7"/>
      <c r="J1884" s="7">
        <v>3</v>
      </c>
      <c r="K1884" s="7" t="s">
        <v>660</v>
      </c>
      <c r="L1884" s="7" t="s">
        <v>663</v>
      </c>
      <c r="M1884" s="8">
        <v>44531</v>
      </c>
      <c r="N1884" s="8">
        <v>44545</v>
      </c>
      <c r="O1884" s="13"/>
      <c r="P1884" s="13">
        <v>178.98</v>
      </c>
      <c r="Q1884" s="33"/>
      <c r="R1884" s="22"/>
      <c r="S1884" s="22"/>
      <c r="T1884" s="22"/>
      <c r="U1884" s="22"/>
      <c r="X1884" s="15" t="str">
        <f>IF(B1884="",VLOOKUP(A1884,items_lookup!A:B,2,FALSE),B1884)</f>
        <v>09. Item 09</v>
      </c>
      <c r="Y1884" s="15">
        <f t="shared" si="161"/>
        <v>12</v>
      </c>
      <c r="Z1884" s="15">
        <f t="shared" si="161"/>
        <v>12</v>
      </c>
      <c r="AA1884" s="15">
        <f t="shared" si="158"/>
        <v>2021</v>
      </c>
      <c r="AB1884" s="15">
        <f t="shared" si="159"/>
        <v>2021</v>
      </c>
      <c r="AC1884" s="15">
        <f t="shared" si="160"/>
        <v>2021</v>
      </c>
      <c r="AD1884" s="18" t="b">
        <f t="shared" si="162"/>
        <v>1</v>
      </c>
    </row>
    <row r="1885" spans="1:30" ht="15" hidden="1" customHeight="1" x14ac:dyDescent="0.2">
      <c r="A1885" s="7" t="s">
        <v>675</v>
      </c>
      <c r="B1885" s="20"/>
      <c r="C1885" s="2" t="s">
        <v>641</v>
      </c>
      <c r="D1885" s="6" t="s">
        <v>649</v>
      </c>
      <c r="E1885" s="32" t="s">
        <v>651</v>
      </c>
      <c r="F1885" s="7"/>
      <c r="G1885" s="7"/>
      <c r="H1885" s="7"/>
      <c r="I1885" s="7"/>
      <c r="J1885" s="7">
        <v>1</v>
      </c>
      <c r="K1885" s="7" t="s">
        <v>660</v>
      </c>
      <c r="L1885" s="7" t="s">
        <v>663</v>
      </c>
      <c r="M1885" s="8">
        <v>44523</v>
      </c>
      <c r="N1885" s="8">
        <v>44531</v>
      </c>
      <c r="O1885" s="13"/>
      <c r="P1885" s="13">
        <v>19366.509999999998</v>
      </c>
      <c r="Q1885" s="33"/>
      <c r="R1885" s="9"/>
      <c r="S1885" s="9"/>
      <c r="T1885" s="9"/>
      <c r="U1885" s="9"/>
      <c r="X1885" s="15" t="str">
        <f>IF(B1885="",VLOOKUP(A1885,items_lookup!A:B,2,FALSE),B1885)</f>
        <v>09. Item 09</v>
      </c>
      <c r="Y1885" s="15">
        <f t="shared" si="161"/>
        <v>11</v>
      </c>
      <c r="Z1885" s="15">
        <f t="shared" si="161"/>
        <v>12</v>
      </c>
      <c r="AA1885" s="15">
        <f t="shared" si="158"/>
        <v>2021</v>
      </c>
      <c r="AB1885" s="15">
        <f t="shared" si="159"/>
        <v>2021</v>
      </c>
      <c r="AC1885" s="15">
        <f t="shared" si="160"/>
        <v>2021</v>
      </c>
      <c r="AD1885" s="18" t="b">
        <f t="shared" si="162"/>
        <v>1</v>
      </c>
    </row>
    <row r="1886" spans="1:30" ht="15" hidden="1" customHeight="1" x14ac:dyDescent="0.2">
      <c r="A1886" s="7" t="s">
        <v>697</v>
      </c>
      <c r="B1886" s="20"/>
      <c r="C1886" s="2" t="s">
        <v>641</v>
      </c>
      <c r="D1886" s="6" t="s">
        <v>649</v>
      </c>
      <c r="E1886" s="32" t="s">
        <v>651</v>
      </c>
      <c r="F1886" s="7"/>
      <c r="G1886" s="7"/>
      <c r="H1886" s="7"/>
      <c r="I1886" s="7"/>
      <c r="J1886" s="7">
        <v>1</v>
      </c>
      <c r="K1886" s="7" t="s">
        <v>660</v>
      </c>
      <c r="L1886" s="7" t="s">
        <v>663</v>
      </c>
      <c r="M1886" s="8">
        <v>44523</v>
      </c>
      <c r="N1886" s="8">
        <v>44532</v>
      </c>
      <c r="O1886" s="13"/>
      <c r="P1886" s="13">
        <v>7004.57</v>
      </c>
      <c r="Q1886" s="33"/>
      <c r="R1886" s="9"/>
      <c r="S1886" s="9"/>
      <c r="T1886" s="9"/>
      <c r="U1886" s="9"/>
      <c r="X1886" s="15" t="str">
        <f>IF(B1886="",VLOOKUP(A1886,items_lookup!A:B,2,FALSE),B1886)</f>
        <v>10. Item 10</v>
      </c>
      <c r="Y1886" s="15">
        <f t="shared" si="161"/>
        <v>11</v>
      </c>
      <c r="Z1886" s="15">
        <f t="shared" si="161"/>
        <v>12</v>
      </c>
      <c r="AA1886" s="15">
        <f t="shared" si="158"/>
        <v>2021</v>
      </c>
      <c r="AB1886" s="15">
        <f t="shared" si="159"/>
        <v>2021</v>
      </c>
      <c r="AC1886" s="15">
        <f t="shared" si="160"/>
        <v>2021</v>
      </c>
      <c r="AD1886" s="18" t="b">
        <f t="shared" si="162"/>
        <v>1</v>
      </c>
    </row>
    <row r="1887" spans="1:30" ht="15" hidden="1" customHeight="1" x14ac:dyDescent="0.2">
      <c r="A1887" s="7" t="s">
        <v>698</v>
      </c>
      <c r="B1887" s="7"/>
      <c r="C1887" s="2" t="s">
        <v>641</v>
      </c>
      <c r="D1887" s="6" t="s">
        <v>649</v>
      </c>
      <c r="E1887" s="32" t="s">
        <v>651</v>
      </c>
      <c r="F1887" s="7"/>
      <c r="G1887" s="7"/>
      <c r="H1887" s="7"/>
      <c r="I1887" s="7"/>
      <c r="J1887" s="7"/>
      <c r="K1887" s="7" t="s">
        <v>660</v>
      </c>
      <c r="L1887" s="7" t="s">
        <v>663</v>
      </c>
      <c r="M1887" s="8">
        <v>44524</v>
      </c>
      <c r="N1887" s="8">
        <v>44524</v>
      </c>
      <c r="O1887" s="13"/>
      <c r="P1887" s="13">
        <v>1465978</v>
      </c>
      <c r="Q1887" s="33"/>
      <c r="R1887" s="22"/>
      <c r="S1887" s="22"/>
      <c r="T1887" s="22"/>
      <c r="U1887" s="22"/>
      <c r="X1887" s="15" t="str">
        <f>IF(B1887="",VLOOKUP(A1887,items_lookup!A:B,2,FALSE),B1887)</f>
        <v>10. Item 10</v>
      </c>
      <c r="Y1887" s="15">
        <f t="shared" si="161"/>
        <v>11</v>
      </c>
      <c r="Z1887" s="15">
        <f t="shared" si="161"/>
        <v>11</v>
      </c>
      <c r="AA1887" s="15">
        <f t="shared" si="158"/>
        <v>2021</v>
      </c>
      <c r="AB1887" s="15">
        <f t="shared" si="159"/>
        <v>2021</v>
      </c>
      <c r="AC1887" s="15">
        <f t="shared" si="160"/>
        <v>2021</v>
      </c>
      <c r="AD1887" s="18" t="b">
        <f t="shared" si="162"/>
        <v>1</v>
      </c>
    </row>
    <row r="1888" spans="1:30" ht="15" hidden="1" customHeight="1" x14ac:dyDescent="0.2">
      <c r="A1888" s="7" t="s">
        <v>677</v>
      </c>
      <c r="B1888" s="7"/>
      <c r="C1888" s="2" t="s">
        <v>641</v>
      </c>
      <c r="D1888" s="6" t="s">
        <v>649</v>
      </c>
      <c r="E1888" s="32" t="s">
        <v>651</v>
      </c>
      <c r="F1888" s="7"/>
      <c r="G1888" s="7"/>
      <c r="H1888" s="7"/>
      <c r="I1888" s="7"/>
      <c r="J1888" s="7"/>
      <c r="K1888" s="7" t="s">
        <v>660</v>
      </c>
      <c r="L1888" s="7" t="s">
        <v>663</v>
      </c>
      <c r="M1888" s="8">
        <v>44525</v>
      </c>
      <c r="N1888" s="8">
        <v>44525</v>
      </c>
      <c r="O1888" s="13"/>
      <c r="P1888" s="13">
        <v>4054041.8</v>
      </c>
      <c r="Q1888" s="33"/>
      <c r="R1888" s="22"/>
      <c r="S1888" s="22"/>
      <c r="T1888" s="22"/>
      <c r="U1888" s="22"/>
      <c r="X1888" s="15" t="str">
        <f>IF(B1888="",VLOOKUP(A1888,items_lookup!A:B,2,FALSE),B1888)</f>
        <v>11. Item 11</v>
      </c>
      <c r="Y1888" s="15">
        <f t="shared" si="161"/>
        <v>11</v>
      </c>
      <c r="Z1888" s="15">
        <f t="shared" si="161"/>
        <v>11</v>
      </c>
      <c r="AA1888" s="15">
        <f t="shared" si="158"/>
        <v>2021</v>
      </c>
      <c r="AB1888" s="15">
        <f t="shared" si="159"/>
        <v>2021</v>
      </c>
      <c r="AC1888" s="15">
        <f t="shared" si="160"/>
        <v>2021</v>
      </c>
      <c r="AD1888" s="18" t="b">
        <f t="shared" si="162"/>
        <v>1</v>
      </c>
    </row>
    <row r="1889" spans="1:30" ht="15" hidden="1" customHeight="1" x14ac:dyDescent="0.2">
      <c r="A1889" s="7" t="s">
        <v>699</v>
      </c>
      <c r="B1889" s="7"/>
      <c r="C1889" s="2" t="s">
        <v>641</v>
      </c>
      <c r="D1889" s="6" t="s">
        <v>649</v>
      </c>
      <c r="E1889" s="32" t="s">
        <v>651</v>
      </c>
      <c r="F1889" s="7"/>
      <c r="G1889" s="7"/>
      <c r="H1889" s="7"/>
      <c r="I1889" s="7"/>
      <c r="J1889" s="7"/>
      <c r="K1889" s="7" t="s">
        <v>660</v>
      </c>
      <c r="L1889" s="7" t="s">
        <v>663</v>
      </c>
      <c r="M1889" s="8">
        <v>44526</v>
      </c>
      <c r="N1889" s="8">
        <v>44526</v>
      </c>
      <c r="O1889" s="13"/>
      <c r="P1889" s="13">
        <v>2366503.39</v>
      </c>
      <c r="Q1889" s="33"/>
      <c r="R1889" s="22"/>
      <c r="S1889" s="22"/>
      <c r="T1889" s="22"/>
      <c r="U1889" s="22"/>
      <c r="X1889" s="15" t="str">
        <f>IF(B1889="",VLOOKUP(A1889,items_lookup!A:B,2,FALSE),B1889)</f>
        <v>12. Item 12</v>
      </c>
      <c r="Y1889" s="15">
        <f t="shared" si="161"/>
        <v>11</v>
      </c>
      <c r="Z1889" s="15">
        <f t="shared" si="161"/>
        <v>11</v>
      </c>
      <c r="AA1889" s="15">
        <f t="shared" si="158"/>
        <v>2021</v>
      </c>
      <c r="AB1889" s="15">
        <f t="shared" si="159"/>
        <v>2021</v>
      </c>
      <c r="AC1889" s="15">
        <f t="shared" si="160"/>
        <v>2021</v>
      </c>
      <c r="AD1889" s="18" t="b">
        <f t="shared" si="162"/>
        <v>1</v>
      </c>
    </row>
    <row r="1890" spans="1:30" ht="15" hidden="1" customHeight="1" x14ac:dyDescent="0.2">
      <c r="A1890" s="7" t="s">
        <v>696</v>
      </c>
      <c r="B1890" s="7"/>
      <c r="C1890" s="2" t="s">
        <v>641</v>
      </c>
      <c r="D1890" s="6" t="s">
        <v>649</v>
      </c>
      <c r="E1890" s="32" t="s">
        <v>651</v>
      </c>
      <c r="F1890" s="7"/>
      <c r="G1890" s="7"/>
      <c r="H1890" s="7"/>
      <c r="I1890" s="7"/>
      <c r="J1890" s="7"/>
      <c r="K1890" s="7" t="s">
        <v>660</v>
      </c>
      <c r="L1890" s="7" t="s">
        <v>663</v>
      </c>
      <c r="M1890" s="8">
        <v>44529</v>
      </c>
      <c r="N1890" s="8">
        <v>44529</v>
      </c>
      <c r="O1890" s="13"/>
      <c r="P1890" s="13">
        <v>1671906.21</v>
      </c>
      <c r="Q1890" s="33"/>
      <c r="R1890" s="22"/>
      <c r="S1890" s="22"/>
      <c r="T1890" s="22"/>
      <c r="U1890" s="22"/>
      <c r="X1890" s="15" t="str">
        <f>IF(B1890="",VLOOKUP(A1890,items_lookup!A:B,2,FALSE),B1890)</f>
        <v>13. Item 13</v>
      </c>
      <c r="Y1890" s="15">
        <f t="shared" si="161"/>
        <v>11</v>
      </c>
      <c r="Z1890" s="15">
        <f t="shared" si="161"/>
        <v>11</v>
      </c>
      <c r="AA1890" s="15">
        <f t="shared" si="158"/>
        <v>2021</v>
      </c>
      <c r="AB1890" s="15">
        <f t="shared" si="159"/>
        <v>2021</v>
      </c>
      <c r="AC1890" s="15">
        <f t="shared" si="160"/>
        <v>2021</v>
      </c>
      <c r="AD1890" s="18" t="b">
        <f t="shared" si="162"/>
        <v>1</v>
      </c>
    </row>
    <row r="1891" spans="1:30" ht="15" hidden="1" customHeight="1" x14ac:dyDescent="0.2">
      <c r="A1891" s="7" t="s">
        <v>678</v>
      </c>
      <c r="B1891" s="7"/>
      <c r="C1891" s="2" t="s">
        <v>641</v>
      </c>
      <c r="D1891" s="6" t="s">
        <v>649</v>
      </c>
      <c r="E1891" s="32" t="s">
        <v>651</v>
      </c>
      <c r="F1891" s="7"/>
      <c r="G1891" s="7"/>
      <c r="H1891" s="7"/>
      <c r="I1891" s="7"/>
      <c r="J1891" s="7"/>
      <c r="K1891" s="7" t="s">
        <v>660</v>
      </c>
      <c r="L1891" s="7" t="s">
        <v>663</v>
      </c>
      <c r="M1891" s="8">
        <v>44530</v>
      </c>
      <c r="N1891" s="8">
        <v>44530</v>
      </c>
      <c r="O1891" s="13"/>
      <c r="P1891" s="13">
        <v>18760894.41</v>
      </c>
      <c r="Q1891" s="33"/>
      <c r="R1891" s="22"/>
      <c r="S1891" s="22"/>
      <c r="T1891" s="22"/>
      <c r="U1891" s="22"/>
      <c r="X1891" s="15" t="str">
        <f>IF(B1891="",VLOOKUP(A1891,items_lookup!A:B,2,FALSE),B1891)</f>
        <v>13. Item 13</v>
      </c>
      <c r="Y1891" s="15">
        <f t="shared" si="161"/>
        <v>11</v>
      </c>
      <c r="Z1891" s="15">
        <f t="shared" si="161"/>
        <v>11</v>
      </c>
      <c r="AA1891" s="15">
        <f t="shared" ref="AA1891:AA1954" si="163">YEAR(N1891)</f>
        <v>2021</v>
      </c>
      <c r="AB1891" s="15">
        <f t="shared" ref="AB1891:AB1954" si="164">YEAR(M1891)</f>
        <v>2021</v>
      </c>
      <c r="AC1891" s="15">
        <f t="shared" ref="AC1891:AC1954" si="165">IF(F1891="X",AA1891-1,AA1891)</f>
        <v>2021</v>
      </c>
      <c r="AD1891" s="18" t="b">
        <f t="shared" si="162"/>
        <v>1</v>
      </c>
    </row>
    <row r="1892" spans="1:30" ht="15" hidden="1" customHeight="1" x14ac:dyDescent="0.2">
      <c r="A1892" s="7" t="s">
        <v>700</v>
      </c>
      <c r="B1892" s="7"/>
      <c r="C1892" s="2" t="s">
        <v>641</v>
      </c>
      <c r="D1892" s="6" t="s">
        <v>649</v>
      </c>
      <c r="E1892" s="32" t="s">
        <v>651</v>
      </c>
      <c r="F1892" s="7"/>
      <c r="G1892" s="7"/>
      <c r="H1892" s="7"/>
      <c r="I1892" s="7"/>
      <c r="J1892" s="7"/>
      <c r="K1892" s="7" t="s">
        <v>660</v>
      </c>
      <c r="L1892" s="7" t="s">
        <v>663</v>
      </c>
      <c r="M1892" s="8">
        <v>44531</v>
      </c>
      <c r="N1892" s="8">
        <v>44531</v>
      </c>
      <c r="O1892" s="13"/>
      <c r="P1892" s="13">
        <v>19366.509999999998</v>
      </c>
      <c r="Q1892" s="33"/>
      <c r="R1892" s="22"/>
      <c r="S1892" s="22"/>
      <c r="T1892" s="22"/>
      <c r="U1892" s="22"/>
      <c r="X1892" s="15" t="str">
        <f>IF(B1892="",VLOOKUP(A1892,items_lookup!A:B,2,FALSE),B1892)</f>
        <v>13. Item 13</v>
      </c>
      <c r="Y1892" s="15">
        <f t="shared" si="161"/>
        <v>12</v>
      </c>
      <c r="Z1892" s="15">
        <f t="shared" si="161"/>
        <v>12</v>
      </c>
      <c r="AA1892" s="15">
        <f t="shared" si="163"/>
        <v>2021</v>
      </c>
      <c r="AB1892" s="15">
        <f t="shared" si="164"/>
        <v>2021</v>
      </c>
      <c r="AC1892" s="15">
        <f t="shared" si="165"/>
        <v>2021</v>
      </c>
      <c r="AD1892" s="18" t="b">
        <f t="shared" si="162"/>
        <v>1</v>
      </c>
    </row>
    <row r="1893" spans="1:30" ht="15" hidden="1" customHeight="1" x14ac:dyDescent="0.2">
      <c r="A1893" s="7" t="s">
        <v>701</v>
      </c>
      <c r="B1893" s="7"/>
      <c r="C1893" s="2" t="s">
        <v>641</v>
      </c>
      <c r="D1893" s="6" t="s">
        <v>649</v>
      </c>
      <c r="E1893" s="32" t="s">
        <v>651</v>
      </c>
      <c r="F1893" s="7"/>
      <c r="G1893" s="7"/>
      <c r="H1893" s="7"/>
      <c r="I1893" s="7"/>
      <c r="J1893" s="7"/>
      <c r="K1893" s="7" t="s">
        <v>660</v>
      </c>
      <c r="L1893" s="7" t="s">
        <v>663</v>
      </c>
      <c r="M1893" s="8">
        <v>44532</v>
      </c>
      <c r="N1893" s="8">
        <v>44532</v>
      </c>
      <c r="O1893" s="13"/>
      <c r="P1893" s="13">
        <v>7004.57</v>
      </c>
      <c r="Q1893" s="33"/>
      <c r="R1893" s="22"/>
      <c r="S1893" s="22"/>
      <c r="T1893" s="22"/>
      <c r="U1893" s="22"/>
      <c r="X1893" s="15" t="str">
        <f>IF(B1893="",VLOOKUP(A1893,items_lookup!A:B,2,FALSE),B1893)</f>
        <v>13. Item 13</v>
      </c>
      <c r="Y1893" s="15">
        <f t="shared" si="161"/>
        <v>12</v>
      </c>
      <c r="Z1893" s="15">
        <f t="shared" si="161"/>
        <v>12</v>
      </c>
      <c r="AA1893" s="15">
        <f t="shared" si="163"/>
        <v>2021</v>
      </c>
      <c r="AB1893" s="15">
        <f t="shared" si="164"/>
        <v>2021</v>
      </c>
      <c r="AC1893" s="15">
        <f t="shared" si="165"/>
        <v>2021</v>
      </c>
      <c r="AD1893" s="18" t="b">
        <f t="shared" si="162"/>
        <v>1</v>
      </c>
    </row>
    <row r="1894" spans="1:30" ht="15" hidden="1" customHeight="1" x14ac:dyDescent="0.2">
      <c r="A1894" s="7" t="s">
        <v>680</v>
      </c>
      <c r="B1894" s="7"/>
      <c r="C1894" s="2" t="s">
        <v>641</v>
      </c>
      <c r="D1894" s="6" t="s">
        <v>649</v>
      </c>
      <c r="E1894" s="32" t="s">
        <v>651</v>
      </c>
      <c r="F1894" s="7"/>
      <c r="G1894" s="7"/>
      <c r="H1894" s="7"/>
      <c r="I1894" s="7"/>
      <c r="J1894" s="7">
        <v>4</v>
      </c>
      <c r="K1894" s="7" t="s">
        <v>660</v>
      </c>
      <c r="L1894" s="7" t="s">
        <v>663</v>
      </c>
      <c r="M1894" s="8">
        <v>44531</v>
      </c>
      <c r="N1894" s="8">
        <v>44547</v>
      </c>
      <c r="O1894" s="13"/>
      <c r="P1894" s="13">
        <v>197428.42</v>
      </c>
      <c r="Q1894" s="33"/>
      <c r="R1894" s="22"/>
      <c r="S1894" s="22"/>
      <c r="T1894" s="22"/>
      <c r="U1894" s="22"/>
      <c r="X1894" s="15" t="str">
        <f>IF(B1894="",VLOOKUP(A1894,items_lookup!A:B,2,FALSE),B1894)</f>
        <v>13. Item 13</v>
      </c>
      <c r="Y1894" s="15">
        <f t="shared" si="161"/>
        <v>12</v>
      </c>
      <c r="Z1894" s="15">
        <f t="shared" si="161"/>
        <v>12</v>
      </c>
      <c r="AA1894" s="15">
        <f t="shared" si="163"/>
        <v>2021</v>
      </c>
      <c r="AB1894" s="15">
        <f t="shared" si="164"/>
        <v>2021</v>
      </c>
      <c r="AC1894" s="15">
        <f t="shared" si="165"/>
        <v>2021</v>
      </c>
      <c r="AD1894" s="18" t="b">
        <f t="shared" si="162"/>
        <v>1</v>
      </c>
    </row>
    <row r="1895" spans="1:30" ht="12.6" hidden="1" customHeight="1" x14ac:dyDescent="0.2">
      <c r="A1895" s="7" t="s">
        <v>687</v>
      </c>
      <c r="B1895" s="20"/>
      <c r="C1895" s="2" t="s">
        <v>641</v>
      </c>
      <c r="D1895" s="6" t="s">
        <v>649</v>
      </c>
      <c r="E1895" s="32" t="s">
        <v>651</v>
      </c>
      <c r="F1895" s="7"/>
      <c r="G1895" s="7"/>
      <c r="H1895" s="7"/>
      <c r="I1895" s="7"/>
      <c r="J1895" s="7">
        <v>1</v>
      </c>
      <c r="K1895" s="7" t="s">
        <v>660</v>
      </c>
      <c r="L1895" s="7" t="s">
        <v>663</v>
      </c>
      <c r="M1895" s="8">
        <v>44531</v>
      </c>
      <c r="N1895" s="8">
        <v>44539</v>
      </c>
      <c r="O1895" s="13"/>
      <c r="P1895" s="13">
        <v>25922.35</v>
      </c>
      <c r="Q1895" s="33"/>
      <c r="R1895" s="9"/>
      <c r="S1895" s="9"/>
      <c r="T1895" s="9"/>
      <c r="U1895" s="9"/>
      <c r="X1895" s="15" t="str">
        <f>IF(B1895="",VLOOKUP(A1895,items_lookup!A:B,2,FALSE),B1895)</f>
        <v>14. Item 14</v>
      </c>
      <c r="Y1895" s="15">
        <f t="shared" si="161"/>
        <v>12</v>
      </c>
      <c r="Z1895" s="15">
        <f t="shared" si="161"/>
        <v>12</v>
      </c>
      <c r="AA1895" s="15">
        <f t="shared" si="163"/>
        <v>2021</v>
      </c>
      <c r="AB1895" s="15">
        <f t="shared" si="164"/>
        <v>2021</v>
      </c>
      <c r="AC1895" s="15">
        <f t="shared" si="165"/>
        <v>2021</v>
      </c>
      <c r="AD1895" s="18" t="b">
        <f t="shared" si="162"/>
        <v>1</v>
      </c>
    </row>
    <row r="1896" spans="1:30" ht="15" hidden="1" customHeight="1" x14ac:dyDescent="0.2">
      <c r="A1896" s="7" t="s">
        <v>682</v>
      </c>
      <c r="B1896" s="20"/>
      <c r="C1896" s="2" t="s">
        <v>641</v>
      </c>
      <c r="D1896" s="6" t="s">
        <v>649</v>
      </c>
      <c r="E1896" s="32" t="s">
        <v>651</v>
      </c>
      <c r="F1896" s="7"/>
      <c r="G1896" s="7"/>
      <c r="H1896" s="7"/>
      <c r="I1896" s="7"/>
      <c r="J1896" s="7">
        <v>1</v>
      </c>
      <c r="K1896" s="7" t="s">
        <v>660</v>
      </c>
      <c r="L1896" s="7" t="s">
        <v>663</v>
      </c>
      <c r="M1896" s="8">
        <v>44531</v>
      </c>
      <c r="N1896" s="8">
        <v>44540</v>
      </c>
      <c r="O1896" s="13"/>
      <c r="P1896" s="13">
        <v>1842.86</v>
      </c>
      <c r="Q1896" s="33"/>
      <c r="R1896" s="9"/>
      <c r="S1896" s="9"/>
      <c r="T1896" s="9"/>
      <c r="U1896" s="9"/>
      <c r="X1896" s="15" t="str">
        <f>IF(B1896="",VLOOKUP(A1896,items_lookup!A:B,2,FALSE),B1896)</f>
        <v>06. Item 06</v>
      </c>
      <c r="Y1896" s="15">
        <f t="shared" si="161"/>
        <v>12</v>
      </c>
      <c r="Z1896" s="15">
        <f t="shared" si="161"/>
        <v>12</v>
      </c>
      <c r="AA1896" s="15">
        <f t="shared" si="163"/>
        <v>2021</v>
      </c>
      <c r="AB1896" s="15">
        <f t="shared" si="164"/>
        <v>2021</v>
      </c>
      <c r="AC1896" s="15">
        <f t="shared" si="165"/>
        <v>2021</v>
      </c>
      <c r="AD1896" s="18" t="b">
        <f t="shared" si="162"/>
        <v>1</v>
      </c>
    </row>
    <row r="1897" spans="1:30" ht="15" hidden="1" customHeight="1" x14ac:dyDescent="0.2">
      <c r="A1897" s="7" t="s">
        <v>680</v>
      </c>
      <c r="B1897" s="20"/>
      <c r="C1897" s="2" t="s">
        <v>641</v>
      </c>
      <c r="D1897" s="6" t="s">
        <v>649</v>
      </c>
      <c r="E1897" s="32" t="s">
        <v>651</v>
      </c>
      <c r="F1897" s="7"/>
      <c r="G1897" s="7"/>
      <c r="H1897" s="7"/>
      <c r="I1897" s="7"/>
      <c r="J1897" s="7">
        <v>1</v>
      </c>
      <c r="K1897" s="7" t="s">
        <v>660</v>
      </c>
      <c r="L1897" s="7" t="s">
        <v>663</v>
      </c>
      <c r="M1897" s="8">
        <v>44532</v>
      </c>
      <c r="N1897" s="8">
        <v>44545</v>
      </c>
      <c r="O1897" s="13"/>
      <c r="P1897" s="13">
        <v>1241.49</v>
      </c>
      <c r="Q1897" s="33"/>
      <c r="R1897" s="9"/>
      <c r="S1897" s="9"/>
      <c r="T1897" s="9"/>
      <c r="U1897" s="9"/>
      <c r="X1897" s="15" t="str">
        <f>IF(B1897="",VLOOKUP(A1897,items_lookup!A:B,2,FALSE),B1897)</f>
        <v>13. Item 13</v>
      </c>
      <c r="Y1897" s="15">
        <f t="shared" si="161"/>
        <v>12</v>
      </c>
      <c r="Z1897" s="15">
        <f t="shared" si="161"/>
        <v>12</v>
      </c>
      <c r="AA1897" s="15">
        <f t="shared" si="163"/>
        <v>2021</v>
      </c>
      <c r="AB1897" s="15">
        <f t="shared" si="164"/>
        <v>2021</v>
      </c>
      <c r="AC1897" s="15">
        <f t="shared" si="165"/>
        <v>2021</v>
      </c>
      <c r="AD1897" s="18" t="b">
        <f t="shared" si="162"/>
        <v>1</v>
      </c>
    </row>
    <row r="1898" spans="1:30" ht="15" hidden="1" customHeight="1" x14ac:dyDescent="0.2">
      <c r="A1898" s="7" t="s">
        <v>680</v>
      </c>
      <c r="B1898" s="7"/>
      <c r="C1898" s="2" t="s">
        <v>641</v>
      </c>
      <c r="D1898" s="6" t="s">
        <v>649</v>
      </c>
      <c r="E1898" s="32" t="s">
        <v>651</v>
      </c>
      <c r="F1898" s="7"/>
      <c r="G1898" s="7"/>
      <c r="H1898" s="7"/>
      <c r="I1898" s="7"/>
      <c r="J1898" s="7"/>
      <c r="K1898" s="7"/>
      <c r="L1898" s="7" t="s">
        <v>662</v>
      </c>
      <c r="M1898" s="8">
        <v>44531</v>
      </c>
      <c r="N1898" s="8">
        <v>44531</v>
      </c>
      <c r="O1898" s="13">
        <v>2974331.31</v>
      </c>
      <c r="P1898" s="13"/>
      <c r="Q1898" s="33"/>
      <c r="R1898" s="22"/>
      <c r="S1898" s="22"/>
      <c r="T1898" s="22"/>
      <c r="U1898" s="22"/>
      <c r="X1898" s="15" t="str">
        <f>IF(B1898="",VLOOKUP(A1898,items_lookup!A:B,2,FALSE),B1898)</f>
        <v>13. Item 13</v>
      </c>
      <c r="Y1898" s="15">
        <f t="shared" si="161"/>
        <v>12</v>
      </c>
      <c r="Z1898" s="15">
        <f t="shared" si="161"/>
        <v>12</v>
      </c>
      <c r="AA1898" s="15">
        <f t="shared" si="163"/>
        <v>2021</v>
      </c>
      <c r="AB1898" s="15">
        <f t="shared" si="164"/>
        <v>2021</v>
      </c>
      <c r="AC1898" s="15">
        <f t="shared" si="165"/>
        <v>2021</v>
      </c>
      <c r="AD1898" s="18" t="b">
        <f t="shared" si="162"/>
        <v>1</v>
      </c>
    </row>
    <row r="1899" spans="1:30" ht="15" hidden="1" customHeight="1" x14ac:dyDescent="0.2">
      <c r="A1899" s="7" t="s">
        <v>680</v>
      </c>
      <c r="B1899" s="7"/>
      <c r="C1899" s="2" t="s">
        <v>641</v>
      </c>
      <c r="D1899" s="6" t="s">
        <v>649</v>
      </c>
      <c r="E1899" s="32" t="s">
        <v>651</v>
      </c>
      <c r="F1899" s="7"/>
      <c r="G1899" s="7"/>
      <c r="H1899" s="7"/>
      <c r="I1899" s="7"/>
      <c r="J1899" s="7"/>
      <c r="K1899" s="7"/>
      <c r="L1899" s="7" t="s">
        <v>662</v>
      </c>
      <c r="M1899" s="8">
        <v>44531</v>
      </c>
      <c r="N1899" s="8">
        <v>44531</v>
      </c>
      <c r="O1899" s="13">
        <v>130367.86</v>
      </c>
      <c r="P1899" s="13"/>
      <c r="Q1899" s="33"/>
      <c r="R1899" s="22"/>
      <c r="S1899" s="22"/>
      <c r="T1899" s="22"/>
      <c r="U1899" s="22"/>
      <c r="X1899" s="15" t="str">
        <f>IF(B1899="",VLOOKUP(A1899,items_lookup!A:B,2,FALSE),B1899)</f>
        <v>13. Item 13</v>
      </c>
      <c r="Y1899" s="15">
        <f t="shared" si="161"/>
        <v>12</v>
      </c>
      <c r="Z1899" s="15">
        <f t="shared" si="161"/>
        <v>12</v>
      </c>
      <c r="AA1899" s="15">
        <f t="shared" si="163"/>
        <v>2021</v>
      </c>
      <c r="AB1899" s="15">
        <f t="shared" si="164"/>
        <v>2021</v>
      </c>
      <c r="AC1899" s="15">
        <f t="shared" si="165"/>
        <v>2021</v>
      </c>
      <c r="AD1899" s="18" t="b">
        <f t="shared" si="162"/>
        <v>1</v>
      </c>
    </row>
    <row r="1900" spans="1:30" ht="15" hidden="1" customHeight="1" x14ac:dyDescent="0.2">
      <c r="A1900" s="7" t="s">
        <v>680</v>
      </c>
      <c r="B1900" s="7"/>
      <c r="C1900" s="2" t="s">
        <v>641</v>
      </c>
      <c r="D1900" s="6" t="s">
        <v>649</v>
      </c>
      <c r="E1900" s="32" t="s">
        <v>651</v>
      </c>
      <c r="F1900" s="7"/>
      <c r="G1900" s="7"/>
      <c r="H1900" s="7"/>
      <c r="I1900" s="7"/>
      <c r="J1900" s="7"/>
      <c r="K1900" s="7"/>
      <c r="L1900" s="7" t="s">
        <v>662</v>
      </c>
      <c r="M1900" s="8">
        <v>44531</v>
      </c>
      <c r="N1900" s="8">
        <v>44531</v>
      </c>
      <c r="O1900" s="13">
        <v>609761.9</v>
      </c>
      <c r="P1900" s="13"/>
      <c r="Q1900" s="33"/>
      <c r="R1900" s="9"/>
      <c r="S1900" s="9"/>
      <c r="T1900" s="9"/>
      <c r="U1900" s="9"/>
      <c r="X1900" s="15" t="str">
        <f>IF(B1900="",VLOOKUP(A1900,items_lookup!A:B,2,FALSE),B1900)</f>
        <v>13. Item 13</v>
      </c>
      <c r="Y1900" s="15">
        <f t="shared" si="161"/>
        <v>12</v>
      </c>
      <c r="Z1900" s="15">
        <f t="shared" si="161"/>
        <v>12</v>
      </c>
      <c r="AA1900" s="15">
        <f t="shared" si="163"/>
        <v>2021</v>
      </c>
      <c r="AB1900" s="15">
        <f t="shared" si="164"/>
        <v>2021</v>
      </c>
      <c r="AC1900" s="15">
        <f t="shared" si="165"/>
        <v>2021</v>
      </c>
      <c r="AD1900" s="18" t="b">
        <f t="shared" si="162"/>
        <v>1</v>
      </c>
    </row>
    <row r="1901" spans="1:30" ht="15" hidden="1" customHeight="1" x14ac:dyDescent="0.2">
      <c r="A1901" s="7" t="s">
        <v>701</v>
      </c>
      <c r="B1901" s="7"/>
      <c r="C1901" s="2" t="s">
        <v>641</v>
      </c>
      <c r="D1901" s="6" t="s">
        <v>649</v>
      </c>
      <c r="E1901" s="32" t="s">
        <v>651</v>
      </c>
      <c r="F1901" s="7"/>
      <c r="G1901" s="7"/>
      <c r="H1901" s="7"/>
      <c r="I1901" s="7" t="s">
        <v>20</v>
      </c>
      <c r="J1901" s="7">
        <v>1</v>
      </c>
      <c r="K1901" s="7" t="s">
        <v>660</v>
      </c>
      <c r="L1901" s="7" t="s">
        <v>663</v>
      </c>
      <c r="M1901" s="8">
        <v>44533</v>
      </c>
      <c r="N1901" s="8">
        <v>44545</v>
      </c>
      <c r="O1901" s="13"/>
      <c r="P1901" s="13">
        <v>2500000</v>
      </c>
      <c r="Q1901" s="33"/>
      <c r="R1901" s="22"/>
      <c r="S1901" s="22"/>
      <c r="T1901" s="22"/>
      <c r="U1901" s="22"/>
      <c r="X1901" s="15" t="str">
        <f>IF(B1901="",VLOOKUP(A1901,items_lookup!A:B,2,FALSE),B1901)</f>
        <v>13. Item 13</v>
      </c>
      <c r="Y1901" s="15">
        <f t="shared" si="161"/>
        <v>12</v>
      </c>
      <c r="Z1901" s="15">
        <f t="shared" si="161"/>
        <v>12</v>
      </c>
      <c r="AA1901" s="15">
        <f t="shared" si="163"/>
        <v>2021</v>
      </c>
      <c r="AB1901" s="15">
        <f t="shared" si="164"/>
        <v>2021</v>
      </c>
      <c r="AC1901" s="15">
        <f t="shared" si="165"/>
        <v>2021</v>
      </c>
      <c r="AD1901" s="18" t="b">
        <f t="shared" si="162"/>
        <v>1</v>
      </c>
    </row>
    <row r="1902" spans="1:30" ht="15" hidden="1" customHeight="1" x14ac:dyDescent="0.2">
      <c r="A1902" s="7" t="s">
        <v>677</v>
      </c>
      <c r="B1902" s="7"/>
      <c r="C1902" s="2" t="s">
        <v>641</v>
      </c>
      <c r="D1902" s="6" t="s">
        <v>649</v>
      </c>
      <c r="E1902" s="32" t="s">
        <v>651</v>
      </c>
      <c r="F1902" s="7"/>
      <c r="G1902" s="7"/>
      <c r="H1902" s="7"/>
      <c r="I1902" s="7"/>
      <c r="J1902" s="7">
        <v>1</v>
      </c>
      <c r="K1902" s="7" t="s">
        <v>660</v>
      </c>
      <c r="L1902" s="7" t="s">
        <v>663</v>
      </c>
      <c r="M1902" s="8">
        <v>44533</v>
      </c>
      <c r="N1902" s="8">
        <v>44547</v>
      </c>
      <c r="O1902" s="13"/>
      <c r="P1902" s="13">
        <v>4302.72</v>
      </c>
      <c r="Q1902" s="33"/>
      <c r="R1902" s="22"/>
      <c r="S1902" s="22"/>
      <c r="T1902" s="22"/>
      <c r="U1902" s="22"/>
      <c r="X1902" s="15" t="str">
        <f>IF(B1902="",VLOOKUP(A1902,items_lookup!A:B,2,FALSE),B1902)</f>
        <v>11. Item 11</v>
      </c>
      <c r="Y1902" s="15">
        <f t="shared" si="161"/>
        <v>12</v>
      </c>
      <c r="Z1902" s="15">
        <f t="shared" si="161"/>
        <v>12</v>
      </c>
      <c r="AA1902" s="15">
        <f t="shared" si="163"/>
        <v>2021</v>
      </c>
      <c r="AB1902" s="15">
        <f t="shared" si="164"/>
        <v>2021</v>
      </c>
      <c r="AC1902" s="15">
        <f t="shared" si="165"/>
        <v>2021</v>
      </c>
      <c r="AD1902" s="18" t="b">
        <f t="shared" si="162"/>
        <v>1</v>
      </c>
    </row>
    <row r="1903" spans="1:30" ht="15" hidden="1" customHeight="1" x14ac:dyDescent="0.2">
      <c r="A1903" s="7" t="s">
        <v>672</v>
      </c>
      <c r="B1903" s="7"/>
      <c r="C1903" s="2" t="s">
        <v>641</v>
      </c>
      <c r="D1903" s="6" t="s">
        <v>649</v>
      </c>
      <c r="E1903" s="32" t="s">
        <v>651</v>
      </c>
      <c r="F1903" s="7"/>
      <c r="G1903" s="7"/>
      <c r="H1903" s="7"/>
      <c r="I1903" s="7" t="s">
        <v>20</v>
      </c>
      <c r="J1903" s="7">
        <v>1</v>
      </c>
      <c r="K1903" s="7" t="s">
        <v>660</v>
      </c>
      <c r="L1903" s="7" t="s">
        <v>663</v>
      </c>
      <c r="M1903" s="8">
        <v>44533</v>
      </c>
      <c r="N1903" s="8">
        <v>44546</v>
      </c>
      <c r="O1903" s="13"/>
      <c r="P1903" s="13">
        <v>11915.49</v>
      </c>
      <c r="Q1903" s="33"/>
      <c r="R1903" s="22"/>
      <c r="S1903" s="22"/>
      <c r="T1903" s="22"/>
      <c r="U1903" s="22"/>
      <c r="X1903" s="15" t="str">
        <f>IF(B1903="",VLOOKUP(A1903,items_lookup!A:B,2,FALSE),B1903)</f>
        <v>05. Item 05</v>
      </c>
      <c r="Y1903" s="15">
        <f t="shared" si="161"/>
        <v>12</v>
      </c>
      <c r="Z1903" s="15">
        <f t="shared" si="161"/>
        <v>12</v>
      </c>
      <c r="AA1903" s="15">
        <f t="shared" si="163"/>
        <v>2021</v>
      </c>
      <c r="AB1903" s="15">
        <f t="shared" si="164"/>
        <v>2021</v>
      </c>
      <c r="AC1903" s="15">
        <f t="shared" si="165"/>
        <v>2021</v>
      </c>
      <c r="AD1903" s="18" t="b">
        <f t="shared" si="162"/>
        <v>1</v>
      </c>
    </row>
    <row r="1904" spans="1:30" ht="15" hidden="1" customHeight="1" x14ac:dyDescent="0.2">
      <c r="A1904" s="7" t="s">
        <v>672</v>
      </c>
      <c r="B1904" s="7"/>
      <c r="C1904" s="2" t="s">
        <v>641</v>
      </c>
      <c r="D1904" s="6" t="s">
        <v>649</v>
      </c>
      <c r="E1904" s="32" t="s">
        <v>651</v>
      </c>
      <c r="F1904" s="7"/>
      <c r="G1904" s="7"/>
      <c r="H1904" s="7"/>
      <c r="I1904" s="7"/>
      <c r="J1904" s="7">
        <v>1</v>
      </c>
      <c r="K1904" s="7" t="s">
        <v>660</v>
      </c>
      <c r="L1904" s="7" t="s">
        <v>663</v>
      </c>
      <c r="M1904" s="8">
        <v>44533</v>
      </c>
      <c r="N1904" s="8">
        <v>44546</v>
      </c>
      <c r="O1904" s="13"/>
      <c r="P1904" s="13">
        <v>18.45</v>
      </c>
      <c r="Q1904" s="33"/>
      <c r="R1904" s="22"/>
      <c r="S1904" s="22"/>
      <c r="T1904" s="22"/>
      <c r="U1904" s="22"/>
      <c r="X1904" s="15" t="str">
        <f>IF(B1904="",VLOOKUP(A1904,items_lookup!A:B,2,FALSE),B1904)</f>
        <v>05. Item 05</v>
      </c>
      <c r="Y1904" s="15">
        <f t="shared" si="161"/>
        <v>12</v>
      </c>
      <c r="Z1904" s="15">
        <f t="shared" si="161"/>
        <v>12</v>
      </c>
      <c r="AA1904" s="15">
        <f t="shared" si="163"/>
        <v>2021</v>
      </c>
      <c r="AB1904" s="15">
        <f t="shared" si="164"/>
        <v>2021</v>
      </c>
      <c r="AC1904" s="15">
        <f t="shared" si="165"/>
        <v>2021</v>
      </c>
      <c r="AD1904" s="18" t="b">
        <f t="shared" si="162"/>
        <v>1</v>
      </c>
    </row>
    <row r="1905" spans="1:30" ht="15" hidden="1" customHeight="1" x14ac:dyDescent="0.2">
      <c r="A1905" s="7" t="s">
        <v>671</v>
      </c>
      <c r="B1905" s="20"/>
      <c r="C1905" s="2" t="s">
        <v>641</v>
      </c>
      <c r="D1905" s="6" t="s">
        <v>649</v>
      </c>
      <c r="E1905" s="32" t="s">
        <v>651</v>
      </c>
      <c r="F1905" s="7"/>
      <c r="G1905" s="7"/>
      <c r="H1905" s="7"/>
      <c r="I1905" s="7" t="s">
        <v>20</v>
      </c>
      <c r="J1905" s="7">
        <v>1</v>
      </c>
      <c r="K1905" s="7" t="s">
        <v>660</v>
      </c>
      <c r="L1905" s="7" t="s">
        <v>663</v>
      </c>
      <c r="M1905" s="8">
        <v>44533</v>
      </c>
      <c r="N1905" s="8">
        <v>44545</v>
      </c>
      <c r="O1905" s="13"/>
      <c r="P1905" s="13">
        <v>6332.86</v>
      </c>
      <c r="Q1905" s="33"/>
      <c r="R1905" s="9"/>
      <c r="S1905" s="9"/>
      <c r="T1905" s="9"/>
      <c r="U1905" s="9"/>
      <c r="X1905" s="15" t="str">
        <f>IF(B1905="",VLOOKUP(A1905,items_lookup!A:B,2,FALSE),B1905)</f>
        <v>05. Item 05</v>
      </c>
      <c r="Y1905" s="15">
        <f t="shared" si="161"/>
        <v>12</v>
      </c>
      <c r="Z1905" s="15">
        <f t="shared" si="161"/>
        <v>12</v>
      </c>
      <c r="AA1905" s="15">
        <f t="shared" si="163"/>
        <v>2021</v>
      </c>
      <c r="AB1905" s="15">
        <f t="shared" si="164"/>
        <v>2021</v>
      </c>
      <c r="AC1905" s="15">
        <f t="shared" si="165"/>
        <v>2021</v>
      </c>
      <c r="AD1905" s="18" t="b">
        <f t="shared" si="162"/>
        <v>1</v>
      </c>
    </row>
    <row r="1906" spans="1:30" ht="15" hidden="1" customHeight="1" x14ac:dyDescent="0.2">
      <c r="A1906" s="7" t="s">
        <v>673</v>
      </c>
      <c r="B1906" s="20"/>
      <c r="C1906" s="2" t="s">
        <v>641</v>
      </c>
      <c r="D1906" s="6" t="s">
        <v>649</v>
      </c>
      <c r="E1906" s="32" t="s">
        <v>651</v>
      </c>
      <c r="F1906" s="7"/>
      <c r="G1906" s="7"/>
      <c r="H1906" s="7"/>
      <c r="I1906" s="7"/>
      <c r="J1906" s="7">
        <v>1</v>
      </c>
      <c r="K1906" s="7" t="s">
        <v>660</v>
      </c>
      <c r="L1906" s="7" t="s">
        <v>663</v>
      </c>
      <c r="M1906" s="8">
        <v>44533</v>
      </c>
      <c r="N1906" s="8">
        <v>44545</v>
      </c>
      <c r="O1906" s="13"/>
      <c r="P1906" s="13">
        <v>124007.61</v>
      </c>
      <c r="Q1906" s="33"/>
      <c r="R1906" s="9"/>
      <c r="S1906" s="9"/>
      <c r="T1906" s="9"/>
      <c r="U1906" s="9"/>
      <c r="X1906" s="15" t="str">
        <f>IF(B1906="",VLOOKUP(A1906,items_lookup!A:B,2,FALSE),B1906)</f>
        <v>07. Item 07</v>
      </c>
      <c r="Y1906" s="15">
        <f t="shared" si="161"/>
        <v>12</v>
      </c>
      <c r="Z1906" s="15">
        <f t="shared" si="161"/>
        <v>12</v>
      </c>
      <c r="AA1906" s="15">
        <f t="shared" si="163"/>
        <v>2021</v>
      </c>
      <c r="AB1906" s="15">
        <f t="shared" si="164"/>
        <v>2021</v>
      </c>
      <c r="AC1906" s="15">
        <f t="shared" si="165"/>
        <v>2021</v>
      </c>
      <c r="AD1906" s="18" t="b">
        <f t="shared" si="162"/>
        <v>1</v>
      </c>
    </row>
    <row r="1907" spans="1:30" ht="15" hidden="1" customHeight="1" x14ac:dyDescent="0.2">
      <c r="A1907" s="7" t="s">
        <v>674</v>
      </c>
      <c r="B1907" s="20"/>
      <c r="C1907" s="2" t="s">
        <v>641</v>
      </c>
      <c r="D1907" s="6" t="s">
        <v>649</v>
      </c>
      <c r="E1907" s="32" t="s">
        <v>651</v>
      </c>
      <c r="F1907" s="7"/>
      <c r="G1907" s="7"/>
      <c r="H1907" s="7"/>
      <c r="I1907" s="7" t="s">
        <v>20</v>
      </c>
      <c r="J1907" s="7">
        <v>1</v>
      </c>
      <c r="K1907" s="7" t="s">
        <v>660</v>
      </c>
      <c r="L1907" s="7" t="s">
        <v>663</v>
      </c>
      <c r="M1907" s="8">
        <v>44533</v>
      </c>
      <c r="N1907" s="8">
        <v>44547</v>
      </c>
      <c r="O1907" s="13"/>
      <c r="P1907" s="13">
        <v>68724.61</v>
      </c>
      <c r="Q1907" s="33"/>
      <c r="R1907" s="9"/>
      <c r="S1907" s="9"/>
      <c r="T1907" s="9"/>
      <c r="U1907" s="9"/>
      <c r="X1907" s="15" t="str">
        <f>IF(B1907="",VLOOKUP(A1907,items_lookup!A:B,2,FALSE),B1907)</f>
        <v>08. Item 08</v>
      </c>
      <c r="Y1907" s="15">
        <f t="shared" ref="Y1907:Z1970" si="166">MONTH(M1907)</f>
        <v>12</v>
      </c>
      <c r="Z1907" s="15">
        <f t="shared" si="166"/>
        <v>12</v>
      </c>
      <c r="AA1907" s="15">
        <f t="shared" si="163"/>
        <v>2021</v>
      </c>
      <c r="AB1907" s="15">
        <f t="shared" si="164"/>
        <v>2021</v>
      </c>
      <c r="AC1907" s="15">
        <f t="shared" si="165"/>
        <v>2021</v>
      </c>
      <c r="AD1907" s="18" t="b">
        <f t="shared" si="162"/>
        <v>1</v>
      </c>
    </row>
    <row r="1908" spans="1:30" ht="15" hidden="1" customHeight="1" x14ac:dyDescent="0.2">
      <c r="A1908" s="7" t="s">
        <v>688</v>
      </c>
      <c r="B1908" s="20"/>
      <c r="C1908" s="2" t="s">
        <v>641</v>
      </c>
      <c r="D1908" s="6" t="s">
        <v>649</v>
      </c>
      <c r="E1908" s="32" t="s">
        <v>651</v>
      </c>
      <c r="F1908" s="7"/>
      <c r="G1908" s="7"/>
      <c r="H1908" s="7"/>
      <c r="I1908" s="7"/>
      <c r="J1908" s="7">
        <v>1</v>
      </c>
      <c r="K1908" s="7" t="s">
        <v>660</v>
      </c>
      <c r="L1908" s="7" t="s">
        <v>663</v>
      </c>
      <c r="M1908" s="8">
        <v>44533</v>
      </c>
      <c r="N1908" s="8">
        <v>44547</v>
      </c>
      <c r="O1908" s="13"/>
      <c r="P1908" s="13">
        <v>5948.21</v>
      </c>
      <c r="Q1908" s="33"/>
      <c r="R1908" s="9"/>
      <c r="S1908" s="9"/>
      <c r="T1908" s="9"/>
      <c r="U1908" s="9"/>
      <c r="X1908" s="15" t="str">
        <f>IF(B1908="",VLOOKUP(A1908,items_lookup!A:B,2,FALSE),B1908)</f>
        <v>09. Item 09</v>
      </c>
      <c r="Y1908" s="15">
        <f t="shared" si="166"/>
        <v>12</v>
      </c>
      <c r="Z1908" s="15">
        <f t="shared" si="166"/>
        <v>12</v>
      </c>
      <c r="AA1908" s="15">
        <f t="shared" si="163"/>
        <v>2021</v>
      </c>
      <c r="AB1908" s="15">
        <f t="shared" si="164"/>
        <v>2021</v>
      </c>
      <c r="AC1908" s="15">
        <f t="shared" si="165"/>
        <v>2021</v>
      </c>
      <c r="AD1908" s="18" t="b">
        <f t="shared" si="162"/>
        <v>1</v>
      </c>
    </row>
    <row r="1909" spans="1:30" ht="15" hidden="1" customHeight="1" x14ac:dyDescent="0.2">
      <c r="A1909" s="7" t="s">
        <v>688</v>
      </c>
      <c r="B1909" s="7"/>
      <c r="C1909" s="2" t="s">
        <v>641</v>
      </c>
      <c r="D1909" s="6" t="s">
        <v>649</v>
      </c>
      <c r="E1909" s="32" t="s">
        <v>651</v>
      </c>
      <c r="F1909" s="7"/>
      <c r="G1909" s="7"/>
      <c r="H1909" s="7"/>
      <c r="I1909" s="7"/>
      <c r="J1909" s="7">
        <v>1</v>
      </c>
      <c r="K1909" s="7" t="s">
        <v>660</v>
      </c>
      <c r="L1909" s="7" t="s">
        <v>663</v>
      </c>
      <c r="M1909" s="8">
        <v>44533</v>
      </c>
      <c r="N1909" s="8">
        <v>44547</v>
      </c>
      <c r="O1909" s="13"/>
      <c r="P1909" s="13">
        <v>4380.95</v>
      </c>
      <c r="Q1909" s="33"/>
      <c r="R1909" s="22"/>
      <c r="S1909" s="22"/>
      <c r="T1909" s="22"/>
      <c r="U1909" s="22"/>
      <c r="X1909" s="15" t="str">
        <f>IF(B1909="",VLOOKUP(A1909,items_lookup!A:B,2,FALSE),B1909)</f>
        <v>09. Item 09</v>
      </c>
      <c r="Y1909" s="15">
        <f t="shared" si="166"/>
        <v>12</v>
      </c>
      <c r="Z1909" s="15">
        <f t="shared" si="166"/>
        <v>12</v>
      </c>
      <c r="AA1909" s="15">
        <f t="shared" si="163"/>
        <v>2021</v>
      </c>
      <c r="AB1909" s="15">
        <f t="shared" si="164"/>
        <v>2021</v>
      </c>
      <c r="AC1909" s="15">
        <f t="shared" si="165"/>
        <v>2021</v>
      </c>
      <c r="AD1909" s="18" t="b">
        <f t="shared" si="162"/>
        <v>1</v>
      </c>
    </row>
    <row r="1910" spans="1:30" ht="12.6" hidden="1" customHeight="1" x14ac:dyDescent="0.2">
      <c r="A1910" s="7" t="s">
        <v>676</v>
      </c>
      <c r="B1910" s="7"/>
      <c r="C1910" s="2" t="s">
        <v>641</v>
      </c>
      <c r="D1910" s="6" t="s">
        <v>649</v>
      </c>
      <c r="E1910" s="32" t="s">
        <v>651</v>
      </c>
      <c r="F1910" s="7"/>
      <c r="G1910" s="7"/>
      <c r="H1910" s="7"/>
      <c r="I1910" s="7" t="s">
        <v>20</v>
      </c>
      <c r="J1910" s="7">
        <v>1</v>
      </c>
      <c r="K1910" s="7" t="s">
        <v>660</v>
      </c>
      <c r="L1910" s="7" t="s">
        <v>663</v>
      </c>
      <c r="M1910" s="8">
        <v>44533</v>
      </c>
      <c r="N1910" s="8">
        <v>44545</v>
      </c>
      <c r="O1910" s="13"/>
      <c r="P1910" s="13">
        <v>63887.86</v>
      </c>
      <c r="Q1910" s="33"/>
      <c r="X1910" s="15" t="str">
        <f>IF(B1910="",VLOOKUP(A1910,items_lookup!A:B,2,FALSE),B1910)</f>
        <v>09. Item 09</v>
      </c>
      <c r="Y1910" s="15">
        <f t="shared" si="166"/>
        <v>12</v>
      </c>
      <c r="Z1910" s="15">
        <f t="shared" si="166"/>
        <v>12</v>
      </c>
      <c r="AA1910" s="15">
        <f t="shared" si="163"/>
        <v>2021</v>
      </c>
      <c r="AB1910" s="15">
        <f t="shared" si="164"/>
        <v>2021</v>
      </c>
      <c r="AC1910" s="15">
        <f t="shared" si="165"/>
        <v>2021</v>
      </c>
      <c r="AD1910" s="18" t="b">
        <f t="shared" si="162"/>
        <v>1</v>
      </c>
    </row>
    <row r="1911" spans="1:30" ht="14.25" hidden="1" customHeight="1" x14ac:dyDescent="0.2">
      <c r="A1911" s="7" t="s">
        <v>675</v>
      </c>
      <c r="B1911" s="7"/>
      <c r="C1911" s="2" t="s">
        <v>641</v>
      </c>
      <c r="D1911" s="6" t="s">
        <v>649</v>
      </c>
      <c r="E1911" s="32" t="s">
        <v>651</v>
      </c>
      <c r="F1911" s="7"/>
      <c r="G1911" s="7"/>
      <c r="H1911" s="7"/>
      <c r="I1911" s="7" t="s">
        <v>20</v>
      </c>
      <c r="J1911" s="7">
        <v>1</v>
      </c>
      <c r="K1911" s="7" t="s">
        <v>660</v>
      </c>
      <c r="L1911" s="7" t="s">
        <v>663</v>
      </c>
      <c r="M1911" s="8">
        <v>44533</v>
      </c>
      <c r="N1911" s="8">
        <v>44547</v>
      </c>
      <c r="O1911" s="13"/>
      <c r="P1911" s="13">
        <v>916.67</v>
      </c>
      <c r="Q1911" s="33"/>
      <c r="X1911" s="15" t="str">
        <f>IF(B1911="",VLOOKUP(A1911,items_lookup!A:B,2,FALSE),B1911)</f>
        <v>09. Item 09</v>
      </c>
      <c r="Y1911" s="15">
        <f t="shared" si="166"/>
        <v>12</v>
      </c>
      <c r="Z1911" s="15">
        <f t="shared" si="166"/>
        <v>12</v>
      </c>
      <c r="AA1911" s="15">
        <f t="shared" si="163"/>
        <v>2021</v>
      </c>
      <c r="AB1911" s="15">
        <f t="shared" si="164"/>
        <v>2021</v>
      </c>
      <c r="AC1911" s="15">
        <f t="shared" si="165"/>
        <v>2021</v>
      </c>
      <c r="AD1911" s="18" t="b">
        <f t="shared" si="162"/>
        <v>1</v>
      </c>
    </row>
    <row r="1912" spans="1:30" ht="14.25" hidden="1" customHeight="1" x14ac:dyDescent="0.2">
      <c r="A1912" s="7" t="s">
        <v>698</v>
      </c>
      <c r="B1912" s="7"/>
      <c r="C1912" s="2" t="s">
        <v>641</v>
      </c>
      <c r="D1912" s="6" t="s">
        <v>649</v>
      </c>
      <c r="E1912" s="32" t="s">
        <v>651</v>
      </c>
      <c r="F1912" s="7"/>
      <c r="G1912" s="7"/>
      <c r="H1912" s="7"/>
      <c r="I1912" s="7"/>
      <c r="J1912" s="7">
        <v>1</v>
      </c>
      <c r="K1912" s="7" t="s">
        <v>660</v>
      </c>
      <c r="L1912" s="7" t="s">
        <v>663</v>
      </c>
      <c r="M1912" s="8">
        <v>44533</v>
      </c>
      <c r="N1912" s="8">
        <v>44547</v>
      </c>
      <c r="O1912" s="13"/>
      <c r="P1912" s="13">
        <v>157974.49</v>
      </c>
      <c r="Q1912" s="33"/>
      <c r="X1912" s="15" t="str">
        <f>IF(B1912="",VLOOKUP(A1912,items_lookup!A:B,2,FALSE),B1912)</f>
        <v>10. Item 10</v>
      </c>
      <c r="Y1912" s="15">
        <f t="shared" si="166"/>
        <v>12</v>
      </c>
      <c r="Z1912" s="15">
        <f t="shared" si="166"/>
        <v>12</v>
      </c>
      <c r="AA1912" s="15">
        <f t="shared" si="163"/>
        <v>2021</v>
      </c>
      <c r="AB1912" s="15">
        <f t="shared" si="164"/>
        <v>2021</v>
      </c>
      <c r="AC1912" s="15">
        <f t="shared" si="165"/>
        <v>2021</v>
      </c>
      <c r="AD1912" s="18" t="b">
        <f t="shared" si="162"/>
        <v>1</v>
      </c>
    </row>
    <row r="1913" spans="1:30" ht="14.25" hidden="1" customHeight="1" x14ac:dyDescent="0.2">
      <c r="A1913" s="7" t="s">
        <v>690</v>
      </c>
      <c r="B1913" s="7"/>
      <c r="C1913" s="2" t="s">
        <v>641</v>
      </c>
      <c r="D1913" s="6" t="s">
        <v>649</v>
      </c>
      <c r="E1913" s="32" t="s">
        <v>651</v>
      </c>
      <c r="F1913" s="7"/>
      <c r="G1913" s="7"/>
      <c r="H1913" s="7"/>
      <c r="I1913" s="7"/>
      <c r="J1913" s="7">
        <v>1</v>
      </c>
      <c r="K1913" s="7" t="s">
        <v>660</v>
      </c>
      <c r="L1913" s="7" t="s">
        <v>663</v>
      </c>
      <c r="M1913" s="8">
        <v>44533</v>
      </c>
      <c r="N1913" s="8">
        <v>44551</v>
      </c>
      <c r="O1913" s="13"/>
      <c r="P1913" s="13">
        <v>476.19</v>
      </c>
      <c r="Q1913" s="33"/>
      <c r="X1913" s="15" t="str">
        <f>IF(B1913="",VLOOKUP(A1913,items_lookup!A:B,2,FALSE),B1913)</f>
        <v>21. Item 21</v>
      </c>
      <c r="Y1913" s="15">
        <f t="shared" si="166"/>
        <v>12</v>
      </c>
      <c r="Z1913" s="15">
        <f t="shared" si="166"/>
        <v>12</v>
      </c>
      <c r="AA1913" s="15">
        <f t="shared" si="163"/>
        <v>2021</v>
      </c>
      <c r="AB1913" s="15">
        <f t="shared" si="164"/>
        <v>2021</v>
      </c>
      <c r="AC1913" s="15">
        <f t="shared" si="165"/>
        <v>2021</v>
      </c>
      <c r="AD1913" s="18" t="b">
        <f t="shared" si="162"/>
        <v>1</v>
      </c>
    </row>
    <row r="1914" spans="1:30" ht="14.25" hidden="1" customHeight="1" x14ac:dyDescent="0.2">
      <c r="A1914" s="7" t="s">
        <v>699</v>
      </c>
      <c r="B1914" s="7"/>
      <c r="C1914" s="2" t="s">
        <v>641</v>
      </c>
      <c r="D1914" s="6" t="s">
        <v>649</v>
      </c>
      <c r="E1914" s="32" t="s">
        <v>651</v>
      </c>
      <c r="F1914" s="7"/>
      <c r="G1914" s="7"/>
      <c r="H1914" s="7"/>
      <c r="I1914" s="7"/>
      <c r="J1914" s="7">
        <v>1</v>
      </c>
      <c r="K1914" s="7" t="s">
        <v>660</v>
      </c>
      <c r="L1914" s="7" t="s">
        <v>663</v>
      </c>
      <c r="M1914" s="8">
        <v>44533</v>
      </c>
      <c r="N1914" s="8">
        <v>44539</v>
      </c>
      <c r="O1914" s="13"/>
      <c r="P1914" s="13">
        <v>1105.5999999999999</v>
      </c>
      <c r="Q1914" s="33"/>
      <c r="X1914" s="15" t="str">
        <f>IF(B1914="",VLOOKUP(A1914,items_lookup!A:B,2,FALSE),B1914)</f>
        <v>12. Item 12</v>
      </c>
      <c r="Y1914" s="15">
        <f t="shared" si="166"/>
        <v>12</v>
      </c>
      <c r="Z1914" s="15">
        <f t="shared" si="166"/>
        <v>12</v>
      </c>
      <c r="AA1914" s="15">
        <f t="shared" si="163"/>
        <v>2021</v>
      </c>
      <c r="AB1914" s="15">
        <f t="shared" si="164"/>
        <v>2021</v>
      </c>
      <c r="AC1914" s="15">
        <f t="shared" si="165"/>
        <v>2021</v>
      </c>
      <c r="AD1914" s="18" t="b">
        <f t="shared" si="162"/>
        <v>1</v>
      </c>
    </row>
    <row r="1915" spans="1:30" ht="14.25" hidden="1" customHeight="1" x14ac:dyDescent="0.2">
      <c r="A1915" s="7" t="s">
        <v>699</v>
      </c>
      <c r="B1915" s="7"/>
      <c r="C1915" s="2" t="s">
        <v>641</v>
      </c>
      <c r="D1915" s="6" t="s">
        <v>649</v>
      </c>
      <c r="E1915" s="32" t="s">
        <v>651</v>
      </c>
      <c r="F1915" s="7"/>
      <c r="G1915" s="7"/>
      <c r="H1915" s="7"/>
      <c r="I1915" s="7"/>
      <c r="J1915" s="7">
        <v>1</v>
      </c>
      <c r="K1915" s="7" t="s">
        <v>660</v>
      </c>
      <c r="L1915" s="7" t="s">
        <v>663</v>
      </c>
      <c r="M1915" s="8">
        <v>44533</v>
      </c>
      <c r="N1915" s="8">
        <v>44540</v>
      </c>
      <c r="O1915" s="13"/>
      <c r="P1915" s="13">
        <v>23060.55</v>
      </c>
      <c r="Q1915" s="33"/>
      <c r="X1915" s="15" t="str">
        <f>IF(B1915="",VLOOKUP(A1915,items_lookup!A:B,2,FALSE),B1915)</f>
        <v>12. Item 12</v>
      </c>
      <c r="Y1915" s="15">
        <f t="shared" si="166"/>
        <v>12</v>
      </c>
      <c r="Z1915" s="15">
        <f t="shared" si="166"/>
        <v>12</v>
      </c>
      <c r="AA1915" s="15">
        <f t="shared" si="163"/>
        <v>2021</v>
      </c>
      <c r="AB1915" s="15">
        <f t="shared" si="164"/>
        <v>2021</v>
      </c>
      <c r="AC1915" s="15">
        <f t="shared" si="165"/>
        <v>2021</v>
      </c>
      <c r="AD1915" s="18" t="b">
        <f t="shared" si="162"/>
        <v>1</v>
      </c>
    </row>
    <row r="1916" spans="1:30" ht="14.25" hidden="1" customHeight="1" x14ac:dyDescent="0.2">
      <c r="A1916" s="7" t="s">
        <v>696</v>
      </c>
      <c r="B1916" s="7"/>
      <c r="C1916" s="2" t="s">
        <v>641</v>
      </c>
      <c r="D1916" s="6" t="s">
        <v>649</v>
      </c>
      <c r="E1916" s="32" t="s">
        <v>651</v>
      </c>
      <c r="F1916" s="7"/>
      <c r="G1916" s="7"/>
      <c r="H1916" s="7"/>
      <c r="I1916" s="7"/>
      <c r="J1916" s="7"/>
      <c r="K1916" s="7" t="s">
        <v>660</v>
      </c>
      <c r="L1916" s="7" t="s">
        <v>663</v>
      </c>
      <c r="M1916" s="8">
        <v>44537</v>
      </c>
      <c r="N1916" s="8">
        <v>44537</v>
      </c>
      <c r="O1916" s="13"/>
      <c r="P1916" s="13">
        <v>246.71</v>
      </c>
      <c r="Q1916" s="33"/>
      <c r="R1916" s="22"/>
      <c r="S1916" s="22"/>
      <c r="T1916" s="22"/>
      <c r="U1916" s="22"/>
      <c r="X1916" s="15" t="str">
        <f>IF(B1916="",VLOOKUP(A1916,items_lookup!A:B,2,FALSE),B1916)</f>
        <v>13. Item 13</v>
      </c>
      <c r="Y1916" s="15">
        <f t="shared" si="166"/>
        <v>12</v>
      </c>
      <c r="Z1916" s="15">
        <f t="shared" si="166"/>
        <v>12</v>
      </c>
      <c r="AA1916" s="15">
        <f t="shared" si="163"/>
        <v>2021</v>
      </c>
      <c r="AB1916" s="15">
        <f t="shared" si="164"/>
        <v>2021</v>
      </c>
      <c r="AC1916" s="15">
        <f t="shared" si="165"/>
        <v>2021</v>
      </c>
      <c r="AD1916" s="18" t="b">
        <f t="shared" si="162"/>
        <v>1</v>
      </c>
    </row>
    <row r="1917" spans="1:30" ht="15" hidden="1" customHeight="1" x14ac:dyDescent="0.2">
      <c r="A1917" s="7" t="s">
        <v>678</v>
      </c>
      <c r="B1917" s="7"/>
      <c r="C1917" s="2" t="s">
        <v>641</v>
      </c>
      <c r="D1917" s="6" t="s">
        <v>649</v>
      </c>
      <c r="E1917" s="32" t="s">
        <v>651</v>
      </c>
      <c r="F1917" s="7"/>
      <c r="G1917" s="7"/>
      <c r="H1917" s="7"/>
      <c r="I1917" s="7"/>
      <c r="J1917" s="7">
        <v>4</v>
      </c>
      <c r="K1917" s="7" t="s">
        <v>660</v>
      </c>
      <c r="L1917" s="7" t="s">
        <v>663</v>
      </c>
      <c r="M1917" s="8">
        <v>44531</v>
      </c>
      <c r="N1917" s="8">
        <v>44537</v>
      </c>
      <c r="O1917" s="13"/>
      <c r="P1917" s="13">
        <v>246.71</v>
      </c>
      <c r="Q1917" s="33"/>
      <c r="R1917" s="22"/>
      <c r="S1917" s="22"/>
      <c r="T1917" s="22"/>
      <c r="U1917" s="22"/>
      <c r="X1917" s="15" t="str">
        <f>IF(B1917="",VLOOKUP(A1917,items_lookup!A:B,2,FALSE),B1917)</f>
        <v>13. Item 13</v>
      </c>
      <c r="Y1917" s="15">
        <f t="shared" si="166"/>
        <v>12</v>
      </c>
      <c r="Z1917" s="15">
        <f t="shared" si="166"/>
        <v>12</v>
      </c>
      <c r="AA1917" s="15">
        <f t="shared" si="163"/>
        <v>2021</v>
      </c>
      <c r="AB1917" s="15">
        <f t="shared" si="164"/>
        <v>2021</v>
      </c>
      <c r="AC1917" s="15">
        <f t="shared" si="165"/>
        <v>2021</v>
      </c>
      <c r="AD1917" s="18" t="b">
        <f t="shared" si="162"/>
        <v>1</v>
      </c>
    </row>
    <row r="1918" spans="1:30" ht="13.5" hidden="1" customHeight="1" x14ac:dyDescent="0.2">
      <c r="A1918" s="7" t="s">
        <v>670</v>
      </c>
      <c r="B1918" s="7"/>
      <c r="C1918" s="2" t="s">
        <v>641</v>
      </c>
      <c r="D1918" s="6" t="s">
        <v>649</v>
      </c>
      <c r="E1918" s="32" t="s">
        <v>651</v>
      </c>
      <c r="F1918" s="7"/>
      <c r="G1918" s="7"/>
      <c r="H1918" s="7"/>
      <c r="I1918" s="7"/>
      <c r="J1918" s="7"/>
      <c r="K1918" s="7" t="s">
        <v>660</v>
      </c>
      <c r="L1918" s="7" t="s">
        <v>663</v>
      </c>
      <c r="M1918" s="8">
        <v>44539</v>
      </c>
      <c r="N1918" s="8">
        <v>44539</v>
      </c>
      <c r="O1918" s="13"/>
      <c r="P1918" s="13">
        <v>27027.94</v>
      </c>
      <c r="Q1918" s="33"/>
      <c r="R1918" s="22"/>
      <c r="S1918" s="22"/>
      <c r="T1918" s="22"/>
      <c r="U1918" s="22"/>
      <c r="X1918" s="15" t="str">
        <f>IF(B1918="",VLOOKUP(A1918,items_lookup!A:B,2,FALSE),B1918)</f>
        <v>04. Item 04</v>
      </c>
      <c r="Y1918" s="15">
        <f t="shared" si="166"/>
        <v>12</v>
      </c>
      <c r="Z1918" s="15">
        <f t="shared" si="166"/>
        <v>12</v>
      </c>
      <c r="AA1918" s="15">
        <f t="shared" si="163"/>
        <v>2021</v>
      </c>
      <c r="AB1918" s="15">
        <f t="shared" si="164"/>
        <v>2021</v>
      </c>
      <c r="AC1918" s="15">
        <f t="shared" si="165"/>
        <v>2021</v>
      </c>
      <c r="AD1918" s="18" t="b">
        <f t="shared" si="162"/>
        <v>1</v>
      </c>
    </row>
    <row r="1919" spans="1:30" ht="15" hidden="1" customHeight="1" x14ac:dyDescent="0.2">
      <c r="A1919" s="7" t="s">
        <v>683</v>
      </c>
      <c r="B1919" s="7"/>
      <c r="C1919" s="2" t="s">
        <v>641</v>
      </c>
      <c r="D1919" s="6" t="s">
        <v>649</v>
      </c>
      <c r="E1919" s="32" t="s">
        <v>651</v>
      </c>
      <c r="F1919" s="7"/>
      <c r="G1919" s="7"/>
      <c r="H1919" s="7"/>
      <c r="I1919" s="7"/>
      <c r="J1919" s="7"/>
      <c r="K1919" s="7" t="s">
        <v>660</v>
      </c>
      <c r="L1919" s="7" t="s">
        <v>663</v>
      </c>
      <c r="M1919" s="8">
        <v>44540</v>
      </c>
      <c r="N1919" s="8">
        <v>44540</v>
      </c>
      <c r="O1919" s="13"/>
      <c r="P1919" s="13">
        <v>24903.41</v>
      </c>
      <c r="Q1919" s="33"/>
      <c r="R1919" s="22"/>
      <c r="S1919" s="22"/>
      <c r="T1919" s="22"/>
      <c r="U1919" s="22"/>
      <c r="X1919" s="15" t="str">
        <f>IF(B1919="",VLOOKUP(A1919,items_lookup!A:B,2,FALSE),B1919)</f>
        <v>_1. Item _1</v>
      </c>
      <c r="Y1919" s="15">
        <f t="shared" si="166"/>
        <v>12</v>
      </c>
      <c r="Z1919" s="15">
        <f t="shared" si="166"/>
        <v>12</v>
      </c>
      <c r="AA1919" s="15">
        <f t="shared" si="163"/>
        <v>2021</v>
      </c>
      <c r="AB1919" s="15">
        <f t="shared" si="164"/>
        <v>2021</v>
      </c>
      <c r="AC1919" s="15">
        <f t="shared" si="165"/>
        <v>2021</v>
      </c>
      <c r="AD1919" s="18" t="b">
        <f t="shared" si="162"/>
        <v>1</v>
      </c>
    </row>
    <row r="1920" spans="1:30" ht="15" hidden="1" customHeight="1" x14ac:dyDescent="0.2">
      <c r="A1920" s="7" t="s">
        <v>683</v>
      </c>
      <c r="B1920" s="7"/>
      <c r="C1920" s="2" t="s">
        <v>648</v>
      </c>
      <c r="D1920" s="6" t="s">
        <v>649</v>
      </c>
      <c r="E1920" s="32" t="s">
        <v>651</v>
      </c>
      <c r="F1920" s="7"/>
      <c r="G1920" s="7"/>
      <c r="H1920" s="7"/>
      <c r="I1920" s="7"/>
      <c r="J1920" s="7"/>
      <c r="K1920" s="7"/>
      <c r="L1920" s="7" t="s">
        <v>663</v>
      </c>
      <c r="M1920" s="8">
        <v>44530</v>
      </c>
      <c r="N1920" s="8">
        <v>44530</v>
      </c>
      <c r="O1920" s="13"/>
      <c r="P1920" s="13">
        <v>45147075.460000001</v>
      </c>
      <c r="Q1920" s="33"/>
      <c r="R1920" s="22"/>
      <c r="S1920" s="22"/>
      <c r="T1920" s="22"/>
      <c r="U1920" s="22"/>
      <c r="X1920" s="15" t="str">
        <f>IF(B1920="",VLOOKUP(A1920,items_lookup!A:B,2,FALSE),B1920)</f>
        <v>_1. Item _1</v>
      </c>
      <c r="Y1920" s="15">
        <f t="shared" si="166"/>
        <v>11</v>
      </c>
      <c r="Z1920" s="15">
        <f t="shared" si="166"/>
        <v>11</v>
      </c>
      <c r="AA1920" s="15">
        <f t="shared" si="163"/>
        <v>2021</v>
      </c>
      <c r="AB1920" s="15">
        <f t="shared" si="164"/>
        <v>2021</v>
      </c>
      <c r="AC1920" s="15">
        <f t="shared" si="165"/>
        <v>2021</v>
      </c>
      <c r="AD1920" s="18" t="b">
        <f t="shared" si="162"/>
        <v>1</v>
      </c>
    </row>
    <row r="1921" spans="1:30" ht="15" hidden="1" customHeight="1" x14ac:dyDescent="0.2">
      <c r="A1921" s="7" t="s">
        <v>680</v>
      </c>
      <c r="B1921" s="7"/>
      <c r="C1921" s="2" t="s">
        <v>648</v>
      </c>
      <c r="D1921" s="6" t="s">
        <v>649</v>
      </c>
      <c r="E1921" s="32" t="s">
        <v>651</v>
      </c>
      <c r="F1921" s="7"/>
      <c r="G1921" s="7"/>
      <c r="H1921" s="7"/>
      <c r="I1921" s="7"/>
      <c r="J1921" s="7"/>
      <c r="K1921" s="7"/>
      <c r="L1921" s="7" t="s">
        <v>663</v>
      </c>
      <c r="M1921" s="8">
        <v>44531</v>
      </c>
      <c r="N1921" s="8">
        <v>44531</v>
      </c>
      <c r="O1921" s="13"/>
      <c r="P1921" s="13">
        <v>124007.61</v>
      </c>
      <c r="Q1921" s="33"/>
      <c r="R1921" s="22"/>
      <c r="S1921" s="22"/>
      <c r="T1921" s="22"/>
      <c r="U1921" s="22"/>
      <c r="X1921" s="15" t="str">
        <f>IF(B1921="",VLOOKUP(A1921,items_lookup!A:B,2,FALSE),B1921)</f>
        <v>13. Item 13</v>
      </c>
      <c r="Y1921" s="15">
        <f t="shared" si="166"/>
        <v>12</v>
      </c>
      <c r="Z1921" s="15">
        <f t="shared" si="166"/>
        <v>12</v>
      </c>
      <c r="AA1921" s="15">
        <f t="shared" si="163"/>
        <v>2021</v>
      </c>
      <c r="AB1921" s="15">
        <f t="shared" si="164"/>
        <v>2021</v>
      </c>
      <c r="AC1921" s="15">
        <f t="shared" si="165"/>
        <v>2021</v>
      </c>
      <c r="AD1921" s="18" t="b">
        <f t="shared" si="162"/>
        <v>1</v>
      </c>
    </row>
    <row r="1922" spans="1:30" ht="15" hidden="1" customHeight="1" x14ac:dyDescent="0.2">
      <c r="A1922" s="7" t="s">
        <v>683</v>
      </c>
      <c r="B1922" s="7"/>
      <c r="C1922" s="2" t="s">
        <v>648</v>
      </c>
      <c r="D1922" s="6" t="s">
        <v>649</v>
      </c>
      <c r="E1922" s="32" t="s">
        <v>651</v>
      </c>
      <c r="F1922" s="7"/>
      <c r="G1922" s="7"/>
      <c r="H1922" s="7"/>
      <c r="I1922" s="7"/>
      <c r="J1922" s="7"/>
      <c r="K1922" s="7"/>
      <c r="L1922" s="7" t="s">
        <v>663</v>
      </c>
      <c r="M1922" s="8">
        <v>44531</v>
      </c>
      <c r="N1922" s="8">
        <v>44531</v>
      </c>
      <c r="O1922" s="13"/>
      <c r="P1922" s="13">
        <v>1968179.94</v>
      </c>
      <c r="Q1922" s="33"/>
      <c r="R1922" s="22"/>
      <c r="S1922" s="22"/>
      <c r="T1922" s="22"/>
      <c r="U1922" s="22"/>
      <c r="X1922" s="15" t="str">
        <f>IF(B1922="",VLOOKUP(A1922,items_lookup!A:B,2,FALSE),B1922)</f>
        <v>_1. Item _1</v>
      </c>
      <c r="Y1922" s="15">
        <f t="shared" si="166"/>
        <v>12</v>
      </c>
      <c r="Z1922" s="15">
        <f t="shared" si="166"/>
        <v>12</v>
      </c>
      <c r="AA1922" s="15">
        <f t="shared" si="163"/>
        <v>2021</v>
      </c>
      <c r="AB1922" s="15">
        <f t="shared" si="164"/>
        <v>2021</v>
      </c>
      <c r="AC1922" s="15">
        <f t="shared" si="165"/>
        <v>2021</v>
      </c>
      <c r="AD1922" s="18" t="b">
        <f t="shared" si="162"/>
        <v>1</v>
      </c>
    </row>
    <row r="1923" spans="1:30" ht="15" hidden="1" customHeight="1" x14ac:dyDescent="0.2">
      <c r="A1923" s="7" t="s">
        <v>683</v>
      </c>
      <c r="B1923" s="7"/>
      <c r="C1923" s="2" t="s">
        <v>648</v>
      </c>
      <c r="D1923" s="6" t="s">
        <v>649</v>
      </c>
      <c r="E1923" s="32" t="s">
        <v>651</v>
      </c>
      <c r="F1923" s="7"/>
      <c r="G1923" s="7"/>
      <c r="H1923" s="7"/>
      <c r="I1923" s="7"/>
      <c r="J1923" s="7"/>
      <c r="K1923" s="7"/>
      <c r="L1923" s="7" t="s">
        <v>663</v>
      </c>
      <c r="M1923" s="8">
        <v>44531</v>
      </c>
      <c r="N1923" s="8">
        <v>44531</v>
      </c>
      <c r="O1923" s="13"/>
      <c r="P1923" s="13">
        <v>9295028.1400000006</v>
      </c>
      <c r="Q1923" s="33"/>
      <c r="R1923" s="22"/>
      <c r="S1923" s="22"/>
      <c r="T1923" s="22"/>
      <c r="U1923" s="22"/>
      <c r="X1923" s="15" t="str">
        <f>IF(B1923="",VLOOKUP(A1923,items_lookup!A:B,2,FALSE),B1923)</f>
        <v>_1. Item _1</v>
      </c>
      <c r="Y1923" s="15">
        <f t="shared" si="166"/>
        <v>12</v>
      </c>
      <c r="Z1923" s="15">
        <f t="shared" si="166"/>
        <v>12</v>
      </c>
      <c r="AA1923" s="15">
        <f t="shared" si="163"/>
        <v>2021</v>
      </c>
      <c r="AB1923" s="15">
        <f t="shared" si="164"/>
        <v>2021</v>
      </c>
      <c r="AC1923" s="15">
        <f t="shared" si="165"/>
        <v>2021</v>
      </c>
      <c r="AD1923" s="18" t="b">
        <f t="shared" ref="AD1923:AD1986" si="167">AND(ROUND(O1923,2)=O1923,ROUND(P1923,2)=P1923,OR(AND(O1923&lt;&gt;0,L1923="p"),AND(P1923&lt;&gt;0,L1923="f")),_xlfn.ISFORMULA(X1923),_xlfn.ISFORMULA(Y1923),_xlfn.ISFORMULA(Z1923),_xlfn.ISFORMULA(AA1923),_xlfn.ISFORMULA(AB1923),_xlfn.ISFORMULA(AC1923),NOT(_xlfn.ISFORMULA(O1923)),NOT(_xlfn.ISFORMULA(P1923)),M1923&lt;&gt;0,N1923&lt;&gt;0)</f>
        <v>1</v>
      </c>
    </row>
    <row r="1924" spans="1:30" ht="15" hidden="1" customHeight="1" x14ac:dyDescent="0.2">
      <c r="A1924" s="7" t="s">
        <v>688</v>
      </c>
      <c r="B1924" s="7"/>
      <c r="C1924" s="2" t="s">
        <v>648</v>
      </c>
      <c r="D1924" s="6" t="s">
        <v>649</v>
      </c>
      <c r="E1924" s="32" t="s">
        <v>651</v>
      </c>
      <c r="F1924" s="7"/>
      <c r="G1924" s="7"/>
      <c r="H1924" s="7"/>
      <c r="I1924" s="7"/>
      <c r="J1924" s="7"/>
      <c r="K1924" s="7"/>
      <c r="L1924" s="7" t="s">
        <v>663</v>
      </c>
      <c r="M1924" s="8">
        <v>44531</v>
      </c>
      <c r="N1924" s="8">
        <v>44531</v>
      </c>
      <c r="O1924" s="13">
        <v>80.81</v>
      </c>
      <c r="P1924" s="13">
        <v>20633.189999999999</v>
      </c>
      <c r="Q1924" s="33"/>
      <c r="R1924" s="22"/>
      <c r="S1924" s="22"/>
      <c r="T1924" s="22"/>
      <c r="U1924" s="22"/>
      <c r="X1924" s="15" t="str">
        <f>IF(B1924="",VLOOKUP(A1924,items_lookup!A:B,2,FALSE),B1924)</f>
        <v>09. Item 09</v>
      </c>
      <c r="Y1924" s="15">
        <f t="shared" si="166"/>
        <v>12</v>
      </c>
      <c r="Z1924" s="15">
        <f t="shared" si="166"/>
        <v>12</v>
      </c>
      <c r="AA1924" s="15">
        <f t="shared" si="163"/>
        <v>2021</v>
      </c>
      <c r="AB1924" s="15">
        <f t="shared" si="164"/>
        <v>2021</v>
      </c>
      <c r="AC1924" s="15">
        <f t="shared" si="165"/>
        <v>2021</v>
      </c>
      <c r="AD1924" s="18" t="b">
        <f t="shared" si="167"/>
        <v>1</v>
      </c>
    </row>
    <row r="1925" spans="1:30" ht="15" hidden="1" customHeight="1" x14ac:dyDescent="0.2">
      <c r="A1925" s="7" t="s">
        <v>688</v>
      </c>
      <c r="B1925" s="7"/>
      <c r="C1925" s="2" t="s">
        <v>648</v>
      </c>
      <c r="D1925" s="6" t="s">
        <v>649</v>
      </c>
      <c r="E1925" s="32" t="s">
        <v>651</v>
      </c>
      <c r="F1925" s="7"/>
      <c r="G1925" s="7"/>
      <c r="H1925" s="7"/>
      <c r="I1925" s="7"/>
      <c r="J1925" s="7"/>
      <c r="K1925" s="7"/>
      <c r="L1925" s="7" t="s">
        <v>663</v>
      </c>
      <c r="M1925" s="8">
        <v>44531</v>
      </c>
      <c r="N1925" s="8">
        <v>44531</v>
      </c>
      <c r="O1925" s="13"/>
      <c r="P1925" s="13">
        <v>9897608.6099999994</v>
      </c>
      <c r="Q1925" s="33"/>
      <c r="R1925" s="22"/>
      <c r="S1925" s="22"/>
      <c r="T1925" s="22"/>
      <c r="U1925" s="22"/>
      <c r="X1925" s="15" t="str">
        <f>IF(B1925="",VLOOKUP(A1925,items_lookup!A:B,2,FALSE),B1925)</f>
        <v>09. Item 09</v>
      </c>
      <c r="Y1925" s="15">
        <f t="shared" si="166"/>
        <v>12</v>
      </c>
      <c r="Z1925" s="15">
        <f t="shared" si="166"/>
        <v>12</v>
      </c>
      <c r="AA1925" s="15">
        <f t="shared" si="163"/>
        <v>2021</v>
      </c>
      <c r="AB1925" s="15">
        <f t="shared" si="164"/>
        <v>2021</v>
      </c>
      <c r="AC1925" s="15">
        <f t="shared" si="165"/>
        <v>2021</v>
      </c>
      <c r="AD1925" s="18" t="b">
        <f t="shared" si="167"/>
        <v>1</v>
      </c>
    </row>
    <row r="1926" spans="1:30" ht="15" hidden="1" customHeight="1" x14ac:dyDescent="0.2">
      <c r="A1926" s="7" t="s">
        <v>687</v>
      </c>
      <c r="B1926" s="7"/>
      <c r="C1926" s="2" t="s">
        <v>648</v>
      </c>
      <c r="D1926" s="6" t="s">
        <v>649</v>
      </c>
      <c r="E1926" s="32" t="s">
        <v>651</v>
      </c>
      <c r="F1926" s="7"/>
      <c r="G1926" s="7"/>
      <c r="H1926" s="7"/>
      <c r="I1926" s="7"/>
      <c r="J1926" s="7"/>
      <c r="K1926" s="7"/>
      <c r="L1926" s="7" t="s">
        <v>663</v>
      </c>
      <c r="M1926" s="8">
        <v>44531</v>
      </c>
      <c r="N1926" s="8">
        <v>44531</v>
      </c>
      <c r="O1926" s="13"/>
      <c r="P1926" s="13">
        <v>615875.46</v>
      </c>
      <c r="Q1926" s="33"/>
      <c r="R1926" s="22"/>
      <c r="S1926" s="22"/>
      <c r="T1926" s="22"/>
      <c r="U1926" s="22"/>
      <c r="X1926" s="15" t="str">
        <f>IF(B1926="",VLOOKUP(A1926,items_lookup!A:B,2,FALSE),B1926)</f>
        <v>14. Item 14</v>
      </c>
      <c r="Y1926" s="15">
        <f t="shared" si="166"/>
        <v>12</v>
      </c>
      <c r="Z1926" s="15">
        <f t="shared" si="166"/>
        <v>12</v>
      </c>
      <c r="AA1926" s="15">
        <f t="shared" si="163"/>
        <v>2021</v>
      </c>
      <c r="AB1926" s="15">
        <f t="shared" si="164"/>
        <v>2021</v>
      </c>
      <c r="AC1926" s="15">
        <f t="shared" si="165"/>
        <v>2021</v>
      </c>
      <c r="AD1926" s="18" t="b">
        <f t="shared" si="167"/>
        <v>1</v>
      </c>
    </row>
    <row r="1927" spans="1:30" ht="15" hidden="1" customHeight="1" x14ac:dyDescent="0.2">
      <c r="A1927" s="7" t="s">
        <v>692</v>
      </c>
      <c r="B1927" s="7"/>
      <c r="C1927" s="2" t="s">
        <v>648</v>
      </c>
      <c r="D1927" s="6" t="s">
        <v>649</v>
      </c>
      <c r="E1927" s="32" t="s">
        <v>651</v>
      </c>
      <c r="F1927" s="7"/>
      <c r="G1927" s="7"/>
      <c r="H1927" s="7"/>
      <c r="I1927" s="7"/>
      <c r="J1927" s="7"/>
      <c r="K1927" s="7"/>
      <c r="L1927" s="7" t="s">
        <v>663</v>
      </c>
      <c r="M1927" s="8">
        <v>44531</v>
      </c>
      <c r="N1927" s="8">
        <v>44531</v>
      </c>
      <c r="O1927" s="13"/>
      <c r="P1927" s="13">
        <v>2012560.47</v>
      </c>
      <c r="Q1927" s="33"/>
      <c r="X1927" s="15" t="str">
        <f>IF(B1927="",VLOOKUP(A1927,items_lookup!A:B,2,FALSE),B1927)</f>
        <v>03. Item 03</v>
      </c>
      <c r="Y1927" s="15">
        <f t="shared" si="166"/>
        <v>12</v>
      </c>
      <c r="Z1927" s="15">
        <f t="shared" si="166"/>
        <v>12</v>
      </c>
      <c r="AA1927" s="15">
        <f t="shared" si="163"/>
        <v>2021</v>
      </c>
      <c r="AB1927" s="15">
        <f t="shared" si="164"/>
        <v>2021</v>
      </c>
      <c r="AC1927" s="15">
        <f t="shared" si="165"/>
        <v>2021</v>
      </c>
      <c r="AD1927" s="18" t="b">
        <f t="shared" si="167"/>
        <v>1</v>
      </c>
    </row>
    <row r="1928" spans="1:30" ht="15" hidden="1" customHeight="1" x14ac:dyDescent="0.2">
      <c r="A1928" s="7" t="s">
        <v>681</v>
      </c>
      <c r="B1928" s="7"/>
      <c r="C1928" s="2" t="s">
        <v>648</v>
      </c>
      <c r="D1928" s="6" t="s">
        <v>649</v>
      </c>
      <c r="E1928" s="32" t="s">
        <v>651</v>
      </c>
      <c r="F1928" s="7"/>
      <c r="G1928" s="7"/>
      <c r="H1928" s="7"/>
      <c r="I1928" s="7"/>
      <c r="J1928" s="7"/>
      <c r="K1928" s="7"/>
      <c r="L1928" s="7" t="s">
        <v>663</v>
      </c>
      <c r="M1928" s="8">
        <v>44531</v>
      </c>
      <c r="N1928" s="8">
        <v>44531</v>
      </c>
      <c r="O1928" s="13"/>
      <c r="P1928" s="13">
        <v>242600.63</v>
      </c>
      <c r="Q1928" s="33"/>
      <c r="X1928" s="15" t="str">
        <f>IF(B1928="",VLOOKUP(A1928,items_lookup!A:B,2,FALSE),B1928)</f>
        <v>19. Item 19</v>
      </c>
      <c r="Y1928" s="15">
        <f t="shared" si="166"/>
        <v>12</v>
      </c>
      <c r="Z1928" s="15">
        <f t="shared" si="166"/>
        <v>12</v>
      </c>
      <c r="AA1928" s="15">
        <f t="shared" si="163"/>
        <v>2021</v>
      </c>
      <c r="AB1928" s="15">
        <f t="shared" si="164"/>
        <v>2021</v>
      </c>
      <c r="AC1928" s="15">
        <f t="shared" si="165"/>
        <v>2021</v>
      </c>
      <c r="AD1928" s="18" t="b">
        <f t="shared" si="167"/>
        <v>1</v>
      </c>
    </row>
    <row r="1929" spans="1:30" ht="15" hidden="1" customHeight="1" x14ac:dyDescent="0.2">
      <c r="A1929" s="7" t="s">
        <v>675</v>
      </c>
      <c r="B1929" s="7"/>
      <c r="C1929" s="2" t="s">
        <v>648</v>
      </c>
      <c r="D1929" s="6" t="s">
        <v>649</v>
      </c>
      <c r="E1929" s="32" t="s">
        <v>651</v>
      </c>
      <c r="F1929" s="7"/>
      <c r="G1929" s="7"/>
      <c r="H1929" s="7"/>
      <c r="I1929" s="7"/>
      <c r="J1929" s="7"/>
      <c r="K1929" s="7"/>
      <c r="L1929" s="7" t="s">
        <v>663</v>
      </c>
      <c r="M1929" s="8">
        <v>44531</v>
      </c>
      <c r="N1929" s="8">
        <v>44531</v>
      </c>
      <c r="O1929" s="13">
        <v>5960.47</v>
      </c>
      <c r="P1929" s="13">
        <v>460782.45</v>
      </c>
      <c r="Q1929" s="33"/>
      <c r="X1929" s="15" t="str">
        <f>IF(B1929="",VLOOKUP(A1929,items_lookup!A:B,2,FALSE),B1929)</f>
        <v>09. Item 09</v>
      </c>
      <c r="Y1929" s="15">
        <f t="shared" si="166"/>
        <v>12</v>
      </c>
      <c r="Z1929" s="15">
        <f t="shared" si="166"/>
        <v>12</v>
      </c>
      <c r="AA1929" s="15">
        <f t="shared" si="163"/>
        <v>2021</v>
      </c>
      <c r="AB1929" s="15">
        <f t="shared" si="164"/>
        <v>2021</v>
      </c>
      <c r="AC1929" s="15">
        <f t="shared" si="165"/>
        <v>2021</v>
      </c>
      <c r="AD1929" s="18" t="b">
        <f t="shared" si="167"/>
        <v>1</v>
      </c>
    </row>
    <row r="1930" spans="1:30" ht="12.75" hidden="1" customHeight="1" x14ac:dyDescent="0.2">
      <c r="A1930" s="7" t="s">
        <v>682</v>
      </c>
      <c r="B1930" s="7"/>
      <c r="C1930" s="2" t="s">
        <v>648</v>
      </c>
      <c r="D1930" s="6" t="s">
        <v>649</v>
      </c>
      <c r="E1930" s="32" t="s">
        <v>651</v>
      </c>
      <c r="F1930" s="7"/>
      <c r="G1930" s="7"/>
      <c r="H1930" s="7"/>
      <c r="I1930" s="7"/>
      <c r="J1930" s="7"/>
      <c r="K1930" s="7"/>
      <c r="L1930" s="7" t="s">
        <v>663</v>
      </c>
      <c r="M1930" s="8">
        <v>44531</v>
      </c>
      <c r="N1930" s="8">
        <v>44531</v>
      </c>
      <c r="O1930" s="13"/>
      <c r="P1930" s="13">
        <v>4302.72</v>
      </c>
      <c r="Q1930" s="33"/>
      <c r="R1930" s="22"/>
      <c r="S1930" s="22"/>
      <c r="T1930" s="22"/>
      <c r="U1930" s="22"/>
      <c r="X1930" s="15" t="str">
        <f>IF(B1930="",VLOOKUP(A1930,items_lookup!A:B,2,FALSE),B1930)</f>
        <v>06. Item 06</v>
      </c>
      <c r="Y1930" s="15">
        <f t="shared" si="166"/>
        <v>12</v>
      </c>
      <c r="Z1930" s="15">
        <f t="shared" si="166"/>
        <v>12</v>
      </c>
      <c r="AA1930" s="15">
        <f t="shared" si="163"/>
        <v>2021</v>
      </c>
      <c r="AB1930" s="15">
        <f t="shared" si="164"/>
        <v>2021</v>
      </c>
      <c r="AC1930" s="15">
        <f t="shared" si="165"/>
        <v>2021</v>
      </c>
      <c r="AD1930" s="18" t="b">
        <f t="shared" si="167"/>
        <v>1</v>
      </c>
    </row>
    <row r="1931" spans="1:30" ht="15.75" hidden="1" customHeight="1" x14ac:dyDescent="0.2">
      <c r="A1931" s="7" t="s">
        <v>682</v>
      </c>
      <c r="B1931" s="7"/>
      <c r="C1931" s="2" t="s">
        <v>648</v>
      </c>
      <c r="D1931" s="6" t="s">
        <v>649</v>
      </c>
      <c r="E1931" s="32" t="s">
        <v>651</v>
      </c>
      <c r="F1931" s="7"/>
      <c r="G1931" s="7"/>
      <c r="H1931" s="7"/>
      <c r="I1931" s="7"/>
      <c r="J1931" s="7"/>
      <c r="K1931" s="7"/>
      <c r="L1931" s="7" t="s">
        <v>663</v>
      </c>
      <c r="M1931" s="8">
        <v>44531</v>
      </c>
      <c r="N1931" s="8">
        <v>44531</v>
      </c>
      <c r="O1931" s="13"/>
      <c r="P1931" s="13">
        <v>42740.77</v>
      </c>
      <c r="Q1931" s="33"/>
      <c r="R1931" s="22"/>
      <c r="S1931" s="22"/>
      <c r="T1931" s="22"/>
      <c r="U1931" s="22"/>
      <c r="X1931" s="15" t="str">
        <f>IF(B1931="",VLOOKUP(A1931,items_lookup!A:B,2,FALSE),B1931)</f>
        <v>06. Item 06</v>
      </c>
      <c r="Y1931" s="15">
        <f t="shared" si="166"/>
        <v>12</v>
      </c>
      <c r="Z1931" s="15">
        <f t="shared" si="166"/>
        <v>12</v>
      </c>
      <c r="AA1931" s="15">
        <f t="shared" si="163"/>
        <v>2021</v>
      </c>
      <c r="AB1931" s="15">
        <f t="shared" si="164"/>
        <v>2021</v>
      </c>
      <c r="AC1931" s="15">
        <f t="shared" si="165"/>
        <v>2021</v>
      </c>
      <c r="AD1931" s="18" t="b">
        <f t="shared" si="167"/>
        <v>1</v>
      </c>
    </row>
    <row r="1932" spans="1:30" ht="15.75" hidden="1" customHeight="1" x14ac:dyDescent="0.2">
      <c r="A1932" s="7" t="s">
        <v>683</v>
      </c>
      <c r="B1932" s="7"/>
      <c r="C1932" s="2" t="s">
        <v>648</v>
      </c>
      <c r="D1932" s="6" t="s">
        <v>649</v>
      </c>
      <c r="E1932" s="32" t="s">
        <v>651</v>
      </c>
      <c r="F1932" s="7"/>
      <c r="G1932" s="7"/>
      <c r="H1932" s="7"/>
      <c r="I1932" s="7"/>
      <c r="J1932" s="7"/>
      <c r="K1932" s="7"/>
      <c r="L1932" s="7" t="s">
        <v>663</v>
      </c>
      <c r="M1932" s="8">
        <v>44531</v>
      </c>
      <c r="N1932" s="8">
        <v>44531</v>
      </c>
      <c r="O1932" s="13"/>
      <c r="P1932" s="13">
        <v>29805.09</v>
      </c>
      <c r="Q1932" s="33"/>
      <c r="R1932" s="22"/>
      <c r="S1932" s="22"/>
      <c r="T1932" s="22"/>
      <c r="U1932" s="22"/>
      <c r="X1932" s="15" t="str">
        <f>IF(B1932="",VLOOKUP(A1932,items_lookup!A:B,2,FALSE),B1932)</f>
        <v>_1. Item _1</v>
      </c>
      <c r="Y1932" s="15">
        <f t="shared" si="166"/>
        <v>12</v>
      </c>
      <c r="Z1932" s="15">
        <f t="shared" si="166"/>
        <v>12</v>
      </c>
      <c r="AA1932" s="15">
        <f t="shared" si="163"/>
        <v>2021</v>
      </c>
      <c r="AB1932" s="15">
        <f t="shared" si="164"/>
        <v>2021</v>
      </c>
      <c r="AC1932" s="15">
        <f t="shared" si="165"/>
        <v>2021</v>
      </c>
      <c r="AD1932" s="18" t="b">
        <f t="shared" si="167"/>
        <v>1</v>
      </c>
    </row>
    <row r="1933" spans="1:30" ht="15" hidden="1" customHeight="1" x14ac:dyDescent="0.2">
      <c r="A1933" s="7" t="s">
        <v>683</v>
      </c>
      <c r="B1933" s="7"/>
      <c r="C1933" s="2" t="s">
        <v>648</v>
      </c>
      <c r="D1933" s="6" t="s">
        <v>649</v>
      </c>
      <c r="E1933" s="32" t="s">
        <v>651</v>
      </c>
      <c r="F1933" s="7"/>
      <c r="G1933" s="7"/>
      <c r="H1933" s="7"/>
      <c r="I1933" s="7"/>
      <c r="J1933" s="7"/>
      <c r="K1933" s="7"/>
      <c r="L1933" s="7" t="s">
        <v>663</v>
      </c>
      <c r="M1933" s="8">
        <v>44531</v>
      </c>
      <c r="N1933" s="8">
        <v>44531</v>
      </c>
      <c r="O1933" s="13"/>
      <c r="P1933" s="13">
        <v>353990.78</v>
      </c>
      <c r="Q1933" s="33"/>
      <c r="R1933" s="22"/>
      <c r="S1933" s="22"/>
      <c r="T1933" s="22"/>
      <c r="U1933" s="22"/>
      <c r="X1933" s="15" t="str">
        <f>IF(B1933="",VLOOKUP(A1933,items_lookup!A:B,2,FALSE),B1933)</f>
        <v>_1. Item _1</v>
      </c>
      <c r="Y1933" s="15">
        <f t="shared" si="166"/>
        <v>12</v>
      </c>
      <c r="Z1933" s="15">
        <f t="shared" si="166"/>
        <v>12</v>
      </c>
      <c r="AA1933" s="15">
        <f t="shared" si="163"/>
        <v>2021</v>
      </c>
      <c r="AB1933" s="15">
        <f t="shared" si="164"/>
        <v>2021</v>
      </c>
      <c r="AC1933" s="15">
        <f t="shared" si="165"/>
        <v>2021</v>
      </c>
      <c r="AD1933" s="18" t="b">
        <f t="shared" si="167"/>
        <v>1</v>
      </c>
    </row>
    <row r="1934" spans="1:30" ht="15" hidden="1" customHeight="1" x14ac:dyDescent="0.2">
      <c r="A1934" s="7" t="s">
        <v>683</v>
      </c>
      <c r="B1934" s="7"/>
      <c r="C1934" s="2" t="s">
        <v>648</v>
      </c>
      <c r="D1934" s="6" t="s">
        <v>649</v>
      </c>
      <c r="E1934" s="32" t="s">
        <v>651</v>
      </c>
      <c r="F1934" s="7"/>
      <c r="G1934" s="7"/>
      <c r="H1934" s="7"/>
      <c r="I1934" s="7"/>
      <c r="J1934" s="7"/>
      <c r="K1934" s="7"/>
      <c r="L1934" s="7" t="s">
        <v>663</v>
      </c>
      <c r="M1934" s="8">
        <v>44531</v>
      </c>
      <c r="N1934" s="8">
        <v>44531</v>
      </c>
      <c r="O1934" s="13"/>
      <c r="P1934" s="13">
        <v>308587.84000000003</v>
      </c>
      <c r="Q1934" s="33"/>
      <c r="R1934" s="22"/>
      <c r="S1934" s="22"/>
      <c r="T1934" s="22"/>
      <c r="U1934" s="22"/>
      <c r="X1934" s="15" t="str">
        <f>IF(B1934="",VLOOKUP(A1934,items_lookup!A:B,2,FALSE),B1934)</f>
        <v>_1. Item _1</v>
      </c>
      <c r="Y1934" s="15">
        <f t="shared" si="166"/>
        <v>12</v>
      </c>
      <c r="Z1934" s="15">
        <f t="shared" si="166"/>
        <v>12</v>
      </c>
      <c r="AA1934" s="15">
        <f t="shared" si="163"/>
        <v>2021</v>
      </c>
      <c r="AB1934" s="15">
        <f t="shared" si="164"/>
        <v>2021</v>
      </c>
      <c r="AC1934" s="15">
        <f t="shared" si="165"/>
        <v>2021</v>
      </c>
      <c r="AD1934" s="18" t="b">
        <f t="shared" si="167"/>
        <v>1</v>
      </c>
    </row>
    <row r="1935" spans="1:30" ht="15" hidden="1" customHeight="1" x14ac:dyDescent="0.2">
      <c r="A1935" s="7" t="s">
        <v>689</v>
      </c>
      <c r="B1935" s="7"/>
      <c r="C1935" s="2" t="s">
        <v>648</v>
      </c>
      <c r="D1935" s="6" t="s">
        <v>649</v>
      </c>
      <c r="E1935" s="32" t="s">
        <v>651</v>
      </c>
      <c r="F1935" s="7"/>
      <c r="G1935" s="7"/>
      <c r="H1935" s="7"/>
      <c r="I1935" s="7"/>
      <c r="J1935" s="7"/>
      <c r="K1935" s="7"/>
      <c r="L1935" s="7" t="s">
        <v>663</v>
      </c>
      <c r="M1935" s="8">
        <v>44531</v>
      </c>
      <c r="N1935" s="8">
        <v>44531</v>
      </c>
      <c r="O1935" s="13"/>
      <c r="P1935" s="13">
        <v>340614.59</v>
      </c>
      <c r="Q1935" s="33"/>
      <c r="R1935" s="22"/>
      <c r="S1935" s="22"/>
      <c r="T1935" s="22"/>
      <c r="U1935" s="22"/>
      <c r="X1935" s="15" t="str">
        <f>IF(B1935="",VLOOKUP(A1935,items_lookup!A:B,2,FALSE),B1935)</f>
        <v>04. Item 04</v>
      </c>
      <c r="Y1935" s="15">
        <f t="shared" si="166"/>
        <v>12</v>
      </c>
      <c r="Z1935" s="15">
        <f t="shared" si="166"/>
        <v>12</v>
      </c>
      <c r="AA1935" s="15">
        <f t="shared" si="163"/>
        <v>2021</v>
      </c>
      <c r="AB1935" s="15">
        <f t="shared" si="164"/>
        <v>2021</v>
      </c>
      <c r="AC1935" s="15">
        <f t="shared" si="165"/>
        <v>2021</v>
      </c>
      <c r="AD1935" s="18" t="b">
        <f t="shared" si="167"/>
        <v>1</v>
      </c>
    </row>
    <row r="1936" spans="1:30" ht="17.25" hidden="1" customHeight="1" x14ac:dyDescent="0.2">
      <c r="A1936" s="7" t="s">
        <v>675</v>
      </c>
      <c r="B1936" s="7"/>
      <c r="C1936" s="2" t="s">
        <v>648</v>
      </c>
      <c r="D1936" s="6" t="s">
        <v>649</v>
      </c>
      <c r="E1936" s="32" t="s">
        <v>651</v>
      </c>
      <c r="F1936" s="7"/>
      <c r="G1936" s="7"/>
      <c r="H1936" s="7"/>
      <c r="I1936" s="7"/>
      <c r="J1936" s="7"/>
      <c r="K1936" s="7"/>
      <c r="L1936" s="7" t="s">
        <v>663</v>
      </c>
      <c r="M1936" s="8">
        <v>44531</v>
      </c>
      <c r="N1936" s="8">
        <v>44531</v>
      </c>
      <c r="O1936" s="13"/>
      <c r="P1936" s="13">
        <v>148419.20000000001</v>
      </c>
      <c r="Q1936" s="33"/>
      <c r="R1936" s="22"/>
      <c r="S1936" s="22"/>
      <c r="T1936" s="22"/>
      <c r="U1936" s="22"/>
      <c r="X1936" s="15" t="str">
        <f>IF(B1936="",VLOOKUP(A1936,items_lookup!A:B,2,FALSE),B1936)</f>
        <v>09. Item 09</v>
      </c>
      <c r="Y1936" s="15">
        <f t="shared" si="166"/>
        <v>12</v>
      </c>
      <c r="Z1936" s="15">
        <f t="shared" si="166"/>
        <v>12</v>
      </c>
      <c r="AA1936" s="15">
        <f t="shared" si="163"/>
        <v>2021</v>
      </c>
      <c r="AB1936" s="15">
        <f t="shared" si="164"/>
        <v>2021</v>
      </c>
      <c r="AC1936" s="15">
        <f t="shared" si="165"/>
        <v>2021</v>
      </c>
      <c r="AD1936" s="18" t="b">
        <f t="shared" si="167"/>
        <v>1</v>
      </c>
    </row>
    <row r="1937" spans="1:30" ht="15" hidden="1" customHeight="1" x14ac:dyDescent="0.2">
      <c r="A1937" s="7" t="s">
        <v>675</v>
      </c>
      <c r="B1937" s="7"/>
      <c r="C1937" s="2" t="s">
        <v>648</v>
      </c>
      <c r="D1937" s="6" t="s">
        <v>649</v>
      </c>
      <c r="E1937" s="32" t="s">
        <v>651</v>
      </c>
      <c r="F1937" s="7"/>
      <c r="G1937" s="7"/>
      <c r="H1937" s="7"/>
      <c r="I1937" s="7"/>
      <c r="J1937" s="7"/>
      <c r="K1937" s="7"/>
      <c r="L1937" s="7" t="s">
        <v>663</v>
      </c>
      <c r="M1937" s="8">
        <v>44531</v>
      </c>
      <c r="N1937" s="8">
        <v>44531</v>
      </c>
      <c r="O1937" s="13"/>
      <c r="P1937" s="13">
        <v>143.57</v>
      </c>
      <c r="Q1937" s="33"/>
      <c r="R1937" s="22"/>
      <c r="S1937" s="22"/>
      <c r="T1937" s="22"/>
      <c r="U1937" s="22"/>
      <c r="X1937" s="15" t="str">
        <f>IF(B1937="",VLOOKUP(A1937,items_lookup!A:B,2,FALSE),B1937)</f>
        <v>09. Item 09</v>
      </c>
      <c r="Y1937" s="15">
        <f t="shared" si="166"/>
        <v>12</v>
      </c>
      <c r="Z1937" s="15">
        <f t="shared" si="166"/>
        <v>12</v>
      </c>
      <c r="AA1937" s="15">
        <f t="shared" si="163"/>
        <v>2021</v>
      </c>
      <c r="AB1937" s="15">
        <f t="shared" si="164"/>
        <v>2021</v>
      </c>
      <c r="AC1937" s="15">
        <f t="shared" si="165"/>
        <v>2021</v>
      </c>
      <c r="AD1937" s="18" t="b">
        <f t="shared" si="167"/>
        <v>1</v>
      </c>
    </row>
    <row r="1938" spans="1:30" ht="15" hidden="1" customHeight="1" x14ac:dyDescent="0.2">
      <c r="A1938" s="7" t="s">
        <v>683</v>
      </c>
      <c r="B1938" s="7"/>
      <c r="C1938" s="2" t="s">
        <v>648</v>
      </c>
      <c r="D1938" s="6" t="s">
        <v>649</v>
      </c>
      <c r="E1938" s="32" t="s">
        <v>651</v>
      </c>
      <c r="F1938" s="7"/>
      <c r="G1938" s="7"/>
      <c r="H1938" s="7"/>
      <c r="I1938" s="7"/>
      <c r="J1938" s="7"/>
      <c r="K1938" s="7"/>
      <c r="L1938" s="7" t="s">
        <v>663</v>
      </c>
      <c r="M1938" s="8">
        <v>44531</v>
      </c>
      <c r="N1938" s="8">
        <v>44531</v>
      </c>
      <c r="O1938" s="13"/>
      <c r="P1938" s="13">
        <v>80294.289999999994</v>
      </c>
      <c r="Q1938" s="33"/>
      <c r="R1938" s="22"/>
      <c r="S1938" s="22"/>
      <c r="T1938" s="22"/>
      <c r="U1938" s="22"/>
      <c r="X1938" s="15" t="str">
        <f>IF(B1938="",VLOOKUP(A1938,items_lookup!A:B,2,FALSE),B1938)</f>
        <v>_1. Item _1</v>
      </c>
      <c r="Y1938" s="15">
        <f t="shared" si="166"/>
        <v>12</v>
      </c>
      <c r="Z1938" s="15">
        <f t="shared" si="166"/>
        <v>12</v>
      </c>
      <c r="AA1938" s="15">
        <f t="shared" si="163"/>
        <v>2021</v>
      </c>
      <c r="AB1938" s="15">
        <f t="shared" si="164"/>
        <v>2021</v>
      </c>
      <c r="AC1938" s="15">
        <f t="shared" si="165"/>
        <v>2021</v>
      </c>
      <c r="AD1938" s="18" t="b">
        <f t="shared" si="167"/>
        <v>1</v>
      </c>
    </row>
    <row r="1939" spans="1:30" ht="13.5" hidden="1" x14ac:dyDescent="0.2">
      <c r="A1939" s="7" t="s">
        <v>683</v>
      </c>
      <c r="B1939" s="7"/>
      <c r="C1939" s="2" t="s">
        <v>648</v>
      </c>
      <c r="D1939" s="6" t="s">
        <v>649</v>
      </c>
      <c r="E1939" s="32" t="s">
        <v>651</v>
      </c>
      <c r="F1939" s="7"/>
      <c r="G1939" s="7"/>
      <c r="H1939" s="7"/>
      <c r="I1939" s="7"/>
      <c r="J1939" s="7"/>
      <c r="K1939" s="7"/>
      <c r="L1939" s="7" t="s">
        <v>663</v>
      </c>
      <c r="M1939" s="8">
        <v>44531</v>
      </c>
      <c r="N1939" s="8">
        <v>44531</v>
      </c>
      <c r="O1939" s="13"/>
      <c r="P1939" s="13">
        <v>8093.43</v>
      </c>
      <c r="Q1939" s="33"/>
      <c r="R1939" s="22"/>
      <c r="S1939" s="22"/>
      <c r="T1939" s="22"/>
      <c r="U1939" s="22"/>
      <c r="X1939" s="15" t="str">
        <f>IF(B1939="",VLOOKUP(A1939,items_lookup!A:B,2,FALSE),B1939)</f>
        <v>_1. Item _1</v>
      </c>
      <c r="Y1939" s="15">
        <f t="shared" si="166"/>
        <v>12</v>
      </c>
      <c r="Z1939" s="15">
        <f t="shared" si="166"/>
        <v>12</v>
      </c>
      <c r="AA1939" s="15">
        <f t="shared" si="163"/>
        <v>2021</v>
      </c>
      <c r="AB1939" s="15">
        <f t="shared" si="164"/>
        <v>2021</v>
      </c>
      <c r="AC1939" s="15">
        <f t="shared" si="165"/>
        <v>2021</v>
      </c>
      <c r="AD1939" s="18" t="b">
        <f t="shared" si="167"/>
        <v>1</v>
      </c>
    </row>
    <row r="1940" spans="1:30" ht="13.5" hidden="1" x14ac:dyDescent="0.2">
      <c r="A1940" s="7" t="s">
        <v>683</v>
      </c>
      <c r="B1940" s="7"/>
      <c r="C1940" s="2" t="s">
        <v>648</v>
      </c>
      <c r="D1940" s="6" t="s">
        <v>649</v>
      </c>
      <c r="E1940" s="32" t="s">
        <v>651</v>
      </c>
      <c r="F1940" s="7"/>
      <c r="G1940" s="7"/>
      <c r="H1940" s="7"/>
      <c r="I1940" s="7"/>
      <c r="J1940" s="7"/>
      <c r="K1940" s="7"/>
      <c r="L1940" s="7" t="s">
        <v>663</v>
      </c>
      <c r="M1940" s="8">
        <v>44531</v>
      </c>
      <c r="N1940" s="8">
        <v>44531</v>
      </c>
      <c r="O1940" s="13">
        <v>23878.799999999999</v>
      </c>
      <c r="P1940" s="13">
        <v>1418230.13</v>
      </c>
      <c r="Q1940" s="33"/>
      <c r="R1940" s="22"/>
      <c r="S1940" s="22"/>
      <c r="T1940" s="22"/>
      <c r="U1940" s="22"/>
      <c r="X1940" s="15" t="str">
        <f>IF(B1940="",VLOOKUP(A1940,items_lookup!A:B,2,FALSE),B1940)</f>
        <v>_1. Item _1</v>
      </c>
      <c r="Y1940" s="15">
        <f t="shared" si="166"/>
        <v>12</v>
      </c>
      <c r="Z1940" s="15">
        <f t="shared" si="166"/>
        <v>12</v>
      </c>
      <c r="AA1940" s="15">
        <f t="shared" si="163"/>
        <v>2021</v>
      </c>
      <c r="AB1940" s="15">
        <f t="shared" si="164"/>
        <v>2021</v>
      </c>
      <c r="AC1940" s="15">
        <f t="shared" si="165"/>
        <v>2021</v>
      </c>
      <c r="AD1940" s="18" t="b">
        <f t="shared" si="167"/>
        <v>1</v>
      </c>
    </row>
    <row r="1941" spans="1:30" ht="15" hidden="1" customHeight="1" x14ac:dyDescent="0.2">
      <c r="A1941" s="7" t="s">
        <v>683</v>
      </c>
      <c r="B1941" s="7"/>
      <c r="C1941" s="2" t="s">
        <v>648</v>
      </c>
      <c r="D1941" s="6" t="s">
        <v>649</v>
      </c>
      <c r="E1941" s="32" t="s">
        <v>651</v>
      </c>
      <c r="F1941" s="7"/>
      <c r="G1941" s="7"/>
      <c r="H1941" s="7"/>
      <c r="I1941" s="7"/>
      <c r="J1941" s="7"/>
      <c r="K1941" s="7"/>
      <c r="L1941" s="7" t="s">
        <v>663</v>
      </c>
      <c r="M1941" s="8">
        <v>44531</v>
      </c>
      <c r="N1941" s="8">
        <v>44531</v>
      </c>
      <c r="O1941" s="13"/>
      <c r="P1941" s="13">
        <v>4017361.97</v>
      </c>
      <c r="Q1941" s="33"/>
      <c r="R1941" s="22"/>
      <c r="S1941" s="22"/>
      <c r="T1941" s="22"/>
      <c r="U1941" s="22"/>
      <c r="X1941" s="15" t="str">
        <f>IF(B1941="",VLOOKUP(A1941,items_lookup!A:B,2,FALSE),B1941)</f>
        <v>_1. Item _1</v>
      </c>
      <c r="Y1941" s="15">
        <f t="shared" si="166"/>
        <v>12</v>
      </c>
      <c r="Z1941" s="15">
        <f t="shared" si="166"/>
        <v>12</v>
      </c>
      <c r="AA1941" s="15">
        <f t="shared" si="163"/>
        <v>2021</v>
      </c>
      <c r="AB1941" s="15">
        <f t="shared" si="164"/>
        <v>2021</v>
      </c>
      <c r="AC1941" s="15">
        <f t="shared" si="165"/>
        <v>2021</v>
      </c>
      <c r="AD1941" s="18" t="b">
        <f t="shared" si="167"/>
        <v>1</v>
      </c>
    </row>
    <row r="1942" spans="1:30" ht="15" hidden="1" customHeight="1" x14ac:dyDescent="0.2">
      <c r="A1942" s="7" t="s">
        <v>683</v>
      </c>
      <c r="B1942" s="7"/>
      <c r="C1942" s="2" t="s">
        <v>648</v>
      </c>
      <c r="D1942" s="6" t="s">
        <v>649</v>
      </c>
      <c r="E1942" s="32" t="s">
        <v>651</v>
      </c>
      <c r="F1942" s="7"/>
      <c r="G1942" s="7"/>
      <c r="H1942" s="7"/>
      <c r="I1942" s="7"/>
      <c r="J1942" s="7"/>
      <c r="K1942" s="7"/>
      <c r="L1942" s="7" t="s">
        <v>663</v>
      </c>
      <c r="M1942" s="8">
        <v>44531</v>
      </c>
      <c r="N1942" s="8">
        <v>44531</v>
      </c>
      <c r="O1942" s="13"/>
      <c r="P1942" s="13">
        <v>206117.36</v>
      </c>
      <c r="Q1942" s="33"/>
      <c r="R1942" s="22"/>
      <c r="S1942" s="22"/>
      <c r="T1942" s="22"/>
      <c r="U1942" s="22"/>
      <c r="X1942" s="15" t="str">
        <f>IF(B1942="",VLOOKUP(A1942,items_lookup!A:B,2,FALSE),B1942)</f>
        <v>_1. Item _1</v>
      </c>
      <c r="Y1942" s="15">
        <f t="shared" si="166"/>
        <v>12</v>
      </c>
      <c r="Z1942" s="15">
        <f t="shared" si="166"/>
        <v>12</v>
      </c>
      <c r="AA1942" s="15">
        <f t="shared" si="163"/>
        <v>2021</v>
      </c>
      <c r="AB1942" s="15">
        <f t="shared" si="164"/>
        <v>2021</v>
      </c>
      <c r="AC1942" s="15">
        <f t="shared" si="165"/>
        <v>2021</v>
      </c>
      <c r="AD1942" s="18" t="b">
        <f t="shared" si="167"/>
        <v>1</v>
      </c>
    </row>
    <row r="1943" spans="1:30" ht="15" hidden="1" customHeight="1" x14ac:dyDescent="0.2">
      <c r="A1943" s="7" t="s">
        <v>683</v>
      </c>
      <c r="B1943" s="7"/>
      <c r="C1943" s="2" t="s">
        <v>648</v>
      </c>
      <c r="D1943" s="6" t="s">
        <v>649</v>
      </c>
      <c r="E1943" s="32" t="s">
        <v>651</v>
      </c>
      <c r="F1943" s="7"/>
      <c r="G1943" s="7"/>
      <c r="H1943" s="7"/>
      <c r="I1943" s="7"/>
      <c r="J1943" s="7"/>
      <c r="K1943" s="7"/>
      <c r="L1943" s="7" t="s">
        <v>663</v>
      </c>
      <c r="M1943" s="8">
        <v>44531</v>
      </c>
      <c r="N1943" s="8">
        <v>44531</v>
      </c>
      <c r="O1943" s="13"/>
      <c r="P1943" s="13">
        <v>103255.49</v>
      </c>
      <c r="Q1943" s="33"/>
      <c r="R1943" s="22"/>
      <c r="S1943" s="22"/>
      <c r="T1943" s="22"/>
      <c r="U1943" s="22"/>
      <c r="X1943" s="15" t="str">
        <f>IF(B1943="",VLOOKUP(A1943,items_lookup!A:B,2,FALSE),B1943)</f>
        <v>_1. Item _1</v>
      </c>
      <c r="Y1943" s="15">
        <f t="shared" si="166"/>
        <v>12</v>
      </c>
      <c r="Z1943" s="15">
        <f t="shared" si="166"/>
        <v>12</v>
      </c>
      <c r="AA1943" s="15">
        <f t="shared" si="163"/>
        <v>2021</v>
      </c>
      <c r="AB1943" s="15">
        <f t="shared" si="164"/>
        <v>2021</v>
      </c>
      <c r="AC1943" s="15">
        <f t="shared" si="165"/>
        <v>2021</v>
      </c>
      <c r="AD1943" s="18" t="b">
        <f t="shared" si="167"/>
        <v>1</v>
      </c>
    </row>
    <row r="1944" spans="1:30" ht="15" hidden="1" customHeight="1" x14ac:dyDescent="0.2">
      <c r="A1944" s="7" t="s">
        <v>683</v>
      </c>
      <c r="B1944" s="7"/>
      <c r="C1944" s="2" t="s">
        <v>648</v>
      </c>
      <c r="D1944" s="6" t="s">
        <v>649</v>
      </c>
      <c r="E1944" s="32" t="s">
        <v>651</v>
      </c>
      <c r="F1944" s="7"/>
      <c r="G1944" s="7"/>
      <c r="H1944" s="7"/>
      <c r="I1944" s="7"/>
      <c r="J1944" s="7"/>
      <c r="K1944" s="7"/>
      <c r="L1944" s="7" t="s">
        <v>663</v>
      </c>
      <c r="M1944" s="8">
        <v>44531</v>
      </c>
      <c r="N1944" s="8">
        <v>44531</v>
      </c>
      <c r="O1944" s="13"/>
      <c r="P1944" s="13">
        <v>246.71</v>
      </c>
      <c r="Q1944" s="33"/>
      <c r="R1944" s="22"/>
      <c r="S1944" s="22"/>
      <c r="T1944" s="22"/>
      <c r="U1944" s="22"/>
      <c r="X1944" s="15" t="str">
        <f>IF(B1944="",VLOOKUP(A1944,items_lookup!A:B,2,FALSE),B1944)</f>
        <v>_1. Item _1</v>
      </c>
      <c r="Y1944" s="15">
        <f t="shared" si="166"/>
        <v>12</v>
      </c>
      <c r="Z1944" s="15">
        <f t="shared" si="166"/>
        <v>12</v>
      </c>
      <c r="AA1944" s="15">
        <f t="shared" si="163"/>
        <v>2021</v>
      </c>
      <c r="AB1944" s="15">
        <f t="shared" si="164"/>
        <v>2021</v>
      </c>
      <c r="AC1944" s="15">
        <f t="shared" si="165"/>
        <v>2021</v>
      </c>
      <c r="AD1944" s="18" t="b">
        <f t="shared" si="167"/>
        <v>1</v>
      </c>
    </row>
    <row r="1945" spans="1:30" ht="15" hidden="1" customHeight="1" x14ac:dyDescent="0.2">
      <c r="A1945" s="7" t="s">
        <v>687</v>
      </c>
      <c r="B1945" s="7"/>
      <c r="C1945" s="2" t="s">
        <v>641</v>
      </c>
      <c r="D1945" s="6" t="s">
        <v>649</v>
      </c>
      <c r="E1945" s="32" t="s">
        <v>651</v>
      </c>
      <c r="F1945" s="7"/>
      <c r="G1945" s="7"/>
      <c r="H1945" s="7"/>
      <c r="I1945" s="7"/>
      <c r="J1945" s="7"/>
      <c r="K1945" s="7" t="s">
        <v>660</v>
      </c>
      <c r="L1945" s="7" t="s">
        <v>663</v>
      </c>
      <c r="M1945" s="8">
        <v>44545</v>
      </c>
      <c r="N1945" s="8">
        <v>44545</v>
      </c>
      <c r="O1945" s="13"/>
      <c r="P1945" s="13">
        <v>2695648.81</v>
      </c>
      <c r="Q1945" s="33"/>
      <c r="R1945" s="22"/>
      <c r="S1945" s="22"/>
      <c r="T1945" s="22"/>
      <c r="U1945" s="22"/>
      <c r="X1945" s="15" t="str">
        <f>IF(B1945="",VLOOKUP(A1945,items_lookup!A:B,2,FALSE),B1945)</f>
        <v>14. Item 14</v>
      </c>
      <c r="Y1945" s="15">
        <f t="shared" si="166"/>
        <v>12</v>
      </c>
      <c r="Z1945" s="15">
        <f t="shared" si="166"/>
        <v>12</v>
      </c>
      <c r="AA1945" s="15">
        <f t="shared" si="163"/>
        <v>2021</v>
      </c>
      <c r="AB1945" s="15">
        <f t="shared" si="164"/>
        <v>2021</v>
      </c>
      <c r="AC1945" s="15">
        <f t="shared" si="165"/>
        <v>2021</v>
      </c>
      <c r="AD1945" s="18" t="b">
        <f t="shared" si="167"/>
        <v>1</v>
      </c>
    </row>
    <row r="1946" spans="1:30" ht="15" hidden="1" customHeight="1" x14ac:dyDescent="0.2">
      <c r="A1946" s="7" t="s">
        <v>675</v>
      </c>
      <c r="B1946" s="7"/>
      <c r="C1946" s="2" t="s">
        <v>641</v>
      </c>
      <c r="D1946" s="6" t="s">
        <v>649</v>
      </c>
      <c r="E1946" s="32" t="s">
        <v>651</v>
      </c>
      <c r="F1946" s="7"/>
      <c r="G1946" s="7"/>
      <c r="H1946" s="7"/>
      <c r="I1946" s="7" t="s">
        <v>20</v>
      </c>
      <c r="J1946" s="7">
        <v>3</v>
      </c>
      <c r="K1946" s="7" t="s">
        <v>660</v>
      </c>
      <c r="L1946" s="7" t="s">
        <v>663</v>
      </c>
      <c r="M1946" s="8">
        <v>44531</v>
      </c>
      <c r="N1946" s="8">
        <v>44547</v>
      </c>
      <c r="O1946" s="13"/>
      <c r="P1946" s="13">
        <v>846592.9</v>
      </c>
      <c r="Q1946" s="33"/>
      <c r="R1946" s="22"/>
      <c r="S1946" s="22"/>
      <c r="T1946" s="22"/>
      <c r="U1946" s="22"/>
      <c r="X1946" s="15" t="str">
        <f>IF(B1946="",VLOOKUP(A1946,items_lookup!A:B,2,FALSE),B1946)</f>
        <v>09. Item 09</v>
      </c>
      <c r="Y1946" s="15">
        <f t="shared" si="166"/>
        <v>12</v>
      </c>
      <c r="Z1946" s="15">
        <f t="shared" si="166"/>
        <v>12</v>
      </c>
      <c r="AA1946" s="15">
        <f t="shared" si="163"/>
        <v>2021</v>
      </c>
      <c r="AB1946" s="15">
        <f t="shared" si="164"/>
        <v>2021</v>
      </c>
      <c r="AC1946" s="15">
        <f t="shared" si="165"/>
        <v>2021</v>
      </c>
      <c r="AD1946" s="18" t="b">
        <f t="shared" si="167"/>
        <v>1</v>
      </c>
    </row>
    <row r="1947" spans="1:30" ht="15" hidden="1" customHeight="1" x14ac:dyDescent="0.2">
      <c r="A1947" s="7" t="s">
        <v>675</v>
      </c>
      <c r="B1947" s="7"/>
      <c r="C1947" s="2" t="s">
        <v>641</v>
      </c>
      <c r="D1947" s="6" t="s">
        <v>649</v>
      </c>
      <c r="E1947" s="32" t="s">
        <v>651</v>
      </c>
      <c r="F1947" s="7"/>
      <c r="G1947" s="7"/>
      <c r="H1947" s="7"/>
      <c r="I1947" s="7"/>
      <c r="J1947" s="7">
        <v>3</v>
      </c>
      <c r="K1947" s="7" t="s">
        <v>660</v>
      </c>
      <c r="L1947" s="7" t="s">
        <v>663</v>
      </c>
      <c r="M1947" s="8">
        <v>44531</v>
      </c>
      <c r="N1947" s="8">
        <v>44551</v>
      </c>
      <c r="O1947" s="13"/>
      <c r="P1947" s="13">
        <v>45608.53</v>
      </c>
      <c r="Q1947" s="33"/>
      <c r="R1947" s="22"/>
      <c r="S1947" s="22"/>
      <c r="T1947" s="22"/>
      <c r="U1947" s="22"/>
      <c r="X1947" s="15" t="str">
        <f>IF(B1947="",VLOOKUP(A1947,items_lookup!A:B,2,FALSE),B1947)</f>
        <v>09. Item 09</v>
      </c>
      <c r="Y1947" s="15">
        <f t="shared" si="166"/>
        <v>12</v>
      </c>
      <c r="Z1947" s="15">
        <f t="shared" si="166"/>
        <v>12</v>
      </c>
      <c r="AA1947" s="15">
        <f t="shared" si="163"/>
        <v>2021</v>
      </c>
      <c r="AB1947" s="15">
        <f t="shared" si="164"/>
        <v>2021</v>
      </c>
      <c r="AC1947" s="15">
        <f t="shared" si="165"/>
        <v>2021</v>
      </c>
      <c r="AD1947" s="18" t="b">
        <f t="shared" si="167"/>
        <v>1</v>
      </c>
    </row>
    <row r="1948" spans="1:30" ht="15" hidden="1" customHeight="1" x14ac:dyDescent="0.2">
      <c r="A1948" s="7" t="s">
        <v>675</v>
      </c>
      <c r="B1948" s="7"/>
      <c r="C1948" s="2" t="s">
        <v>641</v>
      </c>
      <c r="D1948" s="6" t="s">
        <v>649</v>
      </c>
      <c r="E1948" s="32" t="s">
        <v>651</v>
      </c>
      <c r="F1948" s="7"/>
      <c r="G1948" s="7"/>
      <c r="H1948" s="7"/>
      <c r="I1948" s="7"/>
      <c r="J1948" s="7">
        <v>3</v>
      </c>
      <c r="K1948" s="7" t="s">
        <v>660</v>
      </c>
      <c r="L1948" s="7" t="s">
        <v>663</v>
      </c>
      <c r="M1948" s="8">
        <v>44531</v>
      </c>
      <c r="N1948" s="8">
        <v>44553</v>
      </c>
      <c r="O1948" s="13"/>
      <c r="P1948" s="13">
        <v>728014.77</v>
      </c>
      <c r="Q1948" s="33"/>
      <c r="R1948" s="22"/>
      <c r="S1948" s="22"/>
      <c r="T1948" s="22"/>
      <c r="U1948" s="22"/>
      <c r="X1948" s="15" t="str">
        <f>IF(B1948="",VLOOKUP(A1948,items_lookup!A:B,2,FALSE),B1948)</f>
        <v>09. Item 09</v>
      </c>
      <c r="Y1948" s="15">
        <f t="shared" si="166"/>
        <v>12</v>
      </c>
      <c r="Z1948" s="15">
        <f t="shared" si="166"/>
        <v>12</v>
      </c>
      <c r="AA1948" s="15">
        <f t="shared" si="163"/>
        <v>2021</v>
      </c>
      <c r="AB1948" s="15">
        <f t="shared" si="164"/>
        <v>2021</v>
      </c>
      <c r="AC1948" s="15">
        <f t="shared" si="165"/>
        <v>2021</v>
      </c>
      <c r="AD1948" s="18" t="b">
        <f t="shared" si="167"/>
        <v>1</v>
      </c>
    </row>
    <row r="1949" spans="1:30" ht="15" hidden="1" customHeight="1" x14ac:dyDescent="0.2">
      <c r="A1949" s="7" t="s">
        <v>689</v>
      </c>
      <c r="B1949" s="7"/>
      <c r="C1949" s="2" t="s">
        <v>641</v>
      </c>
      <c r="D1949" s="6" t="s">
        <v>649</v>
      </c>
      <c r="E1949" s="32" t="s">
        <v>651</v>
      </c>
      <c r="F1949" s="7"/>
      <c r="G1949" s="7"/>
      <c r="H1949" s="7"/>
      <c r="I1949" s="7"/>
      <c r="J1949" s="7">
        <v>3</v>
      </c>
      <c r="K1949" s="7" t="s">
        <v>660</v>
      </c>
      <c r="L1949" s="7" t="s">
        <v>663</v>
      </c>
      <c r="M1949" s="8">
        <v>44545</v>
      </c>
      <c r="N1949" s="8">
        <v>44559</v>
      </c>
      <c r="O1949" s="13"/>
      <c r="P1949" s="13">
        <v>9897608.6099999994</v>
      </c>
      <c r="Q1949" s="33"/>
      <c r="R1949" s="22"/>
      <c r="S1949" s="22"/>
      <c r="T1949" s="22"/>
      <c r="U1949" s="22"/>
      <c r="X1949" s="15" t="str">
        <f>IF(B1949="",VLOOKUP(A1949,items_lookup!A:B,2,FALSE),B1949)</f>
        <v>04. Item 04</v>
      </c>
      <c r="Y1949" s="15">
        <f t="shared" si="166"/>
        <v>12</v>
      </c>
      <c r="Z1949" s="15">
        <f t="shared" si="166"/>
        <v>12</v>
      </c>
      <c r="AA1949" s="15">
        <f t="shared" si="163"/>
        <v>2021</v>
      </c>
      <c r="AB1949" s="15">
        <f t="shared" si="164"/>
        <v>2021</v>
      </c>
      <c r="AC1949" s="15">
        <f t="shared" si="165"/>
        <v>2021</v>
      </c>
      <c r="AD1949" s="18" t="b">
        <f t="shared" si="167"/>
        <v>1</v>
      </c>
    </row>
    <row r="1950" spans="1:30" ht="15" hidden="1" customHeight="1" x14ac:dyDescent="0.2">
      <c r="A1950" s="7" t="s">
        <v>670</v>
      </c>
      <c r="B1950" s="7"/>
      <c r="C1950" s="2" t="s">
        <v>641</v>
      </c>
      <c r="D1950" s="6" t="s">
        <v>649</v>
      </c>
      <c r="E1950" s="32" t="s">
        <v>651</v>
      </c>
      <c r="F1950" s="7"/>
      <c r="G1950" s="7"/>
      <c r="H1950" s="7"/>
      <c r="I1950" s="7"/>
      <c r="J1950" s="7">
        <v>3</v>
      </c>
      <c r="K1950" s="7" t="s">
        <v>660</v>
      </c>
      <c r="L1950" s="7" t="s">
        <v>663</v>
      </c>
      <c r="M1950" s="8">
        <v>44545</v>
      </c>
      <c r="N1950" s="8">
        <v>44553</v>
      </c>
      <c r="O1950" s="13"/>
      <c r="P1950" s="13">
        <v>615875.46</v>
      </c>
      <c r="Q1950" s="33"/>
      <c r="R1950" s="22"/>
      <c r="S1950" s="22"/>
      <c r="T1950" s="22"/>
      <c r="U1950" s="22"/>
      <c r="X1950" s="15" t="str">
        <f>IF(B1950="",VLOOKUP(A1950,items_lookup!A:B,2,FALSE),B1950)</f>
        <v>04. Item 04</v>
      </c>
      <c r="Y1950" s="15">
        <f t="shared" si="166"/>
        <v>12</v>
      </c>
      <c r="Z1950" s="15">
        <f t="shared" si="166"/>
        <v>12</v>
      </c>
      <c r="AA1950" s="15">
        <f t="shared" si="163"/>
        <v>2021</v>
      </c>
      <c r="AB1950" s="15">
        <f t="shared" si="164"/>
        <v>2021</v>
      </c>
      <c r="AC1950" s="15">
        <f t="shared" si="165"/>
        <v>2021</v>
      </c>
      <c r="AD1950" s="18" t="b">
        <f t="shared" si="167"/>
        <v>1</v>
      </c>
    </row>
    <row r="1951" spans="1:30" ht="15" hidden="1" customHeight="1" x14ac:dyDescent="0.2">
      <c r="A1951" s="7" t="s">
        <v>674</v>
      </c>
      <c r="B1951" s="7"/>
      <c r="C1951" s="2" t="s">
        <v>641</v>
      </c>
      <c r="D1951" s="6" t="s">
        <v>649</v>
      </c>
      <c r="E1951" s="32" t="s">
        <v>651</v>
      </c>
      <c r="F1951" s="7"/>
      <c r="G1951" s="7"/>
      <c r="H1951" s="7"/>
      <c r="I1951" s="7"/>
      <c r="J1951" s="7">
        <v>4</v>
      </c>
      <c r="K1951" s="7" t="s">
        <v>660</v>
      </c>
      <c r="L1951" s="7" t="s">
        <v>663</v>
      </c>
      <c r="M1951" s="8">
        <v>44545</v>
      </c>
      <c r="N1951" s="8">
        <v>44558</v>
      </c>
      <c r="O1951" s="13"/>
      <c r="P1951" s="13">
        <v>1056890.52</v>
      </c>
      <c r="Q1951" s="33"/>
      <c r="R1951" s="22"/>
      <c r="S1951" s="22"/>
      <c r="T1951" s="22"/>
      <c r="U1951" s="22"/>
      <c r="X1951" s="15" t="str">
        <f>IF(B1951="",VLOOKUP(A1951,items_lookup!A:B,2,FALSE),B1951)</f>
        <v>08. Item 08</v>
      </c>
      <c r="Y1951" s="15">
        <f t="shared" si="166"/>
        <v>12</v>
      </c>
      <c r="Z1951" s="15">
        <f t="shared" si="166"/>
        <v>12</v>
      </c>
      <c r="AA1951" s="15">
        <f t="shared" si="163"/>
        <v>2021</v>
      </c>
      <c r="AB1951" s="15">
        <f t="shared" si="164"/>
        <v>2021</v>
      </c>
      <c r="AC1951" s="15">
        <f t="shared" si="165"/>
        <v>2021</v>
      </c>
      <c r="AD1951" s="18" t="b">
        <f t="shared" si="167"/>
        <v>1</v>
      </c>
    </row>
    <row r="1952" spans="1:30" ht="13.5" hidden="1" customHeight="1" x14ac:dyDescent="0.2">
      <c r="A1952" s="7" t="s">
        <v>682</v>
      </c>
      <c r="B1952" s="7"/>
      <c r="C1952" s="2" t="s">
        <v>641</v>
      </c>
      <c r="D1952" s="6" t="s">
        <v>649</v>
      </c>
      <c r="E1952" s="32" t="s">
        <v>651</v>
      </c>
      <c r="F1952" s="7"/>
      <c r="G1952" s="7"/>
      <c r="H1952" s="7"/>
      <c r="I1952" s="7"/>
      <c r="J1952" s="7">
        <v>3</v>
      </c>
      <c r="K1952" s="7" t="s">
        <v>660</v>
      </c>
      <c r="L1952" s="7" t="s">
        <v>663</v>
      </c>
      <c r="M1952" s="8">
        <v>44545</v>
      </c>
      <c r="N1952" s="8">
        <v>44551</v>
      </c>
      <c r="O1952" s="13"/>
      <c r="P1952" s="13">
        <v>116408.31</v>
      </c>
      <c r="Q1952" s="33"/>
      <c r="R1952" s="22"/>
      <c r="S1952" s="22"/>
      <c r="T1952" s="22"/>
      <c r="U1952" s="22"/>
      <c r="X1952" s="15" t="str">
        <f>IF(B1952="",VLOOKUP(A1952,items_lookup!A:B,2,FALSE),B1952)</f>
        <v>06. Item 06</v>
      </c>
      <c r="Y1952" s="15">
        <f t="shared" si="166"/>
        <v>12</v>
      </c>
      <c r="Z1952" s="15">
        <f t="shared" si="166"/>
        <v>12</v>
      </c>
      <c r="AA1952" s="15">
        <f t="shared" si="163"/>
        <v>2021</v>
      </c>
      <c r="AB1952" s="15">
        <f t="shared" si="164"/>
        <v>2021</v>
      </c>
      <c r="AC1952" s="15">
        <f t="shared" si="165"/>
        <v>2021</v>
      </c>
      <c r="AD1952" s="18" t="b">
        <f t="shared" si="167"/>
        <v>1</v>
      </c>
    </row>
    <row r="1953" spans="1:30" ht="15" hidden="1" customHeight="1" x14ac:dyDescent="0.2">
      <c r="A1953" s="7" t="s">
        <v>697</v>
      </c>
      <c r="B1953" s="7"/>
      <c r="C1953" s="2" t="s">
        <v>641</v>
      </c>
      <c r="D1953" s="6" t="s">
        <v>649</v>
      </c>
      <c r="E1953" s="32" t="s">
        <v>651</v>
      </c>
      <c r="F1953" s="7"/>
      <c r="G1953" s="7"/>
      <c r="H1953" s="7"/>
      <c r="I1953" s="7"/>
      <c r="J1953" s="7">
        <v>3</v>
      </c>
      <c r="K1953" s="7" t="s">
        <v>660</v>
      </c>
      <c r="L1953" s="7" t="s">
        <v>663</v>
      </c>
      <c r="M1953" s="8">
        <v>44545</v>
      </c>
      <c r="N1953" s="8">
        <v>44552</v>
      </c>
      <c r="O1953" s="13"/>
      <c r="P1953" s="13">
        <v>30398.51</v>
      </c>
      <c r="Q1953" s="33"/>
      <c r="R1953" s="22"/>
      <c r="S1953" s="22"/>
      <c r="T1953" s="22"/>
      <c r="U1953" s="22"/>
      <c r="X1953" s="15" t="str">
        <f>IF(B1953="",VLOOKUP(A1953,items_lookup!A:B,2,FALSE),B1953)</f>
        <v>10. Item 10</v>
      </c>
      <c r="Y1953" s="15">
        <f t="shared" si="166"/>
        <v>12</v>
      </c>
      <c r="Z1953" s="15">
        <f t="shared" si="166"/>
        <v>12</v>
      </c>
      <c r="AA1953" s="15">
        <f t="shared" si="163"/>
        <v>2021</v>
      </c>
      <c r="AB1953" s="15">
        <f t="shared" si="164"/>
        <v>2021</v>
      </c>
      <c r="AC1953" s="15">
        <f t="shared" si="165"/>
        <v>2021</v>
      </c>
      <c r="AD1953" s="18" t="b">
        <f t="shared" si="167"/>
        <v>1</v>
      </c>
    </row>
    <row r="1954" spans="1:30" ht="15" hidden="1" customHeight="1" x14ac:dyDescent="0.2">
      <c r="A1954" s="7" t="s">
        <v>677</v>
      </c>
      <c r="B1954" s="7"/>
      <c r="C1954" s="2" t="s">
        <v>641</v>
      </c>
      <c r="D1954" s="6" t="s">
        <v>649</v>
      </c>
      <c r="E1954" s="32" t="s">
        <v>651</v>
      </c>
      <c r="F1954" s="7"/>
      <c r="G1954" s="7"/>
      <c r="H1954" s="7"/>
      <c r="I1954" s="7"/>
      <c r="J1954" s="7">
        <v>3</v>
      </c>
      <c r="K1954" s="7" t="s">
        <v>660</v>
      </c>
      <c r="L1954" s="7" t="s">
        <v>663</v>
      </c>
      <c r="M1954" s="8">
        <v>44545</v>
      </c>
      <c r="N1954" s="8">
        <v>44553</v>
      </c>
      <c r="O1954" s="13"/>
      <c r="P1954" s="13">
        <v>193807.76</v>
      </c>
      <c r="Q1954" s="33"/>
      <c r="R1954" s="22"/>
      <c r="S1954" s="22"/>
      <c r="T1954" s="22"/>
      <c r="U1954" s="22"/>
      <c r="X1954" s="15" t="str">
        <f>IF(B1954="",VLOOKUP(A1954,items_lookup!A:B,2,FALSE),B1954)</f>
        <v>11. Item 11</v>
      </c>
      <c r="Y1954" s="15">
        <f t="shared" si="166"/>
        <v>12</v>
      </c>
      <c r="Z1954" s="15">
        <f t="shared" si="166"/>
        <v>12</v>
      </c>
      <c r="AA1954" s="15">
        <f t="shared" si="163"/>
        <v>2021</v>
      </c>
      <c r="AB1954" s="15">
        <f t="shared" si="164"/>
        <v>2021</v>
      </c>
      <c r="AC1954" s="15">
        <f t="shared" si="165"/>
        <v>2021</v>
      </c>
      <c r="AD1954" s="18" t="b">
        <f t="shared" si="167"/>
        <v>1</v>
      </c>
    </row>
    <row r="1955" spans="1:30" ht="15" hidden="1" customHeight="1" x14ac:dyDescent="0.2">
      <c r="A1955" s="7" t="s">
        <v>677</v>
      </c>
      <c r="B1955" s="7"/>
      <c r="C1955" s="2" t="s">
        <v>641</v>
      </c>
      <c r="D1955" s="6" t="s">
        <v>649</v>
      </c>
      <c r="E1955" s="32" t="s">
        <v>651</v>
      </c>
      <c r="F1955" s="7"/>
      <c r="G1955" s="7"/>
      <c r="H1955" s="7"/>
      <c r="I1955" s="7"/>
      <c r="J1955" s="7">
        <v>3</v>
      </c>
      <c r="K1955" s="7" t="s">
        <v>660</v>
      </c>
      <c r="L1955" s="7" t="s">
        <v>663</v>
      </c>
      <c r="M1955" s="8">
        <v>44545</v>
      </c>
      <c r="N1955" s="8">
        <v>44547</v>
      </c>
      <c r="O1955" s="13"/>
      <c r="P1955" s="13">
        <v>84592.5</v>
      </c>
      <c r="Q1955" s="33"/>
      <c r="R1955" s="22"/>
      <c r="S1955" s="22"/>
      <c r="T1955" s="22"/>
      <c r="U1955" s="22"/>
      <c r="X1955" s="15" t="str">
        <f>IF(B1955="",VLOOKUP(A1955,items_lookup!A:B,2,FALSE),B1955)</f>
        <v>11. Item 11</v>
      </c>
      <c r="Y1955" s="15">
        <f t="shared" si="166"/>
        <v>12</v>
      </c>
      <c r="Z1955" s="15">
        <f t="shared" si="166"/>
        <v>12</v>
      </c>
      <c r="AA1955" s="15">
        <f t="shared" ref="AA1955:AA2018" si="168">YEAR(N1955)</f>
        <v>2021</v>
      </c>
      <c r="AB1955" s="15">
        <f t="shared" ref="AB1955:AB2018" si="169">YEAR(M1955)</f>
        <v>2021</v>
      </c>
      <c r="AC1955" s="15">
        <f t="shared" ref="AC1955:AC2018" si="170">IF(F1955="X",AA1955-1,AA1955)</f>
        <v>2021</v>
      </c>
      <c r="AD1955" s="18" t="b">
        <f t="shared" si="167"/>
        <v>1</v>
      </c>
    </row>
    <row r="1956" spans="1:30" ht="15" hidden="1" customHeight="1" x14ac:dyDescent="0.2">
      <c r="A1956" s="7" t="s">
        <v>670</v>
      </c>
      <c r="B1956" s="7"/>
      <c r="C1956" s="2" t="s">
        <v>641</v>
      </c>
      <c r="D1956" s="6" t="s">
        <v>649</v>
      </c>
      <c r="E1956" s="32" t="s">
        <v>651</v>
      </c>
      <c r="F1956" s="7"/>
      <c r="G1956" s="7"/>
      <c r="H1956" s="7"/>
      <c r="I1956" s="7"/>
      <c r="J1956" s="7">
        <v>3</v>
      </c>
      <c r="K1956" s="7" t="s">
        <v>660</v>
      </c>
      <c r="L1956" s="7" t="s">
        <v>663</v>
      </c>
      <c r="M1956" s="8">
        <v>44545</v>
      </c>
      <c r="N1956" s="8">
        <v>44554</v>
      </c>
      <c r="O1956" s="13"/>
      <c r="P1956" s="13">
        <v>63826.7</v>
      </c>
      <c r="Q1956" s="33"/>
      <c r="R1956" s="22"/>
      <c r="S1956" s="22"/>
      <c r="T1956" s="22"/>
      <c r="U1956" s="22"/>
      <c r="X1956" s="15" t="str">
        <f>IF(B1956="",VLOOKUP(A1956,items_lookup!A:B,2,FALSE),B1956)</f>
        <v>04. Item 04</v>
      </c>
      <c r="Y1956" s="15">
        <f t="shared" si="166"/>
        <v>12</v>
      </c>
      <c r="Z1956" s="15">
        <f t="shared" si="166"/>
        <v>12</v>
      </c>
      <c r="AA1956" s="15">
        <f t="shared" si="168"/>
        <v>2021</v>
      </c>
      <c r="AB1956" s="15">
        <f t="shared" si="169"/>
        <v>2021</v>
      </c>
      <c r="AC1956" s="15">
        <f t="shared" si="170"/>
        <v>2021</v>
      </c>
      <c r="AD1956" s="18" t="b">
        <f t="shared" si="167"/>
        <v>1</v>
      </c>
    </row>
    <row r="1957" spans="1:30" ht="15" hidden="1" customHeight="1" x14ac:dyDescent="0.2">
      <c r="A1957" s="7" t="s">
        <v>670</v>
      </c>
      <c r="B1957" s="20"/>
      <c r="C1957" s="2" t="s">
        <v>641</v>
      </c>
      <c r="D1957" s="6" t="s">
        <v>649</v>
      </c>
      <c r="E1957" s="32" t="s">
        <v>651</v>
      </c>
      <c r="F1957" s="7"/>
      <c r="G1957" s="7"/>
      <c r="H1957" s="7"/>
      <c r="I1957" s="7"/>
      <c r="J1957" s="7">
        <v>1</v>
      </c>
      <c r="K1957" s="7" t="s">
        <v>660</v>
      </c>
      <c r="L1957" s="7" t="s">
        <v>663</v>
      </c>
      <c r="M1957" s="8">
        <v>44532</v>
      </c>
      <c r="N1957" s="8">
        <v>44546</v>
      </c>
      <c r="O1957" s="13"/>
      <c r="P1957" s="13">
        <v>8393.14</v>
      </c>
      <c r="Q1957" s="33"/>
      <c r="R1957" s="9"/>
      <c r="S1957" s="9"/>
      <c r="T1957" s="9"/>
      <c r="U1957" s="9"/>
      <c r="X1957" s="15" t="str">
        <f>IF(B1957="",VLOOKUP(A1957,items_lookup!A:B,2,FALSE),B1957)</f>
        <v>04. Item 04</v>
      </c>
      <c r="Y1957" s="15">
        <f t="shared" si="166"/>
        <v>12</v>
      </c>
      <c r="Z1957" s="15">
        <f t="shared" si="166"/>
        <v>12</v>
      </c>
      <c r="AA1957" s="15">
        <f t="shared" si="168"/>
        <v>2021</v>
      </c>
      <c r="AB1957" s="15">
        <f t="shared" si="169"/>
        <v>2021</v>
      </c>
      <c r="AC1957" s="15">
        <f t="shared" si="170"/>
        <v>2021</v>
      </c>
      <c r="AD1957" s="18" t="b">
        <f t="shared" si="167"/>
        <v>1</v>
      </c>
    </row>
    <row r="1958" spans="1:30" ht="15" hidden="1" customHeight="1" x14ac:dyDescent="0.2">
      <c r="A1958" s="7" t="s">
        <v>672</v>
      </c>
      <c r="B1958" s="20"/>
      <c r="C1958" s="2" t="s">
        <v>641</v>
      </c>
      <c r="D1958" s="6" t="s">
        <v>649</v>
      </c>
      <c r="E1958" s="32" t="s">
        <v>651</v>
      </c>
      <c r="F1958" s="7"/>
      <c r="G1958" s="7"/>
      <c r="H1958" s="7"/>
      <c r="I1958" s="7"/>
      <c r="J1958" s="7">
        <v>1</v>
      </c>
      <c r="K1958" s="7" t="s">
        <v>660</v>
      </c>
      <c r="L1958" s="7" t="s">
        <v>663</v>
      </c>
      <c r="M1958" s="8">
        <v>44532</v>
      </c>
      <c r="N1958" s="8">
        <v>44547</v>
      </c>
      <c r="O1958" s="13"/>
      <c r="P1958" s="13">
        <v>4546.32</v>
      </c>
      <c r="Q1958" s="33"/>
      <c r="R1958" s="9"/>
      <c r="S1958" s="9"/>
      <c r="T1958" s="9"/>
      <c r="U1958" s="9"/>
      <c r="X1958" s="15" t="str">
        <f>IF(B1958="",VLOOKUP(A1958,items_lookup!A:B,2,FALSE),B1958)</f>
        <v>05. Item 05</v>
      </c>
      <c r="Y1958" s="15">
        <f t="shared" si="166"/>
        <v>12</v>
      </c>
      <c r="Z1958" s="15">
        <f t="shared" si="166"/>
        <v>12</v>
      </c>
      <c r="AA1958" s="15">
        <f t="shared" si="168"/>
        <v>2021</v>
      </c>
      <c r="AB1958" s="15">
        <f t="shared" si="169"/>
        <v>2021</v>
      </c>
      <c r="AC1958" s="15">
        <f t="shared" si="170"/>
        <v>2021</v>
      </c>
      <c r="AD1958" s="18" t="b">
        <f t="shared" si="167"/>
        <v>1</v>
      </c>
    </row>
    <row r="1959" spans="1:30" ht="15" hidden="1" customHeight="1" x14ac:dyDescent="0.2">
      <c r="A1959" s="7" t="s">
        <v>672</v>
      </c>
      <c r="B1959" s="20"/>
      <c r="C1959" s="2" t="s">
        <v>641</v>
      </c>
      <c r="D1959" s="6" t="s">
        <v>649</v>
      </c>
      <c r="E1959" s="32" t="s">
        <v>651</v>
      </c>
      <c r="F1959" s="7"/>
      <c r="G1959" s="7"/>
      <c r="H1959" s="7"/>
      <c r="I1959" s="7"/>
      <c r="J1959" s="7">
        <v>1</v>
      </c>
      <c r="K1959" s="7" t="s">
        <v>660</v>
      </c>
      <c r="L1959" s="7" t="s">
        <v>663</v>
      </c>
      <c r="M1959" s="8">
        <v>44532</v>
      </c>
      <c r="N1959" s="8">
        <v>44551</v>
      </c>
      <c r="O1959" s="13"/>
      <c r="P1959" s="13">
        <v>167148.93</v>
      </c>
      <c r="Q1959" s="33"/>
      <c r="R1959" s="9"/>
      <c r="S1959" s="9"/>
      <c r="T1959" s="9"/>
      <c r="U1959" s="9"/>
      <c r="X1959" s="15" t="str">
        <f>IF(B1959="",VLOOKUP(A1959,items_lookup!A:B,2,FALSE),B1959)</f>
        <v>05. Item 05</v>
      </c>
      <c r="Y1959" s="15">
        <f t="shared" si="166"/>
        <v>12</v>
      </c>
      <c r="Z1959" s="15">
        <f t="shared" si="166"/>
        <v>12</v>
      </c>
      <c r="AA1959" s="15">
        <f t="shared" si="168"/>
        <v>2021</v>
      </c>
      <c r="AB1959" s="15">
        <f t="shared" si="169"/>
        <v>2021</v>
      </c>
      <c r="AC1959" s="15">
        <f t="shared" si="170"/>
        <v>2021</v>
      </c>
      <c r="AD1959" s="18" t="b">
        <f t="shared" si="167"/>
        <v>1</v>
      </c>
    </row>
    <row r="1960" spans="1:30" ht="15" hidden="1" customHeight="1" x14ac:dyDescent="0.2">
      <c r="A1960" s="7" t="s">
        <v>701</v>
      </c>
      <c r="B1960" s="20"/>
      <c r="C1960" s="2" t="s">
        <v>641</v>
      </c>
      <c r="D1960" s="6" t="s">
        <v>649</v>
      </c>
      <c r="E1960" s="32" t="s">
        <v>651</v>
      </c>
      <c r="F1960" s="7"/>
      <c r="G1960" s="7"/>
      <c r="H1960" s="7"/>
      <c r="I1960" s="7"/>
      <c r="J1960" s="7">
        <v>3</v>
      </c>
      <c r="K1960" s="7" t="s">
        <v>660</v>
      </c>
      <c r="L1960" s="7" t="s">
        <v>663</v>
      </c>
      <c r="M1960" s="8">
        <v>44545</v>
      </c>
      <c r="N1960" s="8">
        <v>44553</v>
      </c>
      <c r="O1960" s="13"/>
      <c r="P1960" s="13">
        <v>23249.919999999998</v>
      </c>
      <c r="Q1960" s="33"/>
      <c r="R1960" s="9"/>
      <c r="S1960" s="9"/>
      <c r="T1960" s="9"/>
      <c r="U1960" s="9"/>
      <c r="X1960" s="15" t="str">
        <f>IF(B1960="",VLOOKUP(A1960,items_lookup!A:B,2,FALSE),B1960)</f>
        <v>13. Item 13</v>
      </c>
      <c r="Y1960" s="15">
        <f t="shared" si="166"/>
        <v>12</v>
      </c>
      <c r="Z1960" s="15">
        <f t="shared" si="166"/>
        <v>12</v>
      </c>
      <c r="AA1960" s="15">
        <f t="shared" si="168"/>
        <v>2021</v>
      </c>
      <c r="AB1960" s="15">
        <f t="shared" si="169"/>
        <v>2021</v>
      </c>
      <c r="AC1960" s="15">
        <f t="shared" si="170"/>
        <v>2021</v>
      </c>
      <c r="AD1960" s="18" t="b">
        <f t="shared" si="167"/>
        <v>1</v>
      </c>
    </row>
    <row r="1961" spans="1:30" ht="15" hidden="1" customHeight="1" x14ac:dyDescent="0.2">
      <c r="A1961" s="7" t="s">
        <v>680</v>
      </c>
      <c r="B1961" s="20"/>
      <c r="C1961" s="2" t="s">
        <v>641</v>
      </c>
      <c r="D1961" s="6" t="s">
        <v>649</v>
      </c>
      <c r="E1961" s="32" t="s">
        <v>651</v>
      </c>
      <c r="F1961" s="7"/>
      <c r="G1961" s="7"/>
      <c r="H1961" s="7"/>
      <c r="I1961" s="7"/>
      <c r="J1961" s="7">
        <v>3</v>
      </c>
      <c r="K1961" s="7" t="s">
        <v>660</v>
      </c>
      <c r="L1961" s="7" t="s">
        <v>663</v>
      </c>
      <c r="M1961" s="8">
        <v>44545</v>
      </c>
      <c r="N1961" s="8">
        <v>44557</v>
      </c>
      <c r="O1961" s="13"/>
      <c r="P1961" s="13">
        <v>6101.03</v>
      </c>
      <c r="Q1961" s="33"/>
      <c r="R1961" s="9"/>
      <c r="S1961" s="9"/>
      <c r="T1961" s="9"/>
      <c r="U1961" s="9"/>
      <c r="X1961" s="15" t="str">
        <f>IF(B1961="",VLOOKUP(A1961,items_lookup!A:B,2,FALSE),B1961)</f>
        <v>13. Item 13</v>
      </c>
      <c r="Y1961" s="15">
        <f t="shared" si="166"/>
        <v>12</v>
      </c>
      <c r="Z1961" s="15">
        <f t="shared" si="166"/>
        <v>12</v>
      </c>
      <c r="AA1961" s="15">
        <f t="shared" si="168"/>
        <v>2021</v>
      </c>
      <c r="AB1961" s="15">
        <f t="shared" si="169"/>
        <v>2021</v>
      </c>
      <c r="AC1961" s="15">
        <f t="shared" si="170"/>
        <v>2021</v>
      </c>
      <c r="AD1961" s="18" t="b">
        <f t="shared" si="167"/>
        <v>1</v>
      </c>
    </row>
    <row r="1962" spans="1:30" ht="15" hidden="1" customHeight="1" x14ac:dyDescent="0.2">
      <c r="A1962" s="7" t="s">
        <v>680</v>
      </c>
      <c r="B1962" s="20"/>
      <c r="C1962" s="2" t="s">
        <v>641</v>
      </c>
      <c r="D1962" s="6" t="s">
        <v>649</v>
      </c>
      <c r="E1962" s="32" t="s">
        <v>651</v>
      </c>
      <c r="F1962" s="7"/>
      <c r="G1962" s="7"/>
      <c r="H1962" s="7"/>
      <c r="I1962" s="7"/>
      <c r="J1962" s="7">
        <v>3</v>
      </c>
      <c r="K1962" s="7" t="s">
        <v>660</v>
      </c>
      <c r="L1962" s="7" t="s">
        <v>663</v>
      </c>
      <c r="M1962" s="8">
        <v>44545</v>
      </c>
      <c r="N1962" s="8">
        <v>44546</v>
      </c>
      <c r="O1962" s="13"/>
      <c r="P1962" s="13">
        <v>4297.7700000000004</v>
      </c>
      <c r="Q1962" s="33"/>
      <c r="R1962" s="22"/>
      <c r="S1962" s="22"/>
      <c r="T1962" s="22"/>
      <c r="U1962" s="22"/>
      <c r="X1962" s="15" t="str">
        <f>IF(B1962="",VLOOKUP(A1962,items_lookup!A:B,2,FALSE),B1962)</f>
        <v>13. Item 13</v>
      </c>
      <c r="Y1962" s="15">
        <f t="shared" si="166"/>
        <v>12</v>
      </c>
      <c r="Z1962" s="15">
        <f t="shared" si="166"/>
        <v>12</v>
      </c>
      <c r="AA1962" s="15">
        <f t="shared" si="168"/>
        <v>2021</v>
      </c>
      <c r="AB1962" s="15">
        <f t="shared" si="169"/>
        <v>2021</v>
      </c>
      <c r="AC1962" s="15">
        <f t="shared" si="170"/>
        <v>2021</v>
      </c>
      <c r="AD1962" s="18" t="b">
        <f t="shared" si="167"/>
        <v>1</v>
      </c>
    </row>
    <row r="1963" spans="1:30" ht="15.75" hidden="1" customHeight="1" x14ac:dyDescent="0.2">
      <c r="A1963" s="7" t="s">
        <v>680</v>
      </c>
      <c r="B1963" s="20"/>
      <c r="C1963" s="2" t="s">
        <v>641</v>
      </c>
      <c r="D1963" s="6" t="s">
        <v>649</v>
      </c>
      <c r="E1963" s="32" t="s">
        <v>651</v>
      </c>
      <c r="F1963" s="7"/>
      <c r="G1963" s="7"/>
      <c r="H1963" s="7"/>
      <c r="I1963" s="7" t="s">
        <v>20</v>
      </c>
      <c r="J1963" s="7">
        <v>3</v>
      </c>
      <c r="K1963" s="7" t="s">
        <v>660</v>
      </c>
      <c r="L1963" s="7" t="s">
        <v>663</v>
      </c>
      <c r="M1963" s="8">
        <v>44545</v>
      </c>
      <c r="N1963" s="8">
        <v>44559</v>
      </c>
      <c r="O1963" s="13"/>
      <c r="P1963" s="13">
        <v>718114.29</v>
      </c>
      <c r="Q1963" s="33"/>
      <c r="R1963" s="22"/>
      <c r="S1963" s="22"/>
      <c r="T1963" s="22"/>
      <c r="U1963" s="22"/>
      <c r="X1963" s="15" t="str">
        <f>IF(B1963="",VLOOKUP(A1963,items_lookup!A:B,2,FALSE),B1963)</f>
        <v>13. Item 13</v>
      </c>
      <c r="Y1963" s="15">
        <f t="shared" si="166"/>
        <v>12</v>
      </c>
      <c r="Z1963" s="15">
        <f t="shared" si="166"/>
        <v>12</v>
      </c>
      <c r="AA1963" s="15">
        <f t="shared" si="168"/>
        <v>2021</v>
      </c>
      <c r="AB1963" s="15">
        <f t="shared" si="169"/>
        <v>2021</v>
      </c>
      <c r="AC1963" s="15">
        <f t="shared" si="170"/>
        <v>2021</v>
      </c>
      <c r="AD1963" s="18" t="b">
        <f t="shared" si="167"/>
        <v>1</v>
      </c>
    </row>
    <row r="1964" spans="1:30" ht="15.75" hidden="1" customHeight="1" x14ac:dyDescent="0.2">
      <c r="A1964" s="7" t="s">
        <v>680</v>
      </c>
      <c r="B1964" s="20"/>
      <c r="C1964" s="2" t="s">
        <v>641</v>
      </c>
      <c r="D1964" s="6" t="s">
        <v>649</v>
      </c>
      <c r="E1964" s="32" t="s">
        <v>651</v>
      </c>
      <c r="F1964" s="7"/>
      <c r="G1964" s="7"/>
      <c r="H1964" s="7"/>
      <c r="I1964" s="7"/>
      <c r="J1964" s="7">
        <v>3</v>
      </c>
      <c r="K1964" s="7" t="s">
        <v>660</v>
      </c>
      <c r="L1964" s="7" t="s">
        <v>663</v>
      </c>
      <c r="M1964" s="8">
        <v>44545</v>
      </c>
      <c r="N1964" s="8">
        <v>44559</v>
      </c>
      <c r="O1964" s="13"/>
      <c r="P1964" s="13">
        <v>1682740.73</v>
      </c>
      <c r="Q1964" s="33"/>
      <c r="R1964" s="22"/>
      <c r="S1964" s="22"/>
      <c r="T1964" s="22"/>
      <c r="U1964" s="22"/>
      <c r="X1964" s="15" t="str">
        <f>IF(B1964="",VLOOKUP(A1964,items_lookup!A:B,2,FALSE),B1964)</f>
        <v>13. Item 13</v>
      </c>
      <c r="Y1964" s="15">
        <f t="shared" si="166"/>
        <v>12</v>
      </c>
      <c r="Z1964" s="15">
        <f t="shared" si="166"/>
        <v>12</v>
      </c>
      <c r="AA1964" s="15">
        <f t="shared" si="168"/>
        <v>2021</v>
      </c>
      <c r="AB1964" s="15">
        <f t="shared" si="169"/>
        <v>2021</v>
      </c>
      <c r="AC1964" s="15">
        <f t="shared" si="170"/>
        <v>2021</v>
      </c>
      <c r="AD1964" s="18" t="b">
        <f t="shared" si="167"/>
        <v>1</v>
      </c>
    </row>
    <row r="1965" spans="1:30" ht="15.75" hidden="1" customHeight="1" x14ac:dyDescent="0.2">
      <c r="A1965" s="7" t="s">
        <v>680</v>
      </c>
      <c r="B1965" s="20"/>
      <c r="C1965" s="2" t="s">
        <v>641</v>
      </c>
      <c r="D1965" s="6" t="s">
        <v>649</v>
      </c>
      <c r="E1965" s="32" t="s">
        <v>651</v>
      </c>
      <c r="F1965" s="7"/>
      <c r="G1965" s="7"/>
      <c r="H1965" s="7"/>
      <c r="I1965" s="7" t="s">
        <v>20</v>
      </c>
      <c r="J1965" s="7">
        <v>4</v>
      </c>
      <c r="K1965" s="7" t="s">
        <v>660</v>
      </c>
      <c r="L1965" s="7" t="s">
        <v>663</v>
      </c>
      <c r="M1965" s="8">
        <v>44545</v>
      </c>
      <c r="N1965" s="8">
        <v>44558</v>
      </c>
      <c r="O1965" s="13"/>
      <c r="P1965" s="13">
        <v>12582.91</v>
      </c>
      <c r="Q1965" s="33"/>
      <c r="R1965" s="9"/>
      <c r="S1965" s="9"/>
      <c r="T1965" s="9"/>
      <c r="U1965" s="9"/>
      <c r="X1965" s="15" t="str">
        <f>IF(B1965="",VLOOKUP(A1965,items_lookup!A:B,2,FALSE),B1965)</f>
        <v>13. Item 13</v>
      </c>
      <c r="Y1965" s="15">
        <f t="shared" si="166"/>
        <v>12</v>
      </c>
      <c r="Z1965" s="15">
        <f t="shared" si="166"/>
        <v>12</v>
      </c>
      <c r="AA1965" s="15">
        <f t="shared" si="168"/>
        <v>2021</v>
      </c>
      <c r="AB1965" s="15">
        <f t="shared" si="169"/>
        <v>2021</v>
      </c>
      <c r="AC1965" s="15">
        <f t="shared" si="170"/>
        <v>2021</v>
      </c>
      <c r="AD1965" s="18" t="b">
        <f t="shared" si="167"/>
        <v>1</v>
      </c>
    </row>
    <row r="1966" spans="1:30" ht="15" hidden="1" customHeight="1" x14ac:dyDescent="0.2">
      <c r="A1966" s="7" t="s">
        <v>680</v>
      </c>
      <c r="B1966" s="20"/>
      <c r="C1966" s="2" t="s">
        <v>641</v>
      </c>
      <c r="D1966" s="6" t="s">
        <v>649</v>
      </c>
      <c r="E1966" s="32" t="s">
        <v>651</v>
      </c>
      <c r="F1966" s="7"/>
      <c r="G1966" s="7"/>
      <c r="H1966" s="7"/>
      <c r="I1966" s="7"/>
      <c r="J1966" s="7">
        <v>4</v>
      </c>
      <c r="K1966" s="7" t="s">
        <v>660</v>
      </c>
      <c r="L1966" s="7" t="s">
        <v>663</v>
      </c>
      <c r="M1966" s="8">
        <v>44545</v>
      </c>
      <c r="N1966" s="8">
        <v>44558</v>
      </c>
      <c r="O1966" s="13"/>
      <c r="P1966" s="13">
        <v>10532.87</v>
      </c>
      <c r="Q1966" s="33"/>
      <c r="R1966" s="9"/>
      <c r="S1966" s="9"/>
      <c r="T1966" s="9"/>
      <c r="U1966" s="9"/>
      <c r="X1966" s="15" t="str">
        <f>IF(B1966="",VLOOKUP(A1966,items_lookup!A:B,2,FALSE),B1966)</f>
        <v>13. Item 13</v>
      </c>
      <c r="Y1966" s="15">
        <f t="shared" si="166"/>
        <v>12</v>
      </c>
      <c r="Z1966" s="15">
        <f t="shared" si="166"/>
        <v>12</v>
      </c>
      <c r="AA1966" s="15">
        <f t="shared" si="168"/>
        <v>2021</v>
      </c>
      <c r="AB1966" s="15">
        <f t="shared" si="169"/>
        <v>2021</v>
      </c>
      <c r="AC1966" s="15">
        <f t="shared" si="170"/>
        <v>2021</v>
      </c>
      <c r="AD1966" s="18" t="b">
        <f t="shared" si="167"/>
        <v>1</v>
      </c>
    </row>
    <row r="1967" spans="1:30" ht="15" hidden="1" customHeight="1" x14ac:dyDescent="0.2">
      <c r="A1967" s="7" t="s">
        <v>683</v>
      </c>
      <c r="B1967" s="7"/>
      <c r="C1967" s="2" t="s">
        <v>641</v>
      </c>
      <c r="D1967" s="6" t="s">
        <v>649</v>
      </c>
      <c r="E1967" s="32" t="s">
        <v>651</v>
      </c>
      <c r="F1967" s="7"/>
      <c r="G1967" s="7"/>
      <c r="H1967" s="7"/>
      <c r="I1967" s="7" t="s">
        <v>20</v>
      </c>
      <c r="J1967" s="7">
        <v>4</v>
      </c>
      <c r="K1967" s="7" t="s">
        <v>660</v>
      </c>
      <c r="L1967" s="7" t="s">
        <v>663</v>
      </c>
      <c r="M1967" s="8">
        <v>44545</v>
      </c>
      <c r="N1967" s="8">
        <v>44554</v>
      </c>
      <c r="O1967" s="13"/>
      <c r="P1967" s="13">
        <v>3940.48</v>
      </c>
      <c r="Q1967" s="33"/>
      <c r="R1967" s="22"/>
      <c r="S1967" s="22"/>
      <c r="T1967" s="22"/>
      <c r="U1967" s="22"/>
      <c r="X1967" s="15" t="str">
        <f>IF(B1967="",VLOOKUP(A1967,items_lookup!A:B,2,FALSE),B1967)</f>
        <v>_1. Item _1</v>
      </c>
      <c r="Y1967" s="15">
        <f t="shared" si="166"/>
        <v>12</v>
      </c>
      <c r="Z1967" s="15">
        <f t="shared" si="166"/>
        <v>12</v>
      </c>
      <c r="AA1967" s="15">
        <f t="shared" si="168"/>
        <v>2021</v>
      </c>
      <c r="AB1967" s="15">
        <f t="shared" si="169"/>
        <v>2021</v>
      </c>
      <c r="AC1967" s="15">
        <f t="shared" si="170"/>
        <v>2021</v>
      </c>
      <c r="AD1967" s="18" t="b">
        <f t="shared" si="167"/>
        <v>1</v>
      </c>
    </row>
    <row r="1968" spans="1:30" ht="15" hidden="1" customHeight="1" x14ac:dyDescent="0.2">
      <c r="A1968" s="7" t="s">
        <v>681</v>
      </c>
      <c r="B1968" s="7"/>
      <c r="C1968" s="2" t="s">
        <v>641</v>
      </c>
      <c r="D1968" s="6" t="s">
        <v>649</v>
      </c>
      <c r="E1968" s="32" t="s">
        <v>651</v>
      </c>
      <c r="F1968" s="7"/>
      <c r="G1968" s="7"/>
      <c r="H1968" s="7"/>
      <c r="I1968" s="7"/>
      <c r="J1968" s="7">
        <v>4</v>
      </c>
      <c r="K1968" s="7" t="s">
        <v>660</v>
      </c>
      <c r="L1968" s="7" t="s">
        <v>663</v>
      </c>
      <c r="M1968" s="8">
        <v>44545</v>
      </c>
      <c r="N1968" s="8">
        <v>44554</v>
      </c>
      <c r="O1968" s="13"/>
      <c r="P1968" s="13">
        <v>35246.75</v>
      </c>
      <c r="Q1968" s="33"/>
      <c r="R1968" s="22"/>
      <c r="S1968" s="22"/>
      <c r="T1968" s="22"/>
      <c r="U1968" s="22"/>
      <c r="X1968" s="15" t="str">
        <f>IF(B1968="",VLOOKUP(A1968,items_lookup!A:B,2,FALSE),B1968)</f>
        <v>19. Item 19</v>
      </c>
      <c r="Y1968" s="15">
        <f t="shared" si="166"/>
        <v>12</v>
      </c>
      <c r="Z1968" s="15">
        <f t="shared" si="166"/>
        <v>12</v>
      </c>
      <c r="AA1968" s="15">
        <f t="shared" si="168"/>
        <v>2021</v>
      </c>
      <c r="AB1968" s="15">
        <f t="shared" si="169"/>
        <v>2021</v>
      </c>
      <c r="AC1968" s="15">
        <f t="shared" si="170"/>
        <v>2021</v>
      </c>
      <c r="AD1968" s="18" t="b">
        <f t="shared" si="167"/>
        <v>1</v>
      </c>
    </row>
    <row r="1969" spans="1:30" ht="15" hidden="1" customHeight="1" x14ac:dyDescent="0.2">
      <c r="A1969" s="7" t="s">
        <v>683</v>
      </c>
      <c r="B1969" s="7"/>
      <c r="C1969" s="2" t="s">
        <v>641</v>
      </c>
      <c r="D1969" s="6" t="s">
        <v>649</v>
      </c>
      <c r="E1969" s="32" t="s">
        <v>651</v>
      </c>
      <c r="F1969" s="7"/>
      <c r="G1969" s="7"/>
      <c r="H1969" s="7"/>
      <c r="I1969" s="7"/>
      <c r="J1969" s="7">
        <v>4</v>
      </c>
      <c r="K1969" s="7" t="s">
        <v>660</v>
      </c>
      <c r="L1969" s="7" t="s">
        <v>663</v>
      </c>
      <c r="M1969" s="8">
        <v>44545</v>
      </c>
      <c r="N1969" s="8">
        <v>44554</v>
      </c>
      <c r="O1969" s="13"/>
      <c r="P1969" s="13">
        <v>75913.33</v>
      </c>
      <c r="Q1969" s="33"/>
      <c r="R1969" s="22"/>
      <c r="S1969" s="22"/>
      <c r="T1969" s="22"/>
      <c r="U1969" s="22"/>
      <c r="X1969" s="15" t="str">
        <f>IF(B1969="",VLOOKUP(A1969,items_lookup!A:B,2,FALSE),B1969)</f>
        <v>_1. Item _1</v>
      </c>
      <c r="Y1969" s="15">
        <f t="shared" si="166"/>
        <v>12</v>
      </c>
      <c r="Z1969" s="15">
        <f t="shared" si="166"/>
        <v>12</v>
      </c>
      <c r="AA1969" s="15">
        <f t="shared" si="168"/>
        <v>2021</v>
      </c>
      <c r="AB1969" s="15">
        <f t="shared" si="169"/>
        <v>2021</v>
      </c>
      <c r="AC1969" s="15">
        <f t="shared" si="170"/>
        <v>2021</v>
      </c>
      <c r="AD1969" s="18" t="b">
        <f t="shared" si="167"/>
        <v>1</v>
      </c>
    </row>
    <row r="1970" spans="1:30" ht="12.6" hidden="1" customHeight="1" x14ac:dyDescent="0.2">
      <c r="A1970" s="7" t="s">
        <v>683</v>
      </c>
      <c r="B1970" s="7"/>
      <c r="C1970" s="2" t="s">
        <v>641</v>
      </c>
      <c r="D1970" s="6" t="s">
        <v>649</v>
      </c>
      <c r="E1970" s="32" t="s">
        <v>651</v>
      </c>
      <c r="F1970" s="7"/>
      <c r="G1970" s="7"/>
      <c r="H1970" s="7"/>
      <c r="I1970" s="7" t="s">
        <v>20</v>
      </c>
      <c r="J1970" s="7">
        <v>4</v>
      </c>
      <c r="K1970" s="7" t="s">
        <v>660</v>
      </c>
      <c r="L1970" s="7" t="s">
        <v>663</v>
      </c>
      <c r="M1970" s="8">
        <v>44545</v>
      </c>
      <c r="N1970" s="8">
        <v>44554</v>
      </c>
      <c r="O1970" s="13"/>
      <c r="P1970" s="13">
        <v>9700.92</v>
      </c>
      <c r="Q1970" s="33"/>
      <c r="X1970" s="15" t="str">
        <f>IF(B1970="",VLOOKUP(A1970,items_lookup!A:B,2,FALSE),B1970)</f>
        <v>_1. Item _1</v>
      </c>
      <c r="Y1970" s="15">
        <f t="shared" si="166"/>
        <v>12</v>
      </c>
      <c r="Z1970" s="15">
        <f t="shared" si="166"/>
        <v>12</v>
      </c>
      <c r="AA1970" s="15">
        <f t="shared" si="168"/>
        <v>2021</v>
      </c>
      <c r="AB1970" s="15">
        <f t="shared" si="169"/>
        <v>2021</v>
      </c>
      <c r="AC1970" s="15">
        <f t="shared" si="170"/>
        <v>2021</v>
      </c>
      <c r="AD1970" s="18" t="b">
        <f t="shared" si="167"/>
        <v>1</v>
      </c>
    </row>
    <row r="1971" spans="1:30" ht="14.25" hidden="1" customHeight="1" x14ac:dyDescent="0.2">
      <c r="A1971" s="7" t="s">
        <v>683</v>
      </c>
      <c r="B1971" s="7"/>
      <c r="C1971" s="2" t="s">
        <v>641</v>
      </c>
      <c r="D1971" s="6" t="s">
        <v>649</v>
      </c>
      <c r="E1971" s="32" t="s">
        <v>651</v>
      </c>
      <c r="F1971" s="7"/>
      <c r="G1971" s="7"/>
      <c r="H1971" s="7"/>
      <c r="I1971" s="7"/>
      <c r="J1971" s="7">
        <v>4</v>
      </c>
      <c r="K1971" s="7" t="s">
        <v>660</v>
      </c>
      <c r="L1971" s="7" t="s">
        <v>663</v>
      </c>
      <c r="M1971" s="8">
        <v>44545</v>
      </c>
      <c r="N1971" s="8">
        <v>44554</v>
      </c>
      <c r="O1971" s="13"/>
      <c r="P1971" s="13">
        <v>1294547.21</v>
      </c>
      <c r="Q1971" s="33"/>
      <c r="X1971" s="15" t="str">
        <f>IF(B1971="",VLOOKUP(A1971,items_lookup!A:B,2,FALSE),B1971)</f>
        <v>_1. Item _1</v>
      </c>
      <c r="Y1971" s="15">
        <f t="shared" ref="Y1971:Z2034" si="171">MONTH(M1971)</f>
        <v>12</v>
      </c>
      <c r="Z1971" s="15">
        <f t="shared" si="171"/>
        <v>12</v>
      </c>
      <c r="AA1971" s="15">
        <f t="shared" si="168"/>
        <v>2021</v>
      </c>
      <c r="AB1971" s="15">
        <f t="shared" si="169"/>
        <v>2021</v>
      </c>
      <c r="AC1971" s="15">
        <f t="shared" si="170"/>
        <v>2021</v>
      </c>
      <c r="AD1971" s="18" t="b">
        <f t="shared" si="167"/>
        <v>1</v>
      </c>
    </row>
    <row r="1972" spans="1:30" ht="14.25" hidden="1" customHeight="1" x14ac:dyDescent="0.2">
      <c r="A1972" s="7" t="s">
        <v>670</v>
      </c>
      <c r="B1972" s="7"/>
      <c r="C1972" s="2" t="s">
        <v>641</v>
      </c>
      <c r="D1972" s="6" t="s">
        <v>649</v>
      </c>
      <c r="E1972" s="32" t="s">
        <v>651</v>
      </c>
      <c r="F1972" s="7"/>
      <c r="G1972" s="7"/>
      <c r="H1972" s="7"/>
      <c r="I1972" s="7"/>
      <c r="J1972" s="7"/>
      <c r="K1972" s="7" t="s">
        <v>660</v>
      </c>
      <c r="L1972" s="7" t="s">
        <v>663</v>
      </c>
      <c r="M1972" s="8">
        <v>44546</v>
      </c>
      <c r="N1972" s="8">
        <v>44546</v>
      </c>
      <c r="O1972" s="13"/>
      <c r="P1972" s="13">
        <v>24624.85</v>
      </c>
      <c r="Q1972" s="33"/>
      <c r="R1972" s="22"/>
      <c r="S1972" s="22"/>
      <c r="T1972" s="22"/>
      <c r="U1972" s="22"/>
      <c r="X1972" s="15" t="str">
        <f>IF(B1972="",VLOOKUP(A1972,items_lookup!A:B,2,FALSE),B1972)</f>
        <v>04. Item 04</v>
      </c>
      <c r="Y1972" s="15">
        <f t="shared" si="171"/>
        <v>12</v>
      </c>
      <c r="Z1972" s="15">
        <f t="shared" si="171"/>
        <v>12</v>
      </c>
      <c r="AA1972" s="15">
        <f t="shared" si="168"/>
        <v>2021</v>
      </c>
      <c r="AB1972" s="15">
        <f t="shared" si="169"/>
        <v>2021</v>
      </c>
      <c r="AC1972" s="15">
        <f t="shared" si="170"/>
        <v>2021</v>
      </c>
      <c r="AD1972" s="18" t="b">
        <f t="shared" si="167"/>
        <v>1</v>
      </c>
    </row>
    <row r="1973" spans="1:30" ht="15" hidden="1" customHeight="1" x14ac:dyDescent="0.2">
      <c r="A1973" s="7" t="s">
        <v>689</v>
      </c>
      <c r="B1973" s="7"/>
      <c r="C1973" s="2" t="s">
        <v>641</v>
      </c>
      <c r="D1973" s="6" t="s">
        <v>649</v>
      </c>
      <c r="E1973" s="32" t="s">
        <v>651</v>
      </c>
      <c r="F1973" s="7"/>
      <c r="G1973" s="7"/>
      <c r="H1973" s="7"/>
      <c r="I1973" s="7"/>
      <c r="J1973" s="7"/>
      <c r="K1973" s="7" t="s">
        <v>660</v>
      </c>
      <c r="L1973" s="7" t="s">
        <v>663</v>
      </c>
      <c r="M1973" s="8">
        <v>44547</v>
      </c>
      <c r="N1973" s="8">
        <v>44547</v>
      </c>
      <c r="O1973" s="13"/>
      <c r="P1973" s="13">
        <v>1418148.57</v>
      </c>
      <c r="Q1973" s="33"/>
      <c r="R1973" s="22"/>
      <c r="S1973" s="22"/>
      <c r="T1973" s="22"/>
      <c r="U1973" s="22"/>
      <c r="X1973" s="15" t="str">
        <f>IF(B1973="",VLOOKUP(A1973,items_lookup!A:B,2,FALSE),B1973)</f>
        <v>04. Item 04</v>
      </c>
      <c r="Y1973" s="15">
        <f t="shared" si="171"/>
        <v>12</v>
      </c>
      <c r="Z1973" s="15">
        <f t="shared" si="171"/>
        <v>12</v>
      </c>
      <c r="AA1973" s="15">
        <f t="shared" si="168"/>
        <v>2021</v>
      </c>
      <c r="AB1973" s="15">
        <f t="shared" si="169"/>
        <v>2021</v>
      </c>
      <c r="AC1973" s="15">
        <f t="shared" si="170"/>
        <v>2021</v>
      </c>
      <c r="AD1973" s="18" t="b">
        <f t="shared" si="167"/>
        <v>1</v>
      </c>
    </row>
    <row r="1974" spans="1:30" ht="15" hidden="1" customHeight="1" x14ac:dyDescent="0.2">
      <c r="A1974" s="7" t="s">
        <v>671</v>
      </c>
      <c r="B1974" s="7"/>
      <c r="C1974" s="2" t="s">
        <v>641</v>
      </c>
      <c r="D1974" s="6" t="s">
        <v>649</v>
      </c>
      <c r="E1974" s="32" t="s">
        <v>651</v>
      </c>
      <c r="F1974" s="7"/>
      <c r="G1974" s="7"/>
      <c r="H1974" s="7"/>
      <c r="I1974" s="7"/>
      <c r="J1974" s="7"/>
      <c r="K1974" s="7" t="s">
        <v>660</v>
      </c>
      <c r="L1974" s="7" t="s">
        <v>663</v>
      </c>
      <c r="M1974" s="8">
        <v>44550</v>
      </c>
      <c r="N1974" s="8">
        <v>44550</v>
      </c>
      <c r="O1974" s="13"/>
      <c r="P1974" s="13">
        <v>98303.11</v>
      </c>
      <c r="Q1974" s="33"/>
      <c r="R1974" s="22"/>
      <c r="S1974" s="22"/>
      <c r="T1974" s="22"/>
      <c r="U1974" s="22"/>
      <c r="X1974" s="15" t="str">
        <f>IF(B1974="",VLOOKUP(A1974,items_lookup!A:B,2,FALSE),B1974)</f>
        <v>05. Item 05</v>
      </c>
      <c r="Y1974" s="15">
        <f t="shared" si="171"/>
        <v>12</v>
      </c>
      <c r="Z1974" s="15">
        <f t="shared" si="171"/>
        <v>12</v>
      </c>
      <c r="AA1974" s="15">
        <f t="shared" si="168"/>
        <v>2021</v>
      </c>
      <c r="AB1974" s="15">
        <f t="shared" si="169"/>
        <v>2021</v>
      </c>
      <c r="AC1974" s="15">
        <f t="shared" si="170"/>
        <v>2021</v>
      </c>
      <c r="AD1974" s="18" t="b">
        <f t="shared" si="167"/>
        <v>1</v>
      </c>
    </row>
    <row r="1975" spans="1:30" ht="15" hidden="1" customHeight="1" x14ac:dyDescent="0.2">
      <c r="A1975" s="7" t="s">
        <v>672</v>
      </c>
      <c r="B1975" s="7"/>
      <c r="C1975" s="2" t="s">
        <v>641</v>
      </c>
      <c r="D1975" s="6" t="s">
        <v>650</v>
      </c>
      <c r="E1975" s="32" t="s">
        <v>651</v>
      </c>
      <c r="F1975" s="7"/>
      <c r="G1975" s="7"/>
      <c r="H1975" s="7"/>
      <c r="I1975" s="7"/>
      <c r="J1975" s="7">
        <v>1</v>
      </c>
      <c r="K1975" s="7" t="s">
        <v>660</v>
      </c>
      <c r="L1975" s="7" t="s">
        <v>663</v>
      </c>
      <c r="M1975" s="8">
        <v>44536</v>
      </c>
      <c r="N1975" s="8">
        <v>44550</v>
      </c>
      <c r="O1975" s="13"/>
      <c r="P1975" s="13">
        <v>98303.11</v>
      </c>
      <c r="Q1975" s="33"/>
      <c r="R1975" s="22"/>
      <c r="S1975" s="22"/>
      <c r="T1975" s="22"/>
      <c r="U1975" s="22"/>
      <c r="X1975" s="15" t="str">
        <f>IF(B1975="",VLOOKUP(A1975,items_lookup!A:B,2,FALSE),B1975)</f>
        <v>05. Item 05</v>
      </c>
      <c r="Y1975" s="15">
        <f t="shared" si="171"/>
        <v>12</v>
      </c>
      <c r="Z1975" s="15">
        <f t="shared" si="171"/>
        <v>12</v>
      </c>
      <c r="AA1975" s="15">
        <f t="shared" si="168"/>
        <v>2021</v>
      </c>
      <c r="AB1975" s="15">
        <f t="shared" si="169"/>
        <v>2021</v>
      </c>
      <c r="AC1975" s="15">
        <f t="shared" si="170"/>
        <v>2021</v>
      </c>
      <c r="AD1975" s="18" t="b">
        <f t="shared" si="167"/>
        <v>1</v>
      </c>
    </row>
    <row r="1976" spans="1:30" ht="12.6" hidden="1" customHeight="1" x14ac:dyDescent="0.2">
      <c r="A1976" s="7" t="s">
        <v>673</v>
      </c>
      <c r="B1976" s="7"/>
      <c r="C1976" s="2" t="s">
        <v>641</v>
      </c>
      <c r="D1976" s="6" t="s">
        <v>649</v>
      </c>
      <c r="E1976" s="32" t="s">
        <v>651</v>
      </c>
      <c r="F1976" s="7"/>
      <c r="G1976" s="7"/>
      <c r="H1976" s="7"/>
      <c r="I1976" s="7"/>
      <c r="J1976" s="7">
        <v>1</v>
      </c>
      <c r="K1976" s="7" t="s">
        <v>660</v>
      </c>
      <c r="L1976" s="7" t="s">
        <v>663</v>
      </c>
      <c r="M1976" s="8">
        <v>44533</v>
      </c>
      <c r="N1976" s="8">
        <v>44547</v>
      </c>
      <c r="O1976" s="13"/>
      <c r="P1976" s="13">
        <v>42740.77</v>
      </c>
      <c r="Q1976" s="33"/>
      <c r="R1976" s="22"/>
      <c r="S1976" s="22"/>
      <c r="T1976" s="22"/>
      <c r="U1976" s="22"/>
      <c r="X1976" s="15" t="str">
        <f>IF(B1976="",VLOOKUP(A1976,items_lookup!A:B,2,FALSE),B1976)</f>
        <v>07. Item 07</v>
      </c>
      <c r="Y1976" s="15">
        <f t="shared" si="171"/>
        <v>12</v>
      </c>
      <c r="Z1976" s="15">
        <f t="shared" si="171"/>
        <v>12</v>
      </c>
      <c r="AA1976" s="15">
        <f t="shared" si="168"/>
        <v>2021</v>
      </c>
      <c r="AB1976" s="15">
        <f t="shared" si="169"/>
        <v>2021</v>
      </c>
      <c r="AC1976" s="15">
        <f t="shared" si="170"/>
        <v>2021</v>
      </c>
      <c r="AD1976" s="18" t="b">
        <f t="shared" si="167"/>
        <v>1</v>
      </c>
    </row>
    <row r="1977" spans="1:30" ht="15" hidden="1" customHeight="1" x14ac:dyDescent="0.2">
      <c r="A1977" s="7" t="s">
        <v>674</v>
      </c>
      <c r="B1977" s="7"/>
      <c r="C1977" s="2" t="s">
        <v>641</v>
      </c>
      <c r="D1977" s="6" t="s">
        <v>649</v>
      </c>
      <c r="E1977" s="32" t="s">
        <v>651</v>
      </c>
      <c r="F1977" s="7"/>
      <c r="G1977" s="7"/>
      <c r="H1977" s="7"/>
      <c r="I1977" s="7" t="s">
        <v>20</v>
      </c>
      <c r="J1977" s="7">
        <v>2</v>
      </c>
      <c r="K1977" s="7" t="s">
        <v>660</v>
      </c>
      <c r="L1977" s="7" t="s">
        <v>663</v>
      </c>
      <c r="M1977" s="8">
        <v>44540</v>
      </c>
      <c r="N1977" s="8">
        <v>44551</v>
      </c>
      <c r="O1977" s="13"/>
      <c r="P1977" s="13">
        <v>88657.04</v>
      </c>
      <c r="Q1977" s="33"/>
      <c r="R1977" s="9"/>
      <c r="S1977" s="9"/>
      <c r="T1977" s="9"/>
      <c r="U1977" s="9"/>
      <c r="X1977" s="15" t="str">
        <f>IF(B1977="",VLOOKUP(A1977,items_lookup!A:B,2,FALSE),B1977)</f>
        <v>08. Item 08</v>
      </c>
      <c r="Y1977" s="15">
        <f t="shared" si="171"/>
        <v>12</v>
      </c>
      <c r="Z1977" s="15">
        <f t="shared" si="171"/>
        <v>12</v>
      </c>
      <c r="AA1977" s="15">
        <f t="shared" si="168"/>
        <v>2021</v>
      </c>
      <c r="AB1977" s="15">
        <f t="shared" si="169"/>
        <v>2021</v>
      </c>
      <c r="AC1977" s="15">
        <f t="shared" si="170"/>
        <v>2021</v>
      </c>
      <c r="AD1977" s="18" t="b">
        <f t="shared" si="167"/>
        <v>1</v>
      </c>
    </row>
    <row r="1978" spans="1:30" ht="15" hidden="1" customHeight="1" x14ac:dyDescent="0.2">
      <c r="A1978" s="7" t="s">
        <v>688</v>
      </c>
      <c r="B1978" s="7"/>
      <c r="C1978" s="2" t="s">
        <v>641</v>
      </c>
      <c r="D1978" s="6" t="s">
        <v>649</v>
      </c>
      <c r="E1978" s="32" t="s">
        <v>651</v>
      </c>
      <c r="F1978" s="7"/>
      <c r="G1978" s="7"/>
      <c r="H1978" s="7"/>
      <c r="I1978" s="7"/>
      <c r="J1978" s="7">
        <v>1</v>
      </c>
      <c r="K1978" s="7" t="s">
        <v>660</v>
      </c>
      <c r="L1978" s="7" t="s">
        <v>663</v>
      </c>
      <c r="M1978" s="8">
        <v>44543</v>
      </c>
      <c r="N1978" s="8">
        <v>44551</v>
      </c>
      <c r="O1978" s="13"/>
      <c r="P1978" s="13">
        <v>472699.67</v>
      </c>
      <c r="Q1978" s="33"/>
      <c r="R1978" s="22"/>
      <c r="S1978" s="22"/>
      <c r="T1978" s="22"/>
      <c r="U1978" s="22"/>
      <c r="X1978" s="15" t="str">
        <f>IF(B1978="",VLOOKUP(A1978,items_lookup!A:B,2,FALSE),B1978)</f>
        <v>09. Item 09</v>
      </c>
      <c r="Y1978" s="15">
        <f t="shared" si="171"/>
        <v>12</v>
      </c>
      <c r="Z1978" s="15">
        <f t="shared" si="171"/>
        <v>12</v>
      </c>
      <c r="AA1978" s="15">
        <f t="shared" si="168"/>
        <v>2021</v>
      </c>
      <c r="AB1978" s="15">
        <f t="shared" si="169"/>
        <v>2021</v>
      </c>
      <c r="AC1978" s="15">
        <f t="shared" si="170"/>
        <v>2021</v>
      </c>
      <c r="AD1978" s="18" t="b">
        <f t="shared" si="167"/>
        <v>1</v>
      </c>
    </row>
    <row r="1979" spans="1:30" ht="12.6" hidden="1" customHeight="1" x14ac:dyDescent="0.2">
      <c r="A1979" s="7" t="s">
        <v>676</v>
      </c>
      <c r="B1979" s="7"/>
      <c r="C1979" s="2" t="s">
        <v>641</v>
      </c>
      <c r="D1979" s="6" t="s">
        <v>649</v>
      </c>
      <c r="E1979" s="32" t="s">
        <v>651</v>
      </c>
      <c r="F1979" s="7"/>
      <c r="G1979" s="7"/>
      <c r="H1979" s="7"/>
      <c r="I1979" s="7" t="s">
        <v>20</v>
      </c>
      <c r="J1979" s="7">
        <v>1</v>
      </c>
      <c r="K1979" s="7" t="s">
        <v>660</v>
      </c>
      <c r="L1979" s="7" t="s">
        <v>663</v>
      </c>
      <c r="M1979" s="8">
        <v>44547</v>
      </c>
      <c r="N1979" s="8">
        <v>44558</v>
      </c>
      <c r="O1979" s="13"/>
      <c r="P1979" s="13">
        <v>2149285.71</v>
      </c>
      <c r="Q1979" s="33"/>
      <c r="R1979" s="22"/>
      <c r="S1979" s="22"/>
      <c r="T1979" s="22"/>
      <c r="U1979" s="22"/>
      <c r="X1979" s="15" t="str">
        <f>IF(B1979="",VLOOKUP(A1979,items_lookup!A:B,2,FALSE),B1979)</f>
        <v>09. Item 09</v>
      </c>
      <c r="Y1979" s="15">
        <f t="shared" si="171"/>
        <v>12</v>
      </c>
      <c r="Z1979" s="15">
        <f t="shared" si="171"/>
        <v>12</v>
      </c>
      <c r="AA1979" s="15">
        <f t="shared" si="168"/>
        <v>2021</v>
      </c>
      <c r="AB1979" s="15">
        <f t="shared" si="169"/>
        <v>2021</v>
      </c>
      <c r="AC1979" s="15">
        <f t="shared" si="170"/>
        <v>2021</v>
      </c>
      <c r="AD1979" s="18" t="b">
        <f t="shared" si="167"/>
        <v>1</v>
      </c>
    </row>
    <row r="1980" spans="1:30" ht="14.25" hidden="1" customHeight="1" x14ac:dyDescent="0.2">
      <c r="A1980" s="7" t="s">
        <v>675</v>
      </c>
      <c r="B1980" s="7"/>
      <c r="C1980" s="2" t="s">
        <v>641</v>
      </c>
      <c r="D1980" s="6" t="s">
        <v>649</v>
      </c>
      <c r="E1980" s="32" t="s">
        <v>651</v>
      </c>
      <c r="F1980" s="7"/>
      <c r="G1980" s="7"/>
      <c r="H1980" s="7"/>
      <c r="I1980" s="7"/>
      <c r="J1980" s="7"/>
      <c r="K1980" s="7" t="s">
        <v>660</v>
      </c>
      <c r="L1980" s="7" t="s">
        <v>663</v>
      </c>
      <c r="M1980" s="8">
        <v>44551</v>
      </c>
      <c r="N1980" s="8">
        <v>44551</v>
      </c>
      <c r="O1980" s="13"/>
      <c r="P1980" s="13">
        <v>890998.67</v>
      </c>
      <c r="Q1980" s="33"/>
      <c r="R1980" s="22"/>
      <c r="S1980" s="22"/>
      <c r="T1980" s="22"/>
      <c r="U1980" s="22"/>
      <c r="X1980" s="15" t="str">
        <f>IF(B1980="",VLOOKUP(A1980,items_lookup!A:B,2,FALSE),B1980)</f>
        <v>09. Item 09</v>
      </c>
      <c r="Y1980" s="15">
        <f t="shared" si="171"/>
        <v>12</v>
      </c>
      <c r="Z1980" s="15">
        <f t="shared" si="171"/>
        <v>12</v>
      </c>
      <c r="AA1980" s="15">
        <f t="shared" si="168"/>
        <v>2021</v>
      </c>
      <c r="AB1980" s="15">
        <f t="shared" si="169"/>
        <v>2021</v>
      </c>
      <c r="AC1980" s="15">
        <f t="shared" si="170"/>
        <v>2021</v>
      </c>
      <c r="AD1980" s="18" t="b">
        <f t="shared" si="167"/>
        <v>1</v>
      </c>
    </row>
    <row r="1981" spans="1:30" ht="15" hidden="1" customHeight="1" x14ac:dyDescent="0.2">
      <c r="A1981" s="7" t="s">
        <v>697</v>
      </c>
      <c r="B1981" s="7"/>
      <c r="C1981" s="2" t="s">
        <v>641</v>
      </c>
      <c r="D1981" s="6" t="s">
        <v>649</v>
      </c>
      <c r="E1981" s="32" t="s">
        <v>651</v>
      </c>
      <c r="F1981" s="7"/>
      <c r="G1981" s="7"/>
      <c r="H1981" s="7"/>
      <c r="I1981" s="7" t="s">
        <v>20</v>
      </c>
      <c r="J1981" s="7">
        <v>4</v>
      </c>
      <c r="K1981" s="7" t="s">
        <v>660</v>
      </c>
      <c r="L1981" s="7" t="s">
        <v>663</v>
      </c>
      <c r="M1981" s="8">
        <v>44545</v>
      </c>
      <c r="N1981" s="8">
        <v>44557</v>
      </c>
      <c r="O1981" s="13"/>
      <c r="P1981" s="13">
        <v>23.42</v>
      </c>
      <c r="Q1981" s="33"/>
      <c r="X1981" s="15" t="str">
        <f>IF(B1981="",VLOOKUP(A1981,items_lookup!A:B,2,FALSE),B1981)</f>
        <v>10. Item 10</v>
      </c>
      <c r="Y1981" s="15">
        <f t="shared" si="171"/>
        <v>12</v>
      </c>
      <c r="Z1981" s="15">
        <f t="shared" si="171"/>
        <v>12</v>
      </c>
      <c r="AA1981" s="15">
        <f t="shared" si="168"/>
        <v>2021</v>
      </c>
      <c r="AB1981" s="15">
        <f t="shared" si="169"/>
        <v>2021</v>
      </c>
      <c r="AC1981" s="15">
        <f t="shared" si="170"/>
        <v>2021</v>
      </c>
      <c r="AD1981" s="18" t="b">
        <f t="shared" si="167"/>
        <v>1</v>
      </c>
    </row>
    <row r="1982" spans="1:30" ht="14.25" hidden="1" customHeight="1" x14ac:dyDescent="0.2">
      <c r="A1982" s="7" t="s">
        <v>698</v>
      </c>
      <c r="B1982" s="7"/>
      <c r="C1982" s="2" t="s">
        <v>641</v>
      </c>
      <c r="D1982" s="6" t="s">
        <v>649</v>
      </c>
      <c r="E1982" s="32" t="s">
        <v>651</v>
      </c>
      <c r="F1982" s="7"/>
      <c r="G1982" s="7"/>
      <c r="H1982" s="7"/>
      <c r="I1982" s="7"/>
      <c r="J1982" s="7"/>
      <c r="K1982" s="7" t="s">
        <v>660</v>
      </c>
      <c r="L1982" s="7" t="s">
        <v>663</v>
      </c>
      <c r="M1982" s="8">
        <v>44552</v>
      </c>
      <c r="N1982" s="8">
        <v>44552</v>
      </c>
      <c r="O1982" s="13"/>
      <c r="P1982" s="13">
        <v>30398.51</v>
      </c>
      <c r="Q1982" s="33"/>
      <c r="R1982" s="22"/>
      <c r="S1982" s="22"/>
      <c r="T1982" s="22"/>
      <c r="U1982" s="22"/>
      <c r="X1982" s="15" t="str">
        <f>IF(B1982="",VLOOKUP(A1982,items_lookup!A:B,2,FALSE),B1982)</f>
        <v>10. Item 10</v>
      </c>
      <c r="Y1982" s="15">
        <f t="shared" si="171"/>
        <v>12</v>
      </c>
      <c r="Z1982" s="15">
        <f t="shared" si="171"/>
        <v>12</v>
      </c>
      <c r="AA1982" s="15">
        <f t="shared" si="168"/>
        <v>2021</v>
      </c>
      <c r="AB1982" s="15">
        <f t="shared" si="169"/>
        <v>2021</v>
      </c>
      <c r="AC1982" s="15">
        <f t="shared" si="170"/>
        <v>2021</v>
      </c>
      <c r="AD1982" s="18" t="b">
        <f t="shared" si="167"/>
        <v>1</v>
      </c>
    </row>
    <row r="1983" spans="1:30" ht="15" hidden="1" customHeight="1" x14ac:dyDescent="0.2">
      <c r="A1983" s="7" t="s">
        <v>677</v>
      </c>
      <c r="B1983" s="7"/>
      <c r="C1983" s="2" t="s">
        <v>641</v>
      </c>
      <c r="D1983" s="6" t="s">
        <v>649</v>
      </c>
      <c r="E1983" s="32" t="s">
        <v>651</v>
      </c>
      <c r="F1983" s="7"/>
      <c r="G1983" s="7"/>
      <c r="H1983" s="7"/>
      <c r="I1983" s="7"/>
      <c r="J1983" s="7"/>
      <c r="K1983" s="7" t="s">
        <v>660</v>
      </c>
      <c r="L1983" s="7" t="s">
        <v>663</v>
      </c>
      <c r="M1983" s="8">
        <v>44553</v>
      </c>
      <c r="N1983" s="8">
        <v>44553</v>
      </c>
      <c r="O1983" s="13"/>
      <c r="P1983" s="13">
        <v>1560947.92</v>
      </c>
      <c r="Q1983" s="33"/>
      <c r="R1983" s="22"/>
      <c r="S1983" s="22"/>
      <c r="T1983" s="22"/>
      <c r="U1983" s="22"/>
      <c r="X1983" s="15" t="str">
        <f>IF(B1983="",VLOOKUP(A1983,items_lookup!A:B,2,FALSE),B1983)</f>
        <v>11. Item 11</v>
      </c>
      <c r="Y1983" s="15">
        <f t="shared" si="171"/>
        <v>12</v>
      </c>
      <c r="Z1983" s="15">
        <f t="shared" si="171"/>
        <v>12</v>
      </c>
      <c r="AA1983" s="15">
        <f t="shared" si="168"/>
        <v>2021</v>
      </c>
      <c r="AB1983" s="15">
        <f t="shared" si="169"/>
        <v>2021</v>
      </c>
      <c r="AC1983" s="15">
        <f t="shared" si="170"/>
        <v>2021</v>
      </c>
      <c r="AD1983" s="18" t="b">
        <f t="shared" si="167"/>
        <v>1</v>
      </c>
    </row>
    <row r="1984" spans="1:30" ht="15" hidden="1" customHeight="1" x14ac:dyDescent="0.2">
      <c r="A1984" s="7" t="s">
        <v>699</v>
      </c>
      <c r="B1984" s="7"/>
      <c r="C1984" s="2" t="s">
        <v>641</v>
      </c>
      <c r="D1984" s="6" t="s">
        <v>649</v>
      </c>
      <c r="E1984" s="32" t="s">
        <v>651</v>
      </c>
      <c r="F1984" s="7"/>
      <c r="G1984" s="7"/>
      <c r="H1984" s="7"/>
      <c r="I1984" s="7" t="s">
        <v>20</v>
      </c>
      <c r="J1984" s="7">
        <v>3</v>
      </c>
      <c r="K1984" s="7" t="s">
        <v>660</v>
      </c>
      <c r="L1984" s="7" t="s">
        <v>663</v>
      </c>
      <c r="M1984" s="8">
        <v>44545</v>
      </c>
      <c r="N1984" s="8">
        <v>44558</v>
      </c>
      <c r="O1984" s="13"/>
      <c r="P1984" s="13">
        <v>38224.089999999997</v>
      </c>
      <c r="Q1984" s="33"/>
      <c r="R1984" s="22"/>
      <c r="S1984" s="22"/>
      <c r="T1984" s="22"/>
      <c r="U1984" s="22"/>
      <c r="X1984" s="15" t="str">
        <f>IF(B1984="",VLOOKUP(A1984,items_lookup!A:B,2,FALSE),B1984)</f>
        <v>12. Item 12</v>
      </c>
      <c r="Y1984" s="15">
        <f t="shared" si="171"/>
        <v>12</v>
      </c>
      <c r="Z1984" s="15">
        <f t="shared" si="171"/>
        <v>12</v>
      </c>
      <c r="AA1984" s="15">
        <f t="shared" si="168"/>
        <v>2021</v>
      </c>
      <c r="AB1984" s="15">
        <f t="shared" si="169"/>
        <v>2021</v>
      </c>
      <c r="AC1984" s="15">
        <f t="shared" si="170"/>
        <v>2021</v>
      </c>
      <c r="AD1984" s="18" t="b">
        <f t="shared" si="167"/>
        <v>1</v>
      </c>
    </row>
    <row r="1985" spans="1:30" ht="15" hidden="1" customHeight="1" x14ac:dyDescent="0.2">
      <c r="A1985" s="7" t="s">
        <v>682</v>
      </c>
      <c r="B1985" s="7"/>
      <c r="C1985" s="2" t="s">
        <v>641</v>
      </c>
      <c r="D1985" s="6" t="s">
        <v>649</v>
      </c>
      <c r="E1985" s="32" t="s">
        <v>651</v>
      </c>
      <c r="F1985" s="7"/>
      <c r="G1985" s="7"/>
      <c r="H1985" s="7"/>
      <c r="I1985" s="7"/>
      <c r="J1985" s="7">
        <v>3</v>
      </c>
      <c r="K1985" s="7" t="s">
        <v>660</v>
      </c>
      <c r="L1985" s="7" t="s">
        <v>663</v>
      </c>
      <c r="M1985" s="8">
        <v>44545</v>
      </c>
      <c r="N1985" s="8">
        <v>44559</v>
      </c>
      <c r="O1985" s="13"/>
      <c r="P1985" s="13">
        <v>1194377.6599999999</v>
      </c>
      <c r="Q1985" s="33"/>
      <c r="R1985" s="22"/>
      <c r="S1985" s="22"/>
      <c r="T1985" s="22"/>
      <c r="U1985" s="22"/>
      <c r="X1985" s="15" t="str">
        <f>IF(B1985="",VLOOKUP(A1985,items_lookup!A:B,2,FALSE),B1985)</f>
        <v>06. Item 06</v>
      </c>
      <c r="Y1985" s="15">
        <f t="shared" si="171"/>
        <v>12</v>
      </c>
      <c r="Z1985" s="15">
        <f t="shared" si="171"/>
        <v>12</v>
      </c>
      <c r="AA1985" s="15">
        <f t="shared" si="168"/>
        <v>2021</v>
      </c>
      <c r="AB1985" s="15">
        <f t="shared" si="169"/>
        <v>2021</v>
      </c>
      <c r="AC1985" s="15">
        <f t="shared" si="170"/>
        <v>2021</v>
      </c>
      <c r="AD1985" s="18" t="b">
        <f t="shared" si="167"/>
        <v>1</v>
      </c>
    </row>
    <row r="1986" spans="1:30" ht="15" hidden="1" customHeight="1" x14ac:dyDescent="0.2">
      <c r="A1986" s="7" t="s">
        <v>696</v>
      </c>
      <c r="B1986" s="7"/>
      <c r="C1986" s="2" t="s">
        <v>641</v>
      </c>
      <c r="D1986" s="6" t="s">
        <v>649</v>
      </c>
      <c r="E1986" s="32" t="s">
        <v>651</v>
      </c>
      <c r="F1986" s="7"/>
      <c r="G1986" s="7"/>
      <c r="H1986" s="7"/>
      <c r="I1986" s="7"/>
      <c r="J1986" s="7"/>
      <c r="K1986" s="7" t="s">
        <v>660</v>
      </c>
      <c r="L1986" s="7" t="s">
        <v>663</v>
      </c>
      <c r="M1986" s="8">
        <v>44554</v>
      </c>
      <c r="N1986" s="8">
        <v>44554</v>
      </c>
      <c r="O1986" s="13"/>
      <c r="P1986" s="13">
        <v>1725776.02</v>
      </c>
      <c r="Q1986" s="33"/>
      <c r="R1986" s="22"/>
      <c r="S1986" s="22"/>
      <c r="T1986" s="22"/>
      <c r="U1986" s="22"/>
      <c r="X1986" s="15" t="str">
        <f>IF(B1986="",VLOOKUP(A1986,items_lookup!A:B,2,FALSE),B1986)</f>
        <v>13. Item 13</v>
      </c>
      <c r="Y1986" s="15">
        <f t="shared" si="171"/>
        <v>12</v>
      </c>
      <c r="Z1986" s="15">
        <f t="shared" si="171"/>
        <v>12</v>
      </c>
      <c r="AA1986" s="15">
        <f t="shared" si="168"/>
        <v>2021</v>
      </c>
      <c r="AB1986" s="15">
        <f t="shared" si="169"/>
        <v>2021</v>
      </c>
      <c r="AC1986" s="15">
        <f t="shared" si="170"/>
        <v>2021</v>
      </c>
      <c r="AD1986" s="18" t="b">
        <f t="shared" si="167"/>
        <v>1</v>
      </c>
    </row>
    <row r="1987" spans="1:30" ht="15" hidden="1" customHeight="1" x14ac:dyDescent="0.2">
      <c r="A1987" s="7" t="s">
        <v>678</v>
      </c>
      <c r="B1987" s="7"/>
      <c r="C1987" s="2" t="s">
        <v>641</v>
      </c>
      <c r="D1987" s="6" t="s">
        <v>649</v>
      </c>
      <c r="E1987" s="32" t="s">
        <v>651</v>
      </c>
      <c r="F1987" s="7"/>
      <c r="G1987" s="7"/>
      <c r="H1987" s="7"/>
      <c r="I1987" s="7"/>
      <c r="J1987" s="7">
        <v>3</v>
      </c>
      <c r="K1987" s="7" t="s">
        <v>660</v>
      </c>
      <c r="L1987" s="7" t="s">
        <v>663</v>
      </c>
      <c r="M1987" s="8">
        <v>44545</v>
      </c>
      <c r="N1987" s="8">
        <v>44554</v>
      </c>
      <c r="O1987" s="13"/>
      <c r="P1987" s="13">
        <v>242600.63</v>
      </c>
      <c r="Q1987" s="33"/>
      <c r="R1987" s="22"/>
      <c r="S1987" s="22"/>
      <c r="T1987" s="22"/>
      <c r="U1987" s="22"/>
      <c r="X1987" s="15" t="str">
        <f>IF(B1987="",VLOOKUP(A1987,items_lookup!A:B,2,FALSE),B1987)</f>
        <v>13. Item 13</v>
      </c>
      <c r="Y1987" s="15">
        <f t="shared" si="171"/>
        <v>12</v>
      </c>
      <c r="Z1987" s="15">
        <f t="shared" si="171"/>
        <v>12</v>
      </c>
      <c r="AA1987" s="15">
        <f t="shared" si="168"/>
        <v>2021</v>
      </c>
      <c r="AB1987" s="15">
        <f t="shared" si="169"/>
        <v>2021</v>
      </c>
      <c r="AC1987" s="15">
        <f t="shared" si="170"/>
        <v>2021</v>
      </c>
      <c r="AD1987" s="18" t="b">
        <f t="shared" ref="AD1987:AD2050" si="172">AND(ROUND(O1987,2)=O1987,ROUND(P1987,2)=P1987,OR(AND(O1987&lt;&gt;0,L1987="p"),AND(P1987&lt;&gt;0,L1987="f")),_xlfn.ISFORMULA(X1987),_xlfn.ISFORMULA(Y1987),_xlfn.ISFORMULA(Z1987),_xlfn.ISFORMULA(AA1987),_xlfn.ISFORMULA(AB1987),_xlfn.ISFORMULA(AC1987),NOT(_xlfn.ISFORMULA(O1987)),NOT(_xlfn.ISFORMULA(P1987)),M1987&lt;&gt;0,N1987&lt;&gt;0)</f>
        <v>1</v>
      </c>
    </row>
    <row r="1988" spans="1:30" ht="15" hidden="1" customHeight="1" x14ac:dyDescent="0.2">
      <c r="A1988" s="7" t="s">
        <v>700</v>
      </c>
      <c r="B1988" s="7"/>
      <c r="C1988" s="2" t="s">
        <v>641</v>
      </c>
      <c r="D1988" s="6" t="s">
        <v>649</v>
      </c>
      <c r="E1988" s="32" t="s">
        <v>651</v>
      </c>
      <c r="F1988" s="7"/>
      <c r="G1988" s="7"/>
      <c r="H1988" s="7"/>
      <c r="I1988" s="7"/>
      <c r="J1988" s="7">
        <v>3</v>
      </c>
      <c r="K1988" s="7" t="s">
        <v>660</v>
      </c>
      <c r="L1988" s="7" t="s">
        <v>663</v>
      </c>
      <c r="M1988" s="8">
        <v>44545</v>
      </c>
      <c r="N1988" s="8">
        <v>44557</v>
      </c>
      <c r="O1988" s="13"/>
      <c r="P1988" s="13">
        <v>3500000</v>
      </c>
      <c r="Q1988" s="33"/>
      <c r="R1988" s="22"/>
      <c r="S1988" s="22"/>
      <c r="T1988" s="22"/>
      <c r="U1988" s="22"/>
      <c r="X1988" s="15" t="str">
        <f>IF(B1988="",VLOOKUP(A1988,items_lookup!A:B,2,FALSE),B1988)</f>
        <v>13. Item 13</v>
      </c>
      <c r="Y1988" s="15">
        <f t="shared" si="171"/>
        <v>12</v>
      </c>
      <c r="Z1988" s="15">
        <f t="shared" si="171"/>
        <v>12</v>
      </c>
      <c r="AA1988" s="15">
        <f t="shared" si="168"/>
        <v>2021</v>
      </c>
      <c r="AB1988" s="15">
        <f t="shared" si="169"/>
        <v>2021</v>
      </c>
      <c r="AC1988" s="15">
        <f t="shared" si="170"/>
        <v>2021</v>
      </c>
      <c r="AD1988" s="18" t="b">
        <f t="shared" si="172"/>
        <v>1</v>
      </c>
    </row>
    <row r="1989" spans="1:30" ht="15" hidden="1" customHeight="1" x14ac:dyDescent="0.2">
      <c r="A1989" s="7" t="s">
        <v>701</v>
      </c>
      <c r="B1989" s="20"/>
      <c r="C1989" s="2" t="s">
        <v>641</v>
      </c>
      <c r="D1989" s="6" t="s">
        <v>649</v>
      </c>
      <c r="E1989" s="32" t="s">
        <v>651</v>
      </c>
      <c r="F1989" s="7"/>
      <c r="G1989" s="7"/>
      <c r="H1989" s="7"/>
      <c r="I1989" s="7"/>
      <c r="J1989" s="7">
        <v>3</v>
      </c>
      <c r="K1989" s="7" t="s">
        <v>660</v>
      </c>
      <c r="L1989" s="7" t="s">
        <v>663</v>
      </c>
      <c r="M1989" s="8">
        <v>44545</v>
      </c>
      <c r="N1989" s="8">
        <v>44557</v>
      </c>
      <c r="O1989" s="13"/>
      <c r="P1989" s="13">
        <v>9387.59</v>
      </c>
      <c r="Q1989" s="33"/>
      <c r="R1989" s="9"/>
      <c r="S1989" s="9"/>
      <c r="T1989" s="9"/>
      <c r="U1989" s="9"/>
      <c r="X1989" s="15" t="str">
        <f>IF(B1989="",VLOOKUP(A1989,items_lookup!A:B,2,FALSE),B1989)</f>
        <v>13. Item 13</v>
      </c>
      <c r="Y1989" s="15">
        <f t="shared" si="171"/>
        <v>12</v>
      </c>
      <c r="Z1989" s="15">
        <f t="shared" si="171"/>
        <v>12</v>
      </c>
      <c r="AA1989" s="15">
        <f t="shared" si="168"/>
        <v>2021</v>
      </c>
      <c r="AB1989" s="15">
        <f t="shared" si="169"/>
        <v>2021</v>
      </c>
      <c r="AC1989" s="15">
        <f t="shared" si="170"/>
        <v>2021</v>
      </c>
      <c r="AD1989" s="18" t="b">
        <f t="shared" si="172"/>
        <v>1</v>
      </c>
    </row>
    <row r="1990" spans="1:30" ht="15" hidden="1" customHeight="1" x14ac:dyDescent="0.2">
      <c r="A1990" s="7" t="s">
        <v>679</v>
      </c>
      <c r="B1990" s="20"/>
      <c r="C1990" s="2" t="s">
        <v>641</v>
      </c>
      <c r="D1990" s="6" t="s">
        <v>649</v>
      </c>
      <c r="E1990" s="32" t="s">
        <v>651</v>
      </c>
      <c r="F1990" s="7"/>
      <c r="G1990" s="7"/>
      <c r="H1990" s="7"/>
      <c r="I1990" s="7"/>
      <c r="J1990" s="7">
        <v>3</v>
      </c>
      <c r="K1990" s="7" t="s">
        <v>660</v>
      </c>
      <c r="L1990" s="7" t="s">
        <v>663</v>
      </c>
      <c r="M1990" s="8">
        <v>44545</v>
      </c>
      <c r="N1990" s="8">
        <v>44557</v>
      </c>
      <c r="O1990" s="13"/>
      <c r="P1990" s="13">
        <v>111051.55</v>
      </c>
      <c r="Q1990" s="33"/>
      <c r="R1990" s="9"/>
      <c r="S1990" s="9"/>
      <c r="T1990" s="9"/>
      <c r="U1990" s="9"/>
      <c r="X1990" s="15" t="str">
        <f>IF(B1990="",VLOOKUP(A1990,items_lookup!A:B,2,FALSE),B1990)</f>
        <v>13. Item 13</v>
      </c>
      <c r="Y1990" s="15">
        <f t="shared" si="171"/>
        <v>12</v>
      </c>
      <c r="Z1990" s="15">
        <f t="shared" si="171"/>
        <v>12</v>
      </c>
      <c r="AA1990" s="15">
        <f t="shared" si="168"/>
        <v>2021</v>
      </c>
      <c r="AB1990" s="15">
        <f t="shared" si="169"/>
        <v>2021</v>
      </c>
      <c r="AC1990" s="15">
        <f t="shared" si="170"/>
        <v>2021</v>
      </c>
      <c r="AD1990" s="18" t="b">
        <f t="shared" si="172"/>
        <v>1</v>
      </c>
    </row>
    <row r="1991" spans="1:30" ht="15" hidden="1" customHeight="1" x14ac:dyDescent="0.2">
      <c r="A1991" s="7" t="s">
        <v>680</v>
      </c>
      <c r="B1991" s="20"/>
      <c r="C1991" s="2" t="s">
        <v>641</v>
      </c>
      <c r="D1991" s="6" t="s">
        <v>649</v>
      </c>
      <c r="E1991" s="32" t="s">
        <v>651</v>
      </c>
      <c r="F1991" s="7"/>
      <c r="G1991" s="7"/>
      <c r="H1991" s="7"/>
      <c r="I1991" s="7"/>
      <c r="J1991" s="7">
        <v>3</v>
      </c>
      <c r="K1991" s="7" t="s">
        <v>660</v>
      </c>
      <c r="L1991" s="7" t="s">
        <v>663</v>
      </c>
      <c r="M1991" s="8">
        <v>44545</v>
      </c>
      <c r="N1991" s="8">
        <v>44557</v>
      </c>
      <c r="O1991" s="13"/>
      <c r="P1991" s="13">
        <v>8807.99</v>
      </c>
      <c r="Q1991" s="33"/>
      <c r="R1991" s="9"/>
      <c r="S1991" s="9"/>
      <c r="T1991" s="9"/>
      <c r="U1991" s="9"/>
      <c r="X1991" s="15" t="str">
        <f>IF(B1991="",VLOOKUP(A1991,items_lookup!A:B,2,FALSE),B1991)</f>
        <v>13. Item 13</v>
      </c>
      <c r="Y1991" s="15">
        <f t="shared" si="171"/>
        <v>12</v>
      </c>
      <c r="Z1991" s="15">
        <f t="shared" si="171"/>
        <v>12</v>
      </c>
      <c r="AA1991" s="15">
        <f t="shared" si="168"/>
        <v>2021</v>
      </c>
      <c r="AB1991" s="15">
        <f t="shared" si="169"/>
        <v>2021</v>
      </c>
      <c r="AC1991" s="15">
        <f t="shared" si="170"/>
        <v>2021</v>
      </c>
      <c r="AD1991" s="18" t="b">
        <f t="shared" si="172"/>
        <v>1</v>
      </c>
    </row>
    <row r="1992" spans="1:30" ht="15" hidden="1" customHeight="1" x14ac:dyDescent="0.2">
      <c r="A1992" s="7" t="s">
        <v>707</v>
      </c>
      <c r="B1992" s="20"/>
      <c r="C1992" s="2" t="s">
        <v>641</v>
      </c>
      <c r="D1992" s="6" t="s">
        <v>649</v>
      </c>
      <c r="E1992" s="32" t="s">
        <v>651</v>
      </c>
      <c r="F1992" s="7"/>
      <c r="G1992" s="7"/>
      <c r="H1992" s="7"/>
      <c r="I1992" s="7"/>
      <c r="J1992" s="7">
        <v>3</v>
      </c>
      <c r="K1992" s="7" t="s">
        <v>660</v>
      </c>
      <c r="L1992" s="7" t="s">
        <v>663</v>
      </c>
      <c r="M1992" s="8">
        <v>44545</v>
      </c>
      <c r="N1992" s="8">
        <v>44558</v>
      </c>
      <c r="O1992" s="13"/>
      <c r="P1992" s="13">
        <v>12555.25</v>
      </c>
      <c r="Q1992" s="33"/>
      <c r="R1992" s="22"/>
      <c r="S1992" s="22"/>
      <c r="T1992" s="22"/>
      <c r="U1992" s="22"/>
      <c r="X1992" s="15" t="str">
        <f>IF(B1992="",VLOOKUP(A1992,items_lookup!A:B,2,FALSE),B1992)</f>
        <v>18. Item 18</v>
      </c>
      <c r="Y1992" s="15">
        <f t="shared" si="171"/>
        <v>12</v>
      </c>
      <c r="Z1992" s="15">
        <f t="shared" si="171"/>
        <v>12</v>
      </c>
      <c r="AA1992" s="15">
        <f t="shared" si="168"/>
        <v>2021</v>
      </c>
      <c r="AB1992" s="15">
        <f t="shared" si="169"/>
        <v>2021</v>
      </c>
      <c r="AC1992" s="15">
        <f t="shared" si="170"/>
        <v>2021</v>
      </c>
      <c r="AD1992" s="18" t="b">
        <f t="shared" si="172"/>
        <v>1</v>
      </c>
    </row>
    <row r="1993" spans="1:30" ht="15.75" hidden="1" customHeight="1" x14ac:dyDescent="0.2">
      <c r="A1993" s="7" t="s">
        <v>687</v>
      </c>
      <c r="B1993" s="20"/>
      <c r="C1993" s="2" t="s">
        <v>641</v>
      </c>
      <c r="D1993" s="6" t="s">
        <v>649</v>
      </c>
      <c r="E1993" s="32" t="s">
        <v>651</v>
      </c>
      <c r="F1993" s="7"/>
      <c r="G1993" s="7"/>
      <c r="H1993" s="7"/>
      <c r="I1993" s="7"/>
      <c r="J1993" s="7">
        <v>3</v>
      </c>
      <c r="K1993" s="7" t="s">
        <v>660</v>
      </c>
      <c r="L1993" s="7" t="s">
        <v>663</v>
      </c>
      <c r="M1993" s="8">
        <v>44545</v>
      </c>
      <c r="N1993" s="8">
        <v>44559</v>
      </c>
      <c r="O1993" s="13"/>
      <c r="P1993" s="13">
        <v>60228.18</v>
      </c>
      <c r="Q1993" s="33"/>
      <c r="R1993" s="22"/>
      <c r="S1993" s="22"/>
      <c r="T1993" s="22"/>
      <c r="U1993" s="22"/>
      <c r="X1993" s="15" t="str">
        <f>IF(B1993="",VLOOKUP(A1993,items_lookup!A:B,2,FALSE),B1993)</f>
        <v>14. Item 14</v>
      </c>
      <c r="Y1993" s="15">
        <f t="shared" si="171"/>
        <v>12</v>
      </c>
      <c r="Z1993" s="15">
        <f t="shared" si="171"/>
        <v>12</v>
      </c>
      <c r="AA1993" s="15">
        <f t="shared" si="168"/>
        <v>2021</v>
      </c>
      <c r="AB1993" s="15">
        <f t="shared" si="169"/>
        <v>2021</v>
      </c>
      <c r="AC1993" s="15">
        <f t="shared" si="170"/>
        <v>2021</v>
      </c>
      <c r="AD1993" s="18" t="b">
        <f t="shared" si="172"/>
        <v>1</v>
      </c>
    </row>
    <row r="1994" spans="1:30" ht="15.75" hidden="1" customHeight="1" x14ac:dyDescent="0.2">
      <c r="A1994" s="7" t="s">
        <v>702</v>
      </c>
      <c r="B1994" s="7"/>
      <c r="C1994" s="2" t="s">
        <v>641</v>
      </c>
      <c r="D1994" s="6" t="s">
        <v>649</v>
      </c>
      <c r="E1994" s="32" t="s">
        <v>651</v>
      </c>
      <c r="F1994" s="7"/>
      <c r="G1994" s="7"/>
      <c r="H1994" s="7"/>
      <c r="I1994" s="7"/>
      <c r="J1994" s="7">
        <v>3</v>
      </c>
      <c r="K1994" s="7" t="s">
        <v>660</v>
      </c>
      <c r="L1994" s="7" t="s">
        <v>663</v>
      </c>
      <c r="M1994" s="8">
        <v>44545</v>
      </c>
      <c r="N1994" s="8">
        <v>44559</v>
      </c>
      <c r="O1994" s="13"/>
      <c r="P1994" s="13">
        <v>9295028.1400000006</v>
      </c>
      <c r="Q1994" s="33"/>
      <c r="R1994" s="22"/>
      <c r="S1994" s="22"/>
      <c r="T1994" s="22"/>
      <c r="U1994" s="22"/>
      <c r="X1994" s="15" t="str">
        <f>IF(B1994="",VLOOKUP(A1994,items_lookup!A:B,2,FALSE),B1994)</f>
        <v>17. Item 17</v>
      </c>
      <c r="Y1994" s="15">
        <f t="shared" si="171"/>
        <v>12</v>
      </c>
      <c r="Z1994" s="15">
        <f t="shared" si="171"/>
        <v>12</v>
      </c>
      <c r="AA1994" s="15">
        <f t="shared" si="168"/>
        <v>2021</v>
      </c>
      <c r="AB1994" s="15">
        <f t="shared" si="169"/>
        <v>2021</v>
      </c>
      <c r="AC1994" s="15">
        <f t="shared" si="170"/>
        <v>2021</v>
      </c>
      <c r="AD1994" s="18" t="b">
        <f t="shared" si="172"/>
        <v>1</v>
      </c>
    </row>
    <row r="1995" spans="1:30" ht="15" hidden="1" customHeight="1" x14ac:dyDescent="0.2">
      <c r="A1995" s="7" t="s">
        <v>681</v>
      </c>
      <c r="B1995" s="20"/>
      <c r="C1995" s="2" t="s">
        <v>641</v>
      </c>
      <c r="D1995" s="6" t="s">
        <v>649</v>
      </c>
      <c r="E1995" s="32" t="s">
        <v>651</v>
      </c>
      <c r="F1995" s="7"/>
      <c r="G1995" s="7"/>
      <c r="H1995" s="7"/>
      <c r="I1995" s="7"/>
      <c r="J1995" s="7">
        <v>3</v>
      </c>
      <c r="K1995" s="7" t="s">
        <v>660</v>
      </c>
      <c r="L1995" s="7" t="s">
        <v>663</v>
      </c>
      <c r="M1995" s="8">
        <v>44545</v>
      </c>
      <c r="N1995" s="8">
        <v>44559</v>
      </c>
      <c r="O1995" s="13"/>
      <c r="P1995" s="13">
        <v>27718.35</v>
      </c>
      <c r="Q1995" s="33"/>
      <c r="R1995" s="22"/>
      <c r="S1995" s="22"/>
      <c r="T1995" s="22"/>
      <c r="U1995" s="22"/>
      <c r="X1995" s="15" t="str">
        <f>IF(B1995="",VLOOKUP(A1995,items_lookup!A:B,2,FALSE),B1995)</f>
        <v>19. Item 19</v>
      </c>
      <c r="Y1995" s="15">
        <f t="shared" si="171"/>
        <v>12</v>
      </c>
      <c r="Z1995" s="15">
        <f t="shared" si="171"/>
        <v>12</v>
      </c>
      <c r="AA1995" s="15">
        <f t="shared" si="168"/>
        <v>2021</v>
      </c>
      <c r="AB1995" s="15">
        <f t="shared" si="169"/>
        <v>2021</v>
      </c>
      <c r="AC1995" s="15">
        <f t="shared" si="170"/>
        <v>2021</v>
      </c>
      <c r="AD1995" s="18" t="b">
        <f t="shared" si="172"/>
        <v>1</v>
      </c>
    </row>
    <row r="1996" spans="1:30" ht="15.75" hidden="1" customHeight="1" x14ac:dyDescent="0.2">
      <c r="A1996" s="7" t="s">
        <v>683</v>
      </c>
      <c r="B1996" s="20"/>
      <c r="C1996" s="2" t="s">
        <v>641</v>
      </c>
      <c r="D1996" s="6" t="s">
        <v>649</v>
      </c>
      <c r="E1996" s="32" t="s">
        <v>651</v>
      </c>
      <c r="F1996" s="7"/>
      <c r="G1996" s="7"/>
      <c r="H1996" s="7"/>
      <c r="I1996" s="7"/>
      <c r="J1996" s="7">
        <v>3</v>
      </c>
      <c r="K1996" s="7" t="s">
        <v>660</v>
      </c>
      <c r="L1996" s="7" t="s">
        <v>663</v>
      </c>
      <c r="M1996" s="8">
        <v>44545</v>
      </c>
      <c r="N1996" s="8">
        <v>44558</v>
      </c>
      <c r="O1996" s="13"/>
      <c r="P1996" s="13">
        <v>549054.64</v>
      </c>
      <c r="Q1996" s="33"/>
      <c r="R1996" s="22"/>
      <c r="S1996" s="22"/>
      <c r="T1996" s="22"/>
      <c r="U1996" s="22"/>
      <c r="X1996" s="15" t="str">
        <f>IF(B1996="",VLOOKUP(A1996,items_lookup!A:B,2,FALSE),B1996)</f>
        <v>_1. Item _1</v>
      </c>
      <c r="Y1996" s="15">
        <f t="shared" si="171"/>
        <v>12</v>
      </c>
      <c r="Z1996" s="15">
        <f t="shared" si="171"/>
        <v>12</v>
      </c>
      <c r="AA1996" s="15">
        <f t="shared" si="168"/>
        <v>2021</v>
      </c>
      <c r="AB1996" s="15">
        <f t="shared" si="169"/>
        <v>2021</v>
      </c>
      <c r="AC1996" s="15">
        <f t="shared" si="170"/>
        <v>2021</v>
      </c>
      <c r="AD1996" s="18" t="b">
        <f t="shared" si="172"/>
        <v>1</v>
      </c>
    </row>
    <row r="1997" spans="1:30" ht="15.75" hidden="1" customHeight="1" x14ac:dyDescent="0.2">
      <c r="A1997" s="7" t="s">
        <v>689</v>
      </c>
      <c r="B1997" s="7" t="s">
        <v>713</v>
      </c>
      <c r="C1997" s="2" t="s">
        <v>641</v>
      </c>
      <c r="D1997" s="6" t="s">
        <v>650</v>
      </c>
      <c r="E1997" s="32" t="s">
        <v>651</v>
      </c>
      <c r="F1997" s="7"/>
      <c r="G1997" s="7"/>
      <c r="H1997" s="7"/>
      <c r="I1997" s="7"/>
      <c r="J1997" s="7"/>
      <c r="K1997" s="7"/>
      <c r="L1997" s="7" t="s">
        <v>662</v>
      </c>
      <c r="M1997" s="8">
        <v>44531</v>
      </c>
      <c r="N1997" s="8">
        <v>44531</v>
      </c>
      <c r="O1997" s="13">
        <v>3405476.19</v>
      </c>
      <c r="P1997" s="13"/>
      <c r="Q1997" s="33"/>
      <c r="R1997" s="9"/>
      <c r="S1997" s="9"/>
      <c r="T1997" s="9"/>
      <c r="U1997" s="9"/>
      <c r="X1997" s="15" t="str">
        <f>IF(B1997="",VLOOKUP(A1997,items_lookup!A:B,2,FALSE),B1997)</f>
        <v>18. Item 18</v>
      </c>
      <c r="Y1997" s="15">
        <f t="shared" si="171"/>
        <v>12</v>
      </c>
      <c r="Z1997" s="15">
        <f t="shared" si="171"/>
        <v>12</v>
      </c>
      <c r="AA1997" s="15">
        <f t="shared" si="168"/>
        <v>2021</v>
      </c>
      <c r="AB1997" s="15">
        <f t="shared" si="169"/>
        <v>2021</v>
      </c>
      <c r="AC1997" s="15">
        <f t="shared" si="170"/>
        <v>2021</v>
      </c>
      <c r="AD1997" s="18" t="b">
        <f t="shared" si="172"/>
        <v>1</v>
      </c>
    </row>
    <row r="1998" spans="1:30" ht="15" hidden="1" customHeight="1" x14ac:dyDescent="0.2">
      <c r="A1998" s="7" t="s">
        <v>689</v>
      </c>
      <c r="B1998" s="7"/>
      <c r="C1998" s="2" t="s">
        <v>641</v>
      </c>
      <c r="D1998" s="6" t="s">
        <v>649</v>
      </c>
      <c r="E1998" s="32" t="s">
        <v>651</v>
      </c>
      <c r="F1998" s="7"/>
      <c r="G1998" s="7"/>
      <c r="H1998" s="7"/>
      <c r="I1998" s="7"/>
      <c r="J1998" s="7"/>
      <c r="K1998" s="7" t="s">
        <v>660</v>
      </c>
      <c r="L1998" s="7" t="s">
        <v>663</v>
      </c>
      <c r="M1998" s="8">
        <v>44557</v>
      </c>
      <c r="N1998" s="8">
        <v>44557</v>
      </c>
      <c r="O1998" s="13"/>
      <c r="P1998" s="13">
        <v>3635371.58</v>
      </c>
      <c r="Q1998" s="33"/>
      <c r="R1998" s="22"/>
      <c r="S1998" s="22"/>
      <c r="T1998" s="22"/>
      <c r="U1998" s="22"/>
      <c r="X1998" s="15" t="str">
        <f>IF(B1998="",VLOOKUP(A1998,items_lookup!A:B,2,FALSE),B1998)</f>
        <v>04. Item 04</v>
      </c>
      <c r="Y1998" s="15">
        <f t="shared" si="171"/>
        <v>12</v>
      </c>
      <c r="Z1998" s="15">
        <f t="shared" si="171"/>
        <v>12</v>
      </c>
      <c r="AA1998" s="15">
        <f t="shared" si="168"/>
        <v>2021</v>
      </c>
      <c r="AB1998" s="15">
        <f t="shared" si="169"/>
        <v>2021</v>
      </c>
      <c r="AC1998" s="15">
        <f t="shared" si="170"/>
        <v>2021</v>
      </c>
      <c r="AD1998" s="18" t="b">
        <f t="shared" si="172"/>
        <v>1</v>
      </c>
    </row>
    <row r="1999" spans="1:30" ht="15" hidden="1" customHeight="1" x14ac:dyDescent="0.2">
      <c r="A1999" s="7" t="s">
        <v>689</v>
      </c>
      <c r="B1999" s="7"/>
      <c r="C1999" s="2" t="s">
        <v>641</v>
      </c>
      <c r="D1999" s="6" t="s">
        <v>649</v>
      </c>
      <c r="E1999" s="32" t="s">
        <v>651</v>
      </c>
      <c r="F1999" s="7"/>
      <c r="G1999" s="7"/>
      <c r="H1999" s="7"/>
      <c r="I1999" s="7"/>
      <c r="J1999" s="7"/>
      <c r="K1999" s="7" t="s">
        <v>660</v>
      </c>
      <c r="L1999" s="7" t="s">
        <v>663</v>
      </c>
      <c r="M1999" s="8">
        <v>44558</v>
      </c>
      <c r="N1999" s="8">
        <v>44558</v>
      </c>
      <c r="O1999" s="13"/>
      <c r="P1999" s="13">
        <v>3829125.99</v>
      </c>
      <c r="Q1999" s="33"/>
      <c r="R1999" s="22"/>
      <c r="S1999" s="22"/>
      <c r="T1999" s="22"/>
      <c r="U1999" s="22"/>
      <c r="X1999" s="15" t="str">
        <f>IF(B1999="",VLOOKUP(A1999,items_lookup!A:B,2,FALSE),B1999)</f>
        <v>04. Item 04</v>
      </c>
      <c r="Y1999" s="15">
        <f t="shared" si="171"/>
        <v>12</v>
      </c>
      <c r="Z1999" s="15">
        <f t="shared" si="171"/>
        <v>12</v>
      </c>
      <c r="AA1999" s="15">
        <f t="shared" si="168"/>
        <v>2021</v>
      </c>
      <c r="AB1999" s="15">
        <f t="shared" si="169"/>
        <v>2021</v>
      </c>
      <c r="AC1999" s="15">
        <f t="shared" si="170"/>
        <v>2021</v>
      </c>
      <c r="AD1999" s="18" t="b">
        <f t="shared" si="172"/>
        <v>1</v>
      </c>
    </row>
    <row r="2000" spans="1:30" ht="15" hidden="1" customHeight="1" x14ac:dyDescent="0.2">
      <c r="A2000" s="7" t="s">
        <v>673</v>
      </c>
      <c r="B2000" s="7"/>
      <c r="C2000" s="2" t="s">
        <v>641</v>
      </c>
      <c r="D2000" s="6" t="s">
        <v>649</v>
      </c>
      <c r="E2000" s="32" t="s">
        <v>651</v>
      </c>
      <c r="F2000" s="7"/>
      <c r="G2000" s="7"/>
      <c r="H2000" s="7"/>
      <c r="I2000" s="7"/>
      <c r="J2000" s="7"/>
      <c r="K2000" s="7" t="s">
        <v>660</v>
      </c>
      <c r="L2000" s="7" t="s">
        <v>663</v>
      </c>
      <c r="M2000" s="8">
        <v>44559</v>
      </c>
      <c r="N2000" s="8">
        <v>44559</v>
      </c>
      <c r="O2000" s="13"/>
      <c r="P2000" s="13">
        <v>22875937.02</v>
      </c>
      <c r="Q2000" s="33"/>
      <c r="R2000" s="22"/>
      <c r="S2000" s="22"/>
      <c r="T2000" s="22"/>
      <c r="U2000" s="22"/>
      <c r="X2000" s="15" t="str">
        <f>IF(B2000="",VLOOKUP(A2000,items_lookup!A:B,2,FALSE),B2000)</f>
        <v>07. Item 07</v>
      </c>
      <c r="Y2000" s="15">
        <f t="shared" si="171"/>
        <v>12</v>
      </c>
      <c r="Z2000" s="15">
        <f t="shared" si="171"/>
        <v>12</v>
      </c>
      <c r="AA2000" s="15">
        <f t="shared" si="168"/>
        <v>2021</v>
      </c>
      <c r="AB2000" s="15">
        <f t="shared" si="169"/>
        <v>2021</v>
      </c>
      <c r="AC2000" s="15">
        <f t="shared" si="170"/>
        <v>2021</v>
      </c>
      <c r="AD2000" s="18" t="b">
        <f t="shared" si="172"/>
        <v>1</v>
      </c>
    </row>
    <row r="2001" spans="1:30" ht="15" hidden="1" customHeight="1" x14ac:dyDescent="0.2">
      <c r="A2001" s="7" t="s">
        <v>674</v>
      </c>
      <c r="B2001" s="7"/>
      <c r="C2001" s="2" t="s">
        <v>641</v>
      </c>
      <c r="D2001" s="6" t="s">
        <v>649</v>
      </c>
      <c r="E2001" s="32" t="s">
        <v>651</v>
      </c>
      <c r="F2001" s="7"/>
      <c r="G2001" s="7"/>
      <c r="H2001" s="7"/>
      <c r="I2001" s="7"/>
      <c r="J2001" s="7"/>
      <c r="K2001" s="7"/>
      <c r="L2001" s="7" t="s">
        <v>662</v>
      </c>
      <c r="M2001" s="8">
        <v>44562</v>
      </c>
      <c r="N2001" s="8">
        <v>44562</v>
      </c>
      <c r="O2001" s="13">
        <v>6838095.2400000002</v>
      </c>
      <c r="P2001" s="13"/>
      <c r="Q2001" s="33"/>
      <c r="R2001" s="9"/>
      <c r="S2001" s="9"/>
      <c r="T2001" s="9"/>
      <c r="U2001" s="9"/>
      <c r="X2001" s="15" t="str">
        <f>IF(B2001="",VLOOKUP(A2001,items_lookup!A:B,2,FALSE),B2001)</f>
        <v>08. Item 08</v>
      </c>
      <c r="Y2001" s="15">
        <f t="shared" si="171"/>
        <v>1</v>
      </c>
      <c r="Z2001" s="15">
        <f t="shared" si="171"/>
        <v>1</v>
      </c>
      <c r="AA2001" s="15">
        <f t="shared" si="168"/>
        <v>2022</v>
      </c>
      <c r="AB2001" s="15">
        <f t="shared" si="169"/>
        <v>2022</v>
      </c>
      <c r="AC2001" s="15">
        <f t="shared" si="170"/>
        <v>2022</v>
      </c>
      <c r="AD2001" s="18" t="b">
        <f t="shared" si="172"/>
        <v>1</v>
      </c>
    </row>
    <row r="2002" spans="1:30" ht="15" hidden="1" customHeight="1" x14ac:dyDescent="0.2">
      <c r="A2002" s="7" t="s">
        <v>681</v>
      </c>
      <c r="B2002" s="7"/>
      <c r="C2002" s="2" t="s">
        <v>641</v>
      </c>
      <c r="D2002" s="6" t="s">
        <v>649</v>
      </c>
      <c r="E2002" s="32" t="s">
        <v>651</v>
      </c>
      <c r="F2002" s="7"/>
      <c r="G2002" s="7"/>
      <c r="H2002" s="7"/>
      <c r="I2002" s="7"/>
      <c r="J2002" s="7"/>
      <c r="K2002" s="7"/>
      <c r="L2002" s="7" t="s">
        <v>662</v>
      </c>
      <c r="M2002" s="8">
        <v>44562</v>
      </c>
      <c r="N2002" s="8">
        <v>44562</v>
      </c>
      <c r="O2002" s="13">
        <v>1673809.52</v>
      </c>
      <c r="P2002" s="13"/>
      <c r="Q2002" s="33"/>
      <c r="R2002" s="9"/>
      <c r="S2002" s="9"/>
      <c r="T2002" s="9"/>
      <c r="U2002" s="9"/>
      <c r="X2002" s="15" t="str">
        <f>IF(B2002="",VLOOKUP(A2002,items_lookup!A:B,2,FALSE),B2002)</f>
        <v>19. Item 19</v>
      </c>
      <c r="Y2002" s="15">
        <f t="shared" si="171"/>
        <v>1</v>
      </c>
      <c r="Z2002" s="15">
        <f t="shared" si="171"/>
        <v>1</v>
      </c>
      <c r="AA2002" s="15">
        <f t="shared" si="168"/>
        <v>2022</v>
      </c>
      <c r="AB2002" s="15">
        <f t="shared" si="169"/>
        <v>2022</v>
      </c>
      <c r="AC2002" s="15">
        <f t="shared" si="170"/>
        <v>2022</v>
      </c>
      <c r="AD2002" s="18" t="b">
        <f t="shared" si="172"/>
        <v>1</v>
      </c>
    </row>
    <row r="2003" spans="1:30" ht="15" hidden="1" customHeight="1" x14ac:dyDescent="0.2">
      <c r="A2003" s="7" t="s">
        <v>696</v>
      </c>
      <c r="B2003" s="7" t="s">
        <v>708</v>
      </c>
      <c r="C2003" s="2" t="s">
        <v>641</v>
      </c>
      <c r="D2003" s="6" t="s">
        <v>649</v>
      </c>
      <c r="E2003" s="32" t="s">
        <v>651</v>
      </c>
      <c r="F2003" s="7"/>
      <c r="G2003" s="7"/>
      <c r="H2003" s="7"/>
      <c r="I2003" s="7"/>
      <c r="J2003" s="7"/>
      <c r="K2003" s="7"/>
      <c r="L2003" s="7" t="s">
        <v>662</v>
      </c>
      <c r="M2003" s="8">
        <v>44562</v>
      </c>
      <c r="N2003" s="8">
        <v>44562</v>
      </c>
      <c r="O2003" s="13">
        <v>1695502.61</v>
      </c>
      <c r="P2003" s="13"/>
      <c r="Q2003" s="33"/>
      <c r="R2003" s="9"/>
      <c r="S2003" s="9"/>
      <c r="T2003" s="9"/>
      <c r="U2003" s="9"/>
      <c r="X2003" s="15" t="str">
        <f>IF(B2003="",VLOOKUP(A2003,items_lookup!A:B,2,FALSE),B2003)</f>
        <v>03. Item 03</v>
      </c>
      <c r="Y2003" s="15">
        <f t="shared" si="171"/>
        <v>1</v>
      </c>
      <c r="Z2003" s="15">
        <f t="shared" si="171"/>
        <v>1</v>
      </c>
      <c r="AA2003" s="15">
        <f t="shared" si="168"/>
        <v>2022</v>
      </c>
      <c r="AB2003" s="15">
        <f t="shared" si="169"/>
        <v>2022</v>
      </c>
      <c r="AC2003" s="15">
        <f t="shared" si="170"/>
        <v>2022</v>
      </c>
      <c r="AD2003" s="18" t="b">
        <f t="shared" si="172"/>
        <v>1</v>
      </c>
    </row>
    <row r="2004" spans="1:30" ht="15" hidden="1" customHeight="1" x14ac:dyDescent="0.2">
      <c r="A2004" s="7" t="s">
        <v>696</v>
      </c>
      <c r="B2004" s="7"/>
      <c r="C2004" s="2" t="s">
        <v>641</v>
      </c>
      <c r="D2004" s="6" t="s">
        <v>649</v>
      </c>
      <c r="E2004" s="32" t="s">
        <v>651</v>
      </c>
      <c r="F2004" s="7"/>
      <c r="G2004" s="7"/>
      <c r="H2004" s="7"/>
      <c r="I2004" s="7"/>
      <c r="J2004" s="7"/>
      <c r="K2004" s="7"/>
      <c r="L2004" s="7" t="s">
        <v>662</v>
      </c>
      <c r="M2004" s="8">
        <v>44562</v>
      </c>
      <c r="N2004" s="8">
        <v>44562</v>
      </c>
      <c r="O2004" s="13">
        <v>6286528.9100000001</v>
      </c>
      <c r="P2004" s="13"/>
      <c r="Q2004" s="33"/>
      <c r="R2004" s="9"/>
      <c r="S2004" s="9"/>
      <c r="T2004" s="9"/>
      <c r="U2004" s="9"/>
      <c r="X2004" s="15" t="str">
        <f>IF(B2004="",VLOOKUP(A2004,items_lookup!A:B,2,FALSE),B2004)</f>
        <v>13. Item 13</v>
      </c>
      <c r="Y2004" s="15">
        <f t="shared" si="171"/>
        <v>1</v>
      </c>
      <c r="Z2004" s="15">
        <f t="shared" si="171"/>
        <v>1</v>
      </c>
      <c r="AA2004" s="15">
        <f t="shared" si="168"/>
        <v>2022</v>
      </c>
      <c r="AB2004" s="15">
        <f t="shared" si="169"/>
        <v>2022</v>
      </c>
      <c r="AC2004" s="15">
        <f t="shared" si="170"/>
        <v>2022</v>
      </c>
      <c r="AD2004" s="18" t="b">
        <f t="shared" si="172"/>
        <v>1</v>
      </c>
    </row>
    <row r="2005" spans="1:30" ht="15" hidden="1" customHeight="1" x14ac:dyDescent="0.2">
      <c r="A2005" s="7" t="s">
        <v>696</v>
      </c>
      <c r="B2005" s="7"/>
      <c r="C2005" s="2" t="s">
        <v>641</v>
      </c>
      <c r="D2005" s="6" t="s">
        <v>649</v>
      </c>
      <c r="E2005" s="32" t="s">
        <v>651</v>
      </c>
      <c r="F2005" s="7"/>
      <c r="G2005" s="7"/>
      <c r="H2005" s="7"/>
      <c r="I2005" s="7"/>
      <c r="J2005" s="7"/>
      <c r="K2005" s="7"/>
      <c r="L2005" s="7" t="s">
        <v>662</v>
      </c>
      <c r="M2005" s="8">
        <v>44562</v>
      </c>
      <c r="N2005" s="8">
        <v>44562</v>
      </c>
      <c r="O2005" s="13">
        <v>15238.1</v>
      </c>
      <c r="P2005" s="13"/>
      <c r="Q2005" s="33"/>
      <c r="R2005" s="9"/>
      <c r="S2005" s="9"/>
      <c r="T2005" s="9"/>
      <c r="U2005" s="9"/>
      <c r="X2005" s="15" t="str">
        <f>IF(B2005="",VLOOKUP(A2005,items_lookup!A:B,2,FALSE),B2005)</f>
        <v>13. Item 13</v>
      </c>
      <c r="Y2005" s="15">
        <f t="shared" si="171"/>
        <v>1</v>
      </c>
      <c r="Z2005" s="15">
        <f t="shared" si="171"/>
        <v>1</v>
      </c>
      <c r="AA2005" s="15">
        <f t="shared" si="168"/>
        <v>2022</v>
      </c>
      <c r="AB2005" s="15">
        <f t="shared" si="169"/>
        <v>2022</v>
      </c>
      <c r="AC2005" s="15">
        <f t="shared" si="170"/>
        <v>2022</v>
      </c>
      <c r="AD2005" s="18" t="b">
        <f t="shared" si="172"/>
        <v>1</v>
      </c>
    </row>
    <row r="2006" spans="1:30" ht="14.25" hidden="1" customHeight="1" x14ac:dyDescent="0.2">
      <c r="A2006" s="7" t="s">
        <v>678</v>
      </c>
      <c r="B2006" s="7"/>
      <c r="C2006" s="2" t="s">
        <v>641</v>
      </c>
      <c r="D2006" s="6" t="s">
        <v>649</v>
      </c>
      <c r="E2006" s="32" t="s">
        <v>651</v>
      </c>
      <c r="F2006" s="7"/>
      <c r="G2006" s="7"/>
      <c r="H2006" s="7"/>
      <c r="I2006" s="7"/>
      <c r="J2006" s="7"/>
      <c r="K2006" s="7"/>
      <c r="L2006" s="7" t="s">
        <v>662</v>
      </c>
      <c r="M2006" s="8">
        <v>44562</v>
      </c>
      <c r="N2006" s="8">
        <v>44562</v>
      </c>
      <c r="O2006" s="13">
        <v>5714285.71</v>
      </c>
      <c r="P2006" s="13"/>
      <c r="Q2006" s="33"/>
      <c r="R2006" s="9"/>
      <c r="S2006" s="9"/>
      <c r="T2006" s="9"/>
      <c r="U2006" s="9"/>
      <c r="X2006" s="15" t="str">
        <f>IF(B2006="",VLOOKUP(A2006,items_lookup!A:B,2,FALSE),B2006)</f>
        <v>13. Item 13</v>
      </c>
      <c r="Y2006" s="15">
        <f t="shared" si="171"/>
        <v>1</v>
      </c>
      <c r="Z2006" s="15">
        <f t="shared" si="171"/>
        <v>1</v>
      </c>
      <c r="AA2006" s="15">
        <f t="shared" si="168"/>
        <v>2022</v>
      </c>
      <c r="AB2006" s="15">
        <f t="shared" si="169"/>
        <v>2022</v>
      </c>
      <c r="AC2006" s="15">
        <f t="shared" si="170"/>
        <v>2022</v>
      </c>
      <c r="AD2006" s="18" t="b">
        <f t="shared" si="172"/>
        <v>1</v>
      </c>
    </row>
    <row r="2007" spans="1:30" ht="12" hidden="1" customHeight="1" x14ac:dyDescent="0.2">
      <c r="A2007" s="7" t="s">
        <v>678</v>
      </c>
      <c r="B2007" s="7"/>
      <c r="C2007" s="2" t="s">
        <v>641</v>
      </c>
      <c r="D2007" s="6" t="s">
        <v>649</v>
      </c>
      <c r="E2007" s="32" t="s">
        <v>651</v>
      </c>
      <c r="F2007" s="7"/>
      <c r="G2007" s="7"/>
      <c r="H2007" s="7"/>
      <c r="I2007" s="7"/>
      <c r="J2007" s="7"/>
      <c r="K2007" s="7"/>
      <c r="L2007" s="7" t="s">
        <v>662</v>
      </c>
      <c r="M2007" s="8">
        <v>44562</v>
      </c>
      <c r="N2007" s="8">
        <v>44562</v>
      </c>
      <c r="O2007" s="13">
        <v>10294285.710000001</v>
      </c>
      <c r="P2007" s="13"/>
      <c r="Q2007" s="33"/>
      <c r="R2007" s="9"/>
      <c r="S2007" s="9"/>
      <c r="T2007" s="9"/>
      <c r="U2007" s="9"/>
      <c r="X2007" s="15" t="str">
        <f>IF(B2007="",VLOOKUP(A2007,items_lookup!A:B,2,FALSE),B2007)</f>
        <v>13. Item 13</v>
      </c>
      <c r="Y2007" s="15">
        <f t="shared" si="171"/>
        <v>1</v>
      </c>
      <c r="Z2007" s="15">
        <f t="shared" si="171"/>
        <v>1</v>
      </c>
      <c r="AA2007" s="15">
        <f t="shared" si="168"/>
        <v>2022</v>
      </c>
      <c r="AB2007" s="15">
        <f t="shared" si="169"/>
        <v>2022</v>
      </c>
      <c r="AC2007" s="15">
        <f t="shared" si="170"/>
        <v>2022</v>
      </c>
      <c r="AD2007" s="18" t="b">
        <f t="shared" si="172"/>
        <v>1</v>
      </c>
    </row>
    <row r="2008" spans="1:30" ht="15" hidden="1" customHeight="1" x14ac:dyDescent="0.2">
      <c r="A2008" s="7" t="s">
        <v>675</v>
      </c>
      <c r="B2008" s="7"/>
      <c r="C2008" s="2" t="s">
        <v>641</v>
      </c>
      <c r="D2008" s="6" t="s">
        <v>649</v>
      </c>
      <c r="E2008" s="32" t="s">
        <v>651</v>
      </c>
      <c r="F2008" s="7" t="s">
        <v>20</v>
      </c>
      <c r="G2008" s="7"/>
      <c r="H2008" s="7"/>
      <c r="I2008" s="7"/>
      <c r="J2008" s="7"/>
      <c r="K2008" s="7"/>
      <c r="L2008" s="7" t="s">
        <v>662</v>
      </c>
      <c r="M2008" s="8">
        <v>44562</v>
      </c>
      <c r="N2008" s="8">
        <v>44562</v>
      </c>
      <c r="O2008" s="13">
        <v>452285.71</v>
      </c>
      <c r="P2008" s="13"/>
      <c r="Q2008" s="33"/>
      <c r="R2008" s="9"/>
      <c r="S2008" s="9"/>
      <c r="T2008" s="9"/>
      <c r="U2008" s="9"/>
      <c r="X2008" s="15" t="str">
        <f>IF(B2008="",VLOOKUP(A2008,items_lookup!A:B,2,FALSE),B2008)</f>
        <v>09. Item 09</v>
      </c>
      <c r="Y2008" s="15">
        <f t="shared" si="171"/>
        <v>1</v>
      </c>
      <c r="Z2008" s="15">
        <f t="shared" si="171"/>
        <v>1</v>
      </c>
      <c r="AA2008" s="15">
        <f t="shared" si="168"/>
        <v>2022</v>
      </c>
      <c r="AB2008" s="15">
        <f t="shared" si="169"/>
        <v>2022</v>
      </c>
      <c r="AC2008" s="15">
        <f t="shared" si="170"/>
        <v>2021</v>
      </c>
      <c r="AD2008" s="18" t="b">
        <f t="shared" si="172"/>
        <v>1</v>
      </c>
    </row>
    <row r="2009" spans="1:30" ht="15" hidden="1" customHeight="1" x14ac:dyDescent="0.2">
      <c r="A2009" s="7" t="s">
        <v>675</v>
      </c>
      <c r="B2009" s="7"/>
      <c r="C2009" s="2" t="s">
        <v>641</v>
      </c>
      <c r="D2009" s="6" t="s">
        <v>649</v>
      </c>
      <c r="E2009" s="32" t="s">
        <v>651</v>
      </c>
      <c r="F2009" s="7"/>
      <c r="G2009" s="7"/>
      <c r="H2009" s="7"/>
      <c r="I2009" s="7"/>
      <c r="J2009" s="7"/>
      <c r="K2009" s="7"/>
      <c r="L2009" s="7" t="s">
        <v>662</v>
      </c>
      <c r="M2009" s="8">
        <v>44562</v>
      </c>
      <c r="N2009" s="8">
        <v>44562</v>
      </c>
      <c r="O2009" s="13">
        <v>135952.38</v>
      </c>
      <c r="P2009" s="13"/>
      <c r="Q2009" s="33"/>
      <c r="R2009" s="9"/>
      <c r="S2009" s="9"/>
      <c r="T2009" s="9"/>
      <c r="U2009" s="9"/>
      <c r="X2009" s="15" t="str">
        <f>IF(B2009="",VLOOKUP(A2009,items_lookup!A:B,2,FALSE),B2009)</f>
        <v>09. Item 09</v>
      </c>
      <c r="Y2009" s="15">
        <f t="shared" si="171"/>
        <v>1</v>
      </c>
      <c r="Z2009" s="15">
        <f t="shared" si="171"/>
        <v>1</v>
      </c>
      <c r="AA2009" s="15">
        <f t="shared" si="168"/>
        <v>2022</v>
      </c>
      <c r="AB2009" s="15">
        <f t="shared" si="169"/>
        <v>2022</v>
      </c>
      <c r="AC2009" s="15">
        <f t="shared" si="170"/>
        <v>2022</v>
      </c>
      <c r="AD2009" s="18" t="b">
        <f t="shared" si="172"/>
        <v>1</v>
      </c>
    </row>
    <row r="2010" spans="1:30" ht="15" hidden="1" customHeight="1" x14ac:dyDescent="0.2">
      <c r="A2010" s="7" t="s">
        <v>675</v>
      </c>
      <c r="B2010" s="20"/>
      <c r="C2010" s="2" t="s">
        <v>641</v>
      </c>
      <c r="D2010" s="6" t="s">
        <v>649</v>
      </c>
      <c r="E2010" s="32" t="s">
        <v>651</v>
      </c>
      <c r="F2010" s="7"/>
      <c r="G2010" s="7"/>
      <c r="H2010" s="7"/>
      <c r="I2010" s="7"/>
      <c r="J2010" s="7"/>
      <c r="K2010" s="7"/>
      <c r="L2010" s="7" t="s">
        <v>662</v>
      </c>
      <c r="M2010" s="8">
        <v>44562</v>
      </c>
      <c r="N2010" s="8">
        <v>44562</v>
      </c>
      <c r="O2010" s="13">
        <v>2914285.71</v>
      </c>
      <c r="P2010" s="13"/>
      <c r="Q2010" s="33"/>
      <c r="R2010" s="9"/>
      <c r="S2010" s="9"/>
      <c r="T2010" s="9"/>
      <c r="U2010" s="9"/>
      <c r="X2010" s="15" t="str">
        <f>IF(B2010="",VLOOKUP(A2010,items_lookup!A:B,2,FALSE),B2010)</f>
        <v>09. Item 09</v>
      </c>
      <c r="Y2010" s="15">
        <f t="shared" si="171"/>
        <v>1</v>
      </c>
      <c r="Z2010" s="15">
        <f t="shared" si="171"/>
        <v>1</v>
      </c>
      <c r="AA2010" s="15">
        <f t="shared" si="168"/>
        <v>2022</v>
      </c>
      <c r="AB2010" s="15">
        <f t="shared" si="169"/>
        <v>2022</v>
      </c>
      <c r="AC2010" s="15">
        <f t="shared" si="170"/>
        <v>2022</v>
      </c>
      <c r="AD2010" s="18" t="b">
        <f t="shared" si="172"/>
        <v>1</v>
      </c>
    </row>
    <row r="2011" spans="1:30" ht="15" hidden="1" customHeight="1" x14ac:dyDescent="0.2">
      <c r="A2011" s="7" t="s">
        <v>675</v>
      </c>
      <c r="B2011" s="7"/>
      <c r="C2011" s="2" t="s">
        <v>641</v>
      </c>
      <c r="D2011" s="6" t="s">
        <v>649</v>
      </c>
      <c r="E2011" s="32" t="s">
        <v>651</v>
      </c>
      <c r="F2011" s="7" t="s">
        <v>20</v>
      </c>
      <c r="G2011" s="7"/>
      <c r="H2011" s="7"/>
      <c r="I2011" s="7"/>
      <c r="J2011" s="7"/>
      <c r="K2011" s="7"/>
      <c r="L2011" s="7" t="s">
        <v>662</v>
      </c>
      <c r="M2011" s="8">
        <v>44562</v>
      </c>
      <c r="N2011" s="8">
        <v>44562</v>
      </c>
      <c r="O2011" s="13">
        <v>197809.52</v>
      </c>
      <c r="P2011" s="13"/>
      <c r="Q2011" s="33"/>
      <c r="R2011" s="9"/>
      <c r="S2011" s="9"/>
      <c r="T2011" s="9"/>
      <c r="U2011" s="9"/>
      <c r="X2011" s="15" t="str">
        <f>IF(B2011="",VLOOKUP(A2011,items_lookup!A:B,2,FALSE),B2011)</f>
        <v>09. Item 09</v>
      </c>
      <c r="Y2011" s="15">
        <f t="shared" si="171"/>
        <v>1</v>
      </c>
      <c r="Z2011" s="15">
        <f t="shared" si="171"/>
        <v>1</v>
      </c>
      <c r="AA2011" s="15">
        <f t="shared" si="168"/>
        <v>2022</v>
      </c>
      <c r="AB2011" s="15">
        <f t="shared" si="169"/>
        <v>2022</v>
      </c>
      <c r="AC2011" s="15">
        <f t="shared" si="170"/>
        <v>2021</v>
      </c>
      <c r="AD2011" s="18" t="b">
        <f t="shared" si="172"/>
        <v>1</v>
      </c>
    </row>
    <row r="2012" spans="1:30" ht="15" hidden="1" customHeight="1" x14ac:dyDescent="0.2">
      <c r="A2012" s="7" t="s">
        <v>675</v>
      </c>
      <c r="B2012" s="7"/>
      <c r="C2012" s="2" t="s">
        <v>641</v>
      </c>
      <c r="D2012" s="6" t="s">
        <v>649</v>
      </c>
      <c r="E2012" s="32" t="s">
        <v>651</v>
      </c>
      <c r="F2012" s="7"/>
      <c r="G2012" s="7"/>
      <c r="H2012" s="7"/>
      <c r="I2012" s="7"/>
      <c r="J2012" s="7"/>
      <c r="K2012" s="7"/>
      <c r="L2012" s="7" t="s">
        <v>662</v>
      </c>
      <c r="M2012" s="8">
        <v>44562</v>
      </c>
      <c r="N2012" s="8">
        <v>44562</v>
      </c>
      <c r="O2012" s="13">
        <v>135476.19</v>
      </c>
      <c r="P2012" s="13"/>
      <c r="Q2012" s="33"/>
      <c r="R2012" s="9"/>
      <c r="S2012" s="9"/>
      <c r="T2012" s="9"/>
      <c r="U2012" s="9"/>
      <c r="X2012" s="15" t="str">
        <f>IF(B2012="",VLOOKUP(A2012,items_lookup!A:B,2,FALSE),B2012)</f>
        <v>09. Item 09</v>
      </c>
      <c r="Y2012" s="15">
        <f t="shared" si="171"/>
        <v>1</v>
      </c>
      <c r="Z2012" s="15">
        <f t="shared" si="171"/>
        <v>1</v>
      </c>
      <c r="AA2012" s="15">
        <f t="shared" si="168"/>
        <v>2022</v>
      </c>
      <c r="AB2012" s="15">
        <f t="shared" si="169"/>
        <v>2022</v>
      </c>
      <c r="AC2012" s="15">
        <f t="shared" si="170"/>
        <v>2022</v>
      </c>
      <c r="AD2012" s="18" t="b">
        <f t="shared" si="172"/>
        <v>1</v>
      </c>
    </row>
    <row r="2013" spans="1:30" ht="15" hidden="1" customHeight="1" x14ac:dyDescent="0.2">
      <c r="A2013" s="7" t="s">
        <v>688</v>
      </c>
      <c r="B2013" s="7"/>
      <c r="C2013" s="2" t="s">
        <v>641</v>
      </c>
      <c r="D2013" s="6" t="s">
        <v>649</v>
      </c>
      <c r="E2013" s="32" t="s">
        <v>651</v>
      </c>
      <c r="F2013" s="7"/>
      <c r="G2013" s="7"/>
      <c r="H2013" s="7"/>
      <c r="I2013" s="7"/>
      <c r="J2013" s="7"/>
      <c r="K2013" s="7"/>
      <c r="L2013" s="7" t="s">
        <v>662</v>
      </c>
      <c r="M2013" s="8">
        <v>44562</v>
      </c>
      <c r="N2013" s="8">
        <v>44562</v>
      </c>
      <c r="O2013" s="13">
        <v>925166.67</v>
      </c>
      <c r="P2013" s="13"/>
      <c r="Q2013" s="33"/>
      <c r="R2013" s="9"/>
      <c r="S2013" s="9"/>
      <c r="T2013" s="9"/>
      <c r="U2013" s="9"/>
      <c r="X2013" s="15" t="str">
        <f>IF(B2013="",VLOOKUP(A2013,items_lookup!A:B,2,FALSE),B2013)</f>
        <v>09. Item 09</v>
      </c>
      <c r="Y2013" s="15">
        <f t="shared" si="171"/>
        <v>1</v>
      </c>
      <c r="Z2013" s="15">
        <f t="shared" si="171"/>
        <v>1</v>
      </c>
      <c r="AA2013" s="15">
        <f t="shared" si="168"/>
        <v>2022</v>
      </c>
      <c r="AB2013" s="15">
        <f t="shared" si="169"/>
        <v>2022</v>
      </c>
      <c r="AC2013" s="15">
        <f t="shared" si="170"/>
        <v>2022</v>
      </c>
      <c r="AD2013" s="18" t="b">
        <f t="shared" si="172"/>
        <v>1</v>
      </c>
    </row>
    <row r="2014" spans="1:30" ht="15" hidden="1" customHeight="1" x14ac:dyDescent="0.2">
      <c r="A2014" s="7" t="s">
        <v>688</v>
      </c>
      <c r="B2014" s="7" t="s">
        <v>712</v>
      </c>
      <c r="C2014" s="2" t="s">
        <v>641</v>
      </c>
      <c r="D2014" s="6" t="s">
        <v>649</v>
      </c>
      <c r="E2014" s="32" t="s">
        <v>651</v>
      </c>
      <c r="F2014" s="7"/>
      <c r="G2014" s="7"/>
      <c r="H2014" s="7"/>
      <c r="I2014" s="7"/>
      <c r="J2014" s="7"/>
      <c r="K2014" s="7"/>
      <c r="L2014" s="7" t="s">
        <v>662</v>
      </c>
      <c r="M2014" s="8">
        <v>44562</v>
      </c>
      <c r="N2014" s="8">
        <v>44562</v>
      </c>
      <c r="O2014" s="13">
        <v>63809.52</v>
      </c>
      <c r="P2014" s="13"/>
      <c r="Q2014" s="33"/>
      <c r="R2014" s="22"/>
      <c r="S2014" s="22"/>
      <c r="T2014" s="22"/>
      <c r="U2014" s="22"/>
      <c r="X2014" s="15" t="str">
        <f>IF(B2014="",VLOOKUP(A2014,items_lookup!A:B,2,FALSE),B2014)</f>
        <v>10. Item 10</v>
      </c>
      <c r="Y2014" s="15">
        <f t="shared" si="171"/>
        <v>1</v>
      </c>
      <c r="Z2014" s="15">
        <f t="shared" si="171"/>
        <v>1</v>
      </c>
      <c r="AA2014" s="15">
        <f t="shared" si="168"/>
        <v>2022</v>
      </c>
      <c r="AB2014" s="15">
        <f t="shared" si="169"/>
        <v>2022</v>
      </c>
      <c r="AC2014" s="15">
        <f t="shared" si="170"/>
        <v>2022</v>
      </c>
      <c r="AD2014" s="18" t="b">
        <f t="shared" si="172"/>
        <v>1</v>
      </c>
    </row>
    <row r="2015" spans="1:30" ht="15" hidden="1" customHeight="1" x14ac:dyDescent="0.2">
      <c r="A2015" s="7" t="s">
        <v>688</v>
      </c>
      <c r="B2015" s="7"/>
      <c r="C2015" s="2" t="s">
        <v>641</v>
      </c>
      <c r="D2015" s="6" t="s">
        <v>649</v>
      </c>
      <c r="E2015" s="32" t="s">
        <v>651</v>
      </c>
      <c r="F2015" s="7"/>
      <c r="G2015" s="7"/>
      <c r="H2015" s="7"/>
      <c r="I2015" s="7"/>
      <c r="J2015" s="7"/>
      <c r="K2015" s="7"/>
      <c r="L2015" s="7" t="s">
        <v>662</v>
      </c>
      <c r="M2015" s="8">
        <v>44562</v>
      </c>
      <c r="N2015" s="8">
        <v>44562</v>
      </c>
      <c r="O2015" s="13">
        <v>48095.24</v>
      </c>
      <c r="P2015" s="13"/>
      <c r="Q2015" s="33"/>
      <c r="R2015" s="22"/>
      <c r="S2015" s="22"/>
      <c r="T2015" s="22"/>
      <c r="U2015" s="22"/>
      <c r="X2015" s="15" t="str">
        <f>IF(B2015="",VLOOKUP(A2015,items_lookup!A:B,2,FALSE),B2015)</f>
        <v>09. Item 09</v>
      </c>
      <c r="Y2015" s="15">
        <f t="shared" si="171"/>
        <v>1</v>
      </c>
      <c r="Z2015" s="15">
        <f t="shared" si="171"/>
        <v>1</v>
      </c>
      <c r="AA2015" s="15">
        <f t="shared" si="168"/>
        <v>2022</v>
      </c>
      <c r="AB2015" s="15">
        <f t="shared" si="169"/>
        <v>2022</v>
      </c>
      <c r="AC2015" s="15">
        <f t="shared" si="170"/>
        <v>2022</v>
      </c>
      <c r="AD2015" s="18" t="b">
        <f t="shared" si="172"/>
        <v>1</v>
      </c>
    </row>
    <row r="2016" spans="1:30" ht="15" hidden="1" customHeight="1" x14ac:dyDescent="0.2">
      <c r="A2016" s="7" t="s">
        <v>672</v>
      </c>
      <c r="B2016" s="20"/>
      <c r="C2016" s="2" t="s">
        <v>641</v>
      </c>
      <c r="D2016" s="6" t="s">
        <v>649</v>
      </c>
      <c r="E2016" s="32" t="s">
        <v>651</v>
      </c>
      <c r="F2016" s="7"/>
      <c r="G2016" s="7"/>
      <c r="H2016" s="7"/>
      <c r="I2016" s="7"/>
      <c r="J2016" s="7"/>
      <c r="K2016" s="7"/>
      <c r="L2016" s="7" t="s">
        <v>662</v>
      </c>
      <c r="M2016" s="8">
        <v>44562</v>
      </c>
      <c r="N2016" s="8">
        <v>44562</v>
      </c>
      <c r="O2016" s="13">
        <v>217142.86</v>
      </c>
      <c r="P2016" s="13"/>
      <c r="Q2016" s="33"/>
      <c r="R2016" s="22"/>
      <c r="S2016" s="22"/>
      <c r="T2016" s="22"/>
      <c r="U2016" s="22"/>
      <c r="X2016" s="15" t="str">
        <f>IF(B2016="",VLOOKUP(A2016,items_lookup!A:B,2,FALSE),B2016)</f>
        <v>05. Item 05</v>
      </c>
      <c r="Y2016" s="15">
        <f t="shared" si="171"/>
        <v>1</v>
      </c>
      <c r="Z2016" s="15">
        <f t="shared" si="171"/>
        <v>1</v>
      </c>
      <c r="AA2016" s="15">
        <f t="shared" si="168"/>
        <v>2022</v>
      </c>
      <c r="AB2016" s="15">
        <f t="shared" si="169"/>
        <v>2022</v>
      </c>
      <c r="AC2016" s="15">
        <f t="shared" si="170"/>
        <v>2022</v>
      </c>
      <c r="AD2016" s="18" t="b">
        <f t="shared" si="172"/>
        <v>1</v>
      </c>
    </row>
    <row r="2017" spans="1:32" ht="13.5" hidden="1" customHeight="1" x14ac:dyDescent="0.2">
      <c r="A2017" s="7" t="s">
        <v>672</v>
      </c>
      <c r="B2017" s="7" t="s">
        <v>710</v>
      </c>
      <c r="C2017" s="2" t="s">
        <v>641</v>
      </c>
      <c r="D2017" s="6" t="s">
        <v>649</v>
      </c>
      <c r="E2017" s="32" t="s">
        <v>651</v>
      </c>
      <c r="F2017" s="7" t="s">
        <v>20</v>
      </c>
      <c r="G2017" s="7"/>
      <c r="H2017" s="7"/>
      <c r="I2017" s="7"/>
      <c r="J2017" s="7"/>
      <c r="K2017" s="7"/>
      <c r="L2017" s="7" t="s">
        <v>662</v>
      </c>
      <c r="M2017" s="8">
        <v>44562</v>
      </c>
      <c r="N2017" s="8">
        <v>44562</v>
      </c>
      <c r="O2017" s="13">
        <v>312380.95</v>
      </c>
      <c r="P2017" s="13"/>
      <c r="Q2017" s="33"/>
      <c r="R2017" s="9"/>
      <c r="S2017" s="9"/>
      <c r="T2017" s="9"/>
      <c r="U2017" s="9"/>
      <c r="X2017" s="15" t="str">
        <f>IF(B2017="",VLOOKUP(A2017,items_lookup!A:B,2,FALSE),B2017)</f>
        <v>13. Item 13</v>
      </c>
      <c r="Y2017" s="15">
        <f t="shared" si="171"/>
        <v>1</v>
      </c>
      <c r="Z2017" s="15">
        <f t="shared" si="171"/>
        <v>1</v>
      </c>
      <c r="AA2017" s="15">
        <f t="shared" si="168"/>
        <v>2022</v>
      </c>
      <c r="AB2017" s="15">
        <f t="shared" si="169"/>
        <v>2022</v>
      </c>
      <c r="AC2017" s="15">
        <f t="shared" si="170"/>
        <v>2021</v>
      </c>
      <c r="AD2017" s="18" t="b">
        <f t="shared" si="172"/>
        <v>1</v>
      </c>
    </row>
    <row r="2018" spans="1:32" ht="15" hidden="1" customHeight="1" x14ac:dyDescent="0.2">
      <c r="A2018" s="7" t="s">
        <v>677</v>
      </c>
      <c r="B2018" s="7" t="s">
        <v>710</v>
      </c>
      <c r="C2018" s="2" t="s">
        <v>641</v>
      </c>
      <c r="D2018" s="6" t="s">
        <v>649</v>
      </c>
      <c r="E2018" s="32" t="s">
        <v>651</v>
      </c>
      <c r="F2018" s="7"/>
      <c r="G2018" s="7"/>
      <c r="H2018" s="7"/>
      <c r="I2018" s="7"/>
      <c r="J2018" s="7"/>
      <c r="K2018" s="7"/>
      <c r="L2018" s="7" t="s">
        <v>662</v>
      </c>
      <c r="M2018" s="8">
        <v>44562</v>
      </c>
      <c r="N2018" s="8">
        <v>44562</v>
      </c>
      <c r="O2018" s="13">
        <v>1830700.79</v>
      </c>
      <c r="P2018" s="13"/>
      <c r="Q2018" s="33"/>
      <c r="R2018" s="22"/>
      <c r="S2018" s="22"/>
      <c r="T2018" s="22"/>
      <c r="U2018" s="22"/>
      <c r="X2018" s="15" t="str">
        <f>IF(B2018="",VLOOKUP(A2018,items_lookup!A:B,2,FALSE),B2018)</f>
        <v>13. Item 13</v>
      </c>
      <c r="Y2018" s="15">
        <f t="shared" si="171"/>
        <v>1</v>
      </c>
      <c r="Z2018" s="15">
        <f t="shared" si="171"/>
        <v>1</v>
      </c>
      <c r="AA2018" s="15">
        <f t="shared" si="168"/>
        <v>2022</v>
      </c>
      <c r="AB2018" s="15">
        <f t="shared" si="169"/>
        <v>2022</v>
      </c>
      <c r="AC2018" s="15">
        <f t="shared" si="170"/>
        <v>2022</v>
      </c>
      <c r="AD2018" s="18" t="b">
        <f t="shared" si="172"/>
        <v>1</v>
      </c>
    </row>
    <row r="2019" spans="1:32" ht="28.5" hidden="1" customHeight="1" x14ac:dyDescent="0.2">
      <c r="A2019" s="7" t="s">
        <v>677</v>
      </c>
      <c r="B2019" s="7"/>
      <c r="C2019" s="2" t="s">
        <v>641</v>
      </c>
      <c r="D2019" s="6" t="s">
        <v>649</v>
      </c>
      <c r="E2019" s="32" t="s">
        <v>651</v>
      </c>
      <c r="F2019" s="7" t="s">
        <v>20</v>
      </c>
      <c r="G2019" s="7"/>
      <c r="H2019" s="7"/>
      <c r="I2019" s="7"/>
      <c r="J2019" s="7"/>
      <c r="K2019" s="7"/>
      <c r="L2019" s="7" t="s">
        <v>662</v>
      </c>
      <c r="M2019" s="8">
        <v>44562</v>
      </c>
      <c r="N2019" s="8">
        <v>44562</v>
      </c>
      <c r="O2019" s="13">
        <v>4571071.43</v>
      </c>
      <c r="P2019" s="13"/>
      <c r="Q2019" s="33"/>
      <c r="R2019" s="22"/>
      <c r="S2019" s="22"/>
      <c r="T2019" s="22"/>
      <c r="U2019" s="22"/>
      <c r="X2019" s="15" t="str">
        <f>IF(B2019="",VLOOKUP(A2019,items_lookup!A:B,2,FALSE),B2019)</f>
        <v>11. Item 11</v>
      </c>
      <c r="Y2019" s="15">
        <f t="shared" si="171"/>
        <v>1</v>
      </c>
      <c r="Z2019" s="15">
        <f t="shared" si="171"/>
        <v>1</v>
      </c>
      <c r="AA2019" s="15">
        <f t="shared" ref="AA2019:AA2076" si="173">YEAR(N2019)</f>
        <v>2022</v>
      </c>
      <c r="AB2019" s="15">
        <f t="shared" ref="AB2019:AB2076" si="174">YEAR(M2019)</f>
        <v>2022</v>
      </c>
      <c r="AC2019" s="15">
        <f t="shared" ref="AC2019:AC2076" si="175">IF(F2019="X",AA2019-1,AA2019)</f>
        <v>2021</v>
      </c>
      <c r="AD2019" s="18" t="b">
        <f t="shared" si="172"/>
        <v>1</v>
      </c>
    </row>
    <row r="2020" spans="1:32" ht="31.5" hidden="1" customHeight="1" x14ac:dyDescent="0.2">
      <c r="A2020" s="7" t="s">
        <v>701</v>
      </c>
      <c r="B2020" s="7"/>
      <c r="C2020" s="2" t="s">
        <v>641</v>
      </c>
      <c r="D2020" s="6" t="s">
        <v>649</v>
      </c>
      <c r="E2020" s="32" t="s">
        <v>651</v>
      </c>
      <c r="F2020" s="7"/>
      <c r="G2020" s="7"/>
      <c r="H2020" s="7"/>
      <c r="I2020" s="7"/>
      <c r="J2020" s="7"/>
      <c r="K2020" s="7"/>
      <c r="L2020" s="7" t="s">
        <v>662</v>
      </c>
      <c r="M2020" s="8">
        <v>44562</v>
      </c>
      <c r="N2020" s="8">
        <v>44562</v>
      </c>
      <c r="O2020" s="13">
        <v>156666.67000000001</v>
      </c>
      <c r="P2020" s="13"/>
      <c r="Q2020" s="33"/>
      <c r="R2020" s="22"/>
      <c r="S2020" s="22"/>
      <c r="T2020" s="22"/>
      <c r="U2020" s="22"/>
      <c r="X2020" s="15" t="str">
        <f>IF(B2020="",VLOOKUP(A2020,items_lookup!A:B,2,FALSE),B2020)</f>
        <v>13. Item 13</v>
      </c>
      <c r="Y2020" s="15">
        <f t="shared" si="171"/>
        <v>1</v>
      </c>
      <c r="Z2020" s="15">
        <f t="shared" si="171"/>
        <v>1</v>
      </c>
      <c r="AA2020" s="15">
        <f t="shared" si="173"/>
        <v>2022</v>
      </c>
      <c r="AB2020" s="15">
        <f t="shared" si="174"/>
        <v>2022</v>
      </c>
      <c r="AC2020" s="15">
        <f t="shared" si="175"/>
        <v>2022</v>
      </c>
      <c r="AD2020" s="18" t="b">
        <f t="shared" si="172"/>
        <v>1</v>
      </c>
      <c r="AF2020"/>
    </row>
    <row r="2021" spans="1:32" ht="30" hidden="1" customHeight="1" x14ac:dyDescent="0.2">
      <c r="A2021" s="7" t="s">
        <v>680</v>
      </c>
      <c r="B2021" s="7"/>
      <c r="C2021" s="2" t="s">
        <v>641</v>
      </c>
      <c r="D2021" s="6" t="s">
        <v>649</v>
      </c>
      <c r="E2021" s="32" t="s">
        <v>651</v>
      </c>
      <c r="F2021" s="7" t="s">
        <v>20</v>
      </c>
      <c r="G2021" s="7"/>
      <c r="H2021" s="7"/>
      <c r="I2021" s="7"/>
      <c r="J2021" s="7"/>
      <c r="K2021" s="7"/>
      <c r="L2021" s="7" t="s">
        <v>662</v>
      </c>
      <c r="M2021" s="8">
        <v>44562</v>
      </c>
      <c r="N2021" s="8">
        <v>44562</v>
      </c>
      <c r="O2021" s="13">
        <v>265380.95</v>
      </c>
      <c r="P2021" s="13"/>
      <c r="Q2021" s="33"/>
      <c r="R2021" s="9"/>
      <c r="S2021" s="9"/>
      <c r="T2021" s="9"/>
      <c r="U2021" s="9"/>
      <c r="X2021" s="15" t="str">
        <f>IF(B2021="",VLOOKUP(A2021,items_lookup!A:B,2,FALSE),B2021)</f>
        <v>13. Item 13</v>
      </c>
      <c r="Y2021" s="15">
        <f t="shared" si="171"/>
        <v>1</v>
      </c>
      <c r="Z2021" s="15">
        <f t="shared" si="171"/>
        <v>1</v>
      </c>
      <c r="AA2021" s="15">
        <f t="shared" si="173"/>
        <v>2022</v>
      </c>
      <c r="AB2021" s="15">
        <f t="shared" si="174"/>
        <v>2022</v>
      </c>
      <c r="AC2021" s="15">
        <f t="shared" si="175"/>
        <v>2021</v>
      </c>
      <c r="AD2021" s="18" t="b">
        <f t="shared" si="172"/>
        <v>1</v>
      </c>
    </row>
    <row r="2022" spans="1:32" ht="15" hidden="1" customHeight="1" x14ac:dyDescent="0.2">
      <c r="A2022" s="7" t="s">
        <v>680</v>
      </c>
      <c r="B2022" s="7"/>
      <c r="C2022" s="2" t="s">
        <v>641</v>
      </c>
      <c r="D2022" s="6" t="s">
        <v>649</v>
      </c>
      <c r="E2022" s="32" t="s">
        <v>651</v>
      </c>
      <c r="F2022" s="7"/>
      <c r="G2022" s="7"/>
      <c r="H2022" s="7"/>
      <c r="I2022" s="7"/>
      <c r="J2022" s="7"/>
      <c r="K2022" s="7"/>
      <c r="L2022" s="7" t="s">
        <v>662</v>
      </c>
      <c r="M2022" s="8">
        <v>44562</v>
      </c>
      <c r="N2022" s="8">
        <v>44562</v>
      </c>
      <c r="O2022" s="13">
        <v>1056880.95</v>
      </c>
      <c r="P2022" s="13"/>
      <c r="Q2022" s="33"/>
      <c r="R2022" s="22"/>
      <c r="S2022" s="22"/>
      <c r="T2022" s="22"/>
      <c r="U2022" s="22"/>
      <c r="X2022" s="15" t="str">
        <f>IF(B2022="",VLOOKUP(A2022,items_lookup!A:B,2,FALSE),B2022)</f>
        <v>13. Item 13</v>
      </c>
      <c r="Y2022" s="15">
        <f t="shared" si="171"/>
        <v>1</v>
      </c>
      <c r="Z2022" s="15">
        <f t="shared" si="171"/>
        <v>1</v>
      </c>
      <c r="AA2022" s="15">
        <f t="shared" si="173"/>
        <v>2022</v>
      </c>
      <c r="AB2022" s="15">
        <f t="shared" si="174"/>
        <v>2022</v>
      </c>
      <c r="AC2022" s="15">
        <f t="shared" si="175"/>
        <v>2022</v>
      </c>
      <c r="AD2022" s="18" t="b">
        <f t="shared" si="172"/>
        <v>1</v>
      </c>
    </row>
    <row r="2023" spans="1:32" ht="15" hidden="1" customHeight="1" x14ac:dyDescent="0.2">
      <c r="A2023" s="7" t="s">
        <v>683</v>
      </c>
      <c r="B2023" s="7"/>
      <c r="C2023" s="2" t="s">
        <v>641</v>
      </c>
      <c r="D2023" s="6" t="s">
        <v>649</v>
      </c>
      <c r="E2023" s="32" t="s">
        <v>651</v>
      </c>
      <c r="F2023" s="7"/>
      <c r="G2023" s="7"/>
      <c r="H2023" s="7"/>
      <c r="I2023" s="7"/>
      <c r="J2023" s="7"/>
      <c r="K2023" s="7"/>
      <c r="L2023" s="7" t="s">
        <v>662</v>
      </c>
      <c r="M2023" s="8">
        <v>44562</v>
      </c>
      <c r="N2023" s="8">
        <v>44562</v>
      </c>
      <c r="O2023" s="13">
        <v>5931705.7599999998</v>
      </c>
      <c r="P2023" s="13"/>
      <c r="Q2023" s="33"/>
      <c r="R2023" s="22"/>
      <c r="S2023" s="22"/>
      <c r="T2023" s="22"/>
      <c r="U2023" s="22"/>
      <c r="X2023" s="15" t="str">
        <f>IF(B2023="",VLOOKUP(A2023,items_lookup!A:B,2,FALSE),B2023)</f>
        <v>_1. Item _1</v>
      </c>
      <c r="Y2023" s="15">
        <f t="shared" si="171"/>
        <v>1</v>
      </c>
      <c r="Z2023" s="15">
        <f t="shared" si="171"/>
        <v>1</v>
      </c>
      <c r="AA2023" s="15">
        <f t="shared" si="173"/>
        <v>2022</v>
      </c>
      <c r="AB2023" s="15">
        <f t="shared" si="174"/>
        <v>2022</v>
      </c>
      <c r="AC2023" s="15">
        <f t="shared" si="175"/>
        <v>2022</v>
      </c>
      <c r="AD2023" s="18" t="b">
        <f t="shared" si="172"/>
        <v>1</v>
      </c>
    </row>
    <row r="2024" spans="1:32" ht="15" hidden="1" customHeight="1" x14ac:dyDescent="0.2">
      <c r="A2024" s="7" t="s">
        <v>683</v>
      </c>
      <c r="B2024" s="7"/>
      <c r="C2024" s="2" t="s">
        <v>641</v>
      </c>
      <c r="D2024" s="6" t="s">
        <v>649</v>
      </c>
      <c r="E2024" s="32" t="s">
        <v>651</v>
      </c>
      <c r="F2024" s="7" t="s">
        <v>20</v>
      </c>
      <c r="G2024" s="7"/>
      <c r="H2024" s="7"/>
      <c r="I2024" s="7"/>
      <c r="J2024" s="7"/>
      <c r="K2024" s="7"/>
      <c r="L2024" s="7" t="s">
        <v>662</v>
      </c>
      <c r="M2024" s="8">
        <v>44562</v>
      </c>
      <c r="N2024" s="8">
        <v>44562</v>
      </c>
      <c r="O2024" s="13">
        <v>6756428.5700000003</v>
      </c>
      <c r="P2024" s="13"/>
      <c r="Q2024" s="33"/>
      <c r="R2024" s="22"/>
      <c r="S2024" s="22"/>
      <c r="T2024" s="22"/>
      <c r="U2024" s="22"/>
      <c r="X2024" s="15" t="str">
        <f>IF(B2024="",VLOOKUP(A2024,items_lookup!A:B,2,FALSE),B2024)</f>
        <v>_1. Item _1</v>
      </c>
      <c r="Y2024" s="15">
        <f t="shared" si="171"/>
        <v>1</v>
      </c>
      <c r="Z2024" s="15">
        <f t="shared" si="171"/>
        <v>1</v>
      </c>
      <c r="AA2024" s="15">
        <f t="shared" si="173"/>
        <v>2022</v>
      </c>
      <c r="AB2024" s="15">
        <f t="shared" si="174"/>
        <v>2022</v>
      </c>
      <c r="AC2024" s="15">
        <f t="shared" si="175"/>
        <v>2021</v>
      </c>
      <c r="AD2024" s="18" t="b">
        <f t="shared" si="172"/>
        <v>1</v>
      </c>
    </row>
    <row r="2025" spans="1:32" ht="15" hidden="1" customHeight="1" x14ac:dyDescent="0.2">
      <c r="A2025" s="7" t="s">
        <v>703</v>
      </c>
      <c r="B2025" s="7"/>
      <c r="C2025" s="2" t="s">
        <v>641</v>
      </c>
      <c r="D2025" s="6" t="s">
        <v>649</v>
      </c>
      <c r="E2025" s="32" t="s">
        <v>651</v>
      </c>
      <c r="F2025" s="7"/>
      <c r="G2025" s="7"/>
      <c r="H2025" s="7"/>
      <c r="I2025" s="7"/>
      <c r="J2025" s="7"/>
      <c r="K2025" s="7"/>
      <c r="L2025" s="7" t="s">
        <v>662</v>
      </c>
      <c r="M2025" s="8">
        <v>44562</v>
      </c>
      <c r="N2025" s="8">
        <v>44562</v>
      </c>
      <c r="O2025" s="13">
        <v>453532.33</v>
      </c>
      <c r="P2025" s="13"/>
      <c r="Q2025" s="33"/>
      <c r="R2025" s="22"/>
      <c r="S2025" s="22"/>
      <c r="T2025" s="22"/>
      <c r="U2025" s="22"/>
      <c r="X2025" s="15" t="str">
        <f>IF(B2025="",VLOOKUP(A2025,items_lookup!A:B,2,FALSE),B2025)</f>
        <v>_3. Item _3</v>
      </c>
      <c r="Y2025" s="15">
        <f t="shared" si="171"/>
        <v>1</v>
      </c>
      <c r="Z2025" s="15">
        <f t="shared" si="171"/>
        <v>1</v>
      </c>
      <c r="AA2025" s="15">
        <f t="shared" si="173"/>
        <v>2022</v>
      </c>
      <c r="AB2025" s="15">
        <f t="shared" si="174"/>
        <v>2022</v>
      </c>
      <c r="AC2025" s="15">
        <f t="shared" si="175"/>
        <v>2022</v>
      </c>
      <c r="AD2025" s="18" t="b">
        <f t="shared" si="172"/>
        <v>1</v>
      </c>
    </row>
    <row r="2026" spans="1:32" ht="15" hidden="1" customHeight="1" x14ac:dyDescent="0.2">
      <c r="A2026" s="7" t="s">
        <v>702</v>
      </c>
      <c r="B2026" s="20"/>
      <c r="C2026" s="2" t="s">
        <v>641</v>
      </c>
      <c r="D2026" s="6" t="s">
        <v>649</v>
      </c>
      <c r="E2026" s="32" t="s">
        <v>651</v>
      </c>
      <c r="F2026" s="7" t="s">
        <v>20</v>
      </c>
      <c r="G2026" s="7"/>
      <c r="H2026" s="7"/>
      <c r="I2026" s="7"/>
      <c r="J2026" s="7"/>
      <c r="K2026" s="7"/>
      <c r="L2026" s="7" t="s">
        <v>662</v>
      </c>
      <c r="M2026" s="8">
        <v>44562</v>
      </c>
      <c r="N2026" s="8">
        <v>44562</v>
      </c>
      <c r="O2026" s="13">
        <v>3833333.33</v>
      </c>
      <c r="P2026" s="13"/>
      <c r="Q2026" s="33"/>
      <c r="R2026" s="9"/>
      <c r="S2026" s="9"/>
      <c r="T2026" s="9"/>
      <c r="U2026" s="9"/>
      <c r="X2026" s="15" t="str">
        <f>IF(B2026="",VLOOKUP(A2026,items_lookup!A:B,2,FALSE),B2026)</f>
        <v>17. Item 17</v>
      </c>
      <c r="Y2026" s="15">
        <f t="shared" si="171"/>
        <v>1</v>
      </c>
      <c r="Z2026" s="15">
        <f t="shared" si="171"/>
        <v>1</v>
      </c>
      <c r="AA2026" s="15">
        <f t="shared" si="173"/>
        <v>2022</v>
      </c>
      <c r="AB2026" s="15">
        <f t="shared" si="174"/>
        <v>2022</v>
      </c>
      <c r="AC2026" s="15">
        <f t="shared" si="175"/>
        <v>2021</v>
      </c>
      <c r="AD2026" s="18" t="b">
        <f t="shared" si="172"/>
        <v>1</v>
      </c>
    </row>
    <row r="2027" spans="1:32" ht="15" hidden="1" customHeight="1" x14ac:dyDescent="0.2">
      <c r="A2027" s="7" t="s">
        <v>698</v>
      </c>
      <c r="B2027" s="7" t="s">
        <v>712</v>
      </c>
      <c r="C2027" s="2" t="s">
        <v>641</v>
      </c>
      <c r="D2027" s="6" t="s">
        <v>649</v>
      </c>
      <c r="E2027" s="32" t="s">
        <v>651</v>
      </c>
      <c r="F2027" s="7" t="s">
        <v>20</v>
      </c>
      <c r="G2027" s="7"/>
      <c r="H2027" s="7"/>
      <c r="I2027" s="7"/>
      <c r="J2027" s="7"/>
      <c r="K2027" s="7"/>
      <c r="L2027" s="7" t="s">
        <v>662</v>
      </c>
      <c r="M2027" s="8">
        <v>44562</v>
      </c>
      <c r="N2027" s="8">
        <v>44562</v>
      </c>
      <c r="O2027" s="13">
        <v>17380.95</v>
      </c>
      <c r="P2027" s="13"/>
      <c r="Q2027" s="33"/>
      <c r="R2027" s="22"/>
      <c r="S2027" s="22"/>
      <c r="T2027" s="22"/>
      <c r="U2027" s="22"/>
      <c r="X2027" s="15" t="str">
        <f>IF(B2027="",VLOOKUP(A2027,items_lookup!A:B,2,FALSE),B2027)</f>
        <v>10. Item 10</v>
      </c>
      <c r="Y2027" s="15">
        <f t="shared" si="171"/>
        <v>1</v>
      </c>
      <c r="Z2027" s="15">
        <f t="shared" si="171"/>
        <v>1</v>
      </c>
      <c r="AA2027" s="15">
        <f t="shared" si="173"/>
        <v>2022</v>
      </c>
      <c r="AB2027" s="15">
        <f t="shared" si="174"/>
        <v>2022</v>
      </c>
      <c r="AC2027" s="15">
        <f t="shared" si="175"/>
        <v>2021</v>
      </c>
      <c r="AD2027" s="18" t="b">
        <f t="shared" si="172"/>
        <v>1</v>
      </c>
    </row>
    <row r="2028" spans="1:32" ht="15" hidden="1" customHeight="1" x14ac:dyDescent="0.2">
      <c r="A2028" s="7" t="s">
        <v>690</v>
      </c>
      <c r="B2028" s="7"/>
      <c r="C2028" s="2" t="s">
        <v>641</v>
      </c>
      <c r="D2028" s="6" t="s">
        <v>649</v>
      </c>
      <c r="E2028" s="32" t="s">
        <v>651</v>
      </c>
      <c r="F2028" s="7" t="s">
        <v>20</v>
      </c>
      <c r="G2028" s="7"/>
      <c r="H2028" s="7"/>
      <c r="I2028" s="7"/>
      <c r="J2028" s="7"/>
      <c r="K2028" s="7"/>
      <c r="L2028" s="7" t="s">
        <v>662</v>
      </c>
      <c r="M2028" s="8">
        <v>44562</v>
      </c>
      <c r="N2028" s="8">
        <v>44562</v>
      </c>
      <c r="O2028" s="13">
        <v>28571.43</v>
      </c>
      <c r="P2028" s="13"/>
      <c r="Q2028" s="33"/>
      <c r="R2028" s="9"/>
      <c r="S2028" s="9"/>
      <c r="T2028" s="9"/>
      <c r="U2028" s="9"/>
      <c r="X2028" s="15" t="str">
        <f>IF(B2028="",VLOOKUP(A2028,items_lookup!A:B,2,FALSE),B2028)</f>
        <v>21. Item 21</v>
      </c>
      <c r="Y2028" s="15">
        <f t="shared" si="171"/>
        <v>1</v>
      </c>
      <c r="Z2028" s="15">
        <f t="shared" si="171"/>
        <v>1</v>
      </c>
      <c r="AA2028" s="15">
        <f t="shared" si="173"/>
        <v>2022</v>
      </c>
      <c r="AB2028" s="15">
        <f t="shared" si="174"/>
        <v>2022</v>
      </c>
      <c r="AC2028" s="15">
        <f t="shared" si="175"/>
        <v>2021</v>
      </c>
      <c r="AD2028" s="18" t="b">
        <f t="shared" si="172"/>
        <v>1</v>
      </c>
    </row>
    <row r="2029" spans="1:32" ht="27.75" hidden="1" customHeight="1" x14ac:dyDescent="0.2">
      <c r="A2029" s="7" t="s">
        <v>699</v>
      </c>
      <c r="B2029" s="7"/>
      <c r="C2029" s="2" t="s">
        <v>641</v>
      </c>
      <c r="D2029" s="6" t="s">
        <v>650</v>
      </c>
      <c r="E2029" s="32" t="s">
        <v>651</v>
      </c>
      <c r="F2029" s="7"/>
      <c r="G2029" s="7"/>
      <c r="H2029" s="7"/>
      <c r="I2029" s="7"/>
      <c r="J2029" s="7"/>
      <c r="K2029" s="7"/>
      <c r="L2029" s="7" t="s">
        <v>662</v>
      </c>
      <c r="M2029" s="8">
        <v>44562</v>
      </c>
      <c r="N2029" s="8">
        <v>44562</v>
      </c>
      <c r="O2029" s="13">
        <v>574185.37</v>
      </c>
      <c r="P2029" s="13"/>
      <c r="Q2029" s="33"/>
      <c r="R2029" s="9"/>
      <c r="S2029" s="9"/>
      <c r="T2029" s="9"/>
      <c r="U2029" s="9"/>
      <c r="X2029" s="15" t="str">
        <f>IF(B2029="",VLOOKUP(A2029,items_lookup!A:B,2,FALSE),B2029)</f>
        <v>12. Item 12</v>
      </c>
      <c r="Y2029" s="15">
        <f t="shared" si="171"/>
        <v>1</v>
      </c>
      <c r="Z2029" s="15">
        <f t="shared" si="171"/>
        <v>1</v>
      </c>
      <c r="AA2029" s="15">
        <f t="shared" si="173"/>
        <v>2022</v>
      </c>
      <c r="AB2029" s="15">
        <f t="shared" si="174"/>
        <v>2022</v>
      </c>
      <c r="AC2029" s="15">
        <f t="shared" si="175"/>
        <v>2022</v>
      </c>
      <c r="AD2029" s="18" t="b">
        <f t="shared" si="172"/>
        <v>1</v>
      </c>
    </row>
    <row r="2030" spans="1:32" ht="15" hidden="1" customHeight="1" x14ac:dyDescent="0.2">
      <c r="A2030" s="7" t="s">
        <v>682</v>
      </c>
      <c r="B2030" s="7"/>
      <c r="C2030" s="2" t="s">
        <v>641</v>
      </c>
      <c r="D2030" s="6" t="s">
        <v>650</v>
      </c>
      <c r="E2030" s="32" t="s">
        <v>651</v>
      </c>
      <c r="F2030" s="7"/>
      <c r="G2030" s="7"/>
      <c r="H2030" s="7"/>
      <c r="I2030" s="7"/>
      <c r="J2030" s="7"/>
      <c r="K2030" s="7"/>
      <c r="L2030" s="7" t="s">
        <v>662</v>
      </c>
      <c r="M2030" s="8">
        <v>44562</v>
      </c>
      <c r="N2030" s="8">
        <v>44562</v>
      </c>
      <c r="O2030" s="13">
        <v>326215.40999999997</v>
      </c>
      <c r="P2030" s="13"/>
      <c r="Q2030" s="33"/>
      <c r="R2030" s="9"/>
      <c r="S2030" s="9"/>
      <c r="T2030" s="9"/>
      <c r="U2030" s="9"/>
      <c r="X2030" s="15" t="str">
        <f>IF(B2030="",VLOOKUP(A2030,items_lookup!A:B,2,FALSE),B2030)</f>
        <v>06. Item 06</v>
      </c>
      <c r="Y2030" s="15">
        <f t="shared" si="171"/>
        <v>1</v>
      </c>
      <c r="Z2030" s="15">
        <f t="shared" si="171"/>
        <v>1</v>
      </c>
      <c r="AA2030" s="15">
        <f t="shared" si="173"/>
        <v>2022</v>
      </c>
      <c r="AB2030" s="15">
        <f t="shared" si="174"/>
        <v>2022</v>
      </c>
      <c r="AC2030" s="15">
        <f t="shared" si="175"/>
        <v>2022</v>
      </c>
      <c r="AD2030" s="18" t="b">
        <f t="shared" si="172"/>
        <v>1</v>
      </c>
    </row>
    <row r="2031" spans="1:32" ht="15" hidden="1" customHeight="1" x14ac:dyDescent="0.2">
      <c r="A2031" s="7" t="s">
        <v>683</v>
      </c>
      <c r="B2031" s="7"/>
      <c r="C2031" s="2" t="s">
        <v>641</v>
      </c>
      <c r="D2031" s="6" t="s">
        <v>650</v>
      </c>
      <c r="E2031" s="32" t="s">
        <v>651</v>
      </c>
      <c r="F2031" s="7"/>
      <c r="G2031" s="7"/>
      <c r="H2031" s="7"/>
      <c r="I2031" s="7"/>
      <c r="J2031" s="7"/>
      <c r="K2031" s="7"/>
      <c r="L2031" s="7" t="s">
        <v>662</v>
      </c>
      <c r="M2031" s="8">
        <v>44562</v>
      </c>
      <c r="N2031" s="8">
        <v>44562</v>
      </c>
      <c r="O2031" s="13">
        <v>7857.14</v>
      </c>
      <c r="P2031" s="13"/>
      <c r="Q2031" s="33"/>
      <c r="R2031" s="22"/>
      <c r="S2031" s="22"/>
      <c r="T2031" s="22"/>
      <c r="U2031" s="22"/>
      <c r="X2031" s="15" t="str">
        <f>IF(B2031="",VLOOKUP(A2031,items_lookup!A:B,2,FALSE),B2031)</f>
        <v>_1. Item _1</v>
      </c>
      <c r="Y2031" s="15">
        <f t="shared" si="171"/>
        <v>1</v>
      </c>
      <c r="Z2031" s="15">
        <f t="shared" si="171"/>
        <v>1</v>
      </c>
      <c r="AA2031" s="15">
        <f t="shared" si="173"/>
        <v>2022</v>
      </c>
      <c r="AB2031" s="15">
        <f t="shared" si="174"/>
        <v>2022</v>
      </c>
      <c r="AC2031" s="15">
        <f t="shared" si="175"/>
        <v>2022</v>
      </c>
      <c r="AD2031" s="18" t="b">
        <f t="shared" si="172"/>
        <v>1</v>
      </c>
    </row>
    <row r="2032" spans="1:32" ht="12.6" hidden="1" customHeight="1" x14ac:dyDescent="0.2">
      <c r="A2032" s="7" t="s">
        <v>680</v>
      </c>
      <c r="B2032" s="7"/>
      <c r="C2032" s="2" t="s">
        <v>648</v>
      </c>
      <c r="D2032" s="6" t="s">
        <v>649</v>
      </c>
      <c r="E2032" s="32" t="s">
        <v>651</v>
      </c>
      <c r="F2032" s="7"/>
      <c r="G2032" s="7"/>
      <c r="H2032" s="7"/>
      <c r="I2032" s="7"/>
      <c r="J2032" s="7"/>
      <c r="K2032" s="7"/>
      <c r="L2032" s="7" t="s">
        <v>663</v>
      </c>
      <c r="M2032" s="8">
        <v>44561</v>
      </c>
      <c r="N2032" s="8">
        <v>44561</v>
      </c>
      <c r="O2032" s="13"/>
      <c r="P2032" s="13">
        <v>46503830.859999999</v>
      </c>
      <c r="Q2032" s="33"/>
      <c r="R2032" s="22"/>
      <c r="S2032" s="22"/>
      <c r="T2032" s="22"/>
      <c r="U2032" s="22"/>
      <c r="X2032" s="15" t="str">
        <f>IF(B2032="",VLOOKUP(A2032,items_lookup!A:B,2,FALSE),B2032)</f>
        <v>13. Item 13</v>
      </c>
      <c r="Y2032" s="15">
        <f t="shared" si="171"/>
        <v>12</v>
      </c>
      <c r="Z2032" s="15">
        <f t="shared" si="171"/>
        <v>12</v>
      </c>
      <c r="AA2032" s="15">
        <f t="shared" si="173"/>
        <v>2021</v>
      </c>
      <c r="AB2032" s="15">
        <f t="shared" si="174"/>
        <v>2021</v>
      </c>
      <c r="AC2032" s="15">
        <f t="shared" si="175"/>
        <v>2021</v>
      </c>
      <c r="AD2032" s="18" t="b">
        <f t="shared" si="172"/>
        <v>1</v>
      </c>
    </row>
    <row r="2033" spans="1:30" ht="15" hidden="1" customHeight="1" x14ac:dyDescent="0.2">
      <c r="A2033" s="7" t="s">
        <v>683</v>
      </c>
      <c r="B2033" s="7"/>
      <c r="C2033" s="2" t="s">
        <v>641</v>
      </c>
      <c r="D2033" s="6" t="s">
        <v>649</v>
      </c>
      <c r="E2033" s="32" t="s">
        <v>651</v>
      </c>
      <c r="F2033" s="7"/>
      <c r="G2033" s="7"/>
      <c r="H2033" s="7"/>
      <c r="I2033" s="7" t="s">
        <v>20</v>
      </c>
      <c r="J2033" s="7">
        <v>1</v>
      </c>
      <c r="K2033" s="7" t="s">
        <v>660</v>
      </c>
      <c r="L2033" s="7" t="s">
        <v>663</v>
      </c>
      <c r="M2033" s="8">
        <v>44574</v>
      </c>
      <c r="N2033" s="8">
        <v>44582</v>
      </c>
      <c r="O2033" s="13"/>
      <c r="P2033" s="13">
        <v>2619047.62</v>
      </c>
      <c r="Q2033" s="33"/>
      <c r="R2033" s="22"/>
      <c r="S2033" s="22"/>
      <c r="T2033" s="22"/>
      <c r="U2033" s="22"/>
      <c r="X2033" s="15" t="str">
        <f>IF(B2033="",VLOOKUP(A2033,items_lookup!A:B,2,FALSE),B2033)</f>
        <v>_1. Item _1</v>
      </c>
      <c r="Y2033" s="15">
        <f t="shared" si="171"/>
        <v>1</v>
      </c>
      <c r="Z2033" s="15">
        <f t="shared" si="171"/>
        <v>1</v>
      </c>
      <c r="AA2033" s="15">
        <f t="shared" si="173"/>
        <v>2022</v>
      </c>
      <c r="AB2033" s="15">
        <f t="shared" si="174"/>
        <v>2022</v>
      </c>
      <c r="AC2033" s="15">
        <f t="shared" si="175"/>
        <v>2022</v>
      </c>
      <c r="AD2033" s="18" t="b">
        <f t="shared" si="172"/>
        <v>1</v>
      </c>
    </row>
    <row r="2034" spans="1:30" ht="14.25" hidden="1" customHeight="1" x14ac:dyDescent="0.2">
      <c r="A2034" s="7" t="s">
        <v>683</v>
      </c>
      <c r="B2034" s="7"/>
      <c r="C2034" s="2" t="s">
        <v>641</v>
      </c>
      <c r="D2034" s="6" t="s">
        <v>649</v>
      </c>
      <c r="E2034" s="32" t="s">
        <v>651</v>
      </c>
      <c r="F2034" s="7"/>
      <c r="G2034" s="7"/>
      <c r="H2034" s="7"/>
      <c r="I2034" s="7"/>
      <c r="J2034" s="7">
        <v>1</v>
      </c>
      <c r="K2034" s="7" t="s">
        <v>660</v>
      </c>
      <c r="L2034" s="7" t="s">
        <v>663</v>
      </c>
      <c r="M2034" s="8">
        <v>44575</v>
      </c>
      <c r="N2034" s="8">
        <v>44585</v>
      </c>
      <c r="O2034" s="13"/>
      <c r="P2034" s="13">
        <v>4482.33</v>
      </c>
      <c r="Q2034" s="33"/>
      <c r="R2034" s="22"/>
      <c r="S2034" s="22"/>
      <c r="T2034" s="22"/>
      <c r="U2034" s="22"/>
      <c r="X2034" s="15" t="str">
        <f>IF(B2034="",VLOOKUP(A2034,items_lookup!A:B,2,FALSE),B2034)</f>
        <v>_1. Item _1</v>
      </c>
      <c r="Y2034" s="15">
        <f t="shared" si="171"/>
        <v>1</v>
      </c>
      <c r="Z2034" s="15">
        <f t="shared" si="171"/>
        <v>1</v>
      </c>
      <c r="AA2034" s="15">
        <f t="shared" si="173"/>
        <v>2022</v>
      </c>
      <c r="AB2034" s="15">
        <f t="shared" si="174"/>
        <v>2022</v>
      </c>
      <c r="AC2034" s="15">
        <f t="shared" si="175"/>
        <v>2022</v>
      </c>
      <c r="AD2034" s="18" t="b">
        <f t="shared" si="172"/>
        <v>1</v>
      </c>
    </row>
    <row r="2035" spans="1:30" ht="15" hidden="1" customHeight="1" x14ac:dyDescent="0.2">
      <c r="A2035" s="7" t="s">
        <v>689</v>
      </c>
      <c r="B2035" s="7"/>
      <c r="C2035" s="2" t="s">
        <v>641</v>
      </c>
      <c r="D2035" s="6" t="s">
        <v>650</v>
      </c>
      <c r="E2035" s="32" t="s">
        <v>651</v>
      </c>
      <c r="F2035" s="7"/>
      <c r="G2035" s="7"/>
      <c r="H2035" s="7"/>
      <c r="I2035" s="7"/>
      <c r="J2035" s="7">
        <v>4</v>
      </c>
      <c r="K2035" s="7" t="s">
        <v>660</v>
      </c>
      <c r="L2035" s="7" t="s">
        <v>663</v>
      </c>
      <c r="M2035" s="8">
        <v>44557</v>
      </c>
      <c r="N2035" s="8">
        <v>44575</v>
      </c>
      <c r="O2035" s="13"/>
      <c r="P2035" s="13">
        <v>1008.58</v>
      </c>
      <c r="Q2035" s="33"/>
      <c r="R2035" s="22"/>
      <c r="S2035" s="22"/>
      <c r="T2035" s="22"/>
      <c r="U2035" s="22"/>
      <c r="X2035" s="15" t="str">
        <f>IF(B2035="",VLOOKUP(A2035,items_lookup!A:B,2,FALSE),B2035)</f>
        <v>04. Item 04</v>
      </c>
      <c r="Y2035" s="15">
        <f t="shared" ref="Y2035:Z2092" si="176">MONTH(M2035)</f>
        <v>12</v>
      </c>
      <c r="Z2035" s="15">
        <f t="shared" si="176"/>
        <v>1</v>
      </c>
      <c r="AA2035" s="15">
        <f t="shared" si="173"/>
        <v>2022</v>
      </c>
      <c r="AB2035" s="15">
        <f t="shared" si="174"/>
        <v>2021</v>
      </c>
      <c r="AC2035" s="15">
        <f t="shared" si="175"/>
        <v>2022</v>
      </c>
      <c r="AD2035" s="18" t="b">
        <f t="shared" si="172"/>
        <v>1</v>
      </c>
    </row>
    <row r="2036" spans="1:30" ht="12.6" hidden="1" customHeight="1" x14ac:dyDescent="0.2">
      <c r="A2036" s="7" t="s">
        <v>689</v>
      </c>
      <c r="B2036" s="7"/>
      <c r="C2036" s="2" t="s">
        <v>641</v>
      </c>
      <c r="D2036" s="6" t="s">
        <v>649</v>
      </c>
      <c r="E2036" s="32" t="s">
        <v>651</v>
      </c>
      <c r="F2036" s="7"/>
      <c r="G2036" s="7"/>
      <c r="H2036" s="7"/>
      <c r="I2036" s="7"/>
      <c r="J2036" s="7"/>
      <c r="K2036" s="7" t="s">
        <v>660</v>
      </c>
      <c r="L2036" s="7" t="s">
        <v>663</v>
      </c>
      <c r="M2036" s="8">
        <v>44575</v>
      </c>
      <c r="N2036" s="8">
        <v>44575</v>
      </c>
      <c r="O2036" s="13"/>
      <c r="P2036" s="13">
        <v>1008.58</v>
      </c>
      <c r="Q2036" s="33"/>
      <c r="R2036" s="22"/>
      <c r="S2036" s="22"/>
      <c r="T2036" s="22"/>
      <c r="U2036" s="22"/>
      <c r="X2036" s="15" t="str">
        <f>IF(B2036="",VLOOKUP(A2036,items_lookup!A:B,2,FALSE),B2036)</f>
        <v>04. Item 04</v>
      </c>
      <c r="Y2036" s="15">
        <f t="shared" si="176"/>
        <v>1</v>
      </c>
      <c r="Z2036" s="15">
        <f t="shared" si="176"/>
        <v>1</v>
      </c>
      <c r="AA2036" s="15">
        <f t="shared" si="173"/>
        <v>2022</v>
      </c>
      <c r="AB2036" s="15">
        <f t="shared" si="174"/>
        <v>2022</v>
      </c>
      <c r="AC2036" s="15">
        <f t="shared" si="175"/>
        <v>2022</v>
      </c>
      <c r="AD2036" s="18" t="b">
        <f t="shared" si="172"/>
        <v>1</v>
      </c>
    </row>
    <row r="2037" spans="1:30" ht="15" hidden="1" customHeight="1" x14ac:dyDescent="0.2">
      <c r="A2037" s="7" t="s">
        <v>683</v>
      </c>
      <c r="B2037" s="7"/>
      <c r="C2037" s="2" t="s">
        <v>641</v>
      </c>
      <c r="D2037" s="6" t="s">
        <v>650</v>
      </c>
      <c r="E2037" s="32" t="s">
        <v>651</v>
      </c>
      <c r="F2037" s="7"/>
      <c r="G2037" s="7"/>
      <c r="H2037" s="7"/>
      <c r="I2037" s="7"/>
      <c r="J2037" s="7">
        <v>1</v>
      </c>
      <c r="K2037" s="7" t="s">
        <v>660</v>
      </c>
      <c r="L2037" s="7" t="s">
        <v>663</v>
      </c>
      <c r="M2037" s="8">
        <v>44572</v>
      </c>
      <c r="N2037" s="8">
        <v>44579</v>
      </c>
      <c r="O2037" s="13"/>
      <c r="P2037" s="13">
        <v>4952.38</v>
      </c>
      <c r="Q2037" s="33"/>
      <c r="R2037" s="22"/>
      <c r="S2037" s="22"/>
      <c r="T2037" s="22"/>
      <c r="U2037" s="22"/>
      <c r="X2037" s="15" t="str">
        <f>IF(B2037="",VLOOKUP(A2037,items_lookup!A:B,2,FALSE),B2037)</f>
        <v>_1. Item _1</v>
      </c>
      <c r="Y2037" s="15">
        <f t="shared" si="176"/>
        <v>1</v>
      </c>
      <c r="Z2037" s="15">
        <f t="shared" si="176"/>
        <v>1</v>
      </c>
      <c r="AA2037" s="15">
        <f t="shared" si="173"/>
        <v>2022</v>
      </c>
      <c r="AB2037" s="15">
        <f t="shared" si="174"/>
        <v>2022</v>
      </c>
      <c r="AC2037" s="15">
        <f t="shared" si="175"/>
        <v>2022</v>
      </c>
      <c r="AD2037" s="18" t="b">
        <f t="shared" si="172"/>
        <v>1</v>
      </c>
    </row>
    <row r="2038" spans="1:30" ht="16.5" hidden="1" customHeight="1" x14ac:dyDescent="0.2">
      <c r="A2038" s="7" t="s">
        <v>676</v>
      </c>
      <c r="B2038" s="7"/>
      <c r="C2038" s="2" t="s">
        <v>641</v>
      </c>
      <c r="D2038" s="6" t="s">
        <v>649</v>
      </c>
      <c r="E2038" s="32" t="s">
        <v>651</v>
      </c>
      <c r="F2038" s="7" t="s">
        <v>20</v>
      </c>
      <c r="G2038" s="7"/>
      <c r="H2038" s="7"/>
      <c r="I2038" s="7"/>
      <c r="J2038" s="7">
        <v>1</v>
      </c>
      <c r="K2038" s="7" t="s">
        <v>660</v>
      </c>
      <c r="L2038" s="7" t="s">
        <v>663</v>
      </c>
      <c r="M2038" s="8">
        <v>44575</v>
      </c>
      <c r="N2038" s="8">
        <v>44587</v>
      </c>
      <c r="O2038" s="13"/>
      <c r="P2038" s="13">
        <v>15245.85</v>
      </c>
      <c r="Q2038" s="33"/>
      <c r="R2038" s="22"/>
      <c r="S2038" s="22"/>
      <c r="T2038" s="22"/>
      <c r="U2038" s="22"/>
      <c r="X2038" s="15" t="str">
        <f>IF(B2038="",VLOOKUP(A2038,items_lookup!A:B,2,FALSE),B2038)</f>
        <v>09. Item 09</v>
      </c>
      <c r="Y2038" s="15">
        <f t="shared" si="176"/>
        <v>1</v>
      </c>
      <c r="Z2038" s="15">
        <f t="shared" si="176"/>
        <v>1</v>
      </c>
      <c r="AA2038" s="15">
        <f t="shared" si="173"/>
        <v>2022</v>
      </c>
      <c r="AB2038" s="15">
        <f t="shared" si="174"/>
        <v>2022</v>
      </c>
      <c r="AC2038" s="15">
        <f t="shared" si="175"/>
        <v>2021</v>
      </c>
      <c r="AD2038" s="18" t="b">
        <f t="shared" si="172"/>
        <v>1</v>
      </c>
    </row>
    <row r="2039" spans="1:30" ht="15" hidden="1" customHeight="1" x14ac:dyDescent="0.2">
      <c r="A2039" s="7" t="s">
        <v>692</v>
      </c>
      <c r="B2039" s="7"/>
      <c r="C2039" s="2" t="s">
        <v>641</v>
      </c>
      <c r="D2039" s="6" t="s">
        <v>649</v>
      </c>
      <c r="E2039" s="32" t="s">
        <v>651</v>
      </c>
      <c r="F2039" s="7"/>
      <c r="G2039" s="7"/>
      <c r="H2039" s="7"/>
      <c r="I2039" s="7"/>
      <c r="J2039" s="7">
        <v>1</v>
      </c>
      <c r="K2039" s="7" t="s">
        <v>660</v>
      </c>
      <c r="L2039" s="7" t="s">
        <v>663</v>
      </c>
      <c r="M2039" s="8">
        <v>44575</v>
      </c>
      <c r="N2039" s="8">
        <v>44587</v>
      </c>
      <c r="O2039" s="13"/>
      <c r="P2039" s="13">
        <v>59327.19</v>
      </c>
      <c r="Q2039" s="33"/>
      <c r="R2039" s="22"/>
      <c r="S2039" s="22"/>
      <c r="T2039" s="22"/>
      <c r="U2039" s="22"/>
      <c r="X2039" s="15" t="str">
        <f>IF(B2039="",VLOOKUP(A2039,items_lookup!A:B,2,FALSE),B2039)</f>
        <v>03. Item 03</v>
      </c>
      <c r="Y2039" s="15">
        <f t="shared" si="176"/>
        <v>1</v>
      </c>
      <c r="Z2039" s="15">
        <f t="shared" si="176"/>
        <v>1</v>
      </c>
      <c r="AA2039" s="15">
        <f t="shared" si="173"/>
        <v>2022</v>
      </c>
      <c r="AB2039" s="15">
        <f t="shared" si="174"/>
        <v>2022</v>
      </c>
      <c r="AC2039" s="15">
        <f t="shared" si="175"/>
        <v>2022</v>
      </c>
      <c r="AD2039" s="18" t="b">
        <f t="shared" si="172"/>
        <v>1</v>
      </c>
    </row>
    <row r="2040" spans="1:30" ht="15" hidden="1" customHeight="1" x14ac:dyDescent="0.2">
      <c r="A2040" s="7" t="s">
        <v>675</v>
      </c>
      <c r="B2040" s="20"/>
      <c r="C2040" s="2" t="s">
        <v>641</v>
      </c>
      <c r="D2040" s="6" t="s">
        <v>649</v>
      </c>
      <c r="E2040" s="32" t="s">
        <v>651</v>
      </c>
      <c r="F2040" s="7"/>
      <c r="G2040" s="7"/>
      <c r="H2040" s="7"/>
      <c r="I2040" s="7"/>
      <c r="J2040" s="7">
        <v>1</v>
      </c>
      <c r="K2040" s="7" t="s">
        <v>660</v>
      </c>
      <c r="L2040" s="7" t="s">
        <v>663</v>
      </c>
      <c r="M2040" s="8">
        <v>44578</v>
      </c>
      <c r="N2040" s="8">
        <v>44581</v>
      </c>
      <c r="O2040" s="13"/>
      <c r="P2040" s="13">
        <v>222.26</v>
      </c>
      <c r="Q2040" s="33"/>
      <c r="R2040" s="22"/>
      <c r="S2040" s="22"/>
      <c r="T2040" s="22"/>
      <c r="U2040" s="22"/>
      <c r="X2040" s="15" t="str">
        <f>IF(B2040="",VLOOKUP(A2040,items_lookup!A:B,2,FALSE),B2040)</f>
        <v>09. Item 09</v>
      </c>
      <c r="Y2040" s="15">
        <f t="shared" si="176"/>
        <v>1</v>
      </c>
      <c r="Z2040" s="15">
        <f t="shared" si="176"/>
        <v>1</v>
      </c>
      <c r="AA2040" s="15">
        <f t="shared" si="173"/>
        <v>2022</v>
      </c>
      <c r="AB2040" s="15">
        <f t="shared" si="174"/>
        <v>2022</v>
      </c>
      <c r="AC2040" s="15">
        <f t="shared" si="175"/>
        <v>2022</v>
      </c>
      <c r="AD2040" s="18" t="b">
        <f t="shared" si="172"/>
        <v>1</v>
      </c>
    </row>
    <row r="2041" spans="1:30" ht="15.75" hidden="1" customHeight="1" x14ac:dyDescent="0.2">
      <c r="A2041" s="7" t="s">
        <v>675</v>
      </c>
      <c r="B2041" s="7"/>
      <c r="C2041" s="2" t="s">
        <v>641</v>
      </c>
      <c r="D2041" s="6" t="s">
        <v>649</v>
      </c>
      <c r="E2041" s="32" t="s">
        <v>651</v>
      </c>
      <c r="F2041" s="7"/>
      <c r="G2041" s="7"/>
      <c r="H2041" s="7"/>
      <c r="I2041" s="7"/>
      <c r="J2041" s="7">
        <v>1</v>
      </c>
      <c r="K2041" s="7" t="s">
        <v>660</v>
      </c>
      <c r="L2041" s="7" t="s">
        <v>663</v>
      </c>
      <c r="M2041" s="8">
        <v>44578</v>
      </c>
      <c r="N2041" s="8">
        <v>44592</v>
      </c>
      <c r="O2041" s="13"/>
      <c r="P2041" s="13">
        <v>42523.33</v>
      </c>
      <c r="Q2041" s="33"/>
      <c r="R2041" s="22"/>
      <c r="S2041" s="22"/>
      <c r="T2041" s="22"/>
      <c r="U2041" s="22"/>
      <c r="X2041" s="15" t="str">
        <f>IF(B2041="",VLOOKUP(A2041,items_lookup!A:B,2,FALSE),B2041)</f>
        <v>09. Item 09</v>
      </c>
      <c r="Y2041" s="15">
        <f t="shared" si="176"/>
        <v>1</v>
      </c>
      <c r="Z2041" s="15">
        <f t="shared" si="176"/>
        <v>1</v>
      </c>
      <c r="AA2041" s="15">
        <f t="shared" si="173"/>
        <v>2022</v>
      </c>
      <c r="AB2041" s="15">
        <f t="shared" si="174"/>
        <v>2022</v>
      </c>
      <c r="AC2041" s="15">
        <f t="shared" si="175"/>
        <v>2022</v>
      </c>
      <c r="AD2041" s="18" t="b">
        <f t="shared" si="172"/>
        <v>1</v>
      </c>
    </row>
    <row r="2042" spans="1:30" ht="15" hidden="1" customHeight="1" x14ac:dyDescent="0.2">
      <c r="A2042" s="7" t="s">
        <v>687</v>
      </c>
      <c r="B2042" s="20"/>
      <c r="C2042" s="2" t="s">
        <v>641</v>
      </c>
      <c r="D2042" s="6" t="s">
        <v>649</v>
      </c>
      <c r="E2042" s="32" t="s">
        <v>651</v>
      </c>
      <c r="F2042" s="7"/>
      <c r="G2042" s="7"/>
      <c r="H2042" s="7"/>
      <c r="I2042" s="7" t="s">
        <v>20</v>
      </c>
      <c r="J2042" s="7">
        <v>1</v>
      </c>
      <c r="K2042" s="7" t="s">
        <v>660</v>
      </c>
      <c r="L2042" s="7" t="s">
        <v>663</v>
      </c>
      <c r="M2042" s="8">
        <v>44575</v>
      </c>
      <c r="N2042" s="8">
        <v>44586</v>
      </c>
      <c r="O2042" s="13"/>
      <c r="P2042" s="13">
        <v>282.94</v>
      </c>
      <c r="Q2042" s="33"/>
      <c r="R2042" s="9"/>
      <c r="S2042" s="9"/>
      <c r="T2042" s="9"/>
      <c r="U2042" s="9"/>
      <c r="X2042" s="15" t="str">
        <f>IF(B2042="",VLOOKUP(A2042,items_lookup!A:B,2,FALSE),B2042)</f>
        <v>14. Item 14</v>
      </c>
      <c r="Y2042" s="15">
        <f t="shared" si="176"/>
        <v>1</v>
      </c>
      <c r="Z2042" s="15">
        <f t="shared" si="176"/>
        <v>1</v>
      </c>
      <c r="AA2042" s="15">
        <f t="shared" si="173"/>
        <v>2022</v>
      </c>
      <c r="AB2042" s="15">
        <f t="shared" si="174"/>
        <v>2022</v>
      </c>
      <c r="AC2042" s="15">
        <f t="shared" si="175"/>
        <v>2022</v>
      </c>
      <c r="AD2042" s="18" t="b">
        <f t="shared" si="172"/>
        <v>1</v>
      </c>
    </row>
    <row r="2043" spans="1:30" ht="15" hidden="1" customHeight="1" x14ac:dyDescent="0.2">
      <c r="A2043" s="7" t="s">
        <v>675</v>
      </c>
      <c r="B2043" s="20"/>
      <c r="C2043" s="2" t="s">
        <v>641</v>
      </c>
      <c r="D2043" s="6" t="s">
        <v>649</v>
      </c>
      <c r="E2043" s="32" t="s">
        <v>651</v>
      </c>
      <c r="F2043" s="7"/>
      <c r="G2043" s="7"/>
      <c r="H2043" s="7"/>
      <c r="I2043" s="7"/>
      <c r="J2043" s="7">
        <v>1</v>
      </c>
      <c r="K2043" s="7" t="s">
        <v>660</v>
      </c>
      <c r="L2043" s="7" t="s">
        <v>663</v>
      </c>
      <c r="M2043" s="8">
        <v>44575</v>
      </c>
      <c r="N2043" s="8">
        <v>44586</v>
      </c>
      <c r="O2043" s="13"/>
      <c r="P2043" s="13">
        <v>453249.4</v>
      </c>
      <c r="Q2043" s="33"/>
      <c r="R2043" s="9"/>
      <c r="S2043" s="9"/>
      <c r="T2043" s="9"/>
      <c r="U2043" s="9"/>
      <c r="X2043" s="15" t="str">
        <f>IF(B2043="",VLOOKUP(A2043,items_lookup!A:B,2,FALSE),B2043)</f>
        <v>09. Item 09</v>
      </c>
      <c r="Y2043" s="15">
        <f t="shared" si="176"/>
        <v>1</v>
      </c>
      <c r="Z2043" s="15">
        <f t="shared" si="176"/>
        <v>1</v>
      </c>
      <c r="AA2043" s="15">
        <f t="shared" si="173"/>
        <v>2022</v>
      </c>
      <c r="AB2043" s="15">
        <f t="shared" si="174"/>
        <v>2022</v>
      </c>
      <c r="AC2043" s="15">
        <f t="shared" si="175"/>
        <v>2022</v>
      </c>
      <c r="AD2043" s="18" t="b">
        <f t="shared" si="172"/>
        <v>1</v>
      </c>
    </row>
    <row r="2044" spans="1:30" ht="15" hidden="1" customHeight="1" x14ac:dyDescent="0.2">
      <c r="A2044" s="7" t="s">
        <v>675</v>
      </c>
      <c r="B2044" s="7"/>
      <c r="C2044" s="2" t="s">
        <v>641</v>
      </c>
      <c r="D2044" s="6" t="s">
        <v>649</v>
      </c>
      <c r="E2044" s="32" t="s">
        <v>651</v>
      </c>
      <c r="F2044" s="7"/>
      <c r="G2044" s="7"/>
      <c r="H2044" s="7"/>
      <c r="I2044" s="7"/>
      <c r="J2044" s="7">
        <v>3</v>
      </c>
      <c r="K2044" s="7" t="s">
        <v>660</v>
      </c>
      <c r="L2044" s="7" t="s">
        <v>663</v>
      </c>
      <c r="M2044" s="8">
        <v>44575</v>
      </c>
      <c r="N2044" s="8">
        <v>44589</v>
      </c>
      <c r="O2044" s="13"/>
      <c r="P2044" s="13">
        <v>6286430.6299999999</v>
      </c>
      <c r="Q2044" s="33"/>
      <c r="R2044" s="22"/>
      <c r="S2044" s="22"/>
      <c r="T2044" s="22"/>
      <c r="U2044" s="22"/>
      <c r="X2044" s="15" t="str">
        <f>IF(B2044="",VLOOKUP(A2044,items_lookup!A:B,2,FALSE),B2044)</f>
        <v>09. Item 09</v>
      </c>
      <c r="Y2044" s="15">
        <f t="shared" si="176"/>
        <v>1</v>
      </c>
      <c r="Z2044" s="15">
        <f t="shared" si="176"/>
        <v>1</v>
      </c>
      <c r="AA2044" s="15">
        <f t="shared" si="173"/>
        <v>2022</v>
      </c>
      <c r="AB2044" s="15">
        <f t="shared" si="174"/>
        <v>2022</v>
      </c>
      <c r="AC2044" s="15">
        <f t="shared" si="175"/>
        <v>2022</v>
      </c>
      <c r="AD2044" s="18" t="b">
        <f t="shared" si="172"/>
        <v>1</v>
      </c>
    </row>
    <row r="2045" spans="1:30" ht="15" hidden="1" customHeight="1" x14ac:dyDescent="0.2">
      <c r="A2045" s="7" t="s">
        <v>671</v>
      </c>
      <c r="B2045" s="7"/>
      <c r="C2045" s="2" t="s">
        <v>641</v>
      </c>
      <c r="D2045" s="6" t="s">
        <v>649</v>
      </c>
      <c r="E2045" s="32" t="s">
        <v>651</v>
      </c>
      <c r="F2045" s="7"/>
      <c r="G2045" s="7"/>
      <c r="H2045" s="7"/>
      <c r="I2045" s="7"/>
      <c r="J2045" s="7">
        <v>3</v>
      </c>
      <c r="K2045" s="7" t="s">
        <v>660</v>
      </c>
      <c r="L2045" s="7" t="s">
        <v>663</v>
      </c>
      <c r="M2045" s="8">
        <v>44578</v>
      </c>
      <c r="N2045" s="8">
        <v>44589</v>
      </c>
      <c r="O2045" s="13"/>
      <c r="P2045" s="13">
        <v>9437914.2400000002</v>
      </c>
      <c r="Q2045" s="33"/>
      <c r="R2045" s="22"/>
      <c r="S2045" s="22"/>
      <c r="T2045" s="22"/>
      <c r="U2045" s="22"/>
      <c r="X2045" s="15" t="str">
        <f>IF(B2045="",VLOOKUP(A2045,items_lookup!A:B,2,FALSE),B2045)</f>
        <v>05. Item 05</v>
      </c>
      <c r="Y2045" s="15">
        <f t="shared" si="176"/>
        <v>1</v>
      </c>
      <c r="Z2045" s="15">
        <f t="shared" si="176"/>
        <v>1</v>
      </c>
      <c r="AA2045" s="15">
        <f t="shared" si="173"/>
        <v>2022</v>
      </c>
      <c r="AB2045" s="15">
        <f t="shared" si="174"/>
        <v>2022</v>
      </c>
      <c r="AC2045" s="15">
        <f t="shared" si="175"/>
        <v>2022</v>
      </c>
      <c r="AD2045" s="18" t="b">
        <f t="shared" si="172"/>
        <v>1</v>
      </c>
    </row>
    <row r="2046" spans="1:30" ht="15" hidden="1" customHeight="1" x14ac:dyDescent="0.2">
      <c r="A2046" s="7" t="s">
        <v>688</v>
      </c>
      <c r="B2046" s="7"/>
      <c r="C2046" s="2" t="s">
        <v>641</v>
      </c>
      <c r="D2046" s="6" t="s">
        <v>649</v>
      </c>
      <c r="E2046" s="32" t="s">
        <v>651</v>
      </c>
      <c r="F2046" s="7"/>
      <c r="G2046" s="7"/>
      <c r="H2046" s="7"/>
      <c r="I2046" s="7"/>
      <c r="J2046" s="7">
        <v>3</v>
      </c>
      <c r="K2046" s="7" t="s">
        <v>660</v>
      </c>
      <c r="L2046" s="7" t="s">
        <v>663</v>
      </c>
      <c r="M2046" s="8">
        <v>44578</v>
      </c>
      <c r="N2046" s="8">
        <v>44586</v>
      </c>
      <c r="O2046" s="13"/>
      <c r="P2046" s="13">
        <v>135476.19</v>
      </c>
      <c r="Q2046" s="33"/>
      <c r="R2046" s="22"/>
      <c r="S2046" s="22"/>
      <c r="T2046" s="22"/>
      <c r="U2046" s="22"/>
      <c r="X2046" s="15" t="str">
        <f>IF(B2046="",VLOOKUP(A2046,items_lookup!A:B,2,FALSE),B2046)</f>
        <v>09. Item 09</v>
      </c>
      <c r="Y2046" s="15">
        <f t="shared" si="176"/>
        <v>1</v>
      </c>
      <c r="Z2046" s="15">
        <f t="shared" si="176"/>
        <v>1</v>
      </c>
      <c r="AA2046" s="15">
        <f t="shared" si="173"/>
        <v>2022</v>
      </c>
      <c r="AB2046" s="15">
        <f t="shared" si="174"/>
        <v>2022</v>
      </c>
      <c r="AC2046" s="15">
        <f t="shared" si="175"/>
        <v>2022</v>
      </c>
      <c r="AD2046" s="18" t="b">
        <f t="shared" si="172"/>
        <v>1</v>
      </c>
    </row>
    <row r="2047" spans="1:30" ht="17.25" hidden="1" customHeight="1" x14ac:dyDescent="0.2">
      <c r="A2047" s="7" t="s">
        <v>688</v>
      </c>
      <c r="B2047" s="7"/>
      <c r="C2047" s="2" t="s">
        <v>641</v>
      </c>
      <c r="D2047" s="6" t="s">
        <v>649</v>
      </c>
      <c r="E2047" s="32" t="s">
        <v>651</v>
      </c>
      <c r="F2047" s="7" t="s">
        <v>20</v>
      </c>
      <c r="G2047" s="7"/>
      <c r="H2047" s="7"/>
      <c r="I2047" s="7"/>
      <c r="J2047" s="7">
        <v>3</v>
      </c>
      <c r="K2047" s="7" t="s">
        <v>660</v>
      </c>
      <c r="L2047" s="7" t="s">
        <v>663</v>
      </c>
      <c r="M2047" s="8">
        <v>44578</v>
      </c>
      <c r="N2047" s="8">
        <v>44586</v>
      </c>
      <c r="O2047" s="13"/>
      <c r="P2047" s="13">
        <v>180502.39999999999</v>
      </c>
      <c r="Q2047" s="33"/>
      <c r="R2047" s="22"/>
      <c r="S2047" s="22"/>
      <c r="T2047" s="22"/>
      <c r="U2047" s="22"/>
      <c r="X2047" s="15" t="str">
        <f>IF(B2047="",VLOOKUP(A2047,items_lookup!A:B,2,FALSE),B2047)</f>
        <v>09. Item 09</v>
      </c>
      <c r="Y2047" s="15">
        <f t="shared" si="176"/>
        <v>1</v>
      </c>
      <c r="Z2047" s="15">
        <f t="shared" si="176"/>
        <v>1</v>
      </c>
      <c r="AA2047" s="15">
        <f t="shared" si="173"/>
        <v>2022</v>
      </c>
      <c r="AB2047" s="15">
        <f t="shared" si="174"/>
        <v>2022</v>
      </c>
      <c r="AC2047" s="15">
        <f t="shared" si="175"/>
        <v>2021</v>
      </c>
      <c r="AD2047" s="18" t="b">
        <f t="shared" si="172"/>
        <v>1</v>
      </c>
    </row>
    <row r="2048" spans="1:30" ht="15" hidden="1" customHeight="1" x14ac:dyDescent="0.2">
      <c r="A2048" s="7" t="s">
        <v>683</v>
      </c>
      <c r="B2048" s="7"/>
      <c r="C2048" s="2" t="s">
        <v>641</v>
      </c>
      <c r="D2048" s="6" t="s">
        <v>649</v>
      </c>
      <c r="E2048" s="32" t="s">
        <v>651</v>
      </c>
      <c r="F2048" s="7"/>
      <c r="G2048" s="7"/>
      <c r="H2048" s="7"/>
      <c r="I2048" s="7"/>
      <c r="J2048" s="7">
        <v>3</v>
      </c>
      <c r="K2048" s="7" t="s">
        <v>660</v>
      </c>
      <c r="L2048" s="7" t="s">
        <v>663</v>
      </c>
      <c r="M2048" s="8">
        <v>44578</v>
      </c>
      <c r="N2048" s="8">
        <v>44585</v>
      </c>
      <c r="O2048" s="13"/>
      <c r="P2048" s="13">
        <v>42093.24</v>
      </c>
      <c r="Q2048" s="33"/>
      <c r="R2048" s="22"/>
      <c r="S2048" s="22"/>
      <c r="T2048" s="22"/>
      <c r="U2048" s="22"/>
      <c r="X2048" s="15" t="str">
        <f>IF(B2048="",VLOOKUP(A2048,items_lookup!A:B,2,FALSE),B2048)</f>
        <v>_1. Item _1</v>
      </c>
      <c r="Y2048" s="15">
        <f t="shared" si="176"/>
        <v>1</v>
      </c>
      <c r="Z2048" s="15">
        <f t="shared" si="176"/>
        <v>1</v>
      </c>
      <c r="AA2048" s="15">
        <f t="shared" si="173"/>
        <v>2022</v>
      </c>
      <c r="AB2048" s="15">
        <f t="shared" si="174"/>
        <v>2022</v>
      </c>
      <c r="AC2048" s="15">
        <f t="shared" si="175"/>
        <v>2022</v>
      </c>
      <c r="AD2048" s="18" t="b">
        <f t="shared" si="172"/>
        <v>1</v>
      </c>
    </row>
    <row r="2049" spans="1:30" ht="15" hidden="1" customHeight="1" x14ac:dyDescent="0.2">
      <c r="A2049" s="7" t="s">
        <v>683</v>
      </c>
      <c r="B2049" s="7"/>
      <c r="C2049" s="2" t="s">
        <v>641</v>
      </c>
      <c r="D2049" s="6" t="s">
        <v>649</v>
      </c>
      <c r="E2049" s="32" t="s">
        <v>651</v>
      </c>
      <c r="F2049" s="7"/>
      <c r="G2049" s="7"/>
      <c r="H2049" s="7"/>
      <c r="I2049" s="7"/>
      <c r="J2049" s="7">
        <v>3</v>
      </c>
      <c r="K2049" s="7" t="s">
        <v>660</v>
      </c>
      <c r="L2049" s="7" t="s">
        <v>663</v>
      </c>
      <c r="M2049" s="8">
        <v>44578</v>
      </c>
      <c r="N2049" s="8">
        <v>44586</v>
      </c>
      <c r="O2049" s="13"/>
      <c r="P2049" s="13">
        <v>92359.19</v>
      </c>
      <c r="Q2049" s="33"/>
      <c r="R2049" s="22"/>
      <c r="S2049" s="22"/>
      <c r="T2049" s="22"/>
      <c r="U2049" s="22"/>
      <c r="X2049" s="15" t="str">
        <f>IF(B2049="",VLOOKUP(A2049,items_lookup!A:B,2,FALSE),B2049)</f>
        <v>_1. Item _1</v>
      </c>
      <c r="Y2049" s="15">
        <f t="shared" si="176"/>
        <v>1</v>
      </c>
      <c r="Z2049" s="15">
        <f t="shared" si="176"/>
        <v>1</v>
      </c>
      <c r="AA2049" s="15">
        <f t="shared" si="173"/>
        <v>2022</v>
      </c>
      <c r="AB2049" s="15">
        <f t="shared" si="174"/>
        <v>2022</v>
      </c>
      <c r="AC2049" s="15">
        <f t="shared" si="175"/>
        <v>2022</v>
      </c>
      <c r="AD2049" s="18" t="b">
        <f t="shared" si="172"/>
        <v>1</v>
      </c>
    </row>
    <row r="2050" spans="1:30" ht="15" hidden="1" customHeight="1" x14ac:dyDescent="0.2">
      <c r="A2050" s="7" t="s">
        <v>683</v>
      </c>
      <c r="B2050" s="7"/>
      <c r="C2050" s="2" t="s">
        <v>641</v>
      </c>
      <c r="D2050" s="6" t="s">
        <v>649</v>
      </c>
      <c r="E2050" s="32" t="s">
        <v>651</v>
      </c>
      <c r="F2050" s="7" t="s">
        <v>20</v>
      </c>
      <c r="G2050" s="7"/>
      <c r="H2050" s="7"/>
      <c r="I2050" s="7"/>
      <c r="J2050" s="7">
        <v>3</v>
      </c>
      <c r="K2050" s="7" t="s">
        <v>660</v>
      </c>
      <c r="L2050" s="7" t="s">
        <v>663</v>
      </c>
      <c r="M2050" s="8">
        <v>44578</v>
      </c>
      <c r="N2050" s="8">
        <v>44586</v>
      </c>
      <c r="O2050" s="13"/>
      <c r="P2050" s="13">
        <v>14.45</v>
      </c>
      <c r="Q2050" s="33"/>
      <c r="R2050" s="22"/>
      <c r="S2050" s="22"/>
      <c r="T2050" s="22"/>
      <c r="U2050" s="22"/>
      <c r="X2050" s="15" t="str">
        <f>IF(B2050="",VLOOKUP(A2050,items_lookup!A:B,2,FALSE),B2050)</f>
        <v>_1. Item _1</v>
      </c>
      <c r="Y2050" s="15">
        <f t="shared" si="176"/>
        <v>1</v>
      </c>
      <c r="Z2050" s="15">
        <f t="shared" si="176"/>
        <v>1</v>
      </c>
      <c r="AA2050" s="15">
        <f t="shared" si="173"/>
        <v>2022</v>
      </c>
      <c r="AB2050" s="15">
        <f t="shared" si="174"/>
        <v>2022</v>
      </c>
      <c r="AC2050" s="15">
        <f t="shared" si="175"/>
        <v>2021</v>
      </c>
      <c r="AD2050" s="18" t="b">
        <f t="shared" si="172"/>
        <v>1</v>
      </c>
    </row>
    <row r="2051" spans="1:30" ht="15" hidden="1" customHeight="1" x14ac:dyDescent="0.2">
      <c r="A2051" s="7" t="s">
        <v>668</v>
      </c>
      <c r="B2051" s="7"/>
      <c r="C2051" s="2" t="s">
        <v>641</v>
      </c>
      <c r="D2051" s="6" t="s">
        <v>649</v>
      </c>
      <c r="E2051" s="32" t="s">
        <v>651</v>
      </c>
      <c r="F2051" s="7"/>
      <c r="G2051" s="7"/>
      <c r="H2051" s="7"/>
      <c r="I2051" s="7"/>
      <c r="J2051" s="7">
        <v>3</v>
      </c>
      <c r="K2051" s="7" t="s">
        <v>660</v>
      </c>
      <c r="L2051" s="7" t="s">
        <v>663</v>
      </c>
      <c r="M2051" s="8">
        <v>44578</v>
      </c>
      <c r="N2051" s="8">
        <v>44587</v>
      </c>
      <c r="O2051" s="13"/>
      <c r="P2051" s="13">
        <v>45703.7</v>
      </c>
      <c r="Q2051" s="33"/>
      <c r="R2051" s="22"/>
      <c r="S2051" s="22"/>
      <c r="T2051" s="22"/>
      <c r="U2051" s="22"/>
      <c r="X2051" s="15" t="str">
        <f>IF(B2051="",VLOOKUP(A2051,items_lookup!A:B,2,FALSE),B2051)</f>
        <v>01. Item 01</v>
      </c>
      <c r="Y2051" s="15">
        <f t="shared" si="176"/>
        <v>1</v>
      </c>
      <c r="Z2051" s="15">
        <f t="shared" si="176"/>
        <v>1</v>
      </c>
      <c r="AA2051" s="15">
        <f t="shared" si="173"/>
        <v>2022</v>
      </c>
      <c r="AB2051" s="15">
        <f t="shared" si="174"/>
        <v>2022</v>
      </c>
      <c r="AC2051" s="15">
        <f t="shared" si="175"/>
        <v>2022</v>
      </c>
      <c r="AD2051" s="18" t="b">
        <f t="shared" ref="AD2051:AD2114" si="177">AND(ROUND(O2051,2)=O2051,ROUND(P2051,2)=P2051,OR(AND(O2051&lt;&gt;0,L2051="p"),AND(P2051&lt;&gt;0,L2051="f")),_xlfn.ISFORMULA(X2051),_xlfn.ISFORMULA(Y2051),_xlfn.ISFORMULA(Z2051),_xlfn.ISFORMULA(AA2051),_xlfn.ISFORMULA(AB2051),_xlfn.ISFORMULA(AC2051),NOT(_xlfn.ISFORMULA(O2051)),NOT(_xlfn.ISFORMULA(P2051)),M2051&lt;&gt;0,N2051&lt;&gt;0)</f>
        <v>1</v>
      </c>
    </row>
    <row r="2052" spans="1:30" ht="15" hidden="1" customHeight="1" x14ac:dyDescent="0.2">
      <c r="A2052" s="7" t="s">
        <v>669</v>
      </c>
      <c r="B2052" s="20"/>
      <c r="C2052" s="2" t="s">
        <v>641</v>
      </c>
      <c r="D2052" s="6" t="s">
        <v>649</v>
      </c>
      <c r="E2052" s="32" t="s">
        <v>651</v>
      </c>
      <c r="F2052" s="7"/>
      <c r="G2052" s="7"/>
      <c r="H2052" s="7"/>
      <c r="I2052" s="7"/>
      <c r="J2052" s="7">
        <v>3</v>
      </c>
      <c r="K2052" s="7" t="s">
        <v>660</v>
      </c>
      <c r="L2052" s="7" t="s">
        <v>663</v>
      </c>
      <c r="M2052" s="8">
        <v>44571</v>
      </c>
      <c r="N2052" s="8">
        <v>44580</v>
      </c>
      <c r="O2052" s="13"/>
      <c r="P2052" s="13">
        <v>225547.88</v>
      </c>
      <c r="Q2052" s="33"/>
      <c r="R2052" s="9"/>
      <c r="S2052" s="9"/>
      <c r="T2052" s="9"/>
      <c r="U2052" s="9"/>
      <c r="X2052" s="15" t="str">
        <f>IF(B2052="",VLOOKUP(A2052,items_lookup!A:B,2,FALSE),B2052)</f>
        <v>02. Item 02</v>
      </c>
      <c r="Y2052" s="15">
        <f t="shared" si="176"/>
        <v>1</v>
      </c>
      <c r="Z2052" s="15">
        <f t="shared" si="176"/>
        <v>1</v>
      </c>
      <c r="AA2052" s="15">
        <f t="shared" si="173"/>
        <v>2022</v>
      </c>
      <c r="AB2052" s="15">
        <f t="shared" si="174"/>
        <v>2022</v>
      </c>
      <c r="AC2052" s="15">
        <f t="shared" si="175"/>
        <v>2022</v>
      </c>
      <c r="AD2052" s="18" t="b">
        <f t="shared" si="177"/>
        <v>1</v>
      </c>
    </row>
    <row r="2053" spans="1:30" ht="15" hidden="1" customHeight="1" x14ac:dyDescent="0.2">
      <c r="A2053" s="7" t="s">
        <v>671</v>
      </c>
      <c r="B2053" s="20"/>
      <c r="C2053" s="2" t="s">
        <v>641</v>
      </c>
      <c r="D2053" s="6" t="s">
        <v>649</v>
      </c>
      <c r="E2053" s="32" t="s">
        <v>651</v>
      </c>
      <c r="F2053" s="7"/>
      <c r="G2053" s="7"/>
      <c r="H2053" s="7"/>
      <c r="I2053" s="7"/>
      <c r="J2053" s="7">
        <v>3</v>
      </c>
      <c r="K2053" s="7" t="s">
        <v>660</v>
      </c>
      <c r="L2053" s="7" t="s">
        <v>663</v>
      </c>
      <c r="M2053" s="8">
        <v>44575</v>
      </c>
      <c r="N2053" s="8">
        <v>44587</v>
      </c>
      <c r="O2053" s="13"/>
      <c r="P2053" s="13">
        <v>185533.93</v>
      </c>
      <c r="Q2053" s="33"/>
      <c r="R2053" s="22"/>
      <c r="S2053" s="22"/>
      <c r="T2053" s="22"/>
      <c r="U2053" s="22"/>
      <c r="X2053" s="15" t="str">
        <f>IF(B2053="",VLOOKUP(A2053,items_lookup!A:B,2,FALSE),B2053)</f>
        <v>05. Item 05</v>
      </c>
      <c r="Y2053" s="15">
        <f t="shared" si="176"/>
        <v>1</v>
      </c>
      <c r="Z2053" s="15">
        <f t="shared" si="176"/>
        <v>1</v>
      </c>
      <c r="AA2053" s="15">
        <f t="shared" si="173"/>
        <v>2022</v>
      </c>
      <c r="AB2053" s="15">
        <f t="shared" si="174"/>
        <v>2022</v>
      </c>
      <c r="AC2053" s="15">
        <f t="shared" si="175"/>
        <v>2022</v>
      </c>
      <c r="AD2053" s="18" t="b">
        <f t="shared" si="177"/>
        <v>1</v>
      </c>
    </row>
    <row r="2054" spans="1:30" ht="15.75" hidden="1" customHeight="1" x14ac:dyDescent="0.2">
      <c r="A2054" s="7" t="s">
        <v>672</v>
      </c>
      <c r="B2054" s="20"/>
      <c r="C2054" s="2" t="s">
        <v>641</v>
      </c>
      <c r="D2054" s="6" t="s">
        <v>649</v>
      </c>
      <c r="E2054" s="32" t="s">
        <v>651</v>
      </c>
      <c r="F2054" s="7" t="s">
        <v>20</v>
      </c>
      <c r="G2054" s="7"/>
      <c r="H2054" s="7"/>
      <c r="I2054" s="7"/>
      <c r="J2054" s="7">
        <v>3</v>
      </c>
      <c r="K2054" s="7" t="s">
        <v>660</v>
      </c>
      <c r="L2054" s="7" t="s">
        <v>663</v>
      </c>
      <c r="M2054" s="8">
        <v>44575</v>
      </c>
      <c r="N2054" s="8">
        <v>44589</v>
      </c>
      <c r="O2054" s="13"/>
      <c r="P2054" s="13">
        <v>162226.26</v>
      </c>
      <c r="Q2054" s="33"/>
      <c r="R2054" s="22"/>
      <c r="S2054" s="22"/>
      <c r="T2054" s="22"/>
      <c r="U2054" s="22"/>
      <c r="X2054" s="15" t="str">
        <f>IF(B2054="",VLOOKUP(A2054,items_lookup!A:B,2,FALSE),B2054)</f>
        <v>05. Item 05</v>
      </c>
      <c r="Y2054" s="15">
        <f t="shared" si="176"/>
        <v>1</v>
      </c>
      <c r="Z2054" s="15">
        <f t="shared" si="176"/>
        <v>1</v>
      </c>
      <c r="AA2054" s="15">
        <f t="shared" si="173"/>
        <v>2022</v>
      </c>
      <c r="AB2054" s="15">
        <f t="shared" si="174"/>
        <v>2022</v>
      </c>
      <c r="AC2054" s="15">
        <f t="shared" si="175"/>
        <v>2021</v>
      </c>
      <c r="AD2054" s="18" t="b">
        <f t="shared" si="177"/>
        <v>1</v>
      </c>
    </row>
    <row r="2055" spans="1:30" ht="15.75" hidden="1" customHeight="1" x14ac:dyDescent="0.2">
      <c r="A2055" s="7" t="s">
        <v>682</v>
      </c>
      <c r="B2055" s="20"/>
      <c r="C2055" s="2" t="s">
        <v>641</v>
      </c>
      <c r="D2055" s="6" t="s">
        <v>649</v>
      </c>
      <c r="E2055" s="32" t="s">
        <v>651</v>
      </c>
      <c r="F2055" s="7" t="s">
        <v>20</v>
      </c>
      <c r="G2055" s="7"/>
      <c r="H2055" s="7"/>
      <c r="I2055" s="7"/>
      <c r="J2055" s="7">
        <v>3</v>
      </c>
      <c r="K2055" s="7" t="s">
        <v>660</v>
      </c>
      <c r="L2055" s="7" t="s">
        <v>663</v>
      </c>
      <c r="M2055" s="8">
        <v>44575</v>
      </c>
      <c r="N2055" s="8">
        <v>44587</v>
      </c>
      <c r="O2055" s="13"/>
      <c r="P2055" s="13">
        <v>7036.61</v>
      </c>
      <c r="Q2055" s="33"/>
      <c r="R2055" s="22"/>
      <c r="S2055" s="22"/>
      <c r="T2055" s="22"/>
      <c r="U2055" s="22"/>
      <c r="X2055" s="15" t="str">
        <f>IF(B2055="",VLOOKUP(A2055,items_lookup!A:B,2,FALSE),B2055)</f>
        <v>06. Item 06</v>
      </c>
      <c r="Y2055" s="15">
        <f t="shared" si="176"/>
        <v>1</v>
      </c>
      <c r="Z2055" s="15">
        <f t="shared" si="176"/>
        <v>1</v>
      </c>
      <c r="AA2055" s="15">
        <f t="shared" si="173"/>
        <v>2022</v>
      </c>
      <c r="AB2055" s="15">
        <f t="shared" si="174"/>
        <v>2022</v>
      </c>
      <c r="AC2055" s="15">
        <f t="shared" si="175"/>
        <v>2021</v>
      </c>
      <c r="AD2055" s="18" t="b">
        <f t="shared" si="177"/>
        <v>1</v>
      </c>
    </row>
    <row r="2056" spans="1:30" ht="15.75" hidden="1" customHeight="1" x14ac:dyDescent="0.2">
      <c r="A2056" s="7" t="s">
        <v>673</v>
      </c>
      <c r="B2056" s="7"/>
      <c r="C2056" s="2" t="s">
        <v>641</v>
      </c>
      <c r="D2056" s="6" t="s">
        <v>649</v>
      </c>
      <c r="E2056" s="32" t="s">
        <v>651</v>
      </c>
      <c r="F2056" s="7"/>
      <c r="G2056" s="7"/>
      <c r="H2056" s="7"/>
      <c r="I2056" s="7"/>
      <c r="J2056" s="7">
        <v>4</v>
      </c>
      <c r="K2056" s="7" t="s">
        <v>660</v>
      </c>
      <c r="L2056" s="7" t="s">
        <v>663</v>
      </c>
      <c r="M2056" s="8">
        <v>44579</v>
      </c>
      <c r="N2056" s="8">
        <v>44589</v>
      </c>
      <c r="O2056" s="13"/>
      <c r="P2056" s="13">
        <v>1008435.45</v>
      </c>
      <c r="Q2056" s="33"/>
      <c r="R2056" s="22"/>
      <c r="S2056" s="22"/>
      <c r="T2056" s="22"/>
      <c r="U2056" s="22"/>
      <c r="X2056" s="15" t="str">
        <f>IF(B2056="",VLOOKUP(A2056,items_lookup!A:B,2,FALSE),B2056)</f>
        <v>07. Item 07</v>
      </c>
      <c r="Y2056" s="15">
        <f t="shared" si="176"/>
        <v>1</v>
      </c>
      <c r="Z2056" s="15">
        <f t="shared" si="176"/>
        <v>1</v>
      </c>
      <c r="AA2056" s="15">
        <f t="shared" si="173"/>
        <v>2022</v>
      </c>
      <c r="AB2056" s="15">
        <f t="shared" si="174"/>
        <v>2022</v>
      </c>
      <c r="AC2056" s="15">
        <f t="shared" si="175"/>
        <v>2022</v>
      </c>
      <c r="AD2056" s="18" t="b">
        <f t="shared" si="177"/>
        <v>1</v>
      </c>
    </row>
    <row r="2057" spans="1:30" ht="13.5" hidden="1" customHeight="1" x14ac:dyDescent="0.2">
      <c r="A2057" s="7" t="s">
        <v>674</v>
      </c>
      <c r="B2057" s="20"/>
      <c r="C2057" s="2" t="s">
        <v>641</v>
      </c>
      <c r="D2057" s="6" t="s">
        <v>649</v>
      </c>
      <c r="E2057" s="32" t="s">
        <v>651</v>
      </c>
      <c r="F2057" s="7"/>
      <c r="G2057" s="7"/>
      <c r="H2057" s="7"/>
      <c r="I2057" s="7" t="s">
        <v>20</v>
      </c>
      <c r="J2057" s="7">
        <v>4</v>
      </c>
      <c r="K2057" s="7" t="s">
        <v>660</v>
      </c>
      <c r="L2057" s="7" t="s">
        <v>663</v>
      </c>
      <c r="M2057" s="8">
        <v>44575</v>
      </c>
      <c r="N2057" s="8">
        <v>44587</v>
      </c>
      <c r="O2057" s="13"/>
      <c r="P2057" s="13">
        <v>15116.28</v>
      </c>
      <c r="Q2057" s="33"/>
      <c r="R2057" s="9"/>
      <c r="S2057" s="9"/>
      <c r="T2057" s="9"/>
      <c r="U2057" s="9"/>
      <c r="X2057" s="15" t="str">
        <f>IF(B2057="",VLOOKUP(A2057,items_lookup!A:B,2,FALSE),B2057)</f>
        <v>08. Item 08</v>
      </c>
      <c r="Y2057" s="15">
        <f t="shared" si="176"/>
        <v>1</v>
      </c>
      <c r="Z2057" s="15">
        <f t="shared" si="176"/>
        <v>1</v>
      </c>
      <c r="AA2057" s="15">
        <f t="shared" si="173"/>
        <v>2022</v>
      </c>
      <c r="AB2057" s="15">
        <f t="shared" si="174"/>
        <v>2022</v>
      </c>
      <c r="AC2057" s="15">
        <f t="shared" si="175"/>
        <v>2022</v>
      </c>
      <c r="AD2057" s="18" t="b">
        <f t="shared" si="177"/>
        <v>1</v>
      </c>
    </row>
    <row r="2058" spans="1:30" ht="15" hidden="1" customHeight="1" x14ac:dyDescent="0.2">
      <c r="A2058" s="7" t="s">
        <v>674</v>
      </c>
      <c r="B2058" s="20"/>
      <c r="C2058" s="2" t="s">
        <v>641</v>
      </c>
      <c r="D2058" s="6" t="s">
        <v>649</v>
      </c>
      <c r="E2058" s="32" t="s">
        <v>651</v>
      </c>
      <c r="F2058" s="7"/>
      <c r="G2058" s="7"/>
      <c r="H2058" s="7"/>
      <c r="I2058" s="7"/>
      <c r="J2058" s="7">
        <v>4</v>
      </c>
      <c r="K2058" s="7" t="s">
        <v>660</v>
      </c>
      <c r="L2058" s="7" t="s">
        <v>663</v>
      </c>
      <c r="M2058" s="8">
        <v>44575</v>
      </c>
      <c r="N2058" s="8">
        <v>44587</v>
      </c>
      <c r="O2058" s="13"/>
      <c r="P2058" s="13">
        <v>1.05</v>
      </c>
      <c r="Q2058" s="33"/>
      <c r="R2058" s="9"/>
      <c r="S2058" s="9"/>
      <c r="T2058" s="9"/>
      <c r="U2058" s="9"/>
      <c r="X2058" s="15" t="str">
        <f>IF(B2058="",VLOOKUP(A2058,items_lookup!A:B,2,FALSE),B2058)</f>
        <v>08. Item 08</v>
      </c>
      <c r="Y2058" s="15">
        <f t="shared" si="176"/>
        <v>1</v>
      </c>
      <c r="Z2058" s="15">
        <f t="shared" si="176"/>
        <v>1</v>
      </c>
      <c r="AA2058" s="15">
        <f t="shared" si="173"/>
        <v>2022</v>
      </c>
      <c r="AB2058" s="15">
        <f t="shared" si="174"/>
        <v>2022</v>
      </c>
      <c r="AC2058" s="15">
        <f t="shared" si="175"/>
        <v>2022</v>
      </c>
      <c r="AD2058" s="18" t="b">
        <f t="shared" si="177"/>
        <v>1</v>
      </c>
    </row>
    <row r="2059" spans="1:30" ht="15" hidden="1" customHeight="1" x14ac:dyDescent="0.2">
      <c r="A2059" s="7" t="s">
        <v>688</v>
      </c>
      <c r="B2059" s="20"/>
      <c r="C2059" s="2" t="s">
        <v>641</v>
      </c>
      <c r="D2059" s="6" t="s">
        <v>649</v>
      </c>
      <c r="E2059" s="32" t="s">
        <v>651</v>
      </c>
      <c r="F2059" s="7" t="s">
        <v>20</v>
      </c>
      <c r="G2059" s="7"/>
      <c r="H2059" s="7"/>
      <c r="I2059" s="7"/>
      <c r="J2059" s="7">
        <v>4</v>
      </c>
      <c r="K2059" s="7" t="s">
        <v>660</v>
      </c>
      <c r="L2059" s="7" t="s">
        <v>663</v>
      </c>
      <c r="M2059" s="8">
        <v>44575</v>
      </c>
      <c r="N2059" s="8">
        <v>44587</v>
      </c>
      <c r="O2059" s="13"/>
      <c r="P2059" s="13">
        <v>10092.549999999999</v>
      </c>
      <c r="Q2059" s="33"/>
      <c r="R2059" s="9"/>
      <c r="S2059" s="9"/>
      <c r="T2059" s="9"/>
      <c r="U2059" s="9"/>
      <c r="X2059" s="15" t="str">
        <f>IF(B2059="",VLOOKUP(A2059,items_lookup!A:B,2,FALSE),B2059)</f>
        <v>09. Item 09</v>
      </c>
      <c r="Y2059" s="15">
        <f t="shared" si="176"/>
        <v>1</v>
      </c>
      <c r="Z2059" s="15">
        <f t="shared" si="176"/>
        <v>1</v>
      </c>
      <c r="AA2059" s="15">
        <f t="shared" si="173"/>
        <v>2022</v>
      </c>
      <c r="AB2059" s="15">
        <f t="shared" si="174"/>
        <v>2022</v>
      </c>
      <c r="AC2059" s="15">
        <f t="shared" si="175"/>
        <v>2021</v>
      </c>
      <c r="AD2059" s="18" t="b">
        <f t="shared" si="177"/>
        <v>1</v>
      </c>
    </row>
    <row r="2060" spans="1:30" ht="15" hidden="1" customHeight="1" x14ac:dyDescent="0.2">
      <c r="A2060" s="7" t="s">
        <v>676</v>
      </c>
      <c r="B2060" s="7"/>
      <c r="C2060" s="2" t="s">
        <v>641</v>
      </c>
      <c r="D2060" s="6" t="s">
        <v>649</v>
      </c>
      <c r="E2060" s="32" t="s">
        <v>651</v>
      </c>
      <c r="F2060" s="7"/>
      <c r="G2060" s="7"/>
      <c r="H2060" s="7"/>
      <c r="I2060" s="7" t="s">
        <v>20</v>
      </c>
      <c r="J2060" s="7">
        <v>4</v>
      </c>
      <c r="K2060" s="7" t="s">
        <v>660</v>
      </c>
      <c r="L2060" s="7" t="s">
        <v>663</v>
      </c>
      <c r="M2060" s="8">
        <v>44575</v>
      </c>
      <c r="N2060" s="8">
        <v>44586</v>
      </c>
      <c r="O2060" s="13"/>
      <c r="P2060" s="13">
        <v>4960.45</v>
      </c>
      <c r="Q2060" s="33"/>
      <c r="R2060" s="22"/>
      <c r="S2060" s="22"/>
      <c r="T2060" s="22"/>
      <c r="U2060" s="22"/>
      <c r="X2060" s="15" t="str">
        <f>IF(B2060="",VLOOKUP(A2060,items_lookup!A:B,2,FALSE),B2060)</f>
        <v>09. Item 09</v>
      </c>
      <c r="Y2060" s="15">
        <f t="shared" si="176"/>
        <v>1</v>
      </c>
      <c r="Z2060" s="15">
        <f t="shared" si="176"/>
        <v>1</v>
      </c>
      <c r="AA2060" s="15">
        <f t="shared" si="173"/>
        <v>2022</v>
      </c>
      <c r="AB2060" s="15">
        <f t="shared" si="174"/>
        <v>2022</v>
      </c>
      <c r="AC2060" s="15">
        <f t="shared" si="175"/>
        <v>2022</v>
      </c>
      <c r="AD2060" s="18" t="b">
        <f t="shared" si="177"/>
        <v>1</v>
      </c>
    </row>
    <row r="2061" spans="1:30" ht="15" hidden="1" customHeight="1" x14ac:dyDescent="0.2">
      <c r="A2061" s="7" t="s">
        <v>676</v>
      </c>
      <c r="B2061" s="7"/>
      <c r="C2061" s="2" t="s">
        <v>641</v>
      </c>
      <c r="D2061" s="6" t="s">
        <v>649</v>
      </c>
      <c r="E2061" s="32" t="s">
        <v>651</v>
      </c>
      <c r="F2061" s="7"/>
      <c r="G2061" s="7"/>
      <c r="H2061" s="7"/>
      <c r="I2061" s="7"/>
      <c r="J2061" s="7">
        <v>4</v>
      </c>
      <c r="K2061" s="7" t="s">
        <v>660</v>
      </c>
      <c r="L2061" s="7" t="s">
        <v>663</v>
      </c>
      <c r="M2061" s="8">
        <v>44575</v>
      </c>
      <c r="N2061" s="8">
        <v>44586</v>
      </c>
      <c r="O2061" s="13"/>
      <c r="P2061" s="13">
        <v>40252.22</v>
      </c>
      <c r="Q2061" s="33"/>
      <c r="R2061" s="22"/>
      <c r="S2061" s="22"/>
      <c r="T2061" s="22"/>
      <c r="U2061" s="22"/>
      <c r="X2061" s="15" t="str">
        <f>IF(B2061="",VLOOKUP(A2061,items_lookup!A:B,2,FALSE),B2061)</f>
        <v>09. Item 09</v>
      </c>
      <c r="Y2061" s="15">
        <f t="shared" si="176"/>
        <v>1</v>
      </c>
      <c r="Z2061" s="15">
        <f t="shared" si="176"/>
        <v>1</v>
      </c>
      <c r="AA2061" s="15">
        <f t="shared" si="173"/>
        <v>2022</v>
      </c>
      <c r="AB2061" s="15">
        <f t="shared" si="174"/>
        <v>2022</v>
      </c>
      <c r="AC2061" s="15">
        <f t="shared" si="175"/>
        <v>2022</v>
      </c>
      <c r="AD2061" s="18" t="b">
        <f t="shared" si="177"/>
        <v>1</v>
      </c>
    </row>
    <row r="2062" spans="1:30" ht="15" hidden="1" customHeight="1" x14ac:dyDescent="0.2">
      <c r="A2062" s="7" t="s">
        <v>675</v>
      </c>
      <c r="B2062" s="7"/>
      <c r="C2062" s="2" t="s">
        <v>641</v>
      </c>
      <c r="D2062" s="6" t="s">
        <v>649</v>
      </c>
      <c r="E2062" s="32" t="s">
        <v>651</v>
      </c>
      <c r="F2062" s="7"/>
      <c r="G2062" s="7"/>
      <c r="H2062" s="7"/>
      <c r="I2062" s="7"/>
      <c r="J2062" s="7">
        <v>4</v>
      </c>
      <c r="K2062" s="7" t="s">
        <v>660</v>
      </c>
      <c r="L2062" s="7" t="s">
        <v>663</v>
      </c>
      <c r="M2062" s="8">
        <v>44575</v>
      </c>
      <c r="N2062" s="8">
        <v>44586</v>
      </c>
      <c r="O2062" s="13"/>
      <c r="P2062" s="13">
        <v>57945.87</v>
      </c>
      <c r="Q2062" s="33"/>
      <c r="R2062" s="22"/>
      <c r="S2062" s="22"/>
      <c r="T2062" s="22"/>
      <c r="U2062" s="22"/>
      <c r="X2062" s="15" t="str">
        <f>IF(B2062="",VLOOKUP(A2062,items_lookup!A:B,2,FALSE),B2062)</f>
        <v>09. Item 09</v>
      </c>
      <c r="Y2062" s="15">
        <f t="shared" si="176"/>
        <v>1</v>
      </c>
      <c r="Z2062" s="15">
        <f t="shared" si="176"/>
        <v>1</v>
      </c>
      <c r="AA2062" s="15">
        <f t="shared" si="173"/>
        <v>2022</v>
      </c>
      <c r="AB2062" s="15">
        <f t="shared" si="174"/>
        <v>2022</v>
      </c>
      <c r="AC2062" s="15">
        <f t="shared" si="175"/>
        <v>2022</v>
      </c>
      <c r="AD2062" s="18" t="b">
        <f t="shared" si="177"/>
        <v>1</v>
      </c>
    </row>
    <row r="2063" spans="1:30" ht="14.25" hidden="1" customHeight="1" x14ac:dyDescent="0.2">
      <c r="A2063" s="7" t="s">
        <v>677</v>
      </c>
      <c r="B2063" s="7"/>
      <c r="C2063" s="2" t="s">
        <v>641</v>
      </c>
      <c r="D2063" s="6" t="s">
        <v>649</v>
      </c>
      <c r="E2063" s="32" t="s">
        <v>651</v>
      </c>
      <c r="F2063" s="7" t="s">
        <v>20</v>
      </c>
      <c r="G2063" s="7"/>
      <c r="H2063" s="7"/>
      <c r="I2063" s="7"/>
      <c r="J2063" s="7">
        <v>4</v>
      </c>
      <c r="K2063" s="7" t="s">
        <v>660</v>
      </c>
      <c r="L2063" s="7" t="s">
        <v>663</v>
      </c>
      <c r="M2063" s="8">
        <v>44575</v>
      </c>
      <c r="N2063" s="8">
        <v>44587</v>
      </c>
      <c r="O2063" s="13"/>
      <c r="P2063" s="13">
        <v>0.02</v>
      </c>
      <c r="Q2063" s="33"/>
      <c r="X2063" s="15" t="str">
        <f>IF(B2063="",VLOOKUP(A2063,items_lookup!A:B,2,FALSE),B2063)</f>
        <v>11. Item 11</v>
      </c>
      <c r="Y2063" s="15">
        <f t="shared" si="176"/>
        <v>1</v>
      </c>
      <c r="Z2063" s="15">
        <f t="shared" si="176"/>
        <v>1</v>
      </c>
      <c r="AA2063" s="15">
        <f t="shared" si="173"/>
        <v>2022</v>
      </c>
      <c r="AB2063" s="15">
        <f t="shared" si="174"/>
        <v>2022</v>
      </c>
      <c r="AC2063" s="15">
        <f t="shared" si="175"/>
        <v>2021</v>
      </c>
      <c r="AD2063" s="18" t="b">
        <f t="shared" si="177"/>
        <v>1</v>
      </c>
    </row>
    <row r="2064" spans="1:30" ht="14.25" hidden="1" customHeight="1" x14ac:dyDescent="0.2">
      <c r="A2064" s="7" t="s">
        <v>690</v>
      </c>
      <c r="B2064" s="7"/>
      <c r="C2064" s="2" t="s">
        <v>641</v>
      </c>
      <c r="D2064" s="6" t="s">
        <v>649</v>
      </c>
      <c r="E2064" s="32" t="s">
        <v>651</v>
      </c>
      <c r="F2064" s="7"/>
      <c r="G2064" s="7"/>
      <c r="H2064" s="7"/>
      <c r="I2064" s="7"/>
      <c r="J2064" s="7">
        <v>4</v>
      </c>
      <c r="K2064" s="7" t="s">
        <v>660</v>
      </c>
      <c r="L2064" s="7" t="s">
        <v>663</v>
      </c>
      <c r="M2064" s="8">
        <v>44575</v>
      </c>
      <c r="N2064" s="8">
        <v>44580</v>
      </c>
      <c r="O2064" s="13"/>
      <c r="P2064" s="13">
        <v>100849.62</v>
      </c>
      <c r="Q2064" s="33"/>
      <c r="X2064" s="15" t="str">
        <f>IF(B2064="",VLOOKUP(A2064,items_lookup!A:B,2,FALSE),B2064)</f>
        <v>21. Item 21</v>
      </c>
      <c r="Y2064" s="15">
        <f t="shared" si="176"/>
        <v>1</v>
      </c>
      <c r="Z2064" s="15">
        <f t="shared" si="176"/>
        <v>1</v>
      </c>
      <c r="AA2064" s="15">
        <f t="shared" si="173"/>
        <v>2022</v>
      </c>
      <c r="AB2064" s="15">
        <f t="shared" si="174"/>
        <v>2022</v>
      </c>
      <c r="AC2064" s="15">
        <f t="shared" si="175"/>
        <v>2022</v>
      </c>
      <c r="AD2064" s="18" t="b">
        <f t="shared" si="177"/>
        <v>1</v>
      </c>
    </row>
    <row r="2065" spans="1:30" ht="14.25" hidden="1" customHeight="1" x14ac:dyDescent="0.2">
      <c r="A2065" s="7" t="s">
        <v>687</v>
      </c>
      <c r="B2065" s="7"/>
      <c r="C2065" s="2" t="s">
        <v>641</v>
      </c>
      <c r="D2065" s="6" t="s">
        <v>649</v>
      </c>
      <c r="E2065" s="32" t="s">
        <v>651</v>
      </c>
      <c r="F2065" s="7"/>
      <c r="G2065" s="7"/>
      <c r="H2065" s="7"/>
      <c r="I2065" s="7"/>
      <c r="J2065" s="7">
        <v>4</v>
      </c>
      <c r="K2065" s="7" t="s">
        <v>660</v>
      </c>
      <c r="L2065" s="7" t="s">
        <v>663</v>
      </c>
      <c r="M2065" s="8">
        <v>44575</v>
      </c>
      <c r="N2065" s="8">
        <v>44582</v>
      </c>
      <c r="O2065" s="13"/>
      <c r="P2065" s="13">
        <v>15524.54</v>
      </c>
      <c r="Q2065" s="33"/>
      <c r="X2065" s="15" t="str">
        <f>IF(B2065="",VLOOKUP(A2065,items_lookup!A:B,2,FALSE),B2065)</f>
        <v>14. Item 14</v>
      </c>
      <c r="Y2065" s="15">
        <f t="shared" si="176"/>
        <v>1</v>
      </c>
      <c r="Z2065" s="15">
        <f t="shared" si="176"/>
        <v>1</v>
      </c>
      <c r="AA2065" s="15">
        <f t="shared" si="173"/>
        <v>2022</v>
      </c>
      <c r="AB2065" s="15">
        <f t="shared" si="174"/>
        <v>2022</v>
      </c>
      <c r="AC2065" s="15">
        <f t="shared" si="175"/>
        <v>2022</v>
      </c>
      <c r="AD2065" s="18" t="b">
        <f t="shared" si="177"/>
        <v>1</v>
      </c>
    </row>
    <row r="2066" spans="1:30" ht="14.25" hidden="1" customHeight="1" x14ac:dyDescent="0.2">
      <c r="A2066" s="7" t="s">
        <v>687</v>
      </c>
      <c r="B2066" s="7"/>
      <c r="C2066" s="2" t="s">
        <v>641</v>
      </c>
      <c r="D2066" s="6" t="s">
        <v>649</v>
      </c>
      <c r="E2066" s="32" t="s">
        <v>651</v>
      </c>
      <c r="F2066" s="7"/>
      <c r="G2066" s="7"/>
      <c r="H2066" s="7"/>
      <c r="I2066" s="7" t="s">
        <v>20</v>
      </c>
      <c r="J2066" s="7">
        <v>4</v>
      </c>
      <c r="K2066" s="7" t="s">
        <v>660</v>
      </c>
      <c r="L2066" s="7" t="s">
        <v>663</v>
      </c>
      <c r="M2066" s="8">
        <v>44575</v>
      </c>
      <c r="N2066" s="8">
        <v>44585</v>
      </c>
      <c r="O2066" s="13"/>
      <c r="P2066" s="13">
        <v>4023.32</v>
      </c>
      <c r="Q2066" s="33"/>
      <c r="X2066" s="15" t="str">
        <f>IF(B2066="",VLOOKUP(A2066,items_lookup!A:B,2,FALSE),B2066)</f>
        <v>14. Item 14</v>
      </c>
      <c r="Y2066" s="15">
        <f t="shared" si="176"/>
        <v>1</v>
      </c>
      <c r="Z2066" s="15">
        <f t="shared" si="176"/>
        <v>1</v>
      </c>
      <c r="AA2066" s="15">
        <f t="shared" si="173"/>
        <v>2022</v>
      </c>
      <c r="AB2066" s="15">
        <f t="shared" si="174"/>
        <v>2022</v>
      </c>
      <c r="AC2066" s="15">
        <f t="shared" si="175"/>
        <v>2022</v>
      </c>
      <c r="AD2066" s="18" t="b">
        <f t="shared" si="177"/>
        <v>1</v>
      </c>
    </row>
    <row r="2067" spans="1:30" ht="14.25" hidden="1" customHeight="1" x14ac:dyDescent="0.2">
      <c r="A2067" s="7" t="s">
        <v>675</v>
      </c>
      <c r="B2067" s="7"/>
      <c r="C2067" s="2" t="s">
        <v>641</v>
      </c>
      <c r="D2067" s="6" t="s">
        <v>649</v>
      </c>
      <c r="E2067" s="32" t="s">
        <v>651</v>
      </c>
      <c r="F2067" s="7"/>
      <c r="G2067" s="7"/>
      <c r="H2067" s="7"/>
      <c r="I2067" s="7"/>
      <c r="J2067" s="7">
        <v>4</v>
      </c>
      <c r="K2067" s="7" t="s">
        <v>660</v>
      </c>
      <c r="L2067" s="7" t="s">
        <v>663</v>
      </c>
      <c r="M2067" s="8">
        <v>44575</v>
      </c>
      <c r="N2067" s="8">
        <v>44585</v>
      </c>
      <c r="O2067" s="13"/>
      <c r="P2067" s="13">
        <v>38334.68</v>
      </c>
      <c r="Q2067" s="33"/>
      <c r="X2067" s="15" t="str">
        <f>IF(B2067="",VLOOKUP(A2067,items_lookup!A:B,2,FALSE),B2067)</f>
        <v>09. Item 09</v>
      </c>
      <c r="Y2067" s="15">
        <f t="shared" si="176"/>
        <v>1</v>
      </c>
      <c r="Z2067" s="15">
        <f t="shared" si="176"/>
        <v>1</v>
      </c>
      <c r="AA2067" s="15">
        <f t="shared" si="173"/>
        <v>2022</v>
      </c>
      <c r="AB2067" s="15">
        <f t="shared" si="174"/>
        <v>2022</v>
      </c>
      <c r="AC2067" s="15">
        <f t="shared" si="175"/>
        <v>2022</v>
      </c>
      <c r="AD2067" s="18" t="b">
        <f t="shared" si="177"/>
        <v>1</v>
      </c>
    </row>
    <row r="2068" spans="1:30" ht="14.25" hidden="1" customHeight="1" x14ac:dyDescent="0.2">
      <c r="A2068" s="7" t="s">
        <v>681</v>
      </c>
      <c r="B2068" s="7"/>
      <c r="C2068" s="2" t="s">
        <v>641</v>
      </c>
      <c r="D2068" s="6" t="s">
        <v>649</v>
      </c>
      <c r="E2068" s="32" t="s">
        <v>651</v>
      </c>
      <c r="F2068" s="7"/>
      <c r="G2068" s="7"/>
      <c r="H2068" s="7"/>
      <c r="I2068" s="7" t="s">
        <v>20</v>
      </c>
      <c r="J2068" s="7">
        <v>4</v>
      </c>
      <c r="K2068" s="7" t="s">
        <v>660</v>
      </c>
      <c r="L2068" s="7" t="s">
        <v>663</v>
      </c>
      <c r="M2068" s="8">
        <v>44575</v>
      </c>
      <c r="N2068" s="8">
        <v>44586</v>
      </c>
      <c r="O2068" s="13"/>
      <c r="P2068" s="13">
        <v>33502.839999999997</v>
      </c>
      <c r="Q2068" s="33"/>
      <c r="X2068" s="15" t="str">
        <f>IF(B2068="",VLOOKUP(A2068,items_lookup!A:B,2,FALSE),B2068)</f>
        <v>19. Item 19</v>
      </c>
      <c r="Y2068" s="15">
        <f t="shared" si="176"/>
        <v>1</v>
      </c>
      <c r="Z2068" s="15">
        <f t="shared" si="176"/>
        <v>1</v>
      </c>
      <c r="AA2068" s="15">
        <f t="shared" si="173"/>
        <v>2022</v>
      </c>
      <c r="AB2068" s="15">
        <f t="shared" si="174"/>
        <v>2022</v>
      </c>
      <c r="AC2068" s="15">
        <f t="shared" si="175"/>
        <v>2022</v>
      </c>
      <c r="AD2068" s="18" t="b">
        <f t="shared" si="177"/>
        <v>1</v>
      </c>
    </row>
    <row r="2069" spans="1:30" ht="14.25" hidden="1" customHeight="1" x14ac:dyDescent="0.2">
      <c r="A2069" s="7" t="s">
        <v>689</v>
      </c>
      <c r="B2069" s="7"/>
      <c r="C2069" s="2" t="s">
        <v>641</v>
      </c>
      <c r="D2069" s="6" t="s">
        <v>649</v>
      </c>
      <c r="E2069" s="32" t="s">
        <v>651</v>
      </c>
      <c r="F2069" s="7"/>
      <c r="G2069" s="7"/>
      <c r="H2069" s="7"/>
      <c r="I2069" s="7"/>
      <c r="J2069" s="7">
        <v>4</v>
      </c>
      <c r="K2069" s="7" t="s">
        <v>660</v>
      </c>
      <c r="L2069" s="7" t="s">
        <v>663</v>
      </c>
      <c r="M2069" s="8">
        <v>44575</v>
      </c>
      <c r="N2069" s="8">
        <v>44586</v>
      </c>
      <c r="O2069" s="13"/>
      <c r="P2069" s="13">
        <v>166056.68</v>
      </c>
      <c r="Q2069" s="33"/>
      <c r="X2069" s="15" t="str">
        <f>IF(B2069="",VLOOKUP(A2069,items_lookup!A:B,2,FALSE),B2069)</f>
        <v>04. Item 04</v>
      </c>
      <c r="Y2069" s="15">
        <f t="shared" si="176"/>
        <v>1</v>
      </c>
      <c r="Z2069" s="15">
        <f t="shared" si="176"/>
        <v>1</v>
      </c>
      <c r="AA2069" s="15">
        <f t="shared" si="173"/>
        <v>2022</v>
      </c>
      <c r="AB2069" s="15">
        <f t="shared" si="174"/>
        <v>2022</v>
      </c>
      <c r="AC2069" s="15">
        <f t="shared" si="175"/>
        <v>2022</v>
      </c>
      <c r="AD2069" s="18" t="b">
        <f t="shared" si="177"/>
        <v>1</v>
      </c>
    </row>
    <row r="2070" spans="1:30" ht="14.25" hidden="1" customHeight="1" x14ac:dyDescent="0.2">
      <c r="A2070" s="7" t="s">
        <v>689</v>
      </c>
      <c r="B2070" s="7"/>
      <c r="C2070" s="2" t="s">
        <v>641</v>
      </c>
      <c r="D2070" s="6" t="s">
        <v>649</v>
      </c>
      <c r="E2070" s="32" t="s">
        <v>651</v>
      </c>
      <c r="F2070" s="7"/>
      <c r="G2070" s="7"/>
      <c r="H2070" s="7"/>
      <c r="I2070" s="7" t="s">
        <v>20</v>
      </c>
      <c r="J2070" s="7">
        <v>4</v>
      </c>
      <c r="K2070" s="7" t="s">
        <v>660</v>
      </c>
      <c r="L2070" s="7" t="s">
        <v>663</v>
      </c>
      <c r="M2070" s="8">
        <v>44575</v>
      </c>
      <c r="N2070" s="8">
        <v>44587</v>
      </c>
      <c r="O2070" s="13"/>
      <c r="P2070" s="13">
        <v>47.62</v>
      </c>
      <c r="Q2070" s="33"/>
      <c r="X2070" s="15" t="str">
        <f>IF(B2070="",VLOOKUP(A2070,items_lookup!A:B,2,FALSE),B2070)</f>
        <v>04. Item 04</v>
      </c>
      <c r="Y2070" s="15">
        <f t="shared" si="176"/>
        <v>1</v>
      </c>
      <c r="Z2070" s="15">
        <f t="shared" si="176"/>
        <v>1</v>
      </c>
      <c r="AA2070" s="15">
        <f t="shared" si="173"/>
        <v>2022</v>
      </c>
      <c r="AB2070" s="15">
        <f t="shared" si="174"/>
        <v>2022</v>
      </c>
      <c r="AC2070" s="15">
        <f t="shared" si="175"/>
        <v>2022</v>
      </c>
      <c r="AD2070" s="18" t="b">
        <f t="shared" si="177"/>
        <v>1</v>
      </c>
    </row>
    <row r="2071" spans="1:30" ht="14.25" hidden="1" customHeight="1" x14ac:dyDescent="0.2">
      <c r="A2071" s="7" t="s">
        <v>670</v>
      </c>
      <c r="B2071" s="7"/>
      <c r="C2071" s="2" t="s">
        <v>641</v>
      </c>
      <c r="D2071" s="6" t="s">
        <v>649</v>
      </c>
      <c r="E2071" s="32" t="s">
        <v>651</v>
      </c>
      <c r="F2071" s="7"/>
      <c r="G2071" s="7"/>
      <c r="H2071" s="7"/>
      <c r="I2071" s="7"/>
      <c r="J2071" s="7">
        <v>4</v>
      </c>
      <c r="K2071" s="7" t="s">
        <v>660</v>
      </c>
      <c r="L2071" s="7" t="s">
        <v>663</v>
      </c>
      <c r="M2071" s="8">
        <v>44575</v>
      </c>
      <c r="N2071" s="8">
        <v>44587</v>
      </c>
      <c r="O2071" s="13"/>
      <c r="P2071" s="13">
        <v>357603.89</v>
      </c>
      <c r="Q2071" s="33"/>
      <c r="X2071" s="15" t="str">
        <f>IF(B2071="",VLOOKUP(A2071,items_lookup!A:B,2,FALSE),B2071)</f>
        <v>04. Item 04</v>
      </c>
      <c r="Y2071" s="15">
        <f t="shared" si="176"/>
        <v>1</v>
      </c>
      <c r="Z2071" s="15">
        <f t="shared" si="176"/>
        <v>1</v>
      </c>
      <c r="AA2071" s="15">
        <f t="shared" si="173"/>
        <v>2022</v>
      </c>
      <c r="AB2071" s="15">
        <f t="shared" si="174"/>
        <v>2022</v>
      </c>
      <c r="AC2071" s="15">
        <f t="shared" si="175"/>
        <v>2022</v>
      </c>
      <c r="AD2071" s="18" t="b">
        <f t="shared" si="177"/>
        <v>1</v>
      </c>
    </row>
    <row r="2072" spans="1:30" ht="14.25" hidden="1" customHeight="1" x14ac:dyDescent="0.2">
      <c r="A2072" s="7" t="s">
        <v>688</v>
      </c>
      <c r="B2072" s="7"/>
      <c r="C2072" s="2" t="s">
        <v>641</v>
      </c>
      <c r="D2072" s="6" t="s">
        <v>649</v>
      </c>
      <c r="E2072" s="32" t="s">
        <v>651</v>
      </c>
      <c r="F2072" s="7" t="s">
        <v>20</v>
      </c>
      <c r="G2072" s="7"/>
      <c r="H2072" s="7"/>
      <c r="I2072" s="7"/>
      <c r="J2072" s="7">
        <v>4</v>
      </c>
      <c r="K2072" s="7" t="s">
        <v>660</v>
      </c>
      <c r="L2072" s="7" t="s">
        <v>663</v>
      </c>
      <c r="M2072" s="8">
        <v>44575</v>
      </c>
      <c r="N2072" s="8">
        <v>44587</v>
      </c>
      <c r="O2072" s="13"/>
      <c r="P2072" s="13">
        <v>44113.14</v>
      </c>
      <c r="Q2072" s="33"/>
      <c r="X2072" s="15" t="str">
        <f>IF(B2072="",VLOOKUP(A2072,items_lookup!A:B,2,FALSE),B2072)</f>
        <v>09. Item 09</v>
      </c>
      <c r="Y2072" s="15">
        <f t="shared" si="176"/>
        <v>1</v>
      </c>
      <c r="Z2072" s="15">
        <f t="shared" si="176"/>
        <v>1</v>
      </c>
      <c r="AA2072" s="15">
        <f t="shared" si="173"/>
        <v>2022</v>
      </c>
      <c r="AB2072" s="15">
        <f t="shared" si="174"/>
        <v>2022</v>
      </c>
      <c r="AC2072" s="15">
        <f t="shared" si="175"/>
        <v>2021</v>
      </c>
      <c r="AD2072" s="18" t="b">
        <f t="shared" si="177"/>
        <v>1</v>
      </c>
    </row>
    <row r="2073" spans="1:30" ht="14.25" hidden="1" customHeight="1" x14ac:dyDescent="0.2">
      <c r="A2073" s="7" t="s">
        <v>672</v>
      </c>
      <c r="B2073" s="7"/>
      <c r="C2073" s="2" t="s">
        <v>641</v>
      </c>
      <c r="D2073" s="6" t="s">
        <v>649</v>
      </c>
      <c r="E2073" s="32" t="s">
        <v>651</v>
      </c>
      <c r="F2073" s="7"/>
      <c r="G2073" s="7"/>
      <c r="H2073" s="7"/>
      <c r="I2073" s="7"/>
      <c r="J2073" s="7">
        <v>4</v>
      </c>
      <c r="K2073" s="7" t="s">
        <v>660</v>
      </c>
      <c r="L2073" s="7" t="s">
        <v>663</v>
      </c>
      <c r="M2073" s="8">
        <v>44578</v>
      </c>
      <c r="N2073" s="8">
        <v>44587</v>
      </c>
      <c r="O2073" s="13"/>
      <c r="P2073" s="13">
        <v>223831.7</v>
      </c>
      <c r="Q2073" s="33"/>
      <c r="R2073" s="22"/>
      <c r="S2073" s="22"/>
      <c r="T2073" s="22"/>
      <c r="U2073" s="22"/>
      <c r="X2073" s="15" t="str">
        <f>IF(B2073="",VLOOKUP(A2073,items_lookup!A:B,2,FALSE),B2073)</f>
        <v>05. Item 05</v>
      </c>
      <c r="Y2073" s="15">
        <f t="shared" si="176"/>
        <v>1</v>
      </c>
      <c r="Z2073" s="15">
        <f t="shared" si="176"/>
        <v>1</v>
      </c>
      <c r="AA2073" s="15">
        <f t="shared" si="173"/>
        <v>2022</v>
      </c>
      <c r="AB2073" s="15">
        <f t="shared" si="174"/>
        <v>2022</v>
      </c>
      <c r="AC2073" s="15">
        <f t="shared" si="175"/>
        <v>2022</v>
      </c>
      <c r="AD2073" s="18" t="b">
        <f t="shared" si="177"/>
        <v>1</v>
      </c>
    </row>
    <row r="2074" spans="1:30" ht="14.25" hidden="1" customHeight="1" x14ac:dyDescent="0.2">
      <c r="A2074" s="7" t="s">
        <v>671</v>
      </c>
      <c r="B2074" s="7"/>
      <c r="C2074" s="2" t="s">
        <v>641</v>
      </c>
      <c r="D2074" s="6" t="s">
        <v>649</v>
      </c>
      <c r="E2074" s="32" t="s">
        <v>651</v>
      </c>
      <c r="F2074" s="7"/>
      <c r="G2074" s="7"/>
      <c r="H2074" s="7"/>
      <c r="I2074" s="7"/>
      <c r="J2074" s="7"/>
      <c r="K2074" s="7" t="s">
        <v>660</v>
      </c>
      <c r="L2074" s="7" t="s">
        <v>663</v>
      </c>
      <c r="M2074" s="8">
        <v>44579</v>
      </c>
      <c r="N2074" s="8">
        <v>44579</v>
      </c>
      <c r="O2074" s="13"/>
      <c r="P2074" s="13">
        <v>4952.38</v>
      </c>
      <c r="Q2074" s="33"/>
      <c r="R2074" s="22"/>
      <c r="S2074" s="22"/>
      <c r="T2074" s="22"/>
      <c r="U2074" s="22"/>
      <c r="X2074" s="15" t="str">
        <f>IF(B2074="",VLOOKUP(A2074,items_lookup!A:B,2,FALSE),B2074)</f>
        <v>05. Item 05</v>
      </c>
      <c r="Y2074" s="15">
        <f t="shared" si="176"/>
        <v>1</v>
      </c>
      <c r="Z2074" s="15">
        <f t="shared" si="176"/>
        <v>1</v>
      </c>
      <c r="AA2074" s="15">
        <f t="shared" si="173"/>
        <v>2022</v>
      </c>
      <c r="AB2074" s="15">
        <f t="shared" si="174"/>
        <v>2022</v>
      </c>
      <c r="AC2074" s="15">
        <f t="shared" si="175"/>
        <v>2022</v>
      </c>
      <c r="AD2074" s="18" t="b">
        <f t="shared" si="177"/>
        <v>1</v>
      </c>
    </row>
    <row r="2075" spans="1:30" ht="15" hidden="1" customHeight="1" x14ac:dyDescent="0.2">
      <c r="A2075" s="7" t="s">
        <v>668</v>
      </c>
      <c r="B2075" s="20"/>
      <c r="C2075" s="2" t="s">
        <v>641</v>
      </c>
      <c r="D2075" s="6" t="s">
        <v>649</v>
      </c>
      <c r="E2075" s="32" t="s">
        <v>651</v>
      </c>
      <c r="F2075" s="7" t="s">
        <v>20</v>
      </c>
      <c r="G2075" s="7"/>
      <c r="H2075" s="7"/>
      <c r="I2075" s="7"/>
      <c r="J2075" s="7">
        <v>4</v>
      </c>
      <c r="K2075" s="7" t="s">
        <v>660</v>
      </c>
      <c r="L2075" s="7" t="s">
        <v>663</v>
      </c>
      <c r="M2075" s="8">
        <v>44578</v>
      </c>
      <c r="N2075" s="8">
        <v>44582</v>
      </c>
      <c r="O2075" s="13"/>
      <c r="P2075" s="13">
        <v>3716.23</v>
      </c>
      <c r="Q2075" s="33"/>
      <c r="R2075" s="9"/>
      <c r="S2075" s="9"/>
      <c r="T2075" s="9"/>
      <c r="U2075" s="9"/>
      <c r="X2075" s="15" t="str">
        <f>IF(B2075="",VLOOKUP(A2075,items_lookup!A:B,2,FALSE),B2075)</f>
        <v>01. Item 01</v>
      </c>
      <c r="Y2075" s="15">
        <f t="shared" si="176"/>
        <v>1</v>
      </c>
      <c r="Z2075" s="15">
        <f t="shared" si="176"/>
        <v>1</v>
      </c>
      <c r="AA2075" s="15">
        <f t="shared" si="173"/>
        <v>2022</v>
      </c>
      <c r="AB2075" s="15">
        <f t="shared" si="174"/>
        <v>2022</v>
      </c>
      <c r="AC2075" s="15">
        <f t="shared" si="175"/>
        <v>2021</v>
      </c>
      <c r="AD2075" s="18" t="b">
        <f t="shared" si="177"/>
        <v>1</v>
      </c>
    </row>
    <row r="2076" spans="1:30" ht="15" hidden="1" customHeight="1" x14ac:dyDescent="0.2">
      <c r="A2076" s="7" t="s">
        <v>702</v>
      </c>
      <c r="B2076" s="20"/>
      <c r="C2076" s="2" t="s">
        <v>641</v>
      </c>
      <c r="D2076" s="6" t="s">
        <v>649</v>
      </c>
      <c r="E2076" s="32" t="s">
        <v>651</v>
      </c>
      <c r="F2076" s="7" t="s">
        <v>20</v>
      </c>
      <c r="G2076" s="7"/>
      <c r="H2076" s="7"/>
      <c r="I2076" s="7"/>
      <c r="J2076" s="7">
        <v>4</v>
      </c>
      <c r="K2076" s="7" t="s">
        <v>660</v>
      </c>
      <c r="L2076" s="7" t="s">
        <v>663</v>
      </c>
      <c r="M2076" s="8">
        <v>44578</v>
      </c>
      <c r="N2076" s="8">
        <v>44582</v>
      </c>
      <c r="O2076" s="13"/>
      <c r="P2076" s="13">
        <v>1005515.16</v>
      </c>
      <c r="Q2076" s="33"/>
      <c r="R2076" s="9"/>
      <c r="S2076" s="9"/>
      <c r="T2076" s="9"/>
      <c r="U2076" s="9"/>
      <c r="X2076" s="15" t="str">
        <f>IF(B2076="",VLOOKUP(A2076,items_lookup!A:B,2,FALSE),B2076)</f>
        <v>17. Item 17</v>
      </c>
      <c r="Y2076" s="15">
        <f t="shared" si="176"/>
        <v>1</v>
      </c>
      <c r="Z2076" s="15">
        <f t="shared" si="176"/>
        <v>1</v>
      </c>
      <c r="AA2076" s="15">
        <f t="shared" si="173"/>
        <v>2022</v>
      </c>
      <c r="AB2076" s="15">
        <f t="shared" si="174"/>
        <v>2022</v>
      </c>
      <c r="AC2076" s="15">
        <f t="shared" si="175"/>
        <v>2021</v>
      </c>
      <c r="AD2076" s="18" t="b">
        <f t="shared" si="177"/>
        <v>1</v>
      </c>
    </row>
    <row r="2077" spans="1:30" ht="15" hidden="1" customHeight="1" x14ac:dyDescent="0.2">
      <c r="A2077" s="7" t="s">
        <v>683</v>
      </c>
      <c r="B2077" s="7"/>
      <c r="C2077" s="2" t="s">
        <v>641</v>
      </c>
      <c r="D2077" s="6" t="s">
        <v>650</v>
      </c>
      <c r="E2077" s="32" t="s">
        <v>651</v>
      </c>
      <c r="F2077" s="7"/>
      <c r="G2077" s="7"/>
      <c r="H2077" s="7"/>
      <c r="I2077" s="7"/>
      <c r="J2077" s="7">
        <v>1</v>
      </c>
      <c r="K2077" s="7" t="s">
        <v>660</v>
      </c>
      <c r="L2077" s="7" t="s">
        <v>663</v>
      </c>
      <c r="M2077" s="8">
        <v>44575</v>
      </c>
      <c r="N2077" s="8">
        <v>44582</v>
      </c>
      <c r="O2077" s="13"/>
      <c r="P2077" s="13">
        <v>44060.49</v>
      </c>
      <c r="Q2077" s="33"/>
      <c r="R2077" s="22"/>
      <c r="S2077" s="22"/>
      <c r="T2077" s="22"/>
      <c r="U2077" s="22"/>
      <c r="X2077" s="15" t="str">
        <f>IF(B2077="",VLOOKUP(A2077,items_lookup!A:B,2,FALSE),B2077)</f>
        <v>_1. Item _1</v>
      </c>
      <c r="Y2077" s="15">
        <f t="shared" si="176"/>
        <v>1</v>
      </c>
      <c r="Z2077" s="15">
        <f t="shared" si="176"/>
        <v>1</v>
      </c>
      <c r="AA2077" s="15">
        <f t="shared" ref="AA2077:AA2140" si="178">YEAR(N2077)</f>
        <v>2022</v>
      </c>
      <c r="AB2077" s="15">
        <f t="shared" ref="AB2077:AB2140" si="179">YEAR(M2077)</f>
        <v>2022</v>
      </c>
      <c r="AC2077" s="15">
        <f t="shared" ref="AC2077:AC2140" si="180">IF(F2077="X",AA2077-1,AA2077)</f>
        <v>2022</v>
      </c>
      <c r="AD2077" s="18" t="b">
        <f t="shared" si="177"/>
        <v>1</v>
      </c>
    </row>
    <row r="2078" spans="1:30" ht="12.6" hidden="1" customHeight="1" x14ac:dyDescent="0.2">
      <c r="A2078" s="7" t="s">
        <v>682</v>
      </c>
      <c r="B2078" s="20"/>
      <c r="C2078" s="2" t="s">
        <v>641</v>
      </c>
      <c r="D2078" s="6" t="s">
        <v>649</v>
      </c>
      <c r="E2078" s="32" t="s">
        <v>651</v>
      </c>
      <c r="F2078" s="7"/>
      <c r="G2078" s="7"/>
      <c r="H2078" s="7"/>
      <c r="I2078" s="7"/>
      <c r="J2078" s="7">
        <v>1</v>
      </c>
      <c r="K2078" s="7" t="s">
        <v>660</v>
      </c>
      <c r="L2078" s="7" t="s">
        <v>663</v>
      </c>
      <c r="M2078" s="8">
        <v>44575</v>
      </c>
      <c r="N2078" s="8">
        <v>44586</v>
      </c>
      <c r="O2078" s="13"/>
      <c r="P2078" s="13">
        <v>30109.97</v>
      </c>
      <c r="Q2078" s="33"/>
      <c r="R2078" s="9"/>
      <c r="S2078" s="9"/>
      <c r="T2078" s="9"/>
      <c r="U2078" s="9"/>
      <c r="X2078" s="15" t="str">
        <f>IF(B2078="",VLOOKUP(A2078,items_lookup!A:B,2,FALSE),B2078)</f>
        <v>06. Item 06</v>
      </c>
      <c r="Y2078" s="15">
        <f t="shared" si="176"/>
        <v>1</v>
      </c>
      <c r="Z2078" s="15">
        <f t="shared" si="176"/>
        <v>1</v>
      </c>
      <c r="AA2078" s="15">
        <f t="shared" si="178"/>
        <v>2022</v>
      </c>
      <c r="AB2078" s="15">
        <f t="shared" si="179"/>
        <v>2022</v>
      </c>
      <c r="AC2078" s="15">
        <f t="shared" si="180"/>
        <v>2022</v>
      </c>
      <c r="AD2078" s="18" t="b">
        <f t="shared" si="177"/>
        <v>1</v>
      </c>
    </row>
    <row r="2079" spans="1:30" ht="15" hidden="1" customHeight="1" x14ac:dyDescent="0.2">
      <c r="A2079" s="7" t="s">
        <v>697</v>
      </c>
      <c r="B2079" s="20"/>
      <c r="C2079" s="2" t="s">
        <v>641</v>
      </c>
      <c r="D2079" s="6" t="s">
        <v>649</v>
      </c>
      <c r="E2079" s="32" t="s">
        <v>651</v>
      </c>
      <c r="F2079" s="7"/>
      <c r="G2079" s="7"/>
      <c r="H2079" s="7"/>
      <c r="I2079" s="7"/>
      <c r="J2079" s="7">
        <v>1</v>
      </c>
      <c r="K2079" s="7" t="s">
        <v>660</v>
      </c>
      <c r="L2079" s="7" t="s">
        <v>663</v>
      </c>
      <c r="M2079" s="8">
        <v>44575</v>
      </c>
      <c r="N2079" s="8">
        <v>44586</v>
      </c>
      <c r="O2079" s="13"/>
      <c r="P2079" s="13">
        <v>85411.39</v>
      </c>
      <c r="Q2079" s="33"/>
      <c r="R2079" s="9"/>
      <c r="S2079" s="9"/>
      <c r="T2079" s="9"/>
      <c r="U2079" s="9"/>
      <c r="X2079" s="15" t="str">
        <f>IF(B2079="",VLOOKUP(A2079,items_lookup!A:B,2,FALSE),B2079)</f>
        <v>10. Item 10</v>
      </c>
      <c r="Y2079" s="15">
        <f t="shared" si="176"/>
        <v>1</v>
      </c>
      <c r="Z2079" s="15">
        <f t="shared" si="176"/>
        <v>1</v>
      </c>
      <c r="AA2079" s="15">
        <f t="shared" si="178"/>
        <v>2022</v>
      </c>
      <c r="AB2079" s="15">
        <f t="shared" si="179"/>
        <v>2022</v>
      </c>
      <c r="AC2079" s="15">
        <f t="shared" si="180"/>
        <v>2022</v>
      </c>
      <c r="AD2079" s="18" t="b">
        <f t="shared" si="177"/>
        <v>1</v>
      </c>
    </row>
    <row r="2080" spans="1:30" ht="15" hidden="1" customHeight="1" x14ac:dyDescent="0.2">
      <c r="A2080" s="7" t="s">
        <v>702</v>
      </c>
      <c r="B2080" s="7"/>
      <c r="C2080" s="2" t="s">
        <v>641</v>
      </c>
      <c r="D2080" s="6" t="s">
        <v>649</v>
      </c>
      <c r="E2080" s="32" t="s">
        <v>651</v>
      </c>
      <c r="F2080" s="7"/>
      <c r="G2080" s="7"/>
      <c r="H2080" s="7"/>
      <c r="I2080" s="7"/>
      <c r="J2080" s="7">
        <v>3</v>
      </c>
      <c r="K2080" s="7" t="s">
        <v>660</v>
      </c>
      <c r="L2080" s="7" t="s">
        <v>663</v>
      </c>
      <c r="M2080" s="8">
        <v>44578</v>
      </c>
      <c r="N2080" s="8">
        <v>44587</v>
      </c>
      <c r="O2080" s="13"/>
      <c r="P2080" s="13">
        <v>234490.26</v>
      </c>
      <c r="Q2080" s="33"/>
      <c r="R2080" s="22"/>
      <c r="S2080" s="22"/>
      <c r="T2080" s="22"/>
      <c r="U2080" s="22"/>
      <c r="X2080" s="15" t="str">
        <f>IF(B2080="",VLOOKUP(A2080,items_lookup!A:B,2,FALSE),B2080)</f>
        <v>17. Item 17</v>
      </c>
      <c r="Y2080" s="15">
        <f t="shared" si="176"/>
        <v>1</v>
      </c>
      <c r="Z2080" s="15">
        <f t="shared" si="176"/>
        <v>1</v>
      </c>
      <c r="AA2080" s="15">
        <f t="shared" si="178"/>
        <v>2022</v>
      </c>
      <c r="AB2080" s="15">
        <f t="shared" si="179"/>
        <v>2022</v>
      </c>
      <c r="AC2080" s="15">
        <f t="shared" si="180"/>
        <v>2022</v>
      </c>
      <c r="AD2080" s="18" t="b">
        <f t="shared" si="177"/>
        <v>1</v>
      </c>
    </row>
    <row r="2081" spans="1:30" ht="15" hidden="1" customHeight="1" x14ac:dyDescent="0.2">
      <c r="A2081" s="7" t="s">
        <v>703</v>
      </c>
      <c r="B2081" s="20"/>
      <c r="C2081" s="2" t="s">
        <v>641</v>
      </c>
      <c r="D2081" s="6" t="s">
        <v>649</v>
      </c>
      <c r="E2081" s="32" t="s">
        <v>651</v>
      </c>
      <c r="F2081" s="7" t="s">
        <v>20</v>
      </c>
      <c r="G2081" s="7"/>
      <c r="H2081" s="7"/>
      <c r="I2081" s="7"/>
      <c r="J2081" s="7">
        <v>1</v>
      </c>
      <c r="K2081" s="7" t="s">
        <v>660</v>
      </c>
      <c r="L2081" s="7" t="s">
        <v>663</v>
      </c>
      <c r="M2081" s="8">
        <v>44575</v>
      </c>
      <c r="N2081" s="8">
        <v>44587</v>
      </c>
      <c r="O2081" s="13"/>
      <c r="P2081" s="13">
        <v>378045.8</v>
      </c>
      <c r="Q2081" s="33"/>
      <c r="R2081" s="9"/>
      <c r="S2081" s="9"/>
      <c r="T2081" s="9"/>
      <c r="U2081" s="9"/>
      <c r="X2081" s="15" t="str">
        <f>IF(B2081="",VLOOKUP(A2081,items_lookup!A:B,2,FALSE),B2081)</f>
        <v>_3. Item _3</v>
      </c>
      <c r="Y2081" s="15">
        <f t="shared" si="176"/>
        <v>1</v>
      </c>
      <c r="Z2081" s="15">
        <f t="shared" si="176"/>
        <v>1</v>
      </c>
      <c r="AA2081" s="15">
        <f t="shared" si="178"/>
        <v>2022</v>
      </c>
      <c r="AB2081" s="15">
        <f t="shared" si="179"/>
        <v>2022</v>
      </c>
      <c r="AC2081" s="15">
        <f t="shared" si="180"/>
        <v>2021</v>
      </c>
      <c r="AD2081" s="18" t="b">
        <f t="shared" si="177"/>
        <v>1</v>
      </c>
    </row>
    <row r="2082" spans="1:30" ht="15" hidden="1" customHeight="1" x14ac:dyDescent="0.2">
      <c r="A2082" s="7" t="s">
        <v>702</v>
      </c>
      <c r="B2082" s="20"/>
      <c r="C2082" s="2" t="s">
        <v>641</v>
      </c>
      <c r="D2082" s="6" t="s">
        <v>649</v>
      </c>
      <c r="E2082" s="32" t="s">
        <v>651</v>
      </c>
      <c r="F2082" s="7"/>
      <c r="G2082" s="7"/>
      <c r="H2082" s="7"/>
      <c r="I2082" s="7"/>
      <c r="J2082" s="7">
        <v>1</v>
      </c>
      <c r="K2082" s="7" t="s">
        <v>660</v>
      </c>
      <c r="L2082" s="7" t="s">
        <v>663</v>
      </c>
      <c r="M2082" s="8">
        <v>44575</v>
      </c>
      <c r="N2082" s="8">
        <v>44587</v>
      </c>
      <c r="O2082" s="13"/>
      <c r="P2082" s="13">
        <v>162865.29999999999</v>
      </c>
      <c r="Q2082" s="33"/>
      <c r="R2082" s="9"/>
      <c r="S2082" s="9"/>
      <c r="T2082" s="9"/>
      <c r="U2082" s="9"/>
      <c r="X2082" s="15" t="str">
        <f>IF(B2082="",VLOOKUP(A2082,items_lookup!A:B,2,FALSE),B2082)</f>
        <v>17. Item 17</v>
      </c>
      <c r="Y2082" s="15">
        <f t="shared" si="176"/>
        <v>1</v>
      </c>
      <c r="Z2082" s="15">
        <f t="shared" si="176"/>
        <v>1</v>
      </c>
      <c r="AA2082" s="15">
        <f t="shared" si="178"/>
        <v>2022</v>
      </c>
      <c r="AB2082" s="15">
        <f t="shared" si="179"/>
        <v>2022</v>
      </c>
      <c r="AC2082" s="15">
        <f t="shared" si="180"/>
        <v>2022</v>
      </c>
      <c r="AD2082" s="18" t="b">
        <f t="shared" si="177"/>
        <v>1</v>
      </c>
    </row>
    <row r="2083" spans="1:30" ht="15" hidden="1" customHeight="1" x14ac:dyDescent="0.2">
      <c r="A2083" s="7" t="s">
        <v>698</v>
      </c>
      <c r="B2083" s="20"/>
      <c r="C2083" s="2" t="s">
        <v>641</v>
      </c>
      <c r="D2083" s="6" t="s">
        <v>649</v>
      </c>
      <c r="E2083" s="32" t="s">
        <v>651</v>
      </c>
      <c r="F2083" s="7"/>
      <c r="G2083" s="7"/>
      <c r="H2083" s="7"/>
      <c r="I2083" s="7"/>
      <c r="J2083" s="7">
        <v>3</v>
      </c>
      <c r="K2083" s="7" t="s">
        <v>660</v>
      </c>
      <c r="L2083" s="7" t="s">
        <v>663</v>
      </c>
      <c r="M2083" s="8">
        <v>44575</v>
      </c>
      <c r="N2083" s="8">
        <v>44588</v>
      </c>
      <c r="O2083" s="13"/>
      <c r="P2083" s="13">
        <v>53743.77</v>
      </c>
      <c r="Q2083" s="33"/>
      <c r="R2083" s="22"/>
      <c r="S2083" s="22"/>
      <c r="T2083" s="22"/>
      <c r="U2083" s="22"/>
      <c r="X2083" s="15" t="str">
        <f>IF(B2083="",VLOOKUP(A2083,items_lookup!A:B,2,FALSE),B2083)</f>
        <v>10. Item 10</v>
      </c>
      <c r="Y2083" s="15">
        <f t="shared" si="176"/>
        <v>1</v>
      </c>
      <c r="Z2083" s="15">
        <f t="shared" si="176"/>
        <v>1</v>
      </c>
      <c r="AA2083" s="15">
        <f t="shared" si="178"/>
        <v>2022</v>
      </c>
      <c r="AB2083" s="15">
        <f t="shared" si="179"/>
        <v>2022</v>
      </c>
      <c r="AC2083" s="15">
        <f t="shared" si="180"/>
        <v>2022</v>
      </c>
      <c r="AD2083" s="18" t="b">
        <f t="shared" si="177"/>
        <v>1</v>
      </c>
    </row>
    <row r="2084" spans="1:30" ht="15.75" hidden="1" customHeight="1" x14ac:dyDescent="0.2">
      <c r="A2084" s="7" t="s">
        <v>698</v>
      </c>
      <c r="B2084" s="7"/>
      <c r="C2084" s="2" t="s">
        <v>641</v>
      </c>
      <c r="D2084" s="6" t="s">
        <v>649</v>
      </c>
      <c r="E2084" s="32" t="s">
        <v>651</v>
      </c>
      <c r="F2084" s="7"/>
      <c r="G2084" s="7"/>
      <c r="H2084" s="7"/>
      <c r="I2084" s="7"/>
      <c r="J2084" s="7">
        <v>1</v>
      </c>
      <c r="K2084" s="7" t="s">
        <v>660</v>
      </c>
      <c r="L2084" s="7" t="s">
        <v>663</v>
      </c>
      <c r="M2084" s="8">
        <v>44572</v>
      </c>
      <c r="N2084" s="8">
        <v>44582</v>
      </c>
      <c r="O2084" s="13"/>
      <c r="P2084" s="13">
        <v>216681.45</v>
      </c>
      <c r="Q2084" s="33"/>
      <c r="R2084" s="22"/>
      <c r="S2084" s="22"/>
      <c r="T2084" s="22"/>
      <c r="U2084" s="22"/>
      <c r="X2084" s="15" t="str">
        <f>IF(B2084="",VLOOKUP(A2084,items_lookup!A:B,2,FALSE),B2084)</f>
        <v>10. Item 10</v>
      </c>
      <c r="Y2084" s="15">
        <f t="shared" si="176"/>
        <v>1</v>
      </c>
      <c r="Z2084" s="15">
        <f t="shared" si="176"/>
        <v>1</v>
      </c>
      <c r="AA2084" s="15">
        <f t="shared" si="178"/>
        <v>2022</v>
      </c>
      <c r="AB2084" s="15">
        <f t="shared" si="179"/>
        <v>2022</v>
      </c>
      <c r="AC2084" s="15">
        <f t="shared" si="180"/>
        <v>2022</v>
      </c>
      <c r="AD2084" s="18" t="b">
        <f t="shared" si="177"/>
        <v>1</v>
      </c>
    </row>
    <row r="2085" spans="1:30" ht="16.5" hidden="1" customHeight="1" x14ac:dyDescent="0.2">
      <c r="A2085" s="7" t="s">
        <v>691</v>
      </c>
      <c r="B2085" s="7"/>
      <c r="C2085" s="2" t="s">
        <v>641</v>
      </c>
      <c r="D2085" s="6" t="s">
        <v>649</v>
      </c>
      <c r="E2085" s="32" t="s">
        <v>651</v>
      </c>
      <c r="F2085" s="7"/>
      <c r="G2085" s="7"/>
      <c r="H2085" s="7"/>
      <c r="I2085" s="7"/>
      <c r="J2085" s="7"/>
      <c r="K2085" s="7" t="s">
        <v>660</v>
      </c>
      <c r="L2085" s="7" t="s">
        <v>663</v>
      </c>
      <c r="M2085" s="8">
        <v>44580</v>
      </c>
      <c r="N2085" s="8">
        <v>44580</v>
      </c>
      <c r="O2085" s="13"/>
      <c r="P2085" s="13">
        <v>371921.6</v>
      </c>
      <c r="Q2085" s="33"/>
      <c r="R2085" s="22"/>
      <c r="S2085" s="22"/>
      <c r="T2085" s="22"/>
      <c r="U2085" s="22"/>
      <c r="X2085" s="15" t="str">
        <f>IF(B2085="",VLOOKUP(A2085,items_lookup!A:B,2,FALSE),B2085)</f>
        <v>03. Item 03</v>
      </c>
      <c r="Y2085" s="15">
        <f t="shared" si="176"/>
        <v>1</v>
      </c>
      <c r="Z2085" s="15">
        <f t="shared" si="176"/>
        <v>1</v>
      </c>
      <c r="AA2085" s="15">
        <f t="shared" si="178"/>
        <v>2022</v>
      </c>
      <c r="AB2085" s="15">
        <f t="shared" si="179"/>
        <v>2022</v>
      </c>
      <c r="AC2085" s="15">
        <f t="shared" si="180"/>
        <v>2022</v>
      </c>
      <c r="AD2085" s="18" t="b">
        <f t="shared" si="177"/>
        <v>1</v>
      </c>
    </row>
    <row r="2086" spans="1:30" ht="15" hidden="1" customHeight="1" x14ac:dyDescent="0.2">
      <c r="A2086" s="7" t="s">
        <v>694</v>
      </c>
      <c r="B2086" s="7"/>
      <c r="C2086" s="2" t="s">
        <v>641</v>
      </c>
      <c r="D2086" s="6" t="s">
        <v>649</v>
      </c>
      <c r="E2086" s="32" t="s">
        <v>651</v>
      </c>
      <c r="F2086" s="7"/>
      <c r="G2086" s="7"/>
      <c r="H2086" s="7"/>
      <c r="I2086" s="7"/>
      <c r="J2086" s="7">
        <v>4</v>
      </c>
      <c r="K2086" s="7" t="s">
        <v>660</v>
      </c>
      <c r="L2086" s="7" t="s">
        <v>663</v>
      </c>
      <c r="M2086" s="8">
        <v>44575</v>
      </c>
      <c r="N2086" s="8">
        <v>44586</v>
      </c>
      <c r="O2086" s="13"/>
      <c r="P2086" s="13">
        <v>196.34</v>
      </c>
      <c r="Q2086" s="33"/>
      <c r="X2086" s="15" t="str">
        <f>IF(B2086="",VLOOKUP(A2086,items_lookup!A:B,2,FALSE),B2086)</f>
        <v>03. Item 03</v>
      </c>
      <c r="Y2086" s="15">
        <f t="shared" si="176"/>
        <v>1</v>
      </c>
      <c r="Z2086" s="15">
        <f t="shared" si="176"/>
        <v>1</v>
      </c>
      <c r="AA2086" s="15">
        <f t="shared" si="178"/>
        <v>2022</v>
      </c>
      <c r="AB2086" s="15">
        <f t="shared" si="179"/>
        <v>2022</v>
      </c>
      <c r="AC2086" s="15">
        <f t="shared" si="180"/>
        <v>2022</v>
      </c>
      <c r="AD2086" s="18" t="b">
        <f t="shared" si="177"/>
        <v>1</v>
      </c>
    </row>
    <row r="2087" spans="1:30" ht="14.25" hidden="1" customHeight="1" x14ac:dyDescent="0.2">
      <c r="A2087" s="7" t="s">
        <v>670</v>
      </c>
      <c r="B2087" s="7"/>
      <c r="C2087" s="2" t="s">
        <v>641</v>
      </c>
      <c r="D2087" s="6" t="s">
        <v>649</v>
      </c>
      <c r="E2087" s="32" t="s">
        <v>651</v>
      </c>
      <c r="F2087" s="7"/>
      <c r="G2087" s="7"/>
      <c r="H2087" s="7"/>
      <c r="I2087" s="7"/>
      <c r="J2087" s="7">
        <v>3</v>
      </c>
      <c r="K2087" s="7" t="s">
        <v>660</v>
      </c>
      <c r="L2087" s="7" t="s">
        <v>663</v>
      </c>
      <c r="M2087" s="8">
        <v>44580</v>
      </c>
      <c r="N2087" s="8">
        <v>44586</v>
      </c>
      <c r="O2087" s="13"/>
      <c r="P2087" s="13">
        <v>1714285.71</v>
      </c>
      <c r="Q2087" s="33"/>
      <c r="R2087" s="22"/>
      <c r="S2087" s="22"/>
      <c r="T2087" s="22"/>
      <c r="U2087" s="22"/>
      <c r="X2087" s="15" t="str">
        <f>IF(B2087="",VLOOKUP(A2087,items_lookup!A:B,2,FALSE),B2087)</f>
        <v>04. Item 04</v>
      </c>
      <c r="Y2087" s="15">
        <f t="shared" si="176"/>
        <v>1</v>
      </c>
      <c r="Z2087" s="15">
        <f t="shared" si="176"/>
        <v>1</v>
      </c>
      <c r="AA2087" s="15">
        <f t="shared" si="178"/>
        <v>2022</v>
      </c>
      <c r="AB2087" s="15">
        <f t="shared" si="179"/>
        <v>2022</v>
      </c>
      <c r="AC2087" s="15">
        <f t="shared" si="180"/>
        <v>2022</v>
      </c>
      <c r="AD2087" s="18" t="b">
        <f t="shared" si="177"/>
        <v>1</v>
      </c>
    </row>
    <row r="2088" spans="1:30" ht="15" hidden="1" customHeight="1" x14ac:dyDescent="0.2">
      <c r="A2088" s="7" t="s">
        <v>670</v>
      </c>
      <c r="B2088" s="20"/>
      <c r="C2088" s="2" t="s">
        <v>641</v>
      </c>
      <c r="D2088" s="6" t="s">
        <v>649</v>
      </c>
      <c r="E2088" s="32" t="s">
        <v>651</v>
      </c>
      <c r="F2088" s="7"/>
      <c r="G2088" s="7"/>
      <c r="H2088" s="7"/>
      <c r="I2088" s="7"/>
      <c r="J2088" s="7">
        <v>3</v>
      </c>
      <c r="K2088" s="7" t="s">
        <v>660</v>
      </c>
      <c r="L2088" s="7" t="s">
        <v>663</v>
      </c>
      <c r="M2088" s="8">
        <v>44575</v>
      </c>
      <c r="N2088" s="8">
        <v>44587</v>
      </c>
      <c r="O2088" s="13"/>
      <c r="P2088" s="13">
        <v>152951.94</v>
      </c>
      <c r="Q2088" s="33"/>
      <c r="R2088" s="22"/>
      <c r="S2088" s="22"/>
      <c r="T2088" s="22"/>
      <c r="U2088" s="22"/>
      <c r="X2088" s="15" t="str">
        <f>IF(B2088="",VLOOKUP(A2088,items_lookup!A:B,2,FALSE),B2088)</f>
        <v>04. Item 04</v>
      </c>
      <c r="Y2088" s="15">
        <f t="shared" si="176"/>
        <v>1</v>
      </c>
      <c r="Z2088" s="15">
        <f t="shared" si="176"/>
        <v>1</v>
      </c>
      <c r="AA2088" s="15">
        <f t="shared" si="178"/>
        <v>2022</v>
      </c>
      <c r="AB2088" s="15">
        <f t="shared" si="179"/>
        <v>2022</v>
      </c>
      <c r="AC2088" s="15">
        <f t="shared" si="180"/>
        <v>2022</v>
      </c>
      <c r="AD2088" s="18" t="b">
        <f t="shared" si="177"/>
        <v>1</v>
      </c>
    </row>
    <row r="2089" spans="1:30" ht="15.75" hidden="1" customHeight="1" x14ac:dyDescent="0.2">
      <c r="A2089" s="7" t="s">
        <v>671</v>
      </c>
      <c r="B2089" s="20"/>
      <c r="C2089" s="2" t="s">
        <v>641</v>
      </c>
      <c r="D2089" s="6" t="s">
        <v>649</v>
      </c>
      <c r="E2089" s="32" t="s">
        <v>651</v>
      </c>
      <c r="F2089" s="7"/>
      <c r="G2089" s="7"/>
      <c r="H2089" s="7"/>
      <c r="I2089" s="7"/>
      <c r="J2089" s="7">
        <v>1</v>
      </c>
      <c r="K2089" s="7" t="s">
        <v>660</v>
      </c>
      <c r="L2089" s="7" t="s">
        <v>663</v>
      </c>
      <c r="M2089" s="8">
        <v>44575</v>
      </c>
      <c r="N2089" s="8">
        <v>44588</v>
      </c>
      <c r="O2089" s="13"/>
      <c r="P2089" s="13">
        <v>5701122.9299999997</v>
      </c>
      <c r="Q2089" s="33"/>
      <c r="R2089" s="9"/>
      <c r="S2089" s="9"/>
      <c r="T2089" s="9"/>
      <c r="U2089" s="9"/>
      <c r="X2089" s="15" t="str">
        <f>IF(B2089="",VLOOKUP(A2089,items_lookup!A:B,2,FALSE),B2089)</f>
        <v>05. Item 05</v>
      </c>
      <c r="Y2089" s="15">
        <f t="shared" si="176"/>
        <v>1</v>
      </c>
      <c r="Z2089" s="15">
        <f t="shared" si="176"/>
        <v>1</v>
      </c>
      <c r="AA2089" s="15">
        <f t="shared" si="178"/>
        <v>2022</v>
      </c>
      <c r="AB2089" s="15">
        <f t="shared" si="179"/>
        <v>2022</v>
      </c>
      <c r="AC2089" s="15">
        <f t="shared" si="180"/>
        <v>2022</v>
      </c>
      <c r="AD2089" s="18" t="b">
        <f t="shared" si="177"/>
        <v>1</v>
      </c>
    </row>
    <row r="2090" spans="1:30" ht="15" hidden="1" customHeight="1" x14ac:dyDescent="0.2">
      <c r="A2090" s="7" t="s">
        <v>673</v>
      </c>
      <c r="B2090" s="20"/>
      <c r="C2090" s="2" t="s">
        <v>641</v>
      </c>
      <c r="D2090" s="6" t="s">
        <v>649</v>
      </c>
      <c r="E2090" s="32" t="s">
        <v>651</v>
      </c>
      <c r="F2090" s="7"/>
      <c r="G2090" s="7"/>
      <c r="H2090" s="7"/>
      <c r="I2090" s="7"/>
      <c r="J2090" s="7">
        <v>3</v>
      </c>
      <c r="K2090" s="7" t="s">
        <v>660</v>
      </c>
      <c r="L2090" s="7" t="s">
        <v>663</v>
      </c>
      <c r="M2090" s="8">
        <v>44575</v>
      </c>
      <c r="N2090" s="8">
        <v>44588</v>
      </c>
      <c r="O2090" s="13"/>
      <c r="P2090" s="13">
        <v>11189.25</v>
      </c>
      <c r="Q2090" s="33"/>
      <c r="R2090" s="22"/>
      <c r="S2090" s="22"/>
      <c r="T2090" s="22"/>
      <c r="U2090" s="22"/>
      <c r="X2090" s="15" t="str">
        <f>IF(B2090="",VLOOKUP(A2090,items_lookup!A:B,2,FALSE),B2090)</f>
        <v>07. Item 07</v>
      </c>
      <c r="Y2090" s="15">
        <f t="shared" si="176"/>
        <v>1</v>
      </c>
      <c r="Z2090" s="15">
        <f t="shared" si="176"/>
        <v>1</v>
      </c>
      <c r="AA2090" s="15">
        <f t="shared" si="178"/>
        <v>2022</v>
      </c>
      <c r="AB2090" s="15">
        <f t="shared" si="179"/>
        <v>2022</v>
      </c>
      <c r="AC2090" s="15">
        <f t="shared" si="180"/>
        <v>2022</v>
      </c>
      <c r="AD2090" s="18" t="b">
        <f t="shared" si="177"/>
        <v>1</v>
      </c>
    </row>
    <row r="2091" spans="1:30" ht="15.75" hidden="1" customHeight="1" x14ac:dyDescent="0.2">
      <c r="A2091" s="7" t="s">
        <v>676</v>
      </c>
      <c r="B2091" s="20"/>
      <c r="C2091" s="2" t="s">
        <v>641</v>
      </c>
      <c r="D2091" s="6" t="s">
        <v>649</v>
      </c>
      <c r="E2091" s="32" t="s">
        <v>651</v>
      </c>
      <c r="F2091" s="7"/>
      <c r="G2091" s="7"/>
      <c r="H2091" s="7"/>
      <c r="I2091" s="7"/>
      <c r="J2091" s="7">
        <v>3</v>
      </c>
      <c r="K2091" s="7" t="s">
        <v>660</v>
      </c>
      <c r="L2091" s="7" t="s">
        <v>663</v>
      </c>
      <c r="M2091" s="8">
        <v>44575</v>
      </c>
      <c r="N2091" s="8">
        <v>44588</v>
      </c>
      <c r="O2091" s="13"/>
      <c r="P2091" s="13">
        <v>1692.93</v>
      </c>
      <c r="Q2091" s="33"/>
      <c r="R2091" s="22"/>
      <c r="S2091" s="22"/>
      <c r="T2091" s="22"/>
      <c r="U2091" s="22"/>
      <c r="X2091" s="15" t="str">
        <f>IF(B2091="",VLOOKUP(A2091,items_lookup!A:B,2,FALSE),B2091)</f>
        <v>09. Item 09</v>
      </c>
      <c r="Y2091" s="15">
        <f t="shared" si="176"/>
        <v>1</v>
      </c>
      <c r="Z2091" s="15">
        <f t="shared" si="176"/>
        <v>1</v>
      </c>
      <c r="AA2091" s="15">
        <f t="shared" si="178"/>
        <v>2022</v>
      </c>
      <c r="AB2091" s="15">
        <f t="shared" si="179"/>
        <v>2022</v>
      </c>
      <c r="AC2091" s="15">
        <f t="shared" si="180"/>
        <v>2022</v>
      </c>
      <c r="AD2091" s="18" t="b">
        <f t="shared" si="177"/>
        <v>1</v>
      </c>
    </row>
    <row r="2092" spans="1:30" ht="15.75" hidden="1" customHeight="1" x14ac:dyDescent="0.2">
      <c r="A2092" s="7" t="s">
        <v>676</v>
      </c>
      <c r="B2092" s="7"/>
      <c r="C2092" s="2" t="s">
        <v>641</v>
      </c>
      <c r="D2092" s="6" t="s">
        <v>649</v>
      </c>
      <c r="E2092" s="32" t="s">
        <v>651</v>
      </c>
      <c r="F2092" s="7"/>
      <c r="G2092" s="7"/>
      <c r="H2092" s="7"/>
      <c r="I2092" s="7"/>
      <c r="J2092" s="7">
        <v>3</v>
      </c>
      <c r="K2092" s="7" t="s">
        <v>660</v>
      </c>
      <c r="L2092" s="7" t="s">
        <v>663</v>
      </c>
      <c r="M2092" s="8">
        <v>44578</v>
      </c>
      <c r="N2092" s="8">
        <v>44588</v>
      </c>
      <c r="O2092" s="13"/>
      <c r="P2092" s="13">
        <v>250783.6</v>
      </c>
      <c r="Q2092" s="33"/>
      <c r="R2092" s="22"/>
      <c r="S2092" s="22"/>
      <c r="T2092" s="22"/>
      <c r="U2092" s="22"/>
      <c r="X2092" s="15" t="str">
        <f>IF(B2092="",VLOOKUP(A2092,items_lookup!A:B,2,FALSE),B2092)</f>
        <v>09. Item 09</v>
      </c>
      <c r="Y2092" s="15">
        <f t="shared" si="176"/>
        <v>1</v>
      </c>
      <c r="Z2092" s="15">
        <f t="shared" si="176"/>
        <v>1</v>
      </c>
      <c r="AA2092" s="15">
        <f t="shared" si="178"/>
        <v>2022</v>
      </c>
      <c r="AB2092" s="15">
        <f t="shared" si="179"/>
        <v>2022</v>
      </c>
      <c r="AC2092" s="15">
        <f t="shared" si="180"/>
        <v>2022</v>
      </c>
      <c r="AD2092" s="18" t="b">
        <f t="shared" si="177"/>
        <v>1</v>
      </c>
    </row>
    <row r="2093" spans="1:30" ht="15" hidden="1" customHeight="1" x14ac:dyDescent="0.2">
      <c r="A2093" s="7" t="s">
        <v>678</v>
      </c>
      <c r="B2093" s="7"/>
      <c r="C2093" s="2" t="s">
        <v>641</v>
      </c>
      <c r="D2093" s="6" t="s">
        <v>649</v>
      </c>
      <c r="E2093" s="32" t="s">
        <v>651</v>
      </c>
      <c r="F2093" s="7" t="s">
        <v>20</v>
      </c>
      <c r="G2093" s="7"/>
      <c r="H2093" s="7"/>
      <c r="I2093" s="7"/>
      <c r="J2093" s="7">
        <v>3</v>
      </c>
      <c r="K2093" s="7" t="s">
        <v>660</v>
      </c>
      <c r="L2093" s="7" t="s">
        <v>663</v>
      </c>
      <c r="M2093" s="8">
        <v>44578</v>
      </c>
      <c r="N2093" s="8">
        <v>44588</v>
      </c>
      <c r="O2093" s="13"/>
      <c r="P2093" s="13">
        <v>196556.76</v>
      </c>
      <c r="Q2093" s="33"/>
      <c r="R2093" s="22"/>
      <c r="S2093" s="22"/>
      <c r="T2093" s="22"/>
      <c r="U2093" s="22"/>
      <c r="X2093" s="15" t="str">
        <f>IF(B2093="",VLOOKUP(A2093,items_lookup!A:B,2,FALSE),B2093)</f>
        <v>13. Item 13</v>
      </c>
      <c r="Y2093" s="15">
        <f t="shared" ref="Y2093:Z2150" si="181">MONTH(M2093)</f>
        <v>1</v>
      </c>
      <c r="Z2093" s="15">
        <f t="shared" si="181"/>
        <v>1</v>
      </c>
      <c r="AA2093" s="15">
        <f t="shared" si="178"/>
        <v>2022</v>
      </c>
      <c r="AB2093" s="15">
        <f t="shared" si="179"/>
        <v>2022</v>
      </c>
      <c r="AC2093" s="15">
        <f t="shared" si="180"/>
        <v>2021</v>
      </c>
      <c r="AD2093" s="18" t="b">
        <f t="shared" si="177"/>
        <v>1</v>
      </c>
    </row>
    <row r="2094" spans="1:30" ht="15" hidden="1" customHeight="1" x14ac:dyDescent="0.2">
      <c r="A2094" s="7" t="s">
        <v>678</v>
      </c>
      <c r="B2094" s="20"/>
      <c r="C2094" s="2" t="s">
        <v>641</v>
      </c>
      <c r="D2094" s="6" t="s">
        <v>649</v>
      </c>
      <c r="E2094" s="32" t="s">
        <v>651</v>
      </c>
      <c r="F2094" s="7" t="s">
        <v>20</v>
      </c>
      <c r="G2094" s="7"/>
      <c r="H2094" s="7"/>
      <c r="I2094" s="7"/>
      <c r="J2094" s="7">
        <v>3</v>
      </c>
      <c r="K2094" s="7" t="s">
        <v>660</v>
      </c>
      <c r="L2094" s="7" t="s">
        <v>663</v>
      </c>
      <c r="M2094" s="8">
        <v>44575</v>
      </c>
      <c r="N2094" s="8">
        <v>44588</v>
      </c>
      <c r="O2094" s="13"/>
      <c r="P2094" s="13">
        <v>40142.86</v>
      </c>
      <c r="Q2094" s="33"/>
      <c r="R2094" s="22"/>
      <c r="S2094" s="22"/>
      <c r="T2094" s="22"/>
      <c r="U2094" s="22"/>
      <c r="X2094" s="15" t="str">
        <f>IF(B2094="",VLOOKUP(A2094,items_lookup!A:B,2,FALSE),B2094)</f>
        <v>13. Item 13</v>
      </c>
      <c r="Y2094" s="15">
        <f t="shared" si="181"/>
        <v>1</v>
      </c>
      <c r="Z2094" s="15">
        <f t="shared" si="181"/>
        <v>1</v>
      </c>
      <c r="AA2094" s="15">
        <f t="shared" si="178"/>
        <v>2022</v>
      </c>
      <c r="AB2094" s="15">
        <f t="shared" si="179"/>
        <v>2022</v>
      </c>
      <c r="AC2094" s="15">
        <f t="shared" si="180"/>
        <v>2021</v>
      </c>
      <c r="AD2094" s="18" t="b">
        <f t="shared" si="177"/>
        <v>1</v>
      </c>
    </row>
    <row r="2095" spans="1:30" ht="15.75" hidden="1" customHeight="1" x14ac:dyDescent="0.2">
      <c r="A2095" s="7" t="s">
        <v>678</v>
      </c>
      <c r="B2095" s="20"/>
      <c r="C2095" s="2" t="s">
        <v>641</v>
      </c>
      <c r="D2095" s="6" t="s">
        <v>649</v>
      </c>
      <c r="E2095" s="32" t="s">
        <v>651</v>
      </c>
      <c r="F2095" s="7" t="s">
        <v>20</v>
      </c>
      <c r="G2095" s="7"/>
      <c r="H2095" s="7"/>
      <c r="I2095" s="7"/>
      <c r="J2095" s="7">
        <v>3</v>
      </c>
      <c r="K2095" s="7" t="s">
        <v>660</v>
      </c>
      <c r="L2095" s="7" t="s">
        <v>663</v>
      </c>
      <c r="M2095" s="8">
        <v>44575</v>
      </c>
      <c r="N2095" s="8">
        <v>44588</v>
      </c>
      <c r="O2095" s="13"/>
      <c r="P2095" s="13">
        <v>9330.1200000000008</v>
      </c>
      <c r="Q2095" s="33"/>
      <c r="R2095" s="22"/>
      <c r="S2095" s="22"/>
      <c r="T2095" s="22"/>
      <c r="U2095" s="22"/>
      <c r="X2095" s="15" t="str">
        <f>IF(B2095="",VLOOKUP(A2095,items_lookup!A:B,2,FALSE),B2095)</f>
        <v>13. Item 13</v>
      </c>
      <c r="Y2095" s="15">
        <f t="shared" si="181"/>
        <v>1</v>
      </c>
      <c r="Z2095" s="15">
        <f t="shared" si="181"/>
        <v>1</v>
      </c>
      <c r="AA2095" s="15">
        <f t="shared" si="178"/>
        <v>2022</v>
      </c>
      <c r="AB2095" s="15">
        <f t="shared" si="179"/>
        <v>2022</v>
      </c>
      <c r="AC2095" s="15">
        <f t="shared" si="180"/>
        <v>2021</v>
      </c>
      <c r="AD2095" s="18" t="b">
        <f t="shared" si="177"/>
        <v>1</v>
      </c>
    </row>
    <row r="2096" spans="1:30" ht="15.75" hidden="1" customHeight="1" x14ac:dyDescent="0.2">
      <c r="A2096" s="7" t="s">
        <v>678</v>
      </c>
      <c r="B2096" s="20"/>
      <c r="C2096" s="2" t="s">
        <v>641</v>
      </c>
      <c r="D2096" s="6" t="s">
        <v>649</v>
      </c>
      <c r="E2096" s="32" t="s">
        <v>651</v>
      </c>
      <c r="F2096" s="7" t="s">
        <v>20</v>
      </c>
      <c r="G2096" s="7"/>
      <c r="H2096" s="7"/>
      <c r="I2096" s="7"/>
      <c r="J2096" s="7">
        <v>1</v>
      </c>
      <c r="K2096" s="7" t="s">
        <v>660</v>
      </c>
      <c r="L2096" s="7" t="s">
        <v>663</v>
      </c>
      <c r="M2096" s="8">
        <v>44575</v>
      </c>
      <c r="N2096" s="8">
        <v>44588</v>
      </c>
      <c r="O2096" s="13"/>
      <c r="P2096" s="13">
        <v>363070.68</v>
      </c>
      <c r="Q2096" s="33"/>
      <c r="R2096" s="9"/>
      <c r="S2096" s="9"/>
      <c r="T2096" s="9"/>
      <c r="U2096" s="9"/>
      <c r="X2096" s="15" t="str">
        <f>IF(B2096="",VLOOKUP(A2096,items_lookup!A:B,2,FALSE),B2096)</f>
        <v>13. Item 13</v>
      </c>
      <c r="Y2096" s="15">
        <f t="shared" si="181"/>
        <v>1</v>
      </c>
      <c r="Z2096" s="15">
        <f t="shared" si="181"/>
        <v>1</v>
      </c>
      <c r="AA2096" s="15">
        <f t="shared" si="178"/>
        <v>2022</v>
      </c>
      <c r="AB2096" s="15">
        <f t="shared" si="179"/>
        <v>2022</v>
      </c>
      <c r="AC2096" s="15">
        <f t="shared" si="180"/>
        <v>2021</v>
      </c>
      <c r="AD2096" s="18" t="b">
        <f t="shared" si="177"/>
        <v>1</v>
      </c>
    </row>
    <row r="2097" spans="1:30" ht="15" hidden="1" customHeight="1" x14ac:dyDescent="0.2">
      <c r="A2097" s="7" t="s">
        <v>678</v>
      </c>
      <c r="B2097" s="20"/>
      <c r="C2097" s="2" t="s">
        <v>641</v>
      </c>
      <c r="D2097" s="6" t="s">
        <v>649</v>
      </c>
      <c r="E2097" s="32" t="s">
        <v>651</v>
      </c>
      <c r="F2097" s="7" t="s">
        <v>20</v>
      </c>
      <c r="G2097" s="7"/>
      <c r="H2097" s="7"/>
      <c r="I2097" s="7"/>
      <c r="J2097" s="7">
        <v>3</v>
      </c>
      <c r="K2097" s="7" t="s">
        <v>660</v>
      </c>
      <c r="L2097" s="7" t="s">
        <v>663</v>
      </c>
      <c r="M2097" s="8">
        <v>44575</v>
      </c>
      <c r="N2097" s="8">
        <v>44588</v>
      </c>
      <c r="O2097" s="13"/>
      <c r="P2097" s="13">
        <v>17809.78</v>
      </c>
      <c r="Q2097" s="33"/>
      <c r="R2097" s="22"/>
      <c r="S2097" s="22"/>
      <c r="T2097" s="22"/>
      <c r="U2097" s="22"/>
      <c r="X2097" s="15" t="str">
        <f>IF(B2097="",VLOOKUP(A2097,items_lookup!A:B,2,FALSE),B2097)</f>
        <v>13. Item 13</v>
      </c>
      <c r="Y2097" s="15">
        <f t="shared" si="181"/>
        <v>1</v>
      </c>
      <c r="Z2097" s="15">
        <f t="shared" si="181"/>
        <v>1</v>
      </c>
      <c r="AA2097" s="15">
        <f t="shared" si="178"/>
        <v>2022</v>
      </c>
      <c r="AB2097" s="15">
        <f t="shared" si="179"/>
        <v>2022</v>
      </c>
      <c r="AC2097" s="15">
        <f t="shared" si="180"/>
        <v>2021</v>
      </c>
      <c r="AD2097" s="18" t="b">
        <f t="shared" si="177"/>
        <v>1</v>
      </c>
    </row>
    <row r="2098" spans="1:30" ht="15.75" hidden="1" customHeight="1" x14ac:dyDescent="0.2">
      <c r="A2098" s="7" t="s">
        <v>675</v>
      </c>
      <c r="B2098" s="20"/>
      <c r="C2098" s="2" t="s">
        <v>641</v>
      </c>
      <c r="D2098" s="6" t="s">
        <v>649</v>
      </c>
      <c r="E2098" s="32" t="s">
        <v>651</v>
      </c>
      <c r="F2098" s="7" t="s">
        <v>20</v>
      </c>
      <c r="G2098" s="7"/>
      <c r="H2098" s="7"/>
      <c r="I2098" s="7"/>
      <c r="J2098" s="7">
        <v>3</v>
      </c>
      <c r="K2098" s="7" t="s">
        <v>660</v>
      </c>
      <c r="L2098" s="7" t="s">
        <v>663</v>
      </c>
      <c r="M2098" s="8">
        <v>44575</v>
      </c>
      <c r="N2098" s="8">
        <v>44588</v>
      </c>
      <c r="O2098" s="13"/>
      <c r="P2098" s="13">
        <v>1015524.55</v>
      </c>
      <c r="Q2098" s="33"/>
      <c r="R2098" s="22"/>
      <c r="S2098" s="22"/>
      <c r="T2098" s="22"/>
      <c r="U2098" s="22"/>
      <c r="X2098" s="15" t="str">
        <f>IF(B2098="",VLOOKUP(A2098,items_lookup!A:B,2,FALSE),B2098)</f>
        <v>09. Item 09</v>
      </c>
      <c r="Y2098" s="15">
        <f t="shared" si="181"/>
        <v>1</v>
      </c>
      <c r="Z2098" s="15">
        <f t="shared" si="181"/>
        <v>1</v>
      </c>
      <c r="AA2098" s="15">
        <f t="shared" si="178"/>
        <v>2022</v>
      </c>
      <c r="AB2098" s="15">
        <f t="shared" si="179"/>
        <v>2022</v>
      </c>
      <c r="AC2098" s="15">
        <f t="shared" si="180"/>
        <v>2021</v>
      </c>
      <c r="AD2098" s="18" t="b">
        <f t="shared" si="177"/>
        <v>1</v>
      </c>
    </row>
    <row r="2099" spans="1:30" ht="15.75" hidden="1" customHeight="1" x14ac:dyDescent="0.2">
      <c r="A2099" s="7" t="s">
        <v>675</v>
      </c>
      <c r="B2099" s="20"/>
      <c r="C2099" s="2" t="s">
        <v>641</v>
      </c>
      <c r="D2099" s="6" t="s">
        <v>649</v>
      </c>
      <c r="E2099" s="32" t="s">
        <v>651</v>
      </c>
      <c r="F2099" s="7"/>
      <c r="G2099" s="7"/>
      <c r="H2099" s="7"/>
      <c r="I2099" s="7"/>
      <c r="J2099" s="7">
        <v>1</v>
      </c>
      <c r="K2099" s="7" t="s">
        <v>660</v>
      </c>
      <c r="L2099" s="7" t="s">
        <v>663</v>
      </c>
      <c r="M2099" s="8">
        <v>44575</v>
      </c>
      <c r="N2099" s="8">
        <v>44589</v>
      </c>
      <c r="O2099" s="13"/>
      <c r="P2099" s="13">
        <v>9170.5400000000009</v>
      </c>
      <c r="Q2099" s="33"/>
      <c r="R2099" s="9"/>
      <c r="S2099" s="9"/>
      <c r="T2099" s="9"/>
      <c r="U2099" s="9"/>
      <c r="X2099" s="15" t="str">
        <f>IF(B2099="",VLOOKUP(A2099,items_lookup!A:B,2,FALSE),B2099)</f>
        <v>09. Item 09</v>
      </c>
      <c r="Y2099" s="15">
        <f t="shared" si="181"/>
        <v>1</v>
      </c>
      <c r="Z2099" s="15">
        <f t="shared" si="181"/>
        <v>1</v>
      </c>
      <c r="AA2099" s="15">
        <f t="shared" si="178"/>
        <v>2022</v>
      </c>
      <c r="AB2099" s="15">
        <f t="shared" si="179"/>
        <v>2022</v>
      </c>
      <c r="AC2099" s="15">
        <f t="shared" si="180"/>
        <v>2022</v>
      </c>
      <c r="AD2099" s="18" t="b">
        <f t="shared" si="177"/>
        <v>1</v>
      </c>
    </row>
    <row r="2100" spans="1:30" ht="15" hidden="1" customHeight="1" x14ac:dyDescent="0.2">
      <c r="A2100" s="7" t="s">
        <v>675</v>
      </c>
      <c r="B2100" s="7"/>
      <c r="C2100" s="2" t="s">
        <v>641</v>
      </c>
      <c r="D2100" s="6" t="s">
        <v>649</v>
      </c>
      <c r="E2100" s="32" t="s">
        <v>651</v>
      </c>
      <c r="F2100" s="7"/>
      <c r="G2100" s="7"/>
      <c r="H2100" s="7"/>
      <c r="I2100" s="7"/>
      <c r="J2100" s="7">
        <v>3</v>
      </c>
      <c r="K2100" s="7" t="s">
        <v>660</v>
      </c>
      <c r="L2100" s="7" t="s">
        <v>663</v>
      </c>
      <c r="M2100" s="8">
        <v>44578</v>
      </c>
      <c r="N2100" s="8">
        <v>44589</v>
      </c>
      <c r="O2100" s="13"/>
      <c r="P2100" s="13">
        <v>45444</v>
      </c>
      <c r="Q2100" s="33"/>
      <c r="R2100" s="22"/>
      <c r="S2100" s="22"/>
      <c r="T2100" s="22"/>
      <c r="U2100" s="22"/>
      <c r="X2100" s="15" t="str">
        <f>IF(B2100="",VLOOKUP(A2100,items_lookup!A:B,2,FALSE),B2100)</f>
        <v>09. Item 09</v>
      </c>
      <c r="Y2100" s="15">
        <f t="shared" si="181"/>
        <v>1</v>
      </c>
      <c r="Z2100" s="15">
        <f t="shared" si="181"/>
        <v>1</v>
      </c>
      <c r="AA2100" s="15">
        <f t="shared" si="178"/>
        <v>2022</v>
      </c>
      <c r="AB2100" s="15">
        <f t="shared" si="179"/>
        <v>2022</v>
      </c>
      <c r="AC2100" s="15">
        <f t="shared" si="180"/>
        <v>2022</v>
      </c>
      <c r="AD2100" s="18" t="b">
        <f t="shared" si="177"/>
        <v>1</v>
      </c>
    </row>
    <row r="2101" spans="1:30" ht="15" hidden="1" customHeight="1" x14ac:dyDescent="0.2">
      <c r="A2101" s="7" t="s">
        <v>675</v>
      </c>
      <c r="B2101" s="20"/>
      <c r="C2101" s="2" t="s">
        <v>641</v>
      </c>
      <c r="D2101" s="6" t="s">
        <v>649</v>
      </c>
      <c r="E2101" s="32" t="s">
        <v>651</v>
      </c>
      <c r="F2101" s="7"/>
      <c r="G2101" s="7"/>
      <c r="H2101" s="7"/>
      <c r="I2101" s="7"/>
      <c r="J2101" s="7">
        <v>3</v>
      </c>
      <c r="K2101" s="7" t="s">
        <v>660</v>
      </c>
      <c r="L2101" s="7" t="s">
        <v>663</v>
      </c>
      <c r="M2101" s="8">
        <v>44575</v>
      </c>
      <c r="N2101" s="8">
        <v>44589</v>
      </c>
      <c r="O2101" s="13"/>
      <c r="P2101" s="13">
        <v>43740.81</v>
      </c>
      <c r="Q2101" s="33"/>
      <c r="R2101" s="22"/>
      <c r="S2101" s="22"/>
      <c r="T2101" s="22"/>
      <c r="U2101" s="22"/>
      <c r="X2101" s="15" t="str">
        <f>IF(B2101="",VLOOKUP(A2101,items_lookup!A:B,2,FALSE),B2101)</f>
        <v>09. Item 09</v>
      </c>
      <c r="Y2101" s="15">
        <f t="shared" si="181"/>
        <v>1</v>
      </c>
      <c r="Z2101" s="15">
        <f t="shared" si="181"/>
        <v>1</v>
      </c>
      <c r="AA2101" s="15">
        <f t="shared" si="178"/>
        <v>2022</v>
      </c>
      <c r="AB2101" s="15">
        <f t="shared" si="179"/>
        <v>2022</v>
      </c>
      <c r="AC2101" s="15">
        <f t="shared" si="180"/>
        <v>2022</v>
      </c>
      <c r="AD2101" s="18" t="b">
        <f t="shared" si="177"/>
        <v>1</v>
      </c>
    </row>
    <row r="2102" spans="1:30" ht="15.75" hidden="1" customHeight="1" x14ac:dyDescent="0.2">
      <c r="A2102" s="7" t="s">
        <v>675</v>
      </c>
      <c r="B2102" s="20"/>
      <c r="C2102" s="2" t="s">
        <v>641</v>
      </c>
      <c r="D2102" s="6" t="s">
        <v>649</v>
      </c>
      <c r="E2102" s="32" t="s">
        <v>651</v>
      </c>
      <c r="F2102" s="7"/>
      <c r="G2102" s="7"/>
      <c r="H2102" s="7"/>
      <c r="I2102" s="7"/>
      <c r="J2102" s="7">
        <v>3</v>
      </c>
      <c r="K2102" s="7" t="s">
        <v>660</v>
      </c>
      <c r="L2102" s="7" t="s">
        <v>663</v>
      </c>
      <c r="M2102" s="8">
        <v>44575</v>
      </c>
      <c r="N2102" s="8">
        <v>44589</v>
      </c>
      <c r="O2102" s="13"/>
      <c r="P2102" s="13">
        <v>151258.68</v>
      </c>
      <c r="Q2102" s="33"/>
      <c r="R2102" s="22"/>
      <c r="S2102" s="22"/>
      <c r="T2102" s="22"/>
      <c r="U2102" s="22"/>
      <c r="X2102" s="15" t="str">
        <f>IF(B2102="",VLOOKUP(A2102,items_lookup!A:B,2,FALSE),B2102)</f>
        <v>09. Item 09</v>
      </c>
      <c r="Y2102" s="15">
        <f t="shared" si="181"/>
        <v>1</v>
      </c>
      <c r="Z2102" s="15">
        <f t="shared" si="181"/>
        <v>1</v>
      </c>
      <c r="AA2102" s="15">
        <f t="shared" si="178"/>
        <v>2022</v>
      </c>
      <c r="AB2102" s="15">
        <f t="shared" si="179"/>
        <v>2022</v>
      </c>
      <c r="AC2102" s="15">
        <f t="shared" si="180"/>
        <v>2022</v>
      </c>
      <c r="AD2102" s="18" t="b">
        <f t="shared" si="177"/>
        <v>1</v>
      </c>
    </row>
    <row r="2103" spans="1:30" ht="15.75" hidden="1" customHeight="1" x14ac:dyDescent="0.2">
      <c r="A2103" s="7" t="s">
        <v>681</v>
      </c>
      <c r="B2103" s="20"/>
      <c r="C2103" s="2" t="s">
        <v>641</v>
      </c>
      <c r="D2103" s="6" t="s">
        <v>649</v>
      </c>
      <c r="E2103" s="32" t="s">
        <v>651</v>
      </c>
      <c r="F2103" s="7"/>
      <c r="G2103" s="7"/>
      <c r="H2103" s="7"/>
      <c r="I2103" s="7"/>
      <c r="J2103" s="7">
        <v>3</v>
      </c>
      <c r="K2103" s="7" t="s">
        <v>660</v>
      </c>
      <c r="L2103" s="7" t="s">
        <v>663</v>
      </c>
      <c r="M2103" s="8">
        <v>44575</v>
      </c>
      <c r="N2103" s="8">
        <v>44589</v>
      </c>
      <c r="O2103" s="13"/>
      <c r="P2103" s="13">
        <v>5668.81</v>
      </c>
      <c r="Q2103" s="33"/>
      <c r="R2103" s="22"/>
      <c r="S2103" s="22"/>
      <c r="T2103" s="22"/>
      <c r="U2103" s="22"/>
      <c r="X2103" s="15" t="str">
        <f>IF(B2103="",VLOOKUP(A2103,items_lookup!A:B,2,FALSE),B2103)</f>
        <v>19. Item 19</v>
      </c>
      <c r="Y2103" s="15">
        <f t="shared" si="181"/>
        <v>1</v>
      </c>
      <c r="Z2103" s="15">
        <f t="shared" si="181"/>
        <v>1</v>
      </c>
      <c r="AA2103" s="15">
        <f t="shared" si="178"/>
        <v>2022</v>
      </c>
      <c r="AB2103" s="15">
        <f t="shared" si="179"/>
        <v>2022</v>
      </c>
      <c r="AC2103" s="15">
        <f t="shared" si="180"/>
        <v>2022</v>
      </c>
      <c r="AD2103" s="18" t="b">
        <f t="shared" si="177"/>
        <v>1</v>
      </c>
    </row>
    <row r="2104" spans="1:30" ht="15.75" hidden="1" customHeight="1" x14ac:dyDescent="0.2">
      <c r="A2104" s="7" t="s">
        <v>672</v>
      </c>
      <c r="B2104" s="20"/>
      <c r="C2104" s="2" t="s">
        <v>641</v>
      </c>
      <c r="D2104" s="6" t="s">
        <v>649</v>
      </c>
      <c r="E2104" s="32" t="s">
        <v>651</v>
      </c>
      <c r="F2104" s="7" t="s">
        <v>20</v>
      </c>
      <c r="G2104" s="7"/>
      <c r="H2104" s="7"/>
      <c r="I2104" s="7"/>
      <c r="J2104" s="7">
        <v>1</v>
      </c>
      <c r="K2104" s="7" t="s">
        <v>660</v>
      </c>
      <c r="L2104" s="7" t="s">
        <v>663</v>
      </c>
      <c r="M2104" s="8">
        <v>44575</v>
      </c>
      <c r="N2104" s="8">
        <v>44589</v>
      </c>
      <c r="O2104" s="13"/>
      <c r="P2104" s="13">
        <v>631795.63</v>
      </c>
      <c r="Q2104" s="33"/>
      <c r="R2104" s="9"/>
      <c r="S2104" s="9"/>
      <c r="T2104" s="9"/>
      <c r="U2104" s="9"/>
      <c r="X2104" s="15" t="str">
        <f>IF(B2104="",VLOOKUP(A2104,items_lookup!A:B,2,FALSE),B2104)</f>
        <v>05. Item 05</v>
      </c>
      <c r="Y2104" s="15">
        <f t="shared" si="181"/>
        <v>1</v>
      </c>
      <c r="Z2104" s="15">
        <f t="shared" si="181"/>
        <v>1</v>
      </c>
      <c r="AA2104" s="15">
        <f t="shared" si="178"/>
        <v>2022</v>
      </c>
      <c r="AB2104" s="15">
        <f t="shared" si="179"/>
        <v>2022</v>
      </c>
      <c r="AC2104" s="15">
        <f t="shared" si="180"/>
        <v>2021</v>
      </c>
      <c r="AD2104" s="18" t="b">
        <f t="shared" si="177"/>
        <v>1</v>
      </c>
    </row>
    <row r="2105" spans="1:30" ht="15" hidden="1" customHeight="1" x14ac:dyDescent="0.2">
      <c r="A2105" s="7" t="s">
        <v>672</v>
      </c>
      <c r="B2105" s="20"/>
      <c r="C2105" s="2" t="s">
        <v>641</v>
      </c>
      <c r="D2105" s="6" t="s">
        <v>649</v>
      </c>
      <c r="E2105" s="32" t="s">
        <v>651</v>
      </c>
      <c r="F2105" s="7" t="s">
        <v>20</v>
      </c>
      <c r="G2105" s="7"/>
      <c r="H2105" s="7"/>
      <c r="I2105" s="7"/>
      <c r="J2105" s="7">
        <v>1</v>
      </c>
      <c r="K2105" s="7" t="s">
        <v>660</v>
      </c>
      <c r="L2105" s="7" t="s">
        <v>663</v>
      </c>
      <c r="M2105" s="8">
        <v>44575</v>
      </c>
      <c r="N2105" s="8">
        <v>44589</v>
      </c>
      <c r="O2105" s="13"/>
      <c r="P2105" s="13">
        <v>41332</v>
      </c>
      <c r="Q2105" s="33"/>
      <c r="R2105" s="9"/>
      <c r="S2105" s="9"/>
      <c r="T2105" s="9"/>
      <c r="U2105" s="9"/>
      <c r="X2105" s="15" t="str">
        <f>IF(B2105="",VLOOKUP(A2105,items_lookup!A:B,2,FALSE),B2105)</f>
        <v>05. Item 05</v>
      </c>
      <c r="Y2105" s="15">
        <f t="shared" si="181"/>
        <v>1</v>
      </c>
      <c r="Z2105" s="15">
        <f t="shared" si="181"/>
        <v>1</v>
      </c>
      <c r="AA2105" s="15">
        <f t="shared" si="178"/>
        <v>2022</v>
      </c>
      <c r="AB2105" s="15">
        <f t="shared" si="179"/>
        <v>2022</v>
      </c>
      <c r="AC2105" s="15">
        <f t="shared" si="180"/>
        <v>2021</v>
      </c>
      <c r="AD2105" s="18" t="b">
        <f t="shared" si="177"/>
        <v>1</v>
      </c>
    </row>
    <row r="2106" spans="1:30" ht="15" hidden="1" customHeight="1" x14ac:dyDescent="0.2">
      <c r="A2106" s="7" t="s">
        <v>672</v>
      </c>
      <c r="B2106" s="20"/>
      <c r="C2106" s="2" t="s">
        <v>641</v>
      </c>
      <c r="D2106" s="6" t="s">
        <v>649</v>
      </c>
      <c r="E2106" s="32" t="s">
        <v>651</v>
      </c>
      <c r="F2106" s="7" t="s">
        <v>20</v>
      </c>
      <c r="G2106" s="7"/>
      <c r="H2106" s="7"/>
      <c r="I2106" s="7"/>
      <c r="J2106" s="7">
        <v>3</v>
      </c>
      <c r="K2106" s="7" t="s">
        <v>660</v>
      </c>
      <c r="L2106" s="7" t="s">
        <v>663</v>
      </c>
      <c r="M2106" s="8">
        <v>44575</v>
      </c>
      <c r="N2106" s="8">
        <v>44589</v>
      </c>
      <c r="O2106" s="13"/>
      <c r="P2106" s="13">
        <v>80151.03</v>
      </c>
      <c r="Q2106" s="33"/>
      <c r="R2106" s="22"/>
      <c r="S2106" s="22"/>
      <c r="T2106" s="22"/>
      <c r="U2106" s="22"/>
      <c r="X2106" s="15" t="str">
        <f>IF(B2106="",VLOOKUP(A2106,items_lookup!A:B,2,FALSE),B2106)</f>
        <v>05. Item 05</v>
      </c>
      <c r="Y2106" s="15">
        <f t="shared" si="181"/>
        <v>1</v>
      </c>
      <c r="Z2106" s="15">
        <f t="shared" si="181"/>
        <v>1</v>
      </c>
      <c r="AA2106" s="15">
        <f t="shared" si="178"/>
        <v>2022</v>
      </c>
      <c r="AB2106" s="15">
        <f t="shared" si="179"/>
        <v>2022</v>
      </c>
      <c r="AC2106" s="15">
        <f t="shared" si="180"/>
        <v>2021</v>
      </c>
      <c r="AD2106" s="18" t="b">
        <f t="shared" si="177"/>
        <v>1</v>
      </c>
    </row>
    <row r="2107" spans="1:30" ht="15.75" hidden="1" customHeight="1" x14ac:dyDescent="0.2">
      <c r="A2107" s="7" t="s">
        <v>677</v>
      </c>
      <c r="B2107" s="20"/>
      <c r="C2107" s="2" t="s">
        <v>641</v>
      </c>
      <c r="D2107" s="6" t="s">
        <v>649</v>
      </c>
      <c r="E2107" s="32" t="s">
        <v>651</v>
      </c>
      <c r="F2107" s="7"/>
      <c r="G2107" s="7"/>
      <c r="H2107" s="7"/>
      <c r="I2107" s="7"/>
      <c r="J2107" s="7">
        <v>3</v>
      </c>
      <c r="K2107" s="7" t="s">
        <v>660</v>
      </c>
      <c r="L2107" s="7" t="s">
        <v>663</v>
      </c>
      <c r="M2107" s="8">
        <v>44581</v>
      </c>
      <c r="N2107" s="8">
        <v>44589</v>
      </c>
      <c r="O2107" s="13"/>
      <c r="P2107" s="13">
        <v>8792.1</v>
      </c>
      <c r="Q2107" s="33"/>
      <c r="R2107" s="22"/>
      <c r="S2107" s="22"/>
      <c r="T2107" s="22"/>
      <c r="U2107" s="22"/>
      <c r="X2107" s="15" t="str">
        <f>IF(B2107="",VLOOKUP(A2107,items_lookup!A:B,2,FALSE),B2107)</f>
        <v>11. Item 11</v>
      </c>
      <c r="Y2107" s="15">
        <f t="shared" si="181"/>
        <v>1</v>
      </c>
      <c r="Z2107" s="15">
        <f t="shared" si="181"/>
        <v>1</v>
      </c>
      <c r="AA2107" s="15">
        <f t="shared" si="178"/>
        <v>2022</v>
      </c>
      <c r="AB2107" s="15">
        <f t="shared" si="179"/>
        <v>2022</v>
      </c>
      <c r="AC2107" s="15">
        <f t="shared" si="180"/>
        <v>2022</v>
      </c>
      <c r="AD2107" s="18" t="b">
        <f t="shared" si="177"/>
        <v>1</v>
      </c>
    </row>
    <row r="2108" spans="1:30" ht="15.75" hidden="1" customHeight="1" x14ac:dyDescent="0.2">
      <c r="A2108" s="7" t="s">
        <v>677</v>
      </c>
      <c r="B2108" s="20"/>
      <c r="C2108" s="2" t="s">
        <v>641</v>
      </c>
      <c r="D2108" s="6" t="s">
        <v>649</v>
      </c>
      <c r="E2108" s="32" t="s">
        <v>651</v>
      </c>
      <c r="F2108" s="7"/>
      <c r="G2108" s="7"/>
      <c r="H2108" s="7"/>
      <c r="I2108" s="7"/>
      <c r="J2108" s="7">
        <v>4</v>
      </c>
      <c r="K2108" s="7" t="s">
        <v>659</v>
      </c>
      <c r="L2108" s="7" t="s">
        <v>663</v>
      </c>
      <c r="M2108" s="8">
        <v>44581</v>
      </c>
      <c r="N2108" s="8">
        <v>44594</v>
      </c>
      <c r="O2108" s="13"/>
      <c r="P2108" s="13">
        <v>11855.71</v>
      </c>
      <c r="Q2108" s="33"/>
      <c r="R2108" s="9"/>
      <c r="S2108" s="9"/>
      <c r="T2108" s="9"/>
      <c r="U2108" s="9"/>
      <c r="X2108" s="15" t="str">
        <f>IF(B2108="",VLOOKUP(A2108,items_lookup!A:B,2,FALSE),B2108)</f>
        <v>11. Item 11</v>
      </c>
      <c r="Y2108" s="15">
        <f t="shared" si="181"/>
        <v>1</v>
      </c>
      <c r="Z2108" s="15">
        <f t="shared" si="181"/>
        <v>2</v>
      </c>
      <c r="AA2108" s="15">
        <f t="shared" si="178"/>
        <v>2022</v>
      </c>
      <c r="AB2108" s="15">
        <f t="shared" si="179"/>
        <v>2022</v>
      </c>
      <c r="AC2108" s="15">
        <f t="shared" si="180"/>
        <v>2022</v>
      </c>
      <c r="AD2108" s="18" t="b">
        <f t="shared" si="177"/>
        <v>1</v>
      </c>
    </row>
    <row r="2109" spans="1:30" ht="15" hidden="1" customHeight="1" x14ac:dyDescent="0.2">
      <c r="A2109" s="7" t="s">
        <v>701</v>
      </c>
      <c r="B2109" s="20"/>
      <c r="C2109" s="2" t="s">
        <v>641</v>
      </c>
      <c r="D2109" s="6" t="s">
        <v>649</v>
      </c>
      <c r="E2109" s="32" t="s">
        <v>651</v>
      </c>
      <c r="F2109" s="7"/>
      <c r="G2109" s="7"/>
      <c r="H2109" s="7"/>
      <c r="I2109" s="7"/>
      <c r="J2109" s="7">
        <v>3</v>
      </c>
      <c r="K2109" s="7" t="s">
        <v>659</v>
      </c>
      <c r="L2109" s="7" t="s">
        <v>663</v>
      </c>
      <c r="M2109" s="8">
        <v>44578</v>
      </c>
      <c r="N2109" s="8">
        <v>44594</v>
      </c>
      <c r="O2109" s="13"/>
      <c r="P2109" s="13">
        <v>41364.86</v>
      </c>
      <c r="Q2109" s="33"/>
      <c r="R2109" s="9"/>
      <c r="S2109" s="9"/>
      <c r="T2109" s="9"/>
      <c r="U2109" s="9"/>
      <c r="X2109" s="15" t="str">
        <f>IF(B2109="",VLOOKUP(A2109,items_lookup!A:B,2,FALSE),B2109)</f>
        <v>13. Item 13</v>
      </c>
      <c r="Y2109" s="15">
        <f t="shared" si="181"/>
        <v>1</v>
      </c>
      <c r="Z2109" s="15">
        <f t="shared" si="181"/>
        <v>2</v>
      </c>
      <c r="AA2109" s="15">
        <f t="shared" si="178"/>
        <v>2022</v>
      </c>
      <c r="AB2109" s="15">
        <f t="shared" si="179"/>
        <v>2022</v>
      </c>
      <c r="AC2109" s="15">
        <f t="shared" si="180"/>
        <v>2022</v>
      </c>
      <c r="AD2109" s="18" t="b">
        <f t="shared" si="177"/>
        <v>1</v>
      </c>
    </row>
    <row r="2110" spans="1:30" ht="15" hidden="1" customHeight="1" x14ac:dyDescent="0.2">
      <c r="A2110" s="7" t="s">
        <v>680</v>
      </c>
      <c r="B2110" s="20"/>
      <c r="C2110" s="2" t="s">
        <v>641</v>
      </c>
      <c r="D2110" s="6" t="s">
        <v>649</v>
      </c>
      <c r="E2110" s="32" t="s">
        <v>651</v>
      </c>
      <c r="F2110" s="7" t="s">
        <v>20</v>
      </c>
      <c r="G2110" s="7"/>
      <c r="H2110" s="7"/>
      <c r="I2110" s="7"/>
      <c r="J2110" s="7">
        <v>3</v>
      </c>
      <c r="K2110" s="7" t="s">
        <v>659</v>
      </c>
      <c r="L2110" s="7" t="s">
        <v>663</v>
      </c>
      <c r="M2110" s="8">
        <v>44578</v>
      </c>
      <c r="N2110" s="8">
        <v>44600</v>
      </c>
      <c r="O2110" s="13"/>
      <c r="P2110" s="13">
        <v>24070.38</v>
      </c>
      <c r="Q2110" s="33"/>
      <c r="R2110" s="9"/>
      <c r="S2110" s="9"/>
      <c r="T2110" s="9"/>
      <c r="U2110" s="9"/>
      <c r="X2110" s="15" t="str">
        <f>IF(B2110="",VLOOKUP(A2110,items_lookup!A:B,2,FALSE),B2110)</f>
        <v>13. Item 13</v>
      </c>
      <c r="Y2110" s="15">
        <f t="shared" si="181"/>
        <v>1</v>
      </c>
      <c r="Z2110" s="15">
        <f t="shared" si="181"/>
        <v>2</v>
      </c>
      <c r="AA2110" s="15">
        <f t="shared" si="178"/>
        <v>2022</v>
      </c>
      <c r="AB2110" s="15">
        <f t="shared" si="179"/>
        <v>2022</v>
      </c>
      <c r="AC2110" s="15">
        <f t="shared" si="180"/>
        <v>2021</v>
      </c>
      <c r="AD2110" s="18" t="b">
        <f t="shared" si="177"/>
        <v>1</v>
      </c>
    </row>
    <row r="2111" spans="1:30" ht="15" hidden="1" customHeight="1" x14ac:dyDescent="0.2">
      <c r="A2111" s="7" t="s">
        <v>680</v>
      </c>
      <c r="B2111" s="20"/>
      <c r="C2111" s="2" t="s">
        <v>641</v>
      </c>
      <c r="D2111" s="6" t="s">
        <v>649</v>
      </c>
      <c r="E2111" s="32" t="s">
        <v>651</v>
      </c>
      <c r="F2111" s="7"/>
      <c r="G2111" s="7"/>
      <c r="H2111" s="7"/>
      <c r="I2111" s="7" t="s">
        <v>20</v>
      </c>
      <c r="J2111" s="7">
        <v>4</v>
      </c>
      <c r="K2111" s="7" t="s">
        <v>658</v>
      </c>
      <c r="L2111" s="7" t="s">
        <v>663</v>
      </c>
      <c r="M2111" s="8">
        <v>44578</v>
      </c>
      <c r="N2111" s="8">
        <v>44602</v>
      </c>
      <c r="O2111" s="13"/>
      <c r="P2111" s="13">
        <v>812072.97</v>
      </c>
      <c r="Q2111" s="33"/>
      <c r="R2111" s="22"/>
      <c r="S2111" s="22"/>
      <c r="T2111" s="22"/>
      <c r="U2111" s="22"/>
      <c r="X2111" s="15" t="str">
        <f>IF(B2111="",VLOOKUP(A2111,items_lookup!A:B,2,FALSE),B2111)</f>
        <v>13. Item 13</v>
      </c>
      <c r="Y2111" s="15">
        <f t="shared" si="181"/>
        <v>1</v>
      </c>
      <c r="Z2111" s="15">
        <f t="shared" si="181"/>
        <v>2</v>
      </c>
      <c r="AA2111" s="15">
        <f t="shared" si="178"/>
        <v>2022</v>
      </c>
      <c r="AB2111" s="15">
        <f t="shared" si="179"/>
        <v>2022</v>
      </c>
      <c r="AC2111" s="15">
        <f t="shared" si="180"/>
        <v>2022</v>
      </c>
      <c r="AD2111" s="18" t="b">
        <f t="shared" si="177"/>
        <v>1</v>
      </c>
    </row>
    <row r="2112" spans="1:30" ht="15.75" hidden="1" customHeight="1" x14ac:dyDescent="0.2">
      <c r="A2112" s="7" t="s">
        <v>680</v>
      </c>
      <c r="B2112" s="20"/>
      <c r="C2112" s="2" t="s">
        <v>641</v>
      </c>
      <c r="D2112" s="6" t="s">
        <v>649</v>
      </c>
      <c r="E2112" s="32" t="s">
        <v>651</v>
      </c>
      <c r="F2112" s="7" t="s">
        <v>20</v>
      </c>
      <c r="G2112" s="7"/>
      <c r="H2112" s="7"/>
      <c r="I2112" s="7"/>
      <c r="J2112" s="7">
        <v>3</v>
      </c>
      <c r="K2112" s="7" t="s">
        <v>660</v>
      </c>
      <c r="L2112" s="7" t="s">
        <v>663</v>
      </c>
      <c r="M2112" s="8">
        <v>44578</v>
      </c>
      <c r="N2112" s="8">
        <v>44592</v>
      </c>
      <c r="O2112" s="13"/>
      <c r="P2112" s="13">
        <v>11.09</v>
      </c>
      <c r="Q2112" s="33"/>
      <c r="R2112" s="22"/>
      <c r="S2112" s="22"/>
      <c r="T2112" s="22"/>
      <c r="U2112" s="22"/>
      <c r="X2112" s="15" t="str">
        <f>IF(B2112="",VLOOKUP(A2112,items_lookup!A:B,2,FALSE),B2112)</f>
        <v>13. Item 13</v>
      </c>
      <c r="Y2112" s="15">
        <f t="shared" si="181"/>
        <v>1</v>
      </c>
      <c r="Z2112" s="15">
        <f t="shared" si="181"/>
        <v>1</v>
      </c>
      <c r="AA2112" s="15">
        <f t="shared" si="178"/>
        <v>2022</v>
      </c>
      <c r="AB2112" s="15">
        <f t="shared" si="179"/>
        <v>2022</v>
      </c>
      <c r="AC2112" s="15">
        <f t="shared" si="180"/>
        <v>2021</v>
      </c>
      <c r="AD2112" s="18" t="b">
        <f t="shared" si="177"/>
        <v>1</v>
      </c>
    </row>
    <row r="2113" spans="1:30" ht="15" hidden="1" customHeight="1" x14ac:dyDescent="0.2">
      <c r="A2113" s="7" t="s">
        <v>680</v>
      </c>
      <c r="B2113" s="20"/>
      <c r="C2113" s="2" t="s">
        <v>641</v>
      </c>
      <c r="D2113" s="6" t="s">
        <v>649</v>
      </c>
      <c r="E2113" s="32" t="s">
        <v>651</v>
      </c>
      <c r="F2113" s="7"/>
      <c r="G2113" s="7"/>
      <c r="H2113" s="7"/>
      <c r="I2113" s="7"/>
      <c r="J2113" s="7">
        <v>4</v>
      </c>
      <c r="K2113" s="7" t="s">
        <v>658</v>
      </c>
      <c r="L2113" s="7" t="s">
        <v>663</v>
      </c>
      <c r="M2113" s="8">
        <v>44578</v>
      </c>
      <c r="N2113" s="8">
        <v>44602</v>
      </c>
      <c r="O2113" s="13"/>
      <c r="P2113" s="13">
        <v>8935.1200000000008</v>
      </c>
      <c r="Q2113" s="33"/>
      <c r="R2113" s="9"/>
      <c r="S2113" s="9"/>
      <c r="T2113" s="9"/>
      <c r="U2113" s="9"/>
      <c r="X2113" s="15" t="str">
        <f>IF(B2113="",VLOOKUP(A2113,items_lookup!A:B,2,FALSE),B2113)</f>
        <v>13. Item 13</v>
      </c>
      <c r="Y2113" s="15">
        <f t="shared" si="181"/>
        <v>1</v>
      </c>
      <c r="Z2113" s="15">
        <f t="shared" si="181"/>
        <v>2</v>
      </c>
      <c r="AA2113" s="15">
        <f t="shared" si="178"/>
        <v>2022</v>
      </c>
      <c r="AB2113" s="15">
        <f t="shared" si="179"/>
        <v>2022</v>
      </c>
      <c r="AC2113" s="15">
        <f t="shared" si="180"/>
        <v>2022</v>
      </c>
      <c r="AD2113" s="18" t="b">
        <f t="shared" si="177"/>
        <v>1</v>
      </c>
    </row>
    <row r="2114" spans="1:30" ht="15" hidden="1" customHeight="1" x14ac:dyDescent="0.2">
      <c r="A2114" s="7" t="s">
        <v>680</v>
      </c>
      <c r="B2114" s="20"/>
      <c r="C2114" s="2" t="s">
        <v>641</v>
      </c>
      <c r="D2114" s="6" t="s">
        <v>649</v>
      </c>
      <c r="E2114" s="32" t="s">
        <v>651</v>
      </c>
      <c r="F2114" s="7" t="s">
        <v>20</v>
      </c>
      <c r="G2114" s="7"/>
      <c r="H2114" s="7"/>
      <c r="I2114" s="7"/>
      <c r="J2114" s="7">
        <v>4</v>
      </c>
      <c r="K2114" s="7" t="s">
        <v>659</v>
      </c>
      <c r="L2114" s="7" t="s">
        <v>663</v>
      </c>
      <c r="M2114" s="8">
        <v>44578</v>
      </c>
      <c r="N2114" s="8">
        <v>44595</v>
      </c>
      <c r="O2114" s="13"/>
      <c r="P2114" s="13">
        <v>416651.87</v>
      </c>
      <c r="Q2114" s="33"/>
      <c r="R2114" s="9"/>
      <c r="S2114" s="9"/>
      <c r="T2114" s="9"/>
      <c r="U2114" s="9"/>
      <c r="X2114" s="15" t="str">
        <f>IF(B2114="",VLOOKUP(A2114,items_lookup!A:B,2,FALSE),B2114)</f>
        <v>13. Item 13</v>
      </c>
      <c r="Y2114" s="15">
        <f t="shared" si="181"/>
        <v>1</v>
      </c>
      <c r="Z2114" s="15">
        <f t="shared" si="181"/>
        <v>2</v>
      </c>
      <c r="AA2114" s="15">
        <f t="shared" si="178"/>
        <v>2022</v>
      </c>
      <c r="AB2114" s="15">
        <f t="shared" si="179"/>
        <v>2022</v>
      </c>
      <c r="AC2114" s="15">
        <f t="shared" si="180"/>
        <v>2021</v>
      </c>
      <c r="AD2114" s="18" t="b">
        <f t="shared" si="177"/>
        <v>1</v>
      </c>
    </row>
    <row r="2115" spans="1:30" ht="15" hidden="1" customHeight="1" x14ac:dyDescent="0.2">
      <c r="A2115" s="7" t="s">
        <v>680</v>
      </c>
      <c r="B2115" s="7"/>
      <c r="C2115" s="2" t="s">
        <v>641</v>
      </c>
      <c r="D2115" s="6" t="s">
        <v>649</v>
      </c>
      <c r="E2115" s="32" t="s">
        <v>651</v>
      </c>
      <c r="F2115" s="7"/>
      <c r="G2115" s="7"/>
      <c r="H2115" s="7"/>
      <c r="I2115" s="7"/>
      <c r="J2115" s="7"/>
      <c r="K2115" s="7" t="s">
        <v>660</v>
      </c>
      <c r="L2115" s="7" t="s">
        <v>663</v>
      </c>
      <c r="M2115" s="8">
        <v>44582</v>
      </c>
      <c r="N2115" s="8">
        <v>44582</v>
      </c>
      <c r="O2115" s="13"/>
      <c r="P2115" s="13">
        <v>4007595.99</v>
      </c>
      <c r="Q2115" s="33"/>
      <c r="R2115" s="22"/>
      <c r="S2115" s="22"/>
      <c r="T2115" s="22"/>
      <c r="U2115" s="22"/>
      <c r="X2115" s="15" t="str">
        <f>IF(B2115="",VLOOKUP(A2115,items_lookup!A:B,2,FALSE),B2115)</f>
        <v>13. Item 13</v>
      </c>
      <c r="Y2115" s="15">
        <f t="shared" si="181"/>
        <v>1</v>
      </c>
      <c r="Z2115" s="15">
        <f t="shared" si="181"/>
        <v>1</v>
      </c>
      <c r="AA2115" s="15">
        <f t="shared" si="178"/>
        <v>2022</v>
      </c>
      <c r="AB2115" s="15">
        <f t="shared" si="179"/>
        <v>2022</v>
      </c>
      <c r="AC2115" s="15">
        <f t="shared" si="180"/>
        <v>2022</v>
      </c>
      <c r="AD2115" s="18" t="b">
        <f t="shared" ref="AD2115:AD2171" si="182">AND(ROUND(O2115,2)=O2115,ROUND(P2115,2)=P2115,OR(AND(O2115&lt;&gt;0,L2115="p"),AND(P2115&lt;&gt;0,L2115="f")),_xlfn.ISFORMULA(X2115),_xlfn.ISFORMULA(Y2115),_xlfn.ISFORMULA(Z2115),_xlfn.ISFORMULA(AA2115),_xlfn.ISFORMULA(AB2115),_xlfn.ISFORMULA(AC2115),NOT(_xlfn.ISFORMULA(O2115)),NOT(_xlfn.ISFORMULA(P2115)),M2115&lt;&gt;0,N2115&lt;&gt;0)</f>
        <v>1</v>
      </c>
    </row>
    <row r="2116" spans="1:30" ht="15" hidden="1" customHeight="1" x14ac:dyDescent="0.2">
      <c r="A2116" s="7" t="s">
        <v>680</v>
      </c>
      <c r="B2116" s="7"/>
      <c r="C2116" s="2" t="s">
        <v>641</v>
      </c>
      <c r="D2116" s="6" t="s">
        <v>649</v>
      </c>
      <c r="E2116" s="32" t="s">
        <v>651</v>
      </c>
      <c r="F2116" s="7"/>
      <c r="G2116" s="7"/>
      <c r="H2116" s="7"/>
      <c r="I2116" s="7"/>
      <c r="J2116" s="7"/>
      <c r="K2116" s="7" t="s">
        <v>660</v>
      </c>
      <c r="L2116" s="7" t="s">
        <v>663</v>
      </c>
      <c r="M2116" s="8">
        <v>44581</v>
      </c>
      <c r="N2116" s="8">
        <v>44581</v>
      </c>
      <c r="O2116" s="13"/>
      <c r="P2116" s="13">
        <v>16266.39</v>
      </c>
      <c r="Q2116" s="33"/>
      <c r="R2116" s="22"/>
      <c r="S2116" s="22"/>
      <c r="T2116" s="22"/>
      <c r="U2116" s="22"/>
      <c r="X2116" s="15" t="str">
        <f>IF(B2116="",VLOOKUP(A2116,items_lookup!A:B,2,FALSE),B2116)</f>
        <v>13. Item 13</v>
      </c>
      <c r="Y2116" s="15">
        <f t="shared" si="181"/>
        <v>1</v>
      </c>
      <c r="Z2116" s="15">
        <f t="shared" si="181"/>
        <v>1</v>
      </c>
      <c r="AA2116" s="15">
        <f t="shared" si="178"/>
        <v>2022</v>
      </c>
      <c r="AB2116" s="15">
        <f t="shared" si="179"/>
        <v>2022</v>
      </c>
      <c r="AC2116" s="15">
        <f t="shared" si="180"/>
        <v>2022</v>
      </c>
      <c r="AD2116" s="18" t="b">
        <f t="shared" si="182"/>
        <v>1</v>
      </c>
    </row>
    <row r="2117" spans="1:30" ht="15" hidden="1" customHeight="1" x14ac:dyDescent="0.2">
      <c r="A2117" s="7" t="s">
        <v>680</v>
      </c>
      <c r="B2117" s="7"/>
      <c r="C2117" s="2" t="s">
        <v>641</v>
      </c>
      <c r="D2117" s="6" t="s">
        <v>649</v>
      </c>
      <c r="E2117" s="32" t="s">
        <v>651</v>
      </c>
      <c r="F2117" s="7"/>
      <c r="G2117" s="7"/>
      <c r="H2117" s="7"/>
      <c r="I2117" s="7"/>
      <c r="J2117" s="7"/>
      <c r="K2117" s="7" t="s">
        <v>660</v>
      </c>
      <c r="L2117" s="7" t="s">
        <v>663</v>
      </c>
      <c r="M2117" s="8">
        <v>44582</v>
      </c>
      <c r="N2117" s="8">
        <v>44582</v>
      </c>
      <c r="O2117" s="13"/>
      <c r="P2117" s="13">
        <v>44060.49</v>
      </c>
      <c r="Q2117" s="33"/>
      <c r="R2117" s="22"/>
      <c r="S2117" s="22"/>
      <c r="T2117" s="22"/>
      <c r="U2117" s="22"/>
      <c r="X2117" s="15" t="str">
        <f>IF(B2117="",VLOOKUP(A2117,items_lookup!A:B,2,FALSE),B2117)</f>
        <v>13. Item 13</v>
      </c>
      <c r="Y2117" s="15">
        <f t="shared" si="181"/>
        <v>1</v>
      </c>
      <c r="Z2117" s="15">
        <f t="shared" si="181"/>
        <v>1</v>
      </c>
      <c r="AA2117" s="15">
        <f t="shared" si="178"/>
        <v>2022</v>
      </c>
      <c r="AB2117" s="15">
        <f t="shared" si="179"/>
        <v>2022</v>
      </c>
      <c r="AC2117" s="15">
        <f t="shared" si="180"/>
        <v>2022</v>
      </c>
      <c r="AD2117" s="18" t="b">
        <f t="shared" si="182"/>
        <v>1</v>
      </c>
    </row>
    <row r="2118" spans="1:30" ht="15" hidden="1" customHeight="1" x14ac:dyDescent="0.2">
      <c r="A2118" s="7" t="s">
        <v>680</v>
      </c>
      <c r="B2118" s="7"/>
      <c r="C2118" s="2" t="s">
        <v>641</v>
      </c>
      <c r="D2118" s="6" t="s">
        <v>650</v>
      </c>
      <c r="E2118" s="32" t="s">
        <v>651</v>
      </c>
      <c r="F2118" s="7"/>
      <c r="G2118" s="7"/>
      <c r="H2118" s="7"/>
      <c r="I2118" s="7"/>
      <c r="J2118" s="7">
        <v>4</v>
      </c>
      <c r="K2118" s="7" t="s">
        <v>660</v>
      </c>
      <c r="L2118" s="7" t="s">
        <v>663</v>
      </c>
      <c r="M2118" s="8">
        <v>44581</v>
      </c>
      <c r="N2118" s="8">
        <v>44589</v>
      </c>
      <c r="O2118" s="13"/>
      <c r="P2118" s="13">
        <v>6195.55</v>
      </c>
      <c r="Q2118" s="33"/>
      <c r="R2118" s="22"/>
      <c r="S2118" s="22"/>
      <c r="T2118" s="22"/>
      <c r="U2118" s="22"/>
      <c r="X2118" s="15" t="str">
        <f>IF(B2118="",VLOOKUP(A2118,items_lookup!A:B,2,FALSE),B2118)</f>
        <v>13. Item 13</v>
      </c>
      <c r="Y2118" s="15">
        <f t="shared" si="181"/>
        <v>1</v>
      </c>
      <c r="Z2118" s="15">
        <f t="shared" si="181"/>
        <v>1</v>
      </c>
      <c r="AA2118" s="15">
        <f t="shared" si="178"/>
        <v>2022</v>
      </c>
      <c r="AB2118" s="15">
        <f t="shared" si="179"/>
        <v>2022</v>
      </c>
      <c r="AC2118" s="15">
        <f t="shared" si="180"/>
        <v>2022</v>
      </c>
      <c r="AD2118" s="18" t="b">
        <f t="shared" si="182"/>
        <v>1</v>
      </c>
    </row>
    <row r="2119" spans="1:30" ht="12.6" hidden="1" customHeight="1" x14ac:dyDescent="0.2">
      <c r="A2119" s="7" t="s">
        <v>680</v>
      </c>
      <c r="B2119" s="7"/>
      <c r="C2119" s="2" t="s">
        <v>641</v>
      </c>
      <c r="D2119" s="6" t="s">
        <v>650</v>
      </c>
      <c r="E2119" s="32" t="s">
        <v>651</v>
      </c>
      <c r="F2119" s="7"/>
      <c r="G2119" s="7"/>
      <c r="H2119" s="7"/>
      <c r="I2119" s="7"/>
      <c r="J2119" s="7">
        <v>4</v>
      </c>
      <c r="K2119" s="7" t="s">
        <v>660</v>
      </c>
      <c r="L2119" s="7" t="s">
        <v>663</v>
      </c>
      <c r="M2119" s="8">
        <v>44581</v>
      </c>
      <c r="N2119" s="8">
        <v>44589</v>
      </c>
      <c r="O2119" s="13"/>
      <c r="P2119" s="13">
        <v>4690.4799999999996</v>
      </c>
      <c r="Q2119" s="33"/>
      <c r="R2119" s="22"/>
      <c r="S2119" s="22"/>
      <c r="T2119" s="22"/>
      <c r="U2119" s="22"/>
      <c r="X2119" s="15" t="str">
        <f>IF(B2119="",VLOOKUP(A2119,items_lookup!A:B,2,FALSE),B2119)</f>
        <v>13. Item 13</v>
      </c>
      <c r="Y2119" s="15">
        <f t="shared" si="181"/>
        <v>1</v>
      </c>
      <c r="Z2119" s="15">
        <f t="shared" si="181"/>
        <v>1</v>
      </c>
      <c r="AA2119" s="15">
        <f t="shared" si="178"/>
        <v>2022</v>
      </c>
      <c r="AB2119" s="15">
        <f t="shared" si="179"/>
        <v>2022</v>
      </c>
      <c r="AC2119" s="15">
        <f t="shared" si="180"/>
        <v>2022</v>
      </c>
      <c r="AD2119" s="18" t="b">
        <f t="shared" si="182"/>
        <v>1</v>
      </c>
    </row>
    <row r="2120" spans="1:30" ht="12.6" hidden="1" customHeight="1" x14ac:dyDescent="0.2">
      <c r="A2120" s="7" t="s">
        <v>680</v>
      </c>
      <c r="B2120" s="20"/>
      <c r="C2120" s="2" t="s">
        <v>641</v>
      </c>
      <c r="D2120" s="6" t="s">
        <v>649</v>
      </c>
      <c r="E2120" s="32" t="s">
        <v>651</v>
      </c>
      <c r="F2120" s="7" t="s">
        <v>20</v>
      </c>
      <c r="G2120" s="7"/>
      <c r="H2120" s="7"/>
      <c r="I2120" s="7"/>
      <c r="J2120" s="7">
        <v>4</v>
      </c>
      <c r="K2120" s="7" t="s">
        <v>660</v>
      </c>
      <c r="L2120" s="7" t="s">
        <v>663</v>
      </c>
      <c r="M2120" s="8">
        <v>44581</v>
      </c>
      <c r="N2120" s="8">
        <v>44592</v>
      </c>
      <c r="O2120" s="13"/>
      <c r="P2120" s="13">
        <v>2785443.46</v>
      </c>
      <c r="Q2120" s="33"/>
      <c r="R2120" s="9"/>
      <c r="S2120" s="9"/>
      <c r="T2120" s="9"/>
      <c r="U2120" s="9"/>
      <c r="X2120" s="15" t="str">
        <f>IF(B2120="",VLOOKUP(A2120,items_lookup!A:B,2,FALSE),B2120)</f>
        <v>13. Item 13</v>
      </c>
      <c r="Y2120" s="15">
        <f t="shared" si="181"/>
        <v>1</v>
      </c>
      <c r="Z2120" s="15">
        <f t="shared" si="181"/>
        <v>1</v>
      </c>
      <c r="AA2120" s="15">
        <f t="shared" si="178"/>
        <v>2022</v>
      </c>
      <c r="AB2120" s="15">
        <f t="shared" si="179"/>
        <v>2022</v>
      </c>
      <c r="AC2120" s="15">
        <f t="shared" si="180"/>
        <v>2021</v>
      </c>
      <c r="AD2120" s="18" t="b">
        <f t="shared" si="182"/>
        <v>1</v>
      </c>
    </row>
    <row r="2121" spans="1:30" ht="15" hidden="1" customHeight="1" x14ac:dyDescent="0.2">
      <c r="A2121" s="7" t="s">
        <v>680</v>
      </c>
      <c r="B2121" s="20"/>
      <c r="C2121" s="2" t="s">
        <v>641</v>
      </c>
      <c r="D2121" s="6" t="s">
        <v>649</v>
      </c>
      <c r="E2121" s="32" t="s">
        <v>651</v>
      </c>
      <c r="F2121" s="7"/>
      <c r="G2121" s="7"/>
      <c r="H2121" s="7"/>
      <c r="I2121" s="7"/>
      <c r="J2121" s="7">
        <v>4</v>
      </c>
      <c r="K2121" s="7" t="s">
        <v>659</v>
      </c>
      <c r="L2121" s="7" t="s">
        <v>663</v>
      </c>
      <c r="M2121" s="8">
        <v>44579</v>
      </c>
      <c r="N2121" s="8">
        <v>44594</v>
      </c>
      <c r="O2121" s="13"/>
      <c r="P2121" s="13">
        <v>11099.37</v>
      </c>
      <c r="Q2121" s="33"/>
      <c r="R2121" s="22"/>
      <c r="S2121" s="22"/>
      <c r="T2121" s="22"/>
      <c r="U2121" s="22"/>
      <c r="X2121" s="15" t="str">
        <f>IF(B2121="",VLOOKUP(A2121,items_lookup!A:B,2,FALSE),B2121)</f>
        <v>13. Item 13</v>
      </c>
      <c r="Y2121" s="15">
        <f t="shared" si="181"/>
        <v>1</v>
      </c>
      <c r="Z2121" s="15">
        <f t="shared" si="181"/>
        <v>2</v>
      </c>
      <c r="AA2121" s="15">
        <f t="shared" si="178"/>
        <v>2022</v>
      </c>
      <c r="AB2121" s="15">
        <f t="shared" si="179"/>
        <v>2022</v>
      </c>
      <c r="AC2121" s="15">
        <f t="shared" si="180"/>
        <v>2022</v>
      </c>
      <c r="AD2121" s="18" t="b">
        <f t="shared" si="182"/>
        <v>1</v>
      </c>
    </row>
    <row r="2122" spans="1:30" ht="15.75" hidden="1" customHeight="1" x14ac:dyDescent="0.2">
      <c r="A2122" s="7" t="s">
        <v>680</v>
      </c>
      <c r="B2122" s="20"/>
      <c r="C2122" s="2" t="s">
        <v>641</v>
      </c>
      <c r="D2122" s="6" t="s">
        <v>649</v>
      </c>
      <c r="E2122" s="32" t="s">
        <v>651</v>
      </c>
      <c r="F2122" s="7"/>
      <c r="G2122" s="7"/>
      <c r="H2122" s="7"/>
      <c r="I2122" s="7"/>
      <c r="J2122" s="7">
        <v>1</v>
      </c>
      <c r="K2122" s="7" t="s">
        <v>660</v>
      </c>
      <c r="L2122" s="7" t="s">
        <v>663</v>
      </c>
      <c r="M2122" s="8">
        <v>44581</v>
      </c>
      <c r="N2122" s="8">
        <v>44589</v>
      </c>
      <c r="O2122" s="13"/>
      <c r="P2122" s="13">
        <v>120357.14</v>
      </c>
      <c r="Q2122" s="33"/>
      <c r="R2122" s="9"/>
      <c r="S2122" s="9"/>
      <c r="T2122" s="9"/>
      <c r="U2122" s="9"/>
      <c r="X2122" s="15" t="str">
        <f>IF(B2122="",VLOOKUP(A2122,items_lookup!A:B,2,FALSE),B2122)</f>
        <v>13. Item 13</v>
      </c>
      <c r="Y2122" s="15">
        <f t="shared" si="181"/>
        <v>1</v>
      </c>
      <c r="Z2122" s="15">
        <f t="shared" si="181"/>
        <v>1</v>
      </c>
      <c r="AA2122" s="15">
        <f t="shared" si="178"/>
        <v>2022</v>
      </c>
      <c r="AB2122" s="15">
        <f t="shared" si="179"/>
        <v>2022</v>
      </c>
      <c r="AC2122" s="15">
        <f t="shared" si="180"/>
        <v>2022</v>
      </c>
      <c r="AD2122" s="18" t="b">
        <f t="shared" si="182"/>
        <v>1</v>
      </c>
    </row>
    <row r="2123" spans="1:30" ht="15" hidden="1" customHeight="1" x14ac:dyDescent="0.2">
      <c r="A2123" s="7" t="s">
        <v>682</v>
      </c>
      <c r="B2123" s="7"/>
      <c r="C2123" s="2" t="s">
        <v>641</v>
      </c>
      <c r="D2123" s="6" t="s">
        <v>649</v>
      </c>
      <c r="E2123" s="32" t="s">
        <v>651</v>
      </c>
      <c r="F2123" s="7"/>
      <c r="G2123" s="7"/>
      <c r="H2123" s="7"/>
      <c r="I2123" s="7"/>
      <c r="J2123" s="7">
        <v>3</v>
      </c>
      <c r="K2123" s="7" t="s">
        <v>660</v>
      </c>
      <c r="L2123" s="7" t="s">
        <v>663</v>
      </c>
      <c r="M2123" s="8">
        <v>44578</v>
      </c>
      <c r="N2123" s="8">
        <v>44592</v>
      </c>
      <c r="O2123" s="13"/>
      <c r="P2123" s="13">
        <v>4546.34</v>
      </c>
      <c r="Q2123" s="33"/>
      <c r="R2123" s="22"/>
      <c r="S2123" s="22"/>
      <c r="T2123" s="22"/>
      <c r="U2123" s="22"/>
      <c r="X2123" s="15" t="str">
        <f>IF(B2123="",VLOOKUP(A2123,items_lookup!A:B,2,FALSE),B2123)</f>
        <v>06. Item 06</v>
      </c>
      <c r="Y2123" s="15">
        <f t="shared" si="181"/>
        <v>1</v>
      </c>
      <c r="Z2123" s="15">
        <f t="shared" si="181"/>
        <v>1</v>
      </c>
      <c r="AA2123" s="15">
        <f t="shared" si="178"/>
        <v>2022</v>
      </c>
      <c r="AB2123" s="15">
        <f t="shared" si="179"/>
        <v>2022</v>
      </c>
      <c r="AC2123" s="15">
        <f t="shared" si="180"/>
        <v>2022</v>
      </c>
      <c r="AD2123" s="18" t="b">
        <f t="shared" si="182"/>
        <v>1</v>
      </c>
    </row>
    <row r="2124" spans="1:30" ht="15" hidden="1" customHeight="1" x14ac:dyDescent="0.2">
      <c r="A2124" s="7" t="s">
        <v>682</v>
      </c>
      <c r="B2124" s="20"/>
      <c r="C2124" s="2" t="s">
        <v>641</v>
      </c>
      <c r="D2124" s="6" t="s">
        <v>649</v>
      </c>
      <c r="E2124" s="32" t="s">
        <v>651</v>
      </c>
      <c r="F2124" s="7" t="s">
        <v>20</v>
      </c>
      <c r="G2124" s="7"/>
      <c r="H2124" s="7"/>
      <c r="I2124" s="7"/>
      <c r="J2124" s="7">
        <v>4</v>
      </c>
      <c r="K2124" s="7" t="s">
        <v>660</v>
      </c>
      <c r="L2124" s="7" t="s">
        <v>663</v>
      </c>
      <c r="M2124" s="8">
        <v>44581</v>
      </c>
      <c r="N2124" s="8">
        <v>44592</v>
      </c>
      <c r="O2124" s="13"/>
      <c r="P2124" s="13">
        <v>106753.32</v>
      </c>
      <c r="Q2124" s="33"/>
      <c r="R2124" s="9"/>
      <c r="S2124" s="9"/>
      <c r="T2124" s="9"/>
      <c r="U2124" s="9"/>
      <c r="X2124" s="15" t="str">
        <f>IF(B2124="",VLOOKUP(A2124,items_lookup!A:B,2,FALSE),B2124)</f>
        <v>06. Item 06</v>
      </c>
      <c r="Y2124" s="15">
        <f t="shared" si="181"/>
        <v>1</v>
      </c>
      <c r="Z2124" s="15">
        <f t="shared" si="181"/>
        <v>1</v>
      </c>
      <c r="AA2124" s="15">
        <f t="shared" si="178"/>
        <v>2022</v>
      </c>
      <c r="AB2124" s="15">
        <f t="shared" si="179"/>
        <v>2022</v>
      </c>
      <c r="AC2124" s="15">
        <f t="shared" si="180"/>
        <v>2021</v>
      </c>
      <c r="AD2124" s="18" t="b">
        <f t="shared" si="182"/>
        <v>1</v>
      </c>
    </row>
    <row r="2125" spans="1:30" ht="15" hidden="1" customHeight="1" x14ac:dyDescent="0.2">
      <c r="A2125" s="7" t="s">
        <v>703</v>
      </c>
      <c r="B2125" s="20"/>
      <c r="C2125" s="2" t="s">
        <v>641</v>
      </c>
      <c r="D2125" s="6" t="s">
        <v>649</v>
      </c>
      <c r="E2125" s="32" t="s">
        <v>651</v>
      </c>
      <c r="F2125" s="7" t="s">
        <v>20</v>
      </c>
      <c r="G2125" s="7"/>
      <c r="H2125" s="7"/>
      <c r="I2125" s="7"/>
      <c r="J2125" s="7">
        <v>3</v>
      </c>
      <c r="K2125" s="7" t="s">
        <v>660</v>
      </c>
      <c r="L2125" s="7" t="s">
        <v>663</v>
      </c>
      <c r="M2125" s="8">
        <v>44578</v>
      </c>
      <c r="N2125" s="8">
        <v>44592</v>
      </c>
      <c r="O2125" s="13"/>
      <c r="P2125" s="13">
        <v>8791.5300000000007</v>
      </c>
      <c r="Q2125" s="33"/>
      <c r="R2125" s="9"/>
      <c r="S2125" s="9"/>
      <c r="T2125" s="9"/>
      <c r="U2125" s="9"/>
      <c r="X2125" s="15" t="str">
        <f>IF(B2125="",VLOOKUP(A2125,items_lookup!A:B,2,FALSE),B2125)</f>
        <v>_3. Item _3</v>
      </c>
      <c r="Y2125" s="15">
        <f t="shared" si="181"/>
        <v>1</v>
      </c>
      <c r="Z2125" s="15">
        <f t="shared" si="181"/>
        <v>1</v>
      </c>
      <c r="AA2125" s="15">
        <f t="shared" si="178"/>
        <v>2022</v>
      </c>
      <c r="AB2125" s="15">
        <f t="shared" si="179"/>
        <v>2022</v>
      </c>
      <c r="AC2125" s="15">
        <f t="shared" si="180"/>
        <v>2021</v>
      </c>
      <c r="AD2125" s="18" t="b">
        <f t="shared" si="182"/>
        <v>1</v>
      </c>
    </row>
    <row r="2126" spans="1:30" ht="15" hidden="1" customHeight="1" x14ac:dyDescent="0.2">
      <c r="A2126" s="7" t="s">
        <v>687</v>
      </c>
      <c r="B2126" s="20"/>
      <c r="C2126" s="2" t="s">
        <v>641</v>
      </c>
      <c r="D2126" s="6" t="s">
        <v>649</v>
      </c>
      <c r="E2126" s="32" t="s">
        <v>651</v>
      </c>
      <c r="F2126" s="7"/>
      <c r="G2126" s="7"/>
      <c r="H2126" s="7"/>
      <c r="I2126" s="7"/>
      <c r="J2126" s="7">
        <v>4</v>
      </c>
      <c r="K2126" s="7" t="s">
        <v>659</v>
      </c>
      <c r="L2126" s="7" t="s">
        <v>663</v>
      </c>
      <c r="M2126" s="8">
        <v>44581</v>
      </c>
      <c r="N2126" s="8">
        <v>44599</v>
      </c>
      <c r="O2126" s="13"/>
      <c r="P2126" s="13">
        <v>25330.57</v>
      </c>
      <c r="Q2126" s="33"/>
      <c r="R2126" s="9"/>
      <c r="S2126" s="9"/>
      <c r="T2126" s="9"/>
      <c r="U2126" s="9"/>
      <c r="X2126" s="15" t="str">
        <f>IF(B2126="",VLOOKUP(A2126,items_lookup!A:B,2,FALSE),B2126)</f>
        <v>14. Item 14</v>
      </c>
      <c r="Y2126" s="15">
        <f t="shared" si="181"/>
        <v>1</v>
      </c>
      <c r="Z2126" s="15">
        <f t="shared" si="181"/>
        <v>2</v>
      </c>
      <c r="AA2126" s="15">
        <f t="shared" si="178"/>
        <v>2022</v>
      </c>
      <c r="AB2126" s="15">
        <f t="shared" si="179"/>
        <v>2022</v>
      </c>
      <c r="AC2126" s="15">
        <f t="shared" si="180"/>
        <v>2022</v>
      </c>
      <c r="AD2126" s="18" t="b">
        <f t="shared" si="182"/>
        <v>1</v>
      </c>
    </row>
    <row r="2127" spans="1:30" ht="15" hidden="1" customHeight="1" x14ac:dyDescent="0.2">
      <c r="A2127" s="7" t="s">
        <v>687</v>
      </c>
      <c r="B2127" s="20"/>
      <c r="C2127" s="2" t="s">
        <v>641</v>
      </c>
      <c r="D2127" s="6" t="s">
        <v>649</v>
      </c>
      <c r="E2127" s="32" t="s">
        <v>651</v>
      </c>
      <c r="F2127" s="7"/>
      <c r="G2127" s="7"/>
      <c r="H2127" s="7"/>
      <c r="I2127" s="7"/>
      <c r="J2127" s="7">
        <v>3</v>
      </c>
      <c r="K2127" s="7" t="s">
        <v>659</v>
      </c>
      <c r="L2127" s="7" t="s">
        <v>663</v>
      </c>
      <c r="M2127" s="8">
        <v>44585</v>
      </c>
      <c r="N2127" s="8">
        <v>44594</v>
      </c>
      <c r="O2127" s="13"/>
      <c r="P2127" s="13">
        <v>1143.5899999999999</v>
      </c>
      <c r="Q2127" s="33"/>
      <c r="R2127" s="22"/>
      <c r="S2127" s="22"/>
      <c r="T2127" s="22"/>
      <c r="U2127" s="22"/>
      <c r="X2127" s="15" t="str">
        <f>IF(B2127="",VLOOKUP(A2127,items_lookup!A:B,2,FALSE),B2127)</f>
        <v>14. Item 14</v>
      </c>
      <c r="Y2127" s="15">
        <f t="shared" si="181"/>
        <v>1</v>
      </c>
      <c r="Z2127" s="15">
        <f t="shared" si="181"/>
        <v>2</v>
      </c>
      <c r="AA2127" s="15">
        <f t="shared" si="178"/>
        <v>2022</v>
      </c>
      <c r="AB2127" s="15">
        <f t="shared" si="179"/>
        <v>2022</v>
      </c>
      <c r="AC2127" s="15">
        <f t="shared" si="180"/>
        <v>2022</v>
      </c>
      <c r="AD2127" s="18" t="b">
        <f t="shared" si="182"/>
        <v>1</v>
      </c>
    </row>
    <row r="2128" spans="1:30" ht="15" hidden="1" customHeight="1" x14ac:dyDescent="0.2">
      <c r="A2128" s="7" t="s">
        <v>702</v>
      </c>
      <c r="B2128" s="20"/>
      <c r="C2128" s="2" t="s">
        <v>641</v>
      </c>
      <c r="D2128" s="6" t="s">
        <v>649</v>
      </c>
      <c r="E2128" s="32" t="s">
        <v>651</v>
      </c>
      <c r="F2128" s="7" t="s">
        <v>20</v>
      </c>
      <c r="G2128" s="7"/>
      <c r="H2128" s="7"/>
      <c r="I2128" s="7"/>
      <c r="J2128" s="7">
        <v>3</v>
      </c>
      <c r="K2128" s="7" t="s">
        <v>659</v>
      </c>
      <c r="L2128" s="7" t="s">
        <v>663</v>
      </c>
      <c r="M2128" s="8">
        <v>44585</v>
      </c>
      <c r="N2128" s="8">
        <v>44594</v>
      </c>
      <c r="O2128" s="13"/>
      <c r="P2128" s="13">
        <v>37094.43</v>
      </c>
      <c r="Q2128" s="33"/>
      <c r="R2128" s="22"/>
      <c r="S2128" s="22"/>
      <c r="T2128" s="22"/>
      <c r="U2128" s="22"/>
      <c r="X2128" s="15" t="str">
        <f>IF(B2128="",VLOOKUP(A2128,items_lookup!A:B,2,FALSE),B2128)</f>
        <v>17. Item 17</v>
      </c>
      <c r="Y2128" s="15">
        <f t="shared" si="181"/>
        <v>1</v>
      </c>
      <c r="Z2128" s="15">
        <f t="shared" si="181"/>
        <v>2</v>
      </c>
      <c r="AA2128" s="15">
        <f t="shared" si="178"/>
        <v>2022</v>
      </c>
      <c r="AB2128" s="15">
        <f t="shared" si="179"/>
        <v>2022</v>
      </c>
      <c r="AC2128" s="15">
        <f t="shared" si="180"/>
        <v>2021</v>
      </c>
      <c r="AD2128" s="18" t="b">
        <f t="shared" si="182"/>
        <v>1</v>
      </c>
    </row>
    <row r="2129" spans="1:30" ht="15" hidden="1" customHeight="1" x14ac:dyDescent="0.2">
      <c r="A2129" s="7" t="s">
        <v>689</v>
      </c>
      <c r="B2129" s="20"/>
      <c r="C2129" s="2" t="s">
        <v>641</v>
      </c>
      <c r="D2129" s="6" t="s">
        <v>649</v>
      </c>
      <c r="E2129" s="32" t="s">
        <v>651</v>
      </c>
      <c r="F2129" s="7"/>
      <c r="G2129" s="7"/>
      <c r="H2129" s="7"/>
      <c r="I2129" s="7"/>
      <c r="J2129" s="7">
        <v>3</v>
      </c>
      <c r="K2129" s="7" t="s">
        <v>659</v>
      </c>
      <c r="L2129" s="7" t="s">
        <v>663</v>
      </c>
      <c r="M2129" s="8">
        <v>44585</v>
      </c>
      <c r="N2129" s="8">
        <v>44594</v>
      </c>
      <c r="O2129" s="13"/>
      <c r="P2129" s="13">
        <v>77036.399999999994</v>
      </c>
      <c r="Q2129" s="33"/>
      <c r="R2129" s="22"/>
      <c r="S2129" s="22"/>
      <c r="T2129" s="22"/>
      <c r="U2129" s="22"/>
      <c r="X2129" s="15" t="str">
        <f>IF(B2129="",VLOOKUP(A2129,items_lookup!A:B,2,FALSE),B2129)</f>
        <v>04. Item 04</v>
      </c>
      <c r="Y2129" s="15">
        <f t="shared" si="181"/>
        <v>1</v>
      </c>
      <c r="Z2129" s="15">
        <f t="shared" si="181"/>
        <v>2</v>
      </c>
      <c r="AA2129" s="15">
        <f t="shared" si="178"/>
        <v>2022</v>
      </c>
      <c r="AB2129" s="15">
        <f t="shared" si="179"/>
        <v>2022</v>
      </c>
      <c r="AC2129" s="15">
        <f t="shared" si="180"/>
        <v>2022</v>
      </c>
      <c r="AD2129" s="18" t="b">
        <f t="shared" si="182"/>
        <v>1</v>
      </c>
    </row>
    <row r="2130" spans="1:30" ht="15" hidden="1" customHeight="1" x14ac:dyDescent="0.2">
      <c r="A2130" s="7" t="s">
        <v>674</v>
      </c>
      <c r="B2130" s="20"/>
      <c r="C2130" s="2" t="s">
        <v>641</v>
      </c>
      <c r="D2130" s="6" t="s">
        <v>649</v>
      </c>
      <c r="E2130" s="32" t="s">
        <v>651</v>
      </c>
      <c r="F2130" s="7"/>
      <c r="G2130" s="7"/>
      <c r="H2130" s="7"/>
      <c r="I2130" s="7" t="s">
        <v>20</v>
      </c>
      <c r="J2130" s="7">
        <v>3</v>
      </c>
      <c r="K2130" s="7" t="s">
        <v>659</v>
      </c>
      <c r="L2130" s="7" t="s">
        <v>663</v>
      </c>
      <c r="M2130" s="8">
        <v>44585</v>
      </c>
      <c r="N2130" s="8">
        <v>44594</v>
      </c>
      <c r="O2130" s="13"/>
      <c r="P2130" s="13">
        <v>94176.51</v>
      </c>
      <c r="Q2130" s="33"/>
      <c r="R2130" s="22"/>
      <c r="S2130" s="22"/>
      <c r="T2130" s="22"/>
      <c r="U2130" s="22"/>
      <c r="X2130" s="15" t="str">
        <f>IF(B2130="",VLOOKUP(A2130,items_lookup!A:B,2,FALSE),B2130)</f>
        <v>08. Item 08</v>
      </c>
      <c r="Y2130" s="15">
        <f t="shared" si="181"/>
        <v>1</v>
      </c>
      <c r="Z2130" s="15">
        <f t="shared" si="181"/>
        <v>2</v>
      </c>
      <c r="AA2130" s="15">
        <f t="shared" si="178"/>
        <v>2022</v>
      </c>
      <c r="AB2130" s="15">
        <f t="shared" si="179"/>
        <v>2022</v>
      </c>
      <c r="AC2130" s="15">
        <f t="shared" si="180"/>
        <v>2022</v>
      </c>
      <c r="AD2130" s="18" t="b">
        <f t="shared" si="182"/>
        <v>1</v>
      </c>
    </row>
    <row r="2131" spans="1:30" ht="15" hidden="1" customHeight="1" x14ac:dyDescent="0.2">
      <c r="A2131" s="7" t="s">
        <v>696</v>
      </c>
      <c r="B2131" s="20"/>
      <c r="C2131" s="2" t="s">
        <v>641</v>
      </c>
      <c r="D2131" s="6" t="s">
        <v>649</v>
      </c>
      <c r="E2131" s="32" t="s">
        <v>651</v>
      </c>
      <c r="F2131" s="7"/>
      <c r="G2131" s="7"/>
      <c r="H2131" s="7"/>
      <c r="I2131" s="7"/>
      <c r="J2131" s="7">
        <v>3</v>
      </c>
      <c r="K2131" s="7" t="s">
        <v>659</v>
      </c>
      <c r="L2131" s="7" t="s">
        <v>663</v>
      </c>
      <c r="M2131" s="8">
        <v>44585</v>
      </c>
      <c r="N2131" s="8">
        <v>44595</v>
      </c>
      <c r="O2131" s="13"/>
      <c r="P2131" s="13">
        <v>2196.09</v>
      </c>
      <c r="Q2131" s="33"/>
      <c r="R2131" s="22"/>
      <c r="S2131" s="22"/>
      <c r="T2131" s="22"/>
      <c r="U2131" s="22"/>
      <c r="X2131" s="15" t="str">
        <f>IF(B2131="",VLOOKUP(A2131,items_lookup!A:B,2,FALSE),B2131)</f>
        <v>13. Item 13</v>
      </c>
      <c r="Y2131" s="15">
        <f t="shared" si="181"/>
        <v>1</v>
      </c>
      <c r="Z2131" s="15">
        <f t="shared" si="181"/>
        <v>2</v>
      </c>
      <c r="AA2131" s="15">
        <f t="shared" si="178"/>
        <v>2022</v>
      </c>
      <c r="AB2131" s="15">
        <f t="shared" si="179"/>
        <v>2022</v>
      </c>
      <c r="AC2131" s="15">
        <f t="shared" si="180"/>
        <v>2022</v>
      </c>
      <c r="AD2131" s="18" t="b">
        <f t="shared" si="182"/>
        <v>1</v>
      </c>
    </row>
    <row r="2132" spans="1:30" ht="15" hidden="1" customHeight="1" x14ac:dyDescent="0.2">
      <c r="A2132" s="7" t="s">
        <v>674</v>
      </c>
      <c r="B2132" s="20"/>
      <c r="C2132" s="2" t="s">
        <v>641</v>
      </c>
      <c r="D2132" s="6" t="s">
        <v>649</v>
      </c>
      <c r="E2132" s="32" t="s">
        <v>651</v>
      </c>
      <c r="F2132" s="7"/>
      <c r="G2132" s="7"/>
      <c r="H2132" s="7"/>
      <c r="I2132" s="7"/>
      <c r="J2132" s="7">
        <v>4</v>
      </c>
      <c r="K2132" s="7" t="s">
        <v>660</v>
      </c>
      <c r="L2132" s="7" t="s">
        <v>663</v>
      </c>
      <c r="M2132" s="8">
        <v>44578</v>
      </c>
      <c r="N2132" s="8">
        <v>44592</v>
      </c>
      <c r="O2132" s="13"/>
      <c r="P2132" s="13">
        <v>23147.439999999999</v>
      </c>
      <c r="Q2132" s="33"/>
      <c r="R2132" s="9"/>
      <c r="S2132" s="9"/>
      <c r="T2132" s="9"/>
      <c r="U2132" s="9"/>
      <c r="X2132" s="15" t="str">
        <f>IF(B2132="",VLOOKUP(A2132,items_lookup!A:B,2,FALSE),B2132)</f>
        <v>08. Item 08</v>
      </c>
      <c r="Y2132" s="15">
        <f t="shared" si="181"/>
        <v>1</v>
      </c>
      <c r="Z2132" s="15">
        <f t="shared" si="181"/>
        <v>1</v>
      </c>
      <c r="AA2132" s="15">
        <f t="shared" si="178"/>
        <v>2022</v>
      </c>
      <c r="AB2132" s="15">
        <f t="shared" si="179"/>
        <v>2022</v>
      </c>
      <c r="AC2132" s="15">
        <f t="shared" si="180"/>
        <v>2022</v>
      </c>
      <c r="AD2132" s="18" t="b">
        <f t="shared" si="182"/>
        <v>1</v>
      </c>
    </row>
    <row r="2133" spans="1:30" ht="15" hidden="1" customHeight="1" x14ac:dyDescent="0.2">
      <c r="A2133" s="7" t="s">
        <v>689</v>
      </c>
      <c r="B2133" s="20"/>
      <c r="C2133" s="2" t="s">
        <v>641</v>
      </c>
      <c r="D2133" s="6" t="s">
        <v>649</v>
      </c>
      <c r="E2133" s="32" t="s">
        <v>651</v>
      </c>
      <c r="F2133" s="7" t="s">
        <v>20</v>
      </c>
      <c r="G2133" s="7"/>
      <c r="H2133" s="7"/>
      <c r="I2133" s="7"/>
      <c r="J2133" s="7">
        <v>4</v>
      </c>
      <c r="K2133" s="7" t="s">
        <v>660</v>
      </c>
      <c r="L2133" s="7" t="s">
        <v>663</v>
      </c>
      <c r="M2133" s="8">
        <v>44578</v>
      </c>
      <c r="N2133" s="8">
        <v>44592</v>
      </c>
      <c r="O2133" s="13"/>
      <c r="P2133" s="13">
        <v>1811797.66</v>
      </c>
      <c r="Q2133" s="33"/>
      <c r="R2133" s="9"/>
      <c r="S2133" s="9"/>
      <c r="T2133" s="9"/>
      <c r="U2133" s="9"/>
      <c r="X2133" s="15" t="str">
        <f>IF(B2133="",VLOOKUP(A2133,items_lookup!A:B,2,FALSE),B2133)</f>
        <v>04. Item 04</v>
      </c>
      <c r="Y2133" s="15">
        <f t="shared" si="181"/>
        <v>1</v>
      </c>
      <c r="Z2133" s="15">
        <f t="shared" si="181"/>
        <v>1</v>
      </c>
      <c r="AA2133" s="15">
        <f t="shared" si="178"/>
        <v>2022</v>
      </c>
      <c r="AB2133" s="15">
        <f t="shared" si="179"/>
        <v>2022</v>
      </c>
      <c r="AC2133" s="15">
        <f t="shared" si="180"/>
        <v>2021</v>
      </c>
      <c r="AD2133" s="18" t="b">
        <f t="shared" si="182"/>
        <v>1</v>
      </c>
    </row>
    <row r="2134" spans="1:30" ht="15" hidden="1" customHeight="1" x14ac:dyDescent="0.2">
      <c r="A2134" s="7" t="s">
        <v>688</v>
      </c>
      <c r="B2134" s="7"/>
      <c r="C2134" s="2" t="s">
        <v>641</v>
      </c>
      <c r="D2134" s="6" t="s">
        <v>649</v>
      </c>
      <c r="E2134" s="32" t="s">
        <v>651</v>
      </c>
      <c r="F2134" s="7"/>
      <c r="G2134" s="7"/>
      <c r="H2134" s="7"/>
      <c r="I2134" s="7"/>
      <c r="J2134" s="7"/>
      <c r="K2134" s="7" t="s">
        <v>660</v>
      </c>
      <c r="L2134" s="7" t="s">
        <v>663</v>
      </c>
      <c r="M2134" s="8">
        <v>44585</v>
      </c>
      <c r="N2134" s="8">
        <v>44585</v>
      </c>
      <c r="O2134" s="13"/>
      <c r="P2134" s="13">
        <v>88933.57</v>
      </c>
      <c r="Q2134" s="33"/>
      <c r="R2134" s="22"/>
      <c r="S2134" s="22"/>
      <c r="T2134" s="22"/>
      <c r="U2134" s="22"/>
      <c r="X2134" s="15" t="str">
        <f>IF(B2134="",VLOOKUP(A2134,items_lookup!A:B,2,FALSE),B2134)</f>
        <v>09. Item 09</v>
      </c>
      <c r="Y2134" s="15">
        <f t="shared" si="181"/>
        <v>1</v>
      </c>
      <c r="Z2134" s="15">
        <f t="shared" si="181"/>
        <v>1</v>
      </c>
      <c r="AA2134" s="15">
        <f t="shared" si="178"/>
        <v>2022</v>
      </c>
      <c r="AB2134" s="15">
        <f t="shared" si="179"/>
        <v>2022</v>
      </c>
      <c r="AC2134" s="15">
        <f t="shared" si="180"/>
        <v>2022</v>
      </c>
      <c r="AD2134" s="18" t="b">
        <f t="shared" si="182"/>
        <v>1</v>
      </c>
    </row>
    <row r="2135" spans="1:30" ht="15" hidden="1" customHeight="1" x14ac:dyDescent="0.2">
      <c r="A2135" s="7" t="s">
        <v>690</v>
      </c>
      <c r="B2135" s="7"/>
      <c r="C2135" s="2" t="s">
        <v>641</v>
      </c>
      <c r="D2135" s="6" t="s">
        <v>649</v>
      </c>
      <c r="E2135" s="32" t="s">
        <v>651</v>
      </c>
      <c r="F2135" s="7"/>
      <c r="G2135" s="7"/>
      <c r="H2135" s="7"/>
      <c r="I2135" s="7"/>
      <c r="J2135" s="7"/>
      <c r="K2135" s="7" t="s">
        <v>660</v>
      </c>
      <c r="L2135" s="7" t="s">
        <v>663</v>
      </c>
      <c r="M2135" s="8">
        <v>44586</v>
      </c>
      <c r="N2135" s="8">
        <v>44586</v>
      </c>
      <c r="O2135" s="13"/>
      <c r="P2135" s="13">
        <v>3003719.55</v>
      </c>
      <c r="Q2135" s="33"/>
      <c r="R2135" s="22"/>
      <c r="S2135" s="22"/>
      <c r="T2135" s="22"/>
      <c r="U2135" s="22"/>
      <c r="X2135" s="15" t="str">
        <f>IF(B2135="",VLOOKUP(A2135,items_lookup!A:B,2,FALSE),B2135)</f>
        <v>21. Item 21</v>
      </c>
      <c r="Y2135" s="15">
        <f t="shared" si="181"/>
        <v>1</v>
      </c>
      <c r="Z2135" s="15">
        <f t="shared" si="181"/>
        <v>1</v>
      </c>
      <c r="AA2135" s="15">
        <f t="shared" si="178"/>
        <v>2022</v>
      </c>
      <c r="AB2135" s="15">
        <f t="shared" si="179"/>
        <v>2022</v>
      </c>
      <c r="AC2135" s="15">
        <f t="shared" si="180"/>
        <v>2022</v>
      </c>
      <c r="AD2135" s="18" t="b">
        <f t="shared" si="182"/>
        <v>1</v>
      </c>
    </row>
    <row r="2136" spans="1:30" ht="15" hidden="1" customHeight="1" x14ac:dyDescent="0.2">
      <c r="A2136" s="7" t="s">
        <v>683</v>
      </c>
      <c r="B2136" s="7"/>
      <c r="C2136" s="2" t="s">
        <v>641</v>
      </c>
      <c r="D2136" s="6" t="s">
        <v>649</v>
      </c>
      <c r="E2136" s="32" t="s">
        <v>651</v>
      </c>
      <c r="F2136" s="7"/>
      <c r="G2136" s="7"/>
      <c r="H2136" s="7"/>
      <c r="I2136" s="7"/>
      <c r="J2136" s="7"/>
      <c r="K2136" s="7" t="s">
        <v>660</v>
      </c>
      <c r="L2136" s="7" t="s">
        <v>663</v>
      </c>
      <c r="M2136" s="8">
        <v>44587</v>
      </c>
      <c r="N2136" s="8">
        <v>44587</v>
      </c>
      <c r="O2136" s="13"/>
      <c r="P2136" s="13">
        <v>4703889.42</v>
      </c>
      <c r="Q2136" s="33"/>
      <c r="R2136" s="22"/>
      <c r="S2136" s="22"/>
      <c r="T2136" s="22"/>
      <c r="U2136" s="22"/>
      <c r="X2136" s="15" t="str">
        <f>IF(B2136="",VLOOKUP(A2136,items_lookup!A:B,2,FALSE),B2136)</f>
        <v>_1. Item _1</v>
      </c>
      <c r="Y2136" s="15">
        <f t="shared" si="181"/>
        <v>1</v>
      </c>
      <c r="Z2136" s="15">
        <f t="shared" si="181"/>
        <v>1</v>
      </c>
      <c r="AA2136" s="15">
        <f t="shared" si="178"/>
        <v>2022</v>
      </c>
      <c r="AB2136" s="15">
        <f t="shared" si="179"/>
        <v>2022</v>
      </c>
      <c r="AC2136" s="15">
        <f t="shared" si="180"/>
        <v>2022</v>
      </c>
      <c r="AD2136" s="18" t="b">
        <f t="shared" si="182"/>
        <v>1</v>
      </c>
    </row>
    <row r="2137" spans="1:30" ht="15" hidden="1" customHeight="1" x14ac:dyDescent="0.2">
      <c r="A2137" s="7" t="s">
        <v>680</v>
      </c>
      <c r="B2137" s="7"/>
      <c r="C2137" s="2" t="s">
        <v>641</v>
      </c>
      <c r="D2137" s="6" t="s">
        <v>649</v>
      </c>
      <c r="E2137" s="32" t="s">
        <v>651</v>
      </c>
      <c r="F2137" s="7"/>
      <c r="G2137" s="7"/>
      <c r="H2137" s="7"/>
      <c r="I2137" s="7"/>
      <c r="J2137" s="7"/>
      <c r="K2137" s="7" t="s">
        <v>660</v>
      </c>
      <c r="L2137" s="7" t="s">
        <v>663</v>
      </c>
      <c r="M2137" s="8">
        <v>44588</v>
      </c>
      <c r="N2137" s="8">
        <v>44588</v>
      </c>
      <c r="O2137" s="13"/>
      <c r="P2137" s="13">
        <v>7660967.2300000004</v>
      </c>
      <c r="Q2137" s="33"/>
      <c r="R2137" s="22"/>
      <c r="S2137" s="22"/>
      <c r="T2137" s="22"/>
      <c r="U2137" s="22"/>
      <c r="X2137" s="15" t="str">
        <f>IF(B2137="",VLOOKUP(A2137,items_lookup!A:B,2,FALSE),B2137)</f>
        <v>13. Item 13</v>
      </c>
      <c r="Y2137" s="15">
        <f t="shared" si="181"/>
        <v>1</v>
      </c>
      <c r="Z2137" s="15">
        <f t="shared" si="181"/>
        <v>1</v>
      </c>
      <c r="AA2137" s="15">
        <f t="shared" si="178"/>
        <v>2022</v>
      </c>
      <c r="AB2137" s="15">
        <f t="shared" si="179"/>
        <v>2022</v>
      </c>
      <c r="AC2137" s="15">
        <f t="shared" si="180"/>
        <v>2022</v>
      </c>
      <c r="AD2137" s="18" t="b">
        <f t="shared" si="182"/>
        <v>1</v>
      </c>
    </row>
    <row r="2138" spans="1:30" ht="15" hidden="1" customHeight="1" x14ac:dyDescent="0.2">
      <c r="A2138" s="7" t="s">
        <v>692</v>
      </c>
      <c r="B2138" s="20"/>
      <c r="C2138" s="2" t="s">
        <v>641</v>
      </c>
      <c r="D2138" s="6" t="s">
        <v>649</v>
      </c>
      <c r="E2138" s="32" t="s">
        <v>651</v>
      </c>
      <c r="F2138" s="7" t="s">
        <v>20</v>
      </c>
      <c r="G2138" s="7"/>
      <c r="H2138" s="7"/>
      <c r="I2138" s="7"/>
      <c r="J2138" s="7">
        <v>3</v>
      </c>
      <c r="K2138" s="7" t="s">
        <v>659</v>
      </c>
      <c r="L2138" s="7" t="s">
        <v>663</v>
      </c>
      <c r="M2138" s="8">
        <v>44585</v>
      </c>
      <c r="N2138" s="8">
        <v>44600</v>
      </c>
      <c r="O2138" s="13"/>
      <c r="P2138" s="13">
        <v>115675.16</v>
      </c>
      <c r="Q2138" s="33"/>
      <c r="R2138" s="22"/>
      <c r="S2138" s="22"/>
      <c r="T2138" s="22"/>
      <c r="U2138" s="22"/>
      <c r="X2138" s="15" t="str">
        <f>IF(B2138="",VLOOKUP(A2138,items_lookup!A:B,2,FALSE),B2138)</f>
        <v>03. Item 03</v>
      </c>
      <c r="Y2138" s="15">
        <f t="shared" si="181"/>
        <v>1</v>
      </c>
      <c r="Z2138" s="15">
        <f t="shared" si="181"/>
        <v>2</v>
      </c>
      <c r="AA2138" s="15">
        <f t="shared" si="178"/>
        <v>2022</v>
      </c>
      <c r="AB2138" s="15">
        <f t="shared" si="179"/>
        <v>2022</v>
      </c>
      <c r="AC2138" s="15">
        <f t="shared" si="180"/>
        <v>2021</v>
      </c>
      <c r="AD2138" s="18" t="b">
        <f t="shared" si="182"/>
        <v>1</v>
      </c>
    </row>
    <row r="2139" spans="1:30" ht="15" hidden="1" customHeight="1" x14ac:dyDescent="0.2">
      <c r="A2139" s="7" t="s">
        <v>675</v>
      </c>
      <c r="B2139" s="7"/>
      <c r="C2139" s="2" t="s">
        <v>648</v>
      </c>
      <c r="D2139" s="6" t="s">
        <v>649</v>
      </c>
      <c r="E2139" s="32" t="s">
        <v>651</v>
      </c>
      <c r="F2139" s="7"/>
      <c r="G2139" s="7"/>
      <c r="H2139" s="7"/>
      <c r="I2139" s="7"/>
      <c r="J2139" s="7"/>
      <c r="K2139" s="7"/>
      <c r="L2139" s="7" t="s">
        <v>663</v>
      </c>
      <c r="M2139" s="8">
        <v>44562</v>
      </c>
      <c r="N2139" s="8">
        <v>44562</v>
      </c>
      <c r="O2139" s="13"/>
      <c r="P2139" s="13">
        <v>453529.97</v>
      </c>
      <c r="Q2139" s="33"/>
      <c r="R2139" s="22"/>
      <c r="S2139" s="22"/>
      <c r="T2139" s="22"/>
      <c r="U2139" s="22"/>
      <c r="X2139" s="15" t="str">
        <f>IF(B2139="",VLOOKUP(A2139,items_lookup!A:B,2,FALSE),B2139)</f>
        <v>09. Item 09</v>
      </c>
      <c r="Y2139" s="15">
        <f t="shared" si="181"/>
        <v>1</v>
      </c>
      <c r="Z2139" s="15">
        <f t="shared" si="181"/>
        <v>1</v>
      </c>
      <c r="AA2139" s="15">
        <f t="shared" si="178"/>
        <v>2022</v>
      </c>
      <c r="AB2139" s="15">
        <f t="shared" si="179"/>
        <v>2022</v>
      </c>
      <c r="AC2139" s="15">
        <f t="shared" si="180"/>
        <v>2022</v>
      </c>
      <c r="AD2139" s="18" t="b">
        <f t="shared" si="182"/>
        <v>1</v>
      </c>
    </row>
    <row r="2140" spans="1:30" ht="15" hidden="1" customHeight="1" x14ac:dyDescent="0.2">
      <c r="A2140" s="7" t="s">
        <v>689</v>
      </c>
      <c r="B2140" s="7"/>
      <c r="C2140" s="2" t="s">
        <v>648</v>
      </c>
      <c r="D2140" s="6" t="s">
        <v>649</v>
      </c>
      <c r="E2140" s="32" t="s">
        <v>651</v>
      </c>
      <c r="F2140" s="7"/>
      <c r="G2140" s="7"/>
      <c r="H2140" s="7"/>
      <c r="I2140" s="7"/>
      <c r="J2140" s="7"/>
      <c r="K2140" s="7"/>
      <c r="L2140" s="7" t="s">
        <v>663</v>
      </c>
      <c r="M2140" s="8">
        <v>44562</v>
      </c>
      <c r="N2140" s="8">
        <v>44562</v>
      </c>
      <c r="O2140" s="13"/>
      <c r="P2140" s="13">
        <v>10143686.640000001</v>
      </c>
      <c r="Q2140" s="33"/>
      <c r="R2140" s="22"/>
      <c r="S2140" s="22"/>
      <c r="T2140" s="22"/>
      <c r="U2140" s="22"/>
      <c r="X2140" s="15" t="str">
        <f>IF(B2140="",VLOOKUP(A2140,items_lookup!A:B,2,FALSE),B2140)</f>
        <v>04. Item 04</v>
      </c>
      <c r="Y2140" s="15">
        <f t="shared" si="181"/>
        <v>1</v>
      </c>
      <c r="Z2140" s="15">
        <f t="shared" si="181"/>
        <v>1</v>
      </c>
      <c r="AA2140" s="15">
        <f t="shared" si="178"/>
        <v>2022</v>
      </c>
      <c r="AB2140" s="15">
        <f t="shared" si="179"/>
        <v>2022</v>
      </c>
      <c r="AC2140" s="15">
        <f t="shared" si="180"/>
        <v>2022</v>
      </c>
      <c r="AD2140" s="18" t="b">
        <f t="shared" si="182"/>
        <v>1</v>
      </c>
    </row>
    <row r="2141" spans="1:30" ht="15" hidden="1" customHeight="1" x14ac:dyDescent="0.2">
      <c r="A2141" s="7" t="s">
        <v>688</v>
      </c>
      <c r="B2141" s="7"/>
      <c r="C2141" s="2" t="s">
        <v>648</v>
      </c>
      <c r="D2141" s="6" t="s">
        <v>649</v>
      </c>
      <c r="E2141" s="32" t="s">
        <v>651</v>
      </c>
      <c r="F2141" s="7"/>
      <c r="G2141" s="7"/>
      <c r="H2141" s="7"/>
      <c r="I2141" s="7"/>
      <c r="J2141" s="7"/>
      <c r="K2141" s="7"/>
      <c r="L2141" s="7" t="s">
        <v>663</v>
      </c>
      <c r="M2141" s="8">
        <v>44562</v>
      </c>
      <c r="N2141" s="8">
        <v>44562</v>
      </c>
      <c r="O2141" s="13"/>
      <c r="P2141" s="13">
        <v>6860616</v>
      </c>
      <c r="Q2141" s="33"/>
      <c r="R2141" s="22"/>
      <c r="S2141" s="22"/>
      <c r="T2141" s="22"/>
      <c r="U2141" s="22"/>
      <c r="X2141" s="15" t="str">
        <f>IF(B2141="",VLOOKUP(A2141,items_lookup!A:B,2,FALSE),B2141)</f>
        <v>09. Item 09</v>
      </c>
      <c r="Y2141" s="15">
        <f t="shared" si="181"/>
        <v>1</v>
      </c>
      <c r="Z2141" s="15">
        <f t="shared" si="181"/>
        <v>1</v>
      </c>
      <c r="AA2141" s="15">
        <f t="shared" ref="AA2141:AA2171" si="183">YEAR(N2141)</f>
        <v>2022</v>
      </c>
      <c r="AB2141" s="15">
        <f t="shared" ref="AB2141:AB2171" si="184">YEAR(M2141)</f>
        <v>2022</v>
      </c>
      <c r="AC2141" s="15">
        <f t="shared" ref="AC2141:AC2171" si="185">IF(F2141="X",AA2141-1,AA2141)</f>
        <v>2022</v>
      </c>
      <c r="AD2141" s="18" t="b">
        <f t="shared" si="182"/>
        <v>1</v>
      </c>
    </row>
    <row r="2142" spans="1:30" ht="15" hidden="1" customHeight="1" x14ac:dyDescent="0.2">
      <c r="A2142" s="7" t="s">
        <v>688</v>
      </c>
      <c r="B2142" s="7"/>
      <c r="C2142" s="2" t="s">
        <v>648</v>
      </c>
      <c r="D2142" s="6" t="s">
        <v>649</v>
      </c>
      <c r="E2142" s="32" t="s">
        <v>651</v>
      </c>
      <c r="F2142" s="7"/>
      <c r="G2142" s="7"/>
      <c r="H2142" s="7"/>
      <c r="I2142" s="7"/>
      <c r="J2142" s="7"/>
      <c r="K2142" s="7"/>
      <c r="L2142" s="7" t="s">
        <v>663</v>
      </c>
      <c r="M2142" s="8">
        <v>44562</v>
      </c>
      <c r="N2142" s="8">
        <v>44562</v>
      </c>
      <c r="O2142" s="13">
        <v>80.81</v>
      </c>
      <c r="P2142" s="13">
        <v>9976.1299999999992</v>
      </c>
      <c r="Q2142" s="33"/>
      <c r="R2142" s="22"/>
      <c r="S2142" s="22"/>
      <c r="T2142" s="22"/>
      <c r="U2142" s="22"/>
      <c r="X2142" s="15" t="str">
        <f>IF(B2142="",VLOOKUP(A2142,items_lookup!A:B,2,FALSE),B2142)</f>
        <v>09. Item 09</v>
      </c>
      <c r="Y2142" s="15">
        <f t="shared" si="181"/>
        <v>1</v>
      </c>
      <c r="Z2142" s="15">
        <f t="shared" si="181"/>
        <v>1</v>
      </c>
      <c r="AA2142" s="15">
        <f t="shared" si="183"/>
        <v>2022</v>
      </c>
      <c r="AB2142" s="15">
        <f t="shared" si="184"/>
        <v>2022</v>
      </c>
      <c r="AC2142" s="15">
        <f t="shared" si="185"/>
        <v>2022</v>
      </c>
      <c r="AD2142" s="18" t="b">
        <f t="shared" si="182"/>
        <v>1</v>
      </c>
    </row>
    <row r="2143" spans="1:30" ht="15" hidden="1" customHeight="1" x14ac:dyDescent="0.2">
      <c r="A2143" s="7" t="s">
        <v>696</v>
      </c>
      <c r="B2143" s="7"/>
      <c r="C2143" s="2" t="s">
        <v>648</v>
      </c>
      <c r="D2143" s="6" t="s">
        <v>649</v>
      </c>
      <c r="E2143" s="32" t="s">
        <v>651</v>
      </c>
      <c r="F2143" s="7"/>
      <c r="G2143" s="7"/>
      <c r="H2143" s="7"/>
      <c r="I2143" s="7"/>
      <c r="J2143" s="7"/>
      <c r="K2143" s="7"/>
      <c r="L2143" s="7" t="s">
        <v>663</v>
      </c>
      <c r="M2143" s="8">
        <v>44562</v>
      </c>
      <c r="N2143" s="8">
        <v>44562</v>
      </c>
      <c r="O2143" s="13"/>
      <c r="P2143" s="13">
        <v>243606.51</v>
      </c>
      <c r="Q2143" s="33"/>
      <c r="R2143" s="22"/>
      <c r="S2143" s="22"/>
      <c r="T2143" s="22"/>
      <c r="U2143" s="22"/>
      <c r="X2143" s="15" t="str">
        <f>IF(B2143="",VLOOKUP(A2143,items_lookup!A:B,2,FALSE),B2143)</f>
        <v>13. Item 13</v>
      </c>
      <c r="Y2143" s="15">
        <f t="shared" si="181"/>
        <v>1</v>
      </c>
      <c r="Z2143" s="15">
        <f t="shared" si="181"/>
        <v>1</v>
      </c>
      <c r="AA2143" s="15">
        <f t="shared" si="183"/>
        <v>2022</v>
      </c>
      <c r="AB2143" s="15">
        <f t="shared" si="184"/>
        <v>2022</v>
      </c>
      <c r="AC2143" s="15">
        <f t="shared" si="185"/>
        <v>2022</v>
      </c>
      <c r="AD2143" s="18" t="b">
        <f t="shared" si="182"/>
        <v>1</v>
      </c>
    </row>
    <row r="2144" spans="1:30" ht="15" hidden="1" customHeight="1" x14ac:dyDescent="0.2">
      <c r="A2144" s="7" t="s">
        <v>696</v>
      </c>
      <c r="B2144" s="7"/>
      <c r="C2144" s="2" t="s">
        <v>648</v>
      </c>
      <c r="D2144" s="6" t="s">
        <v>649</v>
      </c>
      <c r="E2144" s="32" t="s">
        <v>651</v>
      </c>
      <c r="F2144" s="7"/>
      <c r="G2144" s="7"/>
      <c r="H2144" s="7"/>
      <c r="I2144" s="7"/>
      <c r="J2144" s="7"/>
      <c r="K2144" s="7"/>
      <c r="L2144" s="7" t="s">
        <v>663</v>
      </c>
      <c r="M2144" s="8">
        <v>44562</v>
      </c>
      <c r="N2144" s="8">
        <v>44562</v>
      </c>
      <c r="O2144" s="13"/>
      <c r="P2144" s="13">
        <v>9437914.2400000002</v>
      </c>
      <c r="Q2144" s="33"/>
      <c r="R2144" s="22"/>
      <c r="S2144" s="22"/>
      <c r="T2144" s="22"/>
      <c r="U2144" s="22"/>
      <c r="X2144" s="15" t="str">
        <f>IF(B2144="",VLOOKUP(A2144,items_lookup!A:B,2,FALSE),B2144)</f>
        <v>13. Item 13</v>
      </c>
      <c r="Y2144" s="15">
        <f t="shared" si="181"/>
        <v>1</v>
      </c>
      <c r="Z2144" s="15">
        <f t="shared" si="181"/>
        <v>1</v>
      </c>
      <c r="AA2144" s="15">
        <f t="shared" si="183"/>
        <v>2022</v>
      </c>
      <c r="AB2144" s="15">
        <f t="shared" si="184"/>
        <v>2022</v>
      </c>
      <c r="AC2144" s="15">
        <f t="shared" si="185"/>
        <v>2022</v>
      </c>
      <c r="AD2144" s="18" t="b">
        <f t="shared" si="182"/>
        <v>1</v>
      </c>
    </row>
    <row r="2145" spans="1:30" ht="15" hidden="1" customHeight="1" x14ac:dyDescent="0.2">
      <c r="A2145" s="7" t="s">
        <v>688</v>
      </c>
      <c r="B2145" s="7"/>
      <c r="C2145" s="2" t="s">
        <v>648</v>
      </c>
      <c r="D2145" s="6" t="s">
        <v>649</v>
      </c>
      <c r="E2145" s="32" t="s">
        <v>651</v>
      </c>
      <c r="F2145" s="7"/>
      <c r="G2145" s="7"/>
      <c r="H2145" s="7"/>
      <c r="I2145" s="7"/>
      <c r="J2145" s="7"/>
      <c r="K2145" s="7"/>
      <c r="L2145" s="7" t="s">
        <v>663</v>
      </c>
      <c r="M2145" s="8">
        <v>44562</v>
      </c>
      <c r="N2145" s="8">
        <v>44562</v>
      </c>
      <c r="O2145" s="13"/>
      <c r="P2145" s="13">
        <v>588186.49</v>
      </c>
      <c r="Q2145" s="33"/>
      <c r="R2145" s="22"/>
      <c r="S2145" s="22"/>
      <c r="T2145" s="22"/>
      <c r="U2145" s="22"/>
      <c r="X2145" s="15" t="str">
        <f>IF(B2145="",VLOOKUP(A2145,items_lookup!A:B,2,FALSE),B2145)</f>
        <v>09. Item 09</v>
      </c>
      <c r="Y2145" s="15">
        <f t="shared" si="181"/>
        <v>1</v>
      </c>
      <c r="Z2145" s="15">
        <f t="shared" si="181"/>
        <v>1</v>
      </c>
      <c r="AA2145" s="15">
        <f t="shared" si="183"/>
        <v>2022</v>
      </c>
      <c r="AB2145" s="15">
        <f t="shared" si="184"/>
        <v>2022</v>
      </c>
      <c r="AC2145" s="15">
        <f t="shared" si="185"/>
        <v>2022</v>
      </c>
      <c r="AD2145" s="18" t="b">
        <f t="shared" si="182"/>
        <v>1</v>
      </c>
    </row>
    <row r="2146" spans="1:30" ht="15" hidden="1" customHeight="1" x14ac:dyDescent="0.2">
      <c r="A2146" s="7" t="s">
        <v>688</v>
      </c>
      <c r="B2146" s="7"/>
      <c r="C2146" s="2" t="s">
        <v>648</v>
      </c>
      <c r="D2146" s="6" t="s">
        <v>649</v>
      </c>
      <c r="E2146" s="32" t="s">
        <v>651</v>
      </c>
      <c r="F2146" s="7"/>
      <c r="G2146" s="7"/>
      <c r="H2146" s="7"/>
      <c r="I2146" s="7"/>
      <c r="J2146" s="7"/>
      <c r="K2146" s="7"/>
      <c r="L2146" s="7" t="s">
        <v>663</v>
      </c>
      <c r="M2146" s="8">
        <v>44562</v>
      </c>
      <c r="N2146" s="8">
        <v>44562</v>
      </c>
      <c r="O2146" s="13"/>
      <c r="P2146" s="13">
        <v>3791949.2</v>
      </c>
      <c r="Q2146" s="33"/>
      <c r="X2146" s="15" t="str">
        <f>IF(B2146="",VLOOKUP(A2146,items_lookup!A:B,2,FALSE),B2146)</f>
        <v>09. Item 09</v>
      </c>
      <c r="Y2146" s="15">
        <f t="shared" si="181"/>
        <v>1</v>
      </c>
      <c r="Z2146" s="15">
        <f t="shared" si="181"/>
        <v>1</v>
      </c>
      <c r="AA2146" s="15">
        <f t="shared" si="183"/>
        <v>2022</v>
      </c>
      <c r="AB2146" s="15">
        <f t="shared" si="184"/>
        <v>2022</v>
      </c>
      <c r="AC2146" s="15">
        <f t="shared" si="185"/>
        <v>2022</v>
      </c>
      <c r="AD2146" s="18" t="b">
        <f t="shared" si="182"/>
        <v>1</v>
      </c>
    </row>
    <row r="2147" spans="1:30" ht="15" hidden="1" customHeight="1" x14ac:dyDescent="0.2">
      <c r="A2147" s="7" t="s">
        <v>689</v>
      </c>
      <c r="B2147" s="7"/>
      <c r="C2147" s="2" t="s">
        <v>648</v>
      </c>
      <c r="D2147" s="6" t="s">
        <v>649</v>
      </c>
      <c r="E2147" s="32" t="s">
        <v>651</v>
      </c>
      <c r="F2147" s="7"/>
      <c r="G2147" s="7"/>
      <c r="H2147" s="7"/>
      <c r="I2147" s="7"/>
      <c r="J2147" s="7"/>
      <c r="K2147" s="7"/>
      <c r="L2147" s="7" t="s">
        <v>663</v>
      </c>
      <c r="M2147" s="8">
        <v>44562</v>
      </c>
      <c r="N2147" s="8">
        <v>44562</v>
      </c>
      <c r="O2147" s="13"/>
      <c r="P2147" s="13">
        <v>315978.59000000003</v>
      </c>
      <c r="Q2147" s="33"/>
      <c r="X2147" s="15" t="str">
        <f>IF(B2147="",VLOOKUP(A2147,items_lookup!A:B,2,FALSE),B2147)</f>
        <v>04. Item 04</v>
      </c>
      <c r="Y2147" s="15">
        <f t="shared" si="181"/>
        <v>1</v>
      </c>
      <c r="Z2147" s="15">
        <f t="shared" si="181"/>
        <v>1</v>
      </c>
      <c r="AA2147" s="15">
        <f t="shared" si="183"/>
        <v>2022</v>
      </c>
      <c r="AB2147" s="15">
        <f t="shared" si="184"/>
        <v>2022</v>
      </c>
      <c r="AC2147" s="15">
        <f t="shared" si="185"/>
        <v>2022</v>
      </c>
      <c r="AD2147" s="18" t="b">
        <f t="shared" si="182"/>
        <v>1</v>
      </c>
    </row>
    <row r="2148" spans="1:30" ht="15" hidden="1" customHeight="1" x14ac:dyDescent="0.2">
      <c r="A2148" s="7" t="s">
        <v>688</v>
      </c>
      <c r="B2148" s="7"/>
      <c r="C2148" s="2" t="s">
        <v>648</v>
      </c>
      <c r="D2148" s="6" t="s">
        <v>649</v>
      </c>
      <c r="E2148" s="32" t="s">
        <v>651</v>
      </c>
      <c r="F2148" s="7"/>
      <c r="G2148" s="7"/>
      <c r="H2148" s="7"/>
      <c r="I2148" s="7"/>
      <c r="J2148" s="7"/>
      <c r="K2148" s="7"/>
      <c r="L2148" s="7" t="s">
        <v>663</v>
      </c>
      <c r="M2148" s="8">
        <v>44562</v>
      </c>
      <c r="N2148" s="8">
        <v>44562</v>
      </c>
      <c r="O2148" s="13">
        <v>5960.47</v>
      </c>
      <c r="P2148" s="13">
        <v>1083623.5</v>
      </c>
      <c r="Q2148" s="33"/>
      <c r="X2148" s="15" t="str">
        <f>IF(B2148="",VLOOKUP(A2148,items_lookup!A:B,2,FALSE),B2148)</f>
        <v>09. Item 09</v>
      </c>
      <c r="Y2148" s="15">
        <f t="shared" si="181"/>
        <v>1</v>
      </c>
      <c r="Z2148" s="15">
        <f t="shared" si="181"/>
        <v>1</v>
      </c>
      <c r="AA2148" s="15">
        <f t="shared" si="183"/>
        <v>2022</v>
      </c>
      <c r="AB2148" s="15">
        <f t="shared" si="184"/>
        <v>2022</v>
      </c>
      <c r="AC2148" s="15">
        <f t="shared" si="185"/>
        <v>2022</v>
      </c>
      <c r="AD2148" s="18" t="b">
        <f t="shared" si="182"/>
        <v>1</v>
      </c>
    </row>
    <row r="2149" spans="1:30" ht="12.75" hidden="1" customHeight="1" x14ac:dyDescent="0.2">
      <c r="A2149" s="7" t="s">
        <v>688</v>
      </c>
      <c r="B2149" s="7"/>
      <c r="C2149" s="2" t="s">
        <v>648</v>
      </c>
      <c r="D2149" s="6" t="s">
        <v>649</v>
      </c>
      <c r="E2149" s="32" t="s">
        <v>651</v>
      </c>
      <c r="F2149" s="7"/>
      <c r="G2149" s="7"/>
      <c r="H2149" s="7"/>
      <c r="I2149" s="7"/>
      <c r="J2149" s="7"/>
      <c r="K2149" s="7"/>
      <c r="L2149" s="7" t="s">
        <v>663</v>
      </c>
      <c r="M2149" s="8">
        <v>44562</v>
      </c>
      <c r="N2149" s="8">
        <v>44562</v>
      </c>
      <c r="O2149" s="13"/>
      <c r="P2149" s="13">
        <v>4482.33</v>
      </c>
      <c r="Q2149" s="33"/>
      <c r="R2149" s="22"/>
      <c r="S2149" s="22"/>
      <c r="T2149" s="22"/>
      <c r="U2149" s="22"/>
      <c r="X2149" s="15" t="str">
        <f>IF(B2149="",VLOOKUP(A2149,items_lookup!A:B,2,FALSE),B2149)</f>
        <v>09. Item 09</v>
      </c>
      <c r="Y2149" s="15">
        <f t="shared" si="181"/>
        <v>1</v>
      </c>
      <c r="Z2149" s="15">
        <f t="shared" si="181"/>
        <v>1</v>
      </c>
      <c r="AA2149" s="15">
        <f t="shared" si="183"/>
        <v>2022</v>
      </c>
      <c r="AB2149" s="15">
        <f t="shared" si="184"/>
        <v>2022</v>
      </c>
      <c r="AC2149" s="15">
        <f t="shared" si="185"/>
        <v>2022</v>
      </c>
      <c r="AD2149" s="18" t="b">
        <f t="shared" si="182"/>
        <v>1</v>
      </c>
    </row>
    <row r="2150" spans="1:30" ht="15.75" hidden="1" customHeight="1" x14ac:dyDescent="0.2">
      <c r="A2150" s="7" t="s">
        <v>674</v>
      </c>
      <c r="B2150" s="7"/>
      <c r="C2150" s="2" t="s">
        <v>648</v>
      </c>
      <c r="D2150" s="6" t="s">
        <v>649</v>
      </c>
      <c r="E2150" s="32" t="s">
        <v>651</v>
      </c>
      <c r="F2150" s="7"/>
      <c r="G2150" s="7"/>
      <c r="H2150" s="7"/>
      <c r="I2150" s="7"/>
      <c r="J2150" s="7"/>
      <c r="K2150" s="7"/>
      <c r="L2150" s="7" t="s">
        <v>663</v>
      </c>
      <c r="M2150" s="8">
        <v>44562</v>
      </c>
      <c r="N2150" s="8">
        <v>44562</v>
      </c>
      <c r="O2150" s="13"/>
      <c r="P2150" s="13">
        <v>74573.05</v>
      </c>
      <c r="Q2150" s="33"/>
      <c r="R2150" s="22"/>
      <c r="S2150" s="22"/>
      <c r="T2150" s="22"/>
      <c r="U2150" s="22"/>
      <c r="X2150" s="15" t="str">
        <f>IF(B2150="",VLOOKUP(A2150,items_lookup!A:B,2,FALSE),B2150)</f>
        <v>08. Item 08</v>
      </c>
      <c r="Y2150" s="15">
        <f t="shared" si="181"/>
        <v>1</v>
      </c>
      <c r="Z2150" s="15">
        <f t="shared" si="181"/>
        <v>1</v>
      </c>
      <c r="AA2150" s="15">
        <f t="shared" si="183"/>
        <v>2022</v>
      </c>
      <c r="AB2150" s="15">
        <f t="shared" si="184"/>
        <v>2022</v>
      </c>
      <c r="AC2150" s="15">
        <f t="shared" si="185"/>
        <v>2022</v>
      </c>
      <c r="AD2150" s="18" t="b">
        <f t="shared" si="182"/>
        <v>1</v>
      </c>
    </row>
    <row r="2151" spans="1:30" ht="15.75" hidden="1" customHeight="1" x14ac:dyDescent="0.2">
      <c r="A2151" s="7" t="s">
        <v>696</v>
      </c>
      <c r="B2151" s="7"/>
      <c r="C2151" s="2" t="s">
        <v>648</v>
      </c>
      <c r="D2151" s="6" t="s">
        <v>649</v>
      </c>
      <c r="E2151" s="32" t="s">
        <v>651</v>
      </c>
      <c r="F2151" s="7"/>
      <c r="G2151" s="7"/>
      <c r="H2151" s="7"/>
      <c r="I2151" s="7"/>
      <c r="J2151" s="7"/>
      <c r="K2151" s="7"/>
      <c r="L2151" s="7" t="s">
        <v>663</v>
      </c>
      <c r="M2151" s="8">
        <v>44562</v>
      </c>
      <c r="N2151" s="8">
        <v>44562</v>
      </c>
      <c r="O2151" s="13"/>
      <c r="P2151" s="13">
        <v>31279.200000000001</v>
      </c>
      <c r="Q2151" s="33"/>
      <c r="R2151" s="22"/>
      <c r="S2151" s="22"/>
      <c r="T2151" s="22"/>
      <c r="U2151" s="22"/>
      <c r="X2151" s="15" t="str">
        <f>IF(B2151="",VLOOKUP(A2151,items_lookup!A:B,2,FALSE),B2151)</f>
        <v>13. Item 13</v>
      </c>
      <c r="Y2151" s="15">
        <f t="shared" ref="Y2151:Z2171" si="186">MONTH(M2151)</f>
        <v>1</v>
      </c>
      <c r="Z2151" s="15">
        <f t="shared" si="186"/>
        <v>1</v>
      </c>
      <c r="AA2151" s="15">
        <f t="shared" si="183"/>
        <v>2022</v>
      </c>
      <c r="AB2151" s="15">
        <f t="shared" si="184"/>
        <v>2022</v>
      </c>
      <c r="AC2151" s="15">
        <f t="shared" si="185"/>
        <v>2022</v>
      </c>
      <c r="AD2151" s="18" t="b">
        <f t="shared" si="182"/>
        <v>1</v>
      </c>
    </row>
    <row r="2152" spans="1:30" ht="15" hidden="1" customHeight="1" x14ac:dyDescent="0.2">
      <c r="A2152" s="7" t="s">
        <v>688</v>
      </c>
      <c r="B2152" s="7"/>
      <c r="C2152" s="2" t="s">
        <v>648</v>
      </c>
      <c r="D2152" s="6" t="s">
        <v>649</v>
      </c>
      <c r="E2152" s="32" t="s">
        <v>651</v>
      </c>
      <c r="F2152" s="7"/>
      <c r="G2152" s="7"/>
      <c r="H2152" s="7"/>
      <c r="I2152" s="7"/>
      <c r="J2152" s="7"/>
      <c r="K2152" s="7"/>
      <c r="L2152" s="7" t="s">
        <v>663</v>
      </c>
      <c r="M2152" s="8">
        <v>44562</v>
      </c>
      <c r="N2152" s="8">
        <v>44562</v>
      </c>
      <c r="O2152" s="13"/>
      <c r="P2152" s="13">
        <v>731820.97</v>
      </c>
      <c r="Q2152" s="33"/>
      <c r="R2152" s="22"/>
      <c r="S2152" s="22"/>
      <c r="T2152" s="22"/>
      <c r="U2152" s="22"/>
      <c r="X2152" s="15" t="str">
        <f>IF(B2152="",VLOOKUP(A2152,items_lookup!A:B,2,FALSE),B2152)</f>
        <v>09. Item 09</v>
      </c>
      <c r="Y2152" s="15">
        <f t="shared" si="186"/>
        <v>1</v>
      </c>
      <c r="Z2152" s="15">
        <f t="shared" si="186"/>
        <v>1</v>
      </c>
      <c r="AA2152" s="15">
        <f t="shared" si="183"/>
        <v>2022</v>
      </c>
      <c r="AB2152" s="15">
        <f t="shared" si="184"/>
        <v>2022</v>
      </c>
      <c r="AC2152" s="15">
        <f t="shared" si="185"/>
        <v>2022</v>
      </c>
      <c r="AD2152" s="18" t="b">
        <f t="shared" si="182"/>
        <v>1</v>
      </c>
    </row>
    <row r="2153" spans="1:30" ht="17.25" hidden="1" customHeight="1" x14ac:dyDescent="0.2">
      <c r="A2153" s="7" t="s">
        <v>688</v>
      </c>
      <c r="B2153" s="7"/>
      <c r="C2153" s="2" t="s">
        <v>648</v>
      </c>
      <c r="D2153" s="6" t="s">
        <v>649</v>
      </c>
      <c r="E2153" s="32" t="s">
        <v>651</v>
      </c>
      <c r="F2153" s="7"/>
      <c r="G2153" s="7"/>
      <c r="H2153" s="7"/>
      <c r="I2153" s="7"/>
      <c r="J2153" s="7"/>
      <c r="K2153" s="7"/>
      <c r="L2153" s="7" t="s">
        <v>663</v>
      </c>
      <c r="M2153" s="8">
        <v>44562</v>
      </c>
      <c r="N2153" s="8">
        <v>44562</v>
      </c>
      <c r="O2153" s="13"/>
      <c r="P2153" s="13">
        <v>223817.55</v>
      </c>
      <c r="Q2153" s="33"/>
      <c r="R2153" s="22"/>
      <c r="S2153" s="22"/>
      <c r="T2153" s="22"/>
      <c r="U2153" s="22"/>
      <c r="X2153" s="15" t="str">
        <f>IF(B2153="",VLOOKUP(A2153,items_lookup!A:B,2,FALSE),B2153)</f>
        <v>09. Item 09</v>
      </c>
      <c r="Y2153" s="15">
        <f t="shared" si="186"/>
        <v>1</v>
      </c>
      <c r="Z2153" s="15">
        <f t="shared" si="186"/>
        <v>1</v>
      </c>
      <c r="AA2153" s="15">
        <f t="shared" si="183"/>
        <v>2022</v>
      </c>
      <c r="AB2153" s="15">
        <f t="shared" si="184"/>
        <v>2022</v>
      </c>
      <c r="AC2153" s="15">
        <f t="shared" si="185"/>
        <v>2022</v>
      </c>
      <c r="AD2153" s="18" t="b">
        <f t="shared" si="182"/>
        <v>1</v>
      </c>
    </row>
    <row r="2154" spans="1:30" ht="15" hidden="1" customHeight="1" x14ac:dyDescent="0.2">
      <c r="A2154" s="7" t="s">
        <v>675</v>
      </c>
      <c r="B2154" s="7"/>
      <c r="C2154" s="2" t="s">
        <v>648</v>
      </c>
      <c r="D2154" s="6" t="s">
        <v>649</v>
      </c>
      <c r="E2154" s="32" t="s">
        <v>651</v>
      </c>
      <c r="F2154" s="7"/>
      <c r="G2154" s="7"/>
      <c r="H2154" s="7"/>
      <c r="I2154" s="7"/>
      <c r="J2154" s="7"/>
      <c r="K2154" s="7"/>
      <c r="L2154" s="7" t="s">
        <v>663</v>
      </c>
      <c r="M2154" s="8">
        <v>44562</v>
      </c>
      <c r="N2154" s="8">
        <v>44562</v>
      </c>
      <c r="O2154" s="13"/>
      <c r="P2154" s="13">
        <v>143.57</v>
      </c>
      <c r="Q2154" s="33"/>
      <c r="R2154" s="22"/>
      <c r="S2154" s="22"/>
      <c r="T2154" s="22"/>
      <c r="U2154" s="22"/>
      <c r="X2154" s="15" t="str">
        <f>IF(B2154="",VLOOKUP(A2154,items_lookup!A:B,2,FALSE),B2154)</f>
        <v>09. Item 09</v>
      </c>
      <c r="Y2154" s="15">
        <f t="shared" si="186"/>
        <v>1</v>
      </c>
      <c r="Z2154" s="15">
        <f t="shared" si="186"/>
        <v>1</v>
      </c>
      <c r="AA2154" s="15">
        <f t="shared" si="183"/>
        <v>2022</v>
      </c>
      <c r="AB2154" s="15">
        <f t="shared" si="184"/>
        <v>2022</v>
      </c>
      <c r="AC2154" s="15">
        <f t="shared" si="185"/>
        <v>2022</v>
      </c>
      <c r="AD2154" s="18" t="b">
        <f t="shared" si="182"/>
        <v>1</v>
      </c>
    </row>
    <row r="2155" spans="1:30" ht="15" hidden="1" customHeight="1" x14ac:dyDescent="0.2">
      <c r="A2155" s="7" t="s">
        <v>689</v>
      </c>
      <c r="B2155" s="7"/>
      <c r="C2155" s="2" t="s">
        <v>648</v>
      </c>
      <c r="D2155" s="6" t="s">
        <v>649</v>
      </c>
      <c r="E2155" s="32" t="s">
        <v>651</v>
      </c>
      <c r="F2155" s="7"/>
      <c r="G2155" s="7"/>
      <c r="H2155" s="7"/>
      <c r="I2155" s="7"/>
      <c r="J2155" s="7"/>
      <c r="K2155" s="7"/>
      <c r="L2155" s="7" t="s">
        <v>663</v>
      </c>
      <c r="M2155" s="8">
        <v>44562</v>
      </c>
      <c r="N2155" s="8">
        <v>44562</v>
      </c>
      <c r="O2155" s="13"/>
      <c r="P2155" s="13">
        <v>57945.87</v>
      </c>
      <c r="Q2155" s="33"/>
      <c r="R2155" s="22"/>
      <c r="S2155" s="22"/>
      <c r="T2155" s="22"/>
      <c r="U2155" s="22"/>
      <c r="X2155" s="15" t="str">
        <f>IF(B2155="",VLOOKUP(A2155,items_lookup!A:B,2,FALSE),B2155)</f>
        <v>04. Item 04</v>
      </c>
      <c r="Y2155" s="15">
        <f t="shared" si="186"/>
        <v>1</v>
      </c>
      <c r="Z2155" s="15">
        <f t="shared" si="186"/>
        <v>1</v>
      </c>
      <c r="AA2155" s="15">
        <f t="shared" si="183"/>
        <v>2022</v>
      </c>
      <c r="AB2155" s="15">
        <f t="shared" si="184"/>
        <v>2022</v>
      </c>
      <c r="AC2155" s="15">
        <f t="shared" si="185"/>
        <v>2022</v>
      </c>
      <c r="AD2155" s="18" t="b">
        <f t="shared" si="182"/>
        <v>1</v>
      </c>
    </row>
    <row r="2156" spans="1:30" ht="13.5" hidden="1" x14ac:dyDescent="0.2">
      <c r="A2156" s="7" t="s">
        <v>674</v>
      </c>
      <c r="B2156" s="7"/>
      <c r="C2156" s="2" t="s">
        <v>648</v>
      </c>
      <c r="D2156" s="6" t="s">
        <v>649</v>
      </c>
      <c r="E2156" s="32" t="s">
        <v>651</v>
      </c>
      <c r="F2156" s="7"/>
      <c r="G2156" s="7"/>
      <c r="H2156" s="7"/>
      <c r="I2156" s="7"/>
      <c r="J2156" s="7"/>
      <c r="K2156" s="7"/>
      <c r="L2156" s="7" t="s">
        <v>663</v>
      </c>
      <c r="M2156" s="8">
        <v>44562</v>
      </c>
      <c r="N2156" s="8">
        <v>44562</v>
      </c>
      <c r="O2156" s="13"/>
      <c r="P2156" s="13">
        <v>8565.43</v>
      </c>
      <c r="Q2156" s="33"/>
      <c r="R2156" s="22"/>
      <c r="S2156" s="22"/>
      <c r="T2156" s="22"/>
      <c r="U2156" s="22"/>
      <c r="X2156" s="15" t="str">
        <f>IF(B2156="",VLOOKUP(A2156,items_lookup!A:B,2,FALSE),B2156)</f>
        <v>08. Item 08</v>
      </c>
      <c r="Y2156" s="15">
        <f t="shared" si="186"/>
        <v>1</v>
      </c>
      <c r="Z2156" s="15">
        <f t="shared" si="186"/>
        <v>1</v>
      </c>
      <c r="AA2156" s="15">
        <f t="shared" si="183"/>
        <v>2022</v>
      </c>
      <c r="AB2156" s="15">
        <f t="shared" si="184"/>
        <v>2022</v>
      </c>
      <c r="AC2156" s="15">
        <f t="shared" si="185"/>
        <v>2022</v>
      </c>
      <c r="AD2156" s="18" t="b">
        <f t="shared" si="182"/>
        <v>1</v>
      </c>
    </row>
    <row r="2157" spans="1:30" ht="13.5" hidden="1" x14ac:dyDescent="0.2">
      <c r="A2157" s="7" t="s">
        <v>688</v>
      </c>
      <c r="B2157" s="7"/>
      <c r="C2157" s="2" t="s">
        <v>648</v>
      </c>
      <c r="D2157" s="6" t="s">
        <v>649</v>
      </c>
      <c r="E2157" s="32" t="s">
        <v>651</v>
      </c>
      <c r="F2157" s="7"/>
      <c r="G2157" s="7"/>
      <c r="H2157" s="7"/>
      <c r="I2157" s="7"/>
      <c r="J2157" s="7"/>
      <c r="K2157" s="7"/>
      <c r="L2157" s="7" t="s">
        <v>663</v>
      </c>
      <c r="M2157" s="8">
        <v>44562</v>
      </c>
      <c r="N2157" s="8">
        <v>44562</v>
      </c>
      <c r="O2157" s="13">
        <v>23878.799999999999</v>
      </c>
      <c r="P2157" s="13">
        <v>757000.22</v>
      </c>
      <c r="Q2157" s="33"/>
      <c r="R2157" s="22"/>
      <c r="S2157" s="22"/>
      <c r="T2157" s="22"/>
      <c r="U2157" s="22"/>
      <c r="X2157" s="15" t="str">
        <f>IF(B2157="",VLOOKUP(A2157,items_lookup!A:B,2,FALSE),B2157)</f>
        <v>09. Item 09</v>
      </c>
      <c r="Y2157" s="15">
        <f t="shared" si="186"/>
        <v>1</v>
      </c>
      <c r="Z2157" s="15">
        <f t="shared" si="186"/>
        <v>1</v>
      </c>
      <c r="AA2157" s="15">
        <f t="shared" si="183"/>
        <v>2022</v>
      </c>
      <c r="AB2157" s="15">
        <f t="shared" si="184"/>
        <v>2022</v>
      </c>
      <c r="AC2157" s="15">
        <f t="shared" si="185"/>
        <v>2022</v>
      </c>
      <c r="AD2157" s="18" t="b">
        <f t="shared" si="182"/>
        <v>1</v>
      </c>
    </row>
    <row r="2158" spans="1:30" ht="15" hidden="1" customHeight="1" x14ac:dyDescent="0.2">
      <c r="A2158" s="7" t="s">
        <v>695</v>
      </c>
      <c r="B2158" s="7"/>
      <c r="C2158" s="2" t="s">
        <v>648</v>
      </c>
      <c r="D2158" s="6" t="s">
        <v>649</v>
      </c>
      <c r="E2158" s="32" t="s">
        <v>651</v>
      </c>
      <c r="F2158" s="7"/>
      <c r="G2158" s="7"/>
      <c r="H2158" s="7"/>
      <c r="I2158" s="7"/>
      <c r="J2158" s="7"/>
      <c r="K2158" s="7"/>
      <c r="L2158" s="7" t="s">
        <v>663</v>
      </c>
      <c r="M2158" s="8">
        <v>44562</v>
      </c>
      <c r="N2158" s="8">
        <v>44562</v>
      </c>
      <c r="O2158" s="13"/>
      <c r="P2158" s="13">
        <v>3910723.45</v>
      </c>
      <c r="Q2158" s="33"/>
      <c r="R2158" s="22"/>
      <c r="S2158" s="22"/>
      <c r="T2158" s="22"/>
      <c r="U2158" s="22"/>
      <c r="X2158" s="15" t="str">
        <f>IF(B2158="",VLOOKUP(A2158,items_lookup!A:B,2,FALSE),B2158)</f>
        <v>03. Item 03</v>
      </c>
      <c r="Y2158" s="15">
        <f t="shared" si="186"/>
        <v>1</v>
      </c>
      <c r="Z2158" s="15">
        <f t="shared" si="186"/>
        <v>1</v>
      </c>
      <c r="AA2158" s="15">
        <f t="shared" si="183"/>
        <v>2022</v>
      </c>
      <c r="AB2158" s="15">
        <f t="shared" si="184"/>
        <v>2022</v>
      </c>
      <c r="AC2158" s="15">
        <f t="shared" si="185"/>
        <v>2022</v>
      </c>
      <c r="AD2158" s="18" t="b">
        <f t="shared" si="182"/>
        <v>1</v>
      </c>
    </row>
    <row r="2159" spans="1:30" ht="15" hidden="1" customHeight="1" x14ac:dyDescent="0.2">
      <c r="A2159" s="7" t="s">
        <v>689</v>
      </c>
      <c r="B2159" s="7"/>
      <c r="C2159" s="2" t="s">
        <v>648</v>
      </c>
      <c r="D2159" s="6" t="s">
        <v>649</v>
      </c>
      <c r="E2159" s="32" t="s">
        <v>651</v>
      </c>
      <c r="F2159" s="7"/>
      <c r="G2159" s="7"/>
      <c r="H2159" s="7"/>
      <c r="I2159" s="7"/>
      <c r="J2159" s="7"/>
      <c r="K2159" s="7"/>
      <c r="L2159" s="7" t="s">
        <v>663</v>
      </c>
      <c r="M2159" s="8">
        <v>44562</v>
      </c>
      <c r="N2159" s="8">
        <v>44562</v>
      </c>
      <c r="O2159" s="13"/>
      <c r="P2159" s="13">
        <v>9642.86</v>
      </c>
      <c r="Q2159" s="33"/>
      <c r="R2159" s="22"/>
      <c r="S2159" s="22"/>
      <c r="T2159" s="22"/>
      <c r="U2159" s="22"/>
      <c r="X2159" s="15" t="str">
        <f>IF(B2159="",VLOOKUP(A2159,items_lookup!A:B,2,FALSE),B2159)</f>
        <v>04. Item 04</v>
      </c>
      <c r="Y2159" s="15">
        <f t="shared" si="186"/>
        <v>1</v>
      </c>
      <c r="Z2159" s="15">
        <f t="shared" si="186"/>
        <v>1</v>
      </c>
      <c r="AA2159" s="15">
        <f t="shared" si="183"/>
        <v>2022</v>
      </c>
      <c r="AB2159" s="15">
        <f t="shared" si="184"/>
        <v>2022</v>
      </c>
      <c r="AC2159" s="15">
        <f t="shared" si="185"/>
        <v>2022</v>
      </c>
      <c r="AD2159" s="18" t="b">
        <f t="shared" si="182"/>
        <v>1</v>
      </c>
    </row>
    <row r="2160" spans="1:30" ht="15" hidden="1" customHeight="1" x14ac:dyDescent="0.2">
      <c r="A2160" s="7" t="s">
        <v>674</v>
      </c>
      <c r="B2160" s="7"/>
      <c r="C2160" s="2" t="s">
        <v>641</v>
      </c>
      <c r="D2160" s="6" t="s">
        <v>649</v>
      </c>
      <c r="E2160" s="32" t="s">
        <v>651</v>
      </c>
      <c r="F2160" s="7"/>
      <c r="G2160" s="7"/>
      <c r="H2160" s="7"/>
      <c r="I2160" s="7"/>
      <c r="J2160" s="7"/>
      <c r="K2160" s="7" t="s">
        <v>660</v>
      </c>
      <c r="L2160" s="7" t="s">
        <v>663</v>
      </c>
      <c r="M2160" s="8">
        <v>44589</v>
      </c>
      <c r="N2160" s="8">
        <v>44589</v>
      </c>
      <c r="O2160" s="13"/>
      <c r="P2160" s="13">
        <v>18032717.329999998</v>
      </c>
      <c r="Q2160" s="33"/>
      <c r="R2160" s="22"/>
      <c r="S2160" s="22"/>
      <c r="T2160" s="22"/>
      <c r="U2160" s="22"/>
      <c r="X2160" s="15" t="str">
        <f>IF(B2160="",VLOOKUP(A2160,items_lookup!A:B,2,FALSE),B2160)</f>
        <v>08. Item 08</v>
      </c>
      <c r="Y2160" s="15">
        <f t="shared" si="186"/>
        <v>1</v>
      </c>
      <c r="Z2160" s="15">
        <f t="shared" si="186"/>
        <v>1</v>
      </c>
      <c r="AA2160" s="15">
        <f t="shared" si="183"/>
        <v>2022</v>
      </c>
      <c r="AB2160" s="15">
        <f t="shared" si="184"/>
        <v>2022</v>
      </c>
      <c r="AC2160" s="15">
        <f t="shared" si="185"/>
        <v>2022</v>
      </c>
      <c r="AD2160" s="18" t="b">
        <f t="shared" si="182"/>
        <v>1</v>
      </c>
    </row>
    <row r="2161" spans="1:30" ht="15" hidden="1" customHeight="1" x14ac:dyDescent="0.2">
      <c r="A2161" s="7" t="s">
        <v>674</v>
      </c>
      <c r="B2161" s="7"/>
      <c r="C2161" s="2" t="s">
        <v>641</v>
      </c>
      <c r="D2161" s="6" t="s">
        <v>649</v>
      </c>
      <c r="E2161" s="32" t="s">
        <v>651</v>
      </c>
      <c r="F2161" s="7"/>
      <c r="G2161" s="7"/>
      <c r="H2161" s="7"/>
      <c r="I2161" s="7"/>
      <c r="J2161" s="7"/>
      <c r="K2161" s="7" t="s">
        <v>660</v>
      </c>
      <c r="L2161" s="7" t="s">
        <v>663</v>
      </c>
      <c r="M2161" s="8">
        <v>44589</v>
      </c>
      <c r="N2161" s="8">
        <v>44589</v>
      </c>
      <c r="O2161" s="13"/>
      <c r="P2161" s="13">
        <v>6195.55</v>
      </c>
      <c r="Q2161" s="33"/>
      <c r="R2161" s="22"/>
      <c r="S2161" s="22"/>
      <c r="T2161" s="22"/>
      <c r="U2161" s="22"/>
      <c r="X2161" s="15" t="str">
        <f>IF(B2161="",VLOOKUP(A2161,items_lookup!A:B,2,FALSE),B2161)</f>
        <v>08. Item 08</v>
      </c>
      <c r="Y2161" s="15">
        <f t="shared" si="186"/>
        <v>1</v>
      </c>
      <c r="Z2161" s="15">
        <f t="shared" si="186"/>
        <v>1</v>
      </c>
      <c r="AA2161" s="15">
        <f t="shared" si="183"/>
        <v>2022</v>
      </c>
      <c r="AB2161" s="15">
        <f t="shared" si="184"/>
        <v>2022</v>
      </c>
      <c r="AC2161" s="15">
        <f t="shared" si="185"/>
        <v>2022</v>
      </c>
      <c r="AD2161" s="18" t="b">
        <f t="shared" si="182"/>
        <v>1</v>
      </c>
    </row>
    <row r="2162" spans="1:30" ht="15" hidden="1" customHeight="1" x14ac:dyDescent="0.2">
      <c r="A2162" s="7" t="s">
        <v>688</v>
      </c>
      <c r="B2162" s="7"/>
      <c r="C2162" s="2" t="s">
        <v>641</v>
      </c>
      <c r="D2162" s="6" t="s">
        <v>649</v>
      </c>
      <c r="E2162" s="32" t="s">
        <v>651</v>
      </c>
      <c r="F2162" s="7"/>
      <c r="G2162" s="7"/>
      <c r="H2162" s="7"/>
      <c r="I2162" s="7"/>
      <c r="J2162" s="7"/>
      <c r="K2162" s="7" t="s">
        <v>660</v>
      </c>
      <c r="L2162" s="7" t="s">
        <v>663</v>
      </c>
      <c r="M2162" s="8">
        <v>44589</v>
      </c>
      <c r="N2162" s="8">
        <v>44589</v>
      </c>
      <c r="O2162" s="13"/>
      <c r="P2162" s="13">
        <v>4690.4799999999996</v>
      </c>
      <c r="Q2162" s="33"/>
      <c r="R2162" s="22"/>
      <c r="S2162" s="22"/>
      <c r="T2162" s="22"/>
      <c r="U2162" s="22"/>
      <c r="X2162" s="15" t="str">
        <f>IF(B2162="",VLOOKUP(A2162,items_lookup!A:B,2,FALSE),B2162)</f>
        <v>09. Item 09</v>
      </c>
      <c r="Y2162" s="15">
        <f t="shared" si="186"/>
        <v>1</v>
      </c>
      <c r="Z2162" s="15">
        <f t="shared" si="186"/>
        <v>1</v>
      </c>
      <c r="AA2162" s="15">
        <f t="shared" si="183"/>
        <v>2022</v>
      </c>
      <c r="AB2162" s="15">
        <f t="shared" si="184"/>
        <v>2022</v>
      </c>
      <c r="AC2162" s="15">
        <f t="shared" si="185"/>
        <v>2022</v>
      </c>
      <c r="AD2162" s="18" t="b">
        <f t="shared" si="182"/>
        <v>1</v>
      </c>
    </row>
    <row r="2163" spans="1:30" ht="15" hidden="1" customHeight="1" x14ac:dyDescent="0.2">
      <c r="A2163" s="7" t="s">
        <v>688</v>
      </c>
      <c r="B2163" s="20"/>
      <c r="C2163" s="2" t="s">
        <v>641</v>
      </c>
      <c r="D2163" s="6" t="s">
        <v>649</v>
      </c>
      <c r="E2163" s="32" t="s">
        <v>651</v>
      </c>
      <c r="F2163" s="7"/>
      <c r="G2163" s="7"/>
      <c r="H2163" s="7"/>
      <c r="I2163" s="7"/>
      <c r="J2163" s="7">
        <v>4</v>
      </c>
      <c r="K2163" s="7" t="s">
        <v>659</v>
      </c>
      <c r="L2163" s="7" t="s">
        <v>663</v>
      </c>
      <c r="M2163" s="8">
        <v>44589</v>
      </c>
      <c r="N2163" s="8">
        <v>44596</v>
      </c>
      <c r="O2163" s="13"/>
      <c r="P2163" s="13">
        <v>130.09</v>
      </c>
      <c r="Q2163" s="33"/>
      <c r="R2163" s="22"/>
      <c r="S2163" s="22"/>
      <c r="T2163" s="22"/>
      <c r="U2163" s="22"/>
      <c r="X2163" s="15" t="str">
        <f>IF(B2163="",VLOOKUP(A2163,items_lookup!A:B,2,FALSE),B2163)</f>
        <v>09. Item 09</v>
      </c>
      <c r="Y2163" s="15">
        <f t="shared" si="186"/>
        <v>1</v>
      </c>
      <c r="Z2163" s="15">
        <f t="shared" si="186"/>
        <v>2</v>
      </c>
      <c r="AA2163" s="15">
        <f t="shared" si="183"/>
        <v>2022</v>
      </c>
      <c r="AB2163" s="15">
        <f t="shared" si="184"/>
        <v>2022</v>
      </c>
      <c r="AC2163" s="15">
        <f t="shared" si="185"/>
        <v>2022</v>
      </c>
      <c r="AD2163" s="18" t="b">
        <f t="shared" si="182"/>
        <v>1</v>
      </c>
    </row>
    <row r="2164" spans="1:30" ht="15.75" hidden="1" customHeight="1" x14ac:dyDescent="0.2">
      <c r="A2164" s="7" t="s">
        <v>687</v>
      </c>
      <c r="B2164" s="20"/>
      <c r="C2164" s="2" t="s">
        <v>641</v>
      </c>
      <c r="D2164" s="6" t="s">
        <v>649</v>
      </c>
      <c r="E2164" s="32" t="s">
        <v>651</v>
      </c>
      <c r="F2164" s="7"/>
      <c r="G2164" s="7"/>
      <c r="H2164" s="7"/>
      <c r="I2164" s="7"/>
      <c r="J2164" s="7">
        <v>4</v>
      </c>
      <c r="K2164" s="7" t="s">
        <v>659</v>
      </c>
      <c r="L2164" s="7" t="s">
        <v>663</v>
      </c>
      <c r="M2164" s="8">
        <v>44589</v>
      </c>
      <c r="N2164" s="8">
        <v>44596</v>
      </c>
      <c r="O2164" s="13"/>
      <c r="P2164" s="13">
        <v>27849.31</v>
      </c>
      <c r="Q2164" s="33"/>
      <c r="R2164" s="22"/>
      <c r="S2164" s="22"/>
      <c r="T2164" s="22"/>
      <c r="U2164" s="22"/>
      <c r="X2164" s="15" t="str">
        <f>IF(B2164="",VLOOKUP(A2164,items_lookup!A:B,2,FALSE),B2164)</f>
        <v>14. Item 14</v>
      </c>
      <c r="Y2164" s="15">
        <f t="shared" si="186"/>
        <v>1</v>
      </c>
      <c r="Z2164" s="15">
        <f t="shared" si="186"/>
        <v>2</v>
      </c>
      <c r="AA2164" s="15">
        <f t="shared" si="183"/>
        <v>2022</v>
      </c>
      <c r="AB2164" s="15">
        <f t="shared" si="184"/>
        <v>2022</v>
      </c>
      <c r="AC2164" s="15">
        <f t="shared" si="185"/>
        <v>2022</v>
      </c>
      <c r="AD2164" s="18" t="b">
        <f t="shared" si="182"/>
        <v>1</v>
      </c>
    </row>
    <row r="2165" spans="1:30" ht="15.75" hidden="1" customHeight="1" x14ac:dyDescent="0.2">
      <c r="A2165" s="7" t="s">
        <v>687</v>
      </c>
      <c r="B2165" s="20"/>
      <c r="C2165" s="2" t="s">
        <v>641</v>
      </c>
      <c r="D2165" s="6" t="s">
        <v>649</v>
      </c>
      <c r="E2165" s="32" t="s">
        <v>651</v>
      </c>
      <c r="F2165" s="7"/>
      <c r="G2165" s="7"/>
      <c r="H2165" s="7"/>
      <c r="I2165" s="7"/>
      <c r="J2165" s="7">
        <v>4</v>
      </c>
      <c r="K2165" s="7" t="s">
        <v>659</v>
      </c>
      <c r="L2165" s="7" t="s">
        <v>663</v>
      </c>
      <c r="M2165" s="8">
        <v>44589</v>
      </c>
      <c r="N2165" s="8">
        <v>44600</v>
      </c>
      <c r="O2165" s="13"/>
      <c r="P2165" s="13">
        <v>2821.52</v>
      </c>
      <c r="Q2165" s="33"/>
      <c r="R2165" s="22"/>
      <c r="S2165" s="22"/>
      <c r="T2165" s="22"/>
      <c r="U2165" s="22"/>
      <c r="X2165" s="15" t="str">
        <f>IF(B2165="",VLOOKUP(A2165,items_lookup!A:B,2,FALSE),B2165)</f>
        <v>14. Item 14</v>
      </c>
      <c r="Y2165" s="15">
        <f t="shared" si="186"/>
        <v>1</v>
      </c>
      <c r="Z2165" s="15">
        <f t="shared" si="186"/>
        <v>2</v>
      </c>
      <c r="AA2165" s="15">
        <f t="shared" si="183"/>
        <v>2022</v>
      </c>
      <c r="AB2165" s="15">
        <f t="shared" si="184"/>
        <v>2022</v>
      </c>
      <c r="AC2165" s="15">
        <f t="shared" si="185"/>
        <v>2022</v>
      </c>
      <c r="AD2165" s="18" t="b">
        <f t="shared" si="182"/>
        <v>1</v>
      </c>
    </row>
    <row r="2166" spans="1:30" ht="15.75" hidden="1" customHeight="1" x14ac:dyDescent="0.2">
      <c r="A2166" s="7" t="s">
        <v>683</v>
      </c>
      <c r="B2166" s="20"/>
      <c r="C2166" s="2" t="s">
        <v>641</v>
      </c>
      <c r="D2166" s="6" t="s">
        <v>649</v>
      </c>
      <c r="E2166" s="32" t="s">
        <v>651</v>
      </c>
      <c r="F2166" s="7" t="s">
        <v>20</v>
      </c>
      <c r="G2166" s="7"/>
      <c r="H2166" s="7"/>
      <c r="I2166" s="7"/>
      <c r="J2166" s="7">
        <v>4</v>
      </c>
      <c r="K2166" s="7" t="s">
        <v>659</v>
      </c>
      <c r="L2166" s="7" t="s">
        <v>663</v>
      </c>
      <c r="M2166" s="8">
        <v>44592</v>
      </c>
      <c r="N2166" s="8">
        <v>44600</v>
      </c>
      <c r="O2166" s="13"/>
      <c r="P2166" s="13">
        <v>325339.06</v>
      </c>
      <c r="Q2166" s="33"/>
      <c r="R2166" s="9"/>
      <c r="S2166" s="9"/>
      <c r="T2166" s="9"/>
      <c r="U2166" s="9"/>
      <c r="X2166" s="15" t="str">
        <f>IF(B2166="",VLOOKUP(A2166,items_lookup!A:B,2,FALSE),B2166)</f>
        <v>_1. Item _1</v>
      </c>
      <c r="Y2166" s="15">
        <f t="shared" si="186"/>
        <v>1</v>
      </c>
      <c r="Z2166" s="15">
        <f t="shared" si="186"/>
        <v>2</v>
      </c>
      <c r="AA2166" s="15">
        <f t="shared" si="183"/>
        <v>2022</v>
      </c>
      <c r="AB2166" s="15">
        <f t="shared" si="184"/>
        <v>2022</v>
      </c>
      <c r="AC2166" s="15">
        <f t="shared" si="185"/>
        <v>2021</v>
      </c>
      <c r="AD2166" s="18" t="b">
        <f t="shared" si="182"/>
        <v>1</v>
      </c>
    </row>
    <row r="2167" spans="1:30" ht="15" hidden="1" customHeight="1" x14ac:dyDescent="0.2">
      <c r="A2167" s="7" t="s">
        <v>683</v>
      </c>
      <c r="B2167" s="7"/>
      <c r="C2167" s="2" t="s">
        <v>641</v>
      </c>
      <c r="D2167" s="6" t="s">
        <v>649</v>
      </c>
      <c r="E2167" s="32" t="s">
        <v>651</v>
      </c>
      <c r="F2167" s="7"/>
      <c r="G2167" s="7"/>
      <c r="H2167" s="7"/>
      <c r="I2167" s="7"/>
      <c r="J2167" s="7"/>
      <c r="K2167" s="7" t="s">
        <v>660</v>
      </c>
      <c r="L2167" s="7" t="s">
        <v>663</v>
      </c>
      <c r="M2167" s="8">
        <v>44592</v>
      </c>
      <c r="N2167" s="8">
        <v>44592</v>
      </c>
      <c r="O2167" s="13"/>
      <c r="P2167" s="13">
        <v>4783014.17</v>
      </c>
      <c r="Q2167" s="33"/>
      <c r="R2167" s="22"/>
      <c r="S2167" s="22"/>
      <c r="T2167" s="22"/>
      <c r="U2167" s="22"/>
      <c r="X2167" s="15" t="str">
        <f>IF(B2167="",VLOOKUP(A2167,items_lookup!A:B,2,FALSE),B2167)</f>
        <v>_1. Item _1</v>
      </c>
      <c r="Y2167" s="15">
        <f t="shared" si="186"/>
        <v>1</v>
      </c>
      <c r="Z2167" s="15">
        <f t="shared" si="186"/>
        <v>1</v>
      </c>
      <c r="AA2167" s="15">
        <f t="shared" si="183"/>
        <v>2022</v>
      </c>
      <c r="AB2167" s="15">
        <f t="shared" si="184"/>
        <v>2022</v>
      </c>
      <c r="AC2167" s="15">
        <f t="shared" si="185"/>
        <v>2022</v>
      </c>
      <c r="AD2167" s="18" t="b">
        <f t="shared" si="182"/>
        <v>1</v>
      </c>
    </row>
    <row r="2168" spans="1:30" ht="15" hidden="1" customHeight="1" x14ac:dyDescent="0.2">
      <c r="A2168" s="7" t="s">
        <v>703</v>
      </c>
      <c r="B2168" s="20"/>
      <c r="C2168" s="2" t="s">
        <v>641</v>
      </c>
      <c r="D2168" s="6" t="s">
        <v>649</v>
      </c>
      <c r="E2168" s="32" t="s">
        <v>651</v>
      </c>
      <c r="F2168" s="7"/>
      <c r="G2168" s="7"/>
      <c r="H2168" s="7"/>
      <c r="I2168" s="7"/>
      <c r="J2168" s="7">
        <v>3</v>
      </c>
      <c r="K2168" s="7" t="s">
        <v>659</v>
      </c>
      <c r="L2168" s="7" t="s">
        <v>663</v>
      </c>
      <c r="M2168" s="8">
        <v>44578</v>
      </c>
      <c r="N2168" s="8">
        <v>44600</v>
      </c>
      <c r="O2168" s="13"/>
      <c r="P2168" s="13">
        <v>201832.89</v>
      </c>
      <c r="Q2168" s="33"/>
      <c r="R2168" s="22"/>
      <c r="S2168" s="22"/>
      <c r="T2168" s="22"/>
      <c r="U2168" s="22"/>
      <c r="X2168" s="15" t="str">
        <f>IF(B2168="",VLOOKUP(A2168,items_lookup!A:B,2,FALSE),B2168)</f>
        <v>_3. Item _3</v>
      </c>
      <c r="Y2168" s="15">
        <f t="shared" si="186"/>
        <v>1</v>
      </c>
      <c r="Z2168" s="15">
        <f t="shared" si="186"/>
        <v>2</v>
      </c>
      <c r="AA2168" s="15">
        <f t="shared" si="183"/>
        <v>2022</v>
      </c>
      <c r="AB2168" s="15">
        <f t="shared" si="184"/>
        <v>2022</v>
      </c>
      <c r="AC2168" s="15">
        <f t="shared" si="185"/>
        <v>2022</v>
      </c>
      <c r="AD2168" s="18" t="b">
        <f t="shared" si="182"/>
        <v>1</v>
      </c>
    </row>
    <row r="2169" spans="1:30" ht="15.75" customHeight="1" x14ac:dyDescent="0.2">
      <c r="A2169" s="7" t="s">
        <v>702</v>
      </c>
      <c r="B2169" s="20"/>
      <c r="C2169" s="2" t="s">
        <v>641</v>
      </c>
      <c r="D2169" s="6" t="s">
        <v>649</v>
      </c>
      <c r="E2169" s="32" t="s">
        <v>652</v>
      </c>
      <c r="F2169" s="7"/>
      <c r="G2169" s="7"/>
      <c r="H2169" s="7"/>
      <c r="I2169" s="7" t="s">
        <v>20</v>
      </c>
      <c r="J2169" s="7">
        <v>3</v>
      </c>
      <c r="K2169" s="7" t="s">
        <v>659</v>
      </c>
      <c r="L2169" s="7" t="s">
        <v>663</v>
      </c>
      <c r="M2169" s="8">
        <v>44578</v>
      </c>
      <c r="N2169" s="8">
        <v>44600</v>
      </c>
      <c r="O2169" s="13"/>
      <c r="P2169" s="13">
        <v>968671.57</v>
      </c>
      <c r="Q2169" s="33"/>
      <c r="R2169" s="22"/>
      <c r="S2169" s="22"/>
      <c r="T2169" s="22"/>
      <c r="U2169" s="22"/>
      <c r="X2169" s="15" t="str">
        <f>IF(B2169="",VLOOKUP(A2169,items_lookup!A:B,2,FALSE),B2169)</f>
        <v>17. Item 17</v>
      </c>
      <c r="Y2169" s="15">
        <f t="shared" si="186"/>
        <v>1</v>
      </c>
      <c r="Z2169" s="15">
        <f t="shared" si="186"/>
        <v>2</v>
      </c>
      <c r="AA2169" s="15">
        <f t="shared" si="183"/>
        <v>2022</v>
      </c>
      <c r="AB2169" s="15">
        <f t="shared" si="184"/>
        <v>2022</v>
      </c>
      <c r="AC2169" s="15">
        <f t="shared" si="185"/>
        <v>2022</v>
      </c>
      <c r="AD2169" s="18" t="b">
        <f t="shared" si="182"/>
        <v>1</v>
      </c>
    </row>
    <row r="2170" spans="1:30" ht="15.75" customHeight="1" x14ac:dyDescent="0.2">
      <c r="A2170" s="7" t="s">
        <v>702</v>
      </c>
      <c r="B2170" s="20"/>
      <c r="C2170" s="2" t="s">
        <v>641</v>
      </c>
      <c r="D2170" s="6" t="s">
        <v>649</v>
      </c>
      <c r="E2170" s="32" t="s">
        <v>652</v>
      </c>
      <c r="F2170" s="7"/>
      <c r="G2170" s="7"/>
      <c r="H2170" s="7"/>
      <c r="I2170" s="7"/>
      <c r="J2170" s="7">
        <v>4</v>
      </c>
      <c r="K2170" s="7" t="s">
        <v>660</v>
      </c>
      <c r="L2170" s="7" t="s">
        <v>663</v>
      </c>
      <c r="M2170" s="8">
        <v>44578</v>
      </c>
      <c r="N2170" s="8">
        <v>44602</v>
      </c>
      <c r="O2170" s="13"/>
      <c r="P2170" s="13">
        <v>99014686.349999994</v>
      </c>
      <c r="Q2170" s="33"/>
      <c r="R2170" s="22"/>
      <c r="S2170" s="22"/>
      <c r="T2170" s="22"/>
      <c r="U2170" s="22"/>
      <c r="X2170" s="15" t="str">
        <f>IF(B2170="",VLOOKUP(A2170,items_lookup!A:B,2,FALSE),B2170)</f>
        <v>17. Item 17</v>
      </c>
      <c r="Y2170" s="15">
        <f t="shared" si="186"/>
        <v>1</v>
      </c>
      <c r="Z2170" s="15">
        <f t="shared" si="186"/>
        <v>2</v>
      </c>
      <c r="AA2170" s="15">
        <f t="shared" si="183"/>
        <v>2022</v>
      </c>
      <c r="AB2170" s="15">
        <f t="shared" si="184"/>
        <v>2022</v>
      </c>
      <c r="AC2170" s="15">
        <f t="shared" si="185"/>
        <v>2022</v>
      </c>
      <c r="AD2170" s="18" t="b">
        <f t="shared" si="182"/>
        <v>1</v>
      </c>
    </row>
    <row r="2171" spans="1:30" ht="15.75" customHeight="1" x14ac:dyDescent="0.2">
      <c r="A2171" s="7" t="s">
        <v>689</v>
      </c>
      <c r="B2171" s="20"/>
      <c r="C2171" s="2" t="s">
        <v>641</v>
      </c>
      <c r="D2171" s="6" t="s">
        <v>649</v>
      </c>
      <c r="E2171" s="32" t="s">
        <v>652</v>
      </c>
      <c r="F2171" s="7" t="s">
        <v>20</v>
      </c>
      <c r="G2171" s="7"/>
      <c r="H2171" s="7"/>
      <c r="I2171" s="7"/>
      <c r="J2171" s="7">
        <v>4</v>
      </c>
      <c r="K2171" s="7" t="s">
        <v>658</v>
      </c>
      <c r="L2171" s="7" t="s">
        <v>663</v>
      </c>
      <c r="M2171" s="8">
        <v>44578</v>
      </c>
      <c r="N2171" s="8">
        <v>44602</v>
      </c>
      <c r="O2171" s="13"/>
      <c r="P2171" s="13">
        <v>13393.48</v>
      </c>
      <c r="Q2171" s="33"/>
      <c r="R2171" s="9"/>
      <c r="S2171" s="9"/>
      <c r="T2171" s="9"/>
      <c r="U2171" s="9"/>
      <c r="X2171" s="15" t="str">
        <f>IF(B2171="",VLOOKUP(A2171,items_lookup!A:B,2,FALSE),B2171)</f>
        <v>04. Item 04</v>
      </c>
      <c r="Y2171" s="15">
        <f t="shared" si="186"/>
        <v>1</v>
      </c>
      <c r="Z2171" s="15">
        <f t="shared" si="186"/>
        <v>2</v>
      </c>
      <c r="AA2171" s="15">
        <f t="shared" si="183"/>
        <v>2022</v>
      </c>
      <c r="AB2171" s="15">
        <f t="shared" si="184"/>
        <v>2022</v>
      </c>
      <c r="AC2171" s="15">
        <f t="shared" si="185"/>
        <v>2021</v>
      </c>
      <c r="AD2171" s="18" t="b">
        <f t="shared" si="182"/>
        <v>1</v>
      </c>
    </row>
    <row r="2172" spans="1:30" ht="15" hidden="1" customHeight="1" x14ac:dyDescent="0.2"/>
  </sheetData>
  <autoFilter ref="A1:AK2172">
    <filterColumn colId="2">
      <filters>
        <filter val="CFStatement"/>
      </filters>
    </filterColumn>
    <filterColumn colId="4">
      <filters>
        <filter val="Out"/>
      </filters>
    </filterColumn>
  </autoFilter>
  <dataValidations count="1">
    <dataValidation type="list" allowBlank="1" showInputMessage="1" showErrorMessage="1" sqref="I2:I1048576 F2:G1048576">
      <formula1>"X"</formula1>
    </dataValidation>
  </dataValidations>
  <printOptions horizontalCentered="1"/>
  <pageMargins left="0.39370078740157483" right="0" top="0.27559055118110237" bottom="3.937007874015748E-2" header="0.19685039370078741" footer="0.19685039370078741"/>
  <pageSetup paperSize="9" scale="70" firstPageNumber="4" fitToHeight="0" orientation="landscape" useFirstPageNumber="1" horizontalDpi="300" verticalDpi="300" r:id="rId1"/>
  <headerFooter scaleWithDoc="0" alignWithMargins="0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ref!$AG$2:$AG$54</xm:f>
          </x14:formula1>
          <xm:sqref>A2:A1048576</xm:sqref>
        </x14:dataValidation>
        <x14:dataValidation type="list" allowBlank="1" showInputMessage="1" showErrorMessage="1">
          <x14:formula1>
            <xm:f>ref!$M$2:$M$27</xm:f>
          </x14:formula1>
          <xm:sqref>B2:B1048576</xm:sqref>
        </x14:dataValidation>
        <x14:dataValidation type="list" allowBlank="1" showInputMessage="1" showErrorMessage="1">
          <x14:formula1>
            <xm:f>ref!$C$2:$C$9</xm:f>
          </x14:formula1>
          <xm:sqref>C2:C1048576</xm:sqref>
        </x14:dataValidation>
        <x14:dataValidation type="list" allowBlank="1" showInputMessage="1" showErrorMessage="1">
          <x14:formula1>
            <xm:f>ref!$AE$2:$AE$3</xm:f>
          </x14:formula1>
          <xm:sqref>D2:D1048576</xm:sqref>
        </x14:dataValidation>
        <x14:dataValidation type="list" allowBlank="1" showInputMessage="1" showErrorMessage="1">
          <x14:formula1>
            <xm:f>ref!$AC$2:$AC$3</xm:f>
          </x14:formula1>
          <xm:sqref>E2:E1048576</xm:sqref>
        </x14:dataValidation>
        <x14:dataValidation type="list" allowBlank="1" showInputMessage="1" showErrorMessage="1">
          <x14:formula1>
            <xm:f>ref!$A$2:$A$6</xm:f>
          </x14:formula1>
          <xm:sqref>H2:H1048576</xm:sqref>
        </x14:dataValidation>
        <x14:dataValidation type="list" allowBlank="1" showInputMessage="1" showErrorMessage="1">
          <x14:formula1>
            <xm:f>ref!$AN$2:$AN$6</xm:f>
          </x14:formula1>
          <xm:sqref>J2:J1048576</xm:sqref>
        </x14:dataValidation>
        <x14:dataValidation type="list" allowBlank="1" showInputMessage="1" showErrorMessage="1">
          <x14:formula1>
            <xm:f>ref!$AL$2:$AL$5</xm:f>
          </x14:formula1>
          <xm:sqref>K2:K1048576</xm:sqref>
        </x14:dataValidation>
        <x14:dataValidation type="list" allowBlank="1" showInputMessage="1" showErrorMessage="1">
          <x14:formula1>
            <xm:f>ref!$AA$2:$AA$3</xm:f>
          </x14:formula1>
          <xm:sqref>L2:L1048576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35"/>
  <sheetViews>
    <sheetView topLeftCell="U1" workbookViewId="0">
      <selection activeCell="AP1" sqref="AP1"/>
    </sheetView>
  </sheetViews>
  <sheetFormatPr defaultRowHeight="12.75" x14ac:dyDescent="0.2"/>
  <cols>
    <col min="1" max="2" width="19.7109375" customWidth="1"/>
    <col min="3" max="4" width="15.7109375" customWidth="1"/>
    <col min="5" max="5" width="15" bestFit="1" customWidth="1"/>
    <col min="6" max="6" width="15" customWidth="1"/>
    <col min="7" max="7" width="15" bestFit="1" customWidth="1"/>
    <col min="8" max="8" width="12" bestFit="1" customWidth="1"/>
    <col min="9" max="9" width="16" bestFit="1" customWidth="1"/>
    <col min="10" max="10" width="22.140625" bestFit="1" customWidth="1"/>
    <col min="11" max="11" width="25" bestFit="1" customWidth="1"/>
    <col min="13" max="13" width="10.28515625" bestFit="1" customWidth="1"/>
    <col min="14" max="14" width="13" customWidth="1"/>
    <col min="16" max="16" width="19.28515625" bestFit="1" customWidth="1"/>
    <col min="17" max="17" width="17.42578125" bestFit="1" customWidth="1"/>
    <col min="18" max="18" width="12" bestFit="1" customWidth="1"/>
    <col min="19" max="19" width="12.42578125" bestFit="1" customWidth="1"/>
    <col min="20" max="20" width="16" bestFit="1" customWidth="1"/>
    <col min="21" max="21" width="14.7109375" bestFit="1" customWidth="1"/>
    <col min="22" max="22" width="16" bestFit="1" customWidth="1"/>
    <col min="24" max="24" width="12" customWidth="1"/>
    <col min="25" max="25" width="17.5703125" customWidth="1"/>
    <col min="27" max="27" width="12.28515625" customWidth="1"/>
    <col min="29" max="29" width="13" customWidth="1"/>
    <col min="31" max="31" width="12.28515625" customWidth="1"/>
    <col min="33" max="33" width="17.5703125" customWidth="1"/>
    <col min="35" max="35" width="17.5703125" customWidth="1"/>
    <col min="36" max="36" width="10.28515625" bestFit="1" customWidth="1"/>
    <col min="38" max="38" width="14.5703125" customWidth="1"/>
    <col min="40" max="40" width="11" customWidth="1"/>
    <col min="42" max="42" width="14.7109375" customWidth="1"/>
    <col min="43" max="43" width="20.28515625" customWidth="1"/>
  </cols>
  <sheetData>
    <row r="1" spans="1:43" x14ac:dyDescent="0.2">
      <c r="A1" t="s">
        <v>638</v>
      </c>
      <c r="C1" t="s">
        <v>612</v>
      </c>
      <c r="E1" t="s">
        <v>934</v>
      </c>
      <c r="G1" t="s">
        <v>934</v>
      </c>
      <c r="H1" t="s">
        <v>625</v>
      </c>
      <c r="I1" t="s">
        <v>935</v>
      </c>
      <c r="J1" t="s">
        <v>936</v>
      </c>
      <c r="K1" t="s">
        <v>937</v>
      </c>
      <c r="M1" t="s">
        <v>611</v>
      </c>
      <c r="N1" t="s">
        <v>614</v>
      </c>
      <c r="P1" t="s">
        <v>1121</v>
      </c>
      <c r="Q1" t="s">
        <v>629</v>
      </c>
      <c r="R1" t="s">
        <v>625</v>
      </c>
      <c r="S1" t="s">
        <v>1122</v>
      </c>
      <c r="T1" t="s">
        <v>1123</v>
      </c>
      <c r="U1" t="s">
        <v>1124</v>
      </c>
      <c r="V1" t="s">
        <v>1125</v>
      </c>
      <c r="X1" t="s">
        <v>625</v>
      </c>
      <c r="Y1" t="s">
        <v>610</v>
      </c>
      <c r="AA1" t="s">
        <v>1179</v>
      </c>
      <c r="AC1" t="s">
        <v>614</v>
      </c>
      <c r="AE1" t="s">
        <v>613</v>
      </c>
      <c r="AG1" t="s">
        <v>610</v>
      </c>
      <c r="AI1" t="s">
        <v>610</v>
      </c>
      <c r="AJ1" t="s">
        <v>611</v>
      </c>
      <c r="AL1" t="s">
        <v>618</v>
      </c>
      <c r="AN1" t="s">
        <v>617</v>
      </c>
      <c r="AP1" t="s">
        <v>626</v>
      </c>
      <c r="AQ1" t="s">
        <v>630</v>
      </c>
    </row>
    <row r="2" spans="1:43" x14ac:dyDescent="0.2">
      <c r="A2" t="s">
        <v>653</v>
      </c>
      <c r="C2" t="s">
        <v>641</v>
      </c>
      <c r="E2" t="s">
        <v>385</v>
      </c>
      <c r="G2" t="s">
        <v>385</v>
      </c>
      <c r="H2" t="s">
        <v>938</v>
      </c>
      <c r="M2" t="s">
        <v>721</v>
      </c>
      <c r="N2" t="s">
        <v>651</v>
      </c>
      <c r="P2" t="s">
        <v>202</v>
      </c>
      <c r="Q2" t="s">
        <v>805</v>
      </c>
      <c r="R2" t="s">
        <v>1003</v>
      </c>
      <c r="S2">
        <v>329</v>
      </c>
      <c r="T2">
        <v>0</v>
      </c>
      <c r="U2">
        <v>0</v>
      </c>
      <c r="V2">
        <v>0</v>
      </c>
      <c r="X2" t="s">
        <v>938</v>
      </c>
      <c r="Y2" t="s">
        <v>683</v>
      </c>
      <c r="AA2" t="s">
        <v>662</v>
      </c>
      <c r="AC2" t="s">
        <v>651</v>
      </c>
      <c r="AE2" t="s">
        <v>649</v>
      </c>
      <c r="AG2" t="s">
        <v>692</v>
      </c>
      <c r="AI2" t="s">
        <v>692</v>
      </c>
      <c r="AJ2" t="s">
        <v>708</v>
      </c>
      <c r="AL2" t="s">
        <v>658</v>
      </c>
      <c r="AN2" t="s">
        <v>1182</v>
      </c>
      <c r="AP2">
        <v>160000000</v>
      </c>
      <c r="AQ2" t="s">
        <v>1187</v>
      </c>
    </row>
    <row r="3" spans="1:43" x14ac:dyDescent="0.2">
      <c r="A3" t="s">
        <v>654</v>
      </c>
      <c r="C3" t="s">
        <v>642</v>
      </c>
      <c r="E3" t="s">
        <v>386</v>
      </c>
      <c r="G3" t="s">
        <v>386</v>
      </c>
      <c r="H3" t="s">
        <v>939</v>
      </c>
      <c r="M3" t="s">
        <v>724</v>
      </c>
      <c r="N3" t="s">
        <v>651</v>
      </c>
      <c r="P3" t="s">
        <v>203</v>
      </c>
      <c r="Q3" t="s">
        <v>806</v>
      </c>
      <c r="R3" t="s">
        <v>1004</v>
      </c>
      <c r="S3">
        <v>333</v>
      </c>
      <c r="T3">
        <v>0</v>
      </c>
      <c r="U3">
        <v>0</v>
      </c>
      <c r="V3">
        <v>0</v>
      </c>
      <c r="X3" t="s">
        <v>1132</v>
      </c>
      <c r="Y3" t="s">
        <v>683</v>
      </c>
      <c r="AA3" t="s">
        <v>663</v>
      </c>
      <c r="AC3" t="s">
        <v>652</v>
      </c>
      <c r="AE3" t="s">
        <v>650</v>
      </c>
      <c r="AG3" t="s">
        <v>722</v>
      </c>
      <c r="AI3" t="s">
        <v>722</v>
      </c>
      <c r="AJ3" t="s">
        <v>708</v>
      </c>
      <c r="AL3" t="s">
        <v>659</v>
      </c>
      <c r="AN3" t="s">
        <v>1183</v>
      </c>
      <c r="AP3">
        <v>161000000</v>
      </c>
      <c r="AQ3" t="s">
        <v>1188</v>
      </c>
    </row>
    <row r="4" spans="1:43" x14ac:dyDescent="0.2">
      <c r="A4" t="s">
        <v>655</v>
      </c>
      <c r="C4" t="s">
        <v>643</v>
      </c>
      <c r="E4" t="s">
        <v>387</v>
      </c>
      <c r="G4" t="s">
        <v>387</v>
      </c>
      <c r="H4" t="s">
        <v>940</v>
      </c>
      <c r="M4" t="s">
        <v>727</v>
      </c>
      <c r="N4" t="s">
        <v>651</v>
      </c>
      <c r="P4" t="s">
        <v>205</v>
      </c>
      <c r="Q4" t="s">
        <v>807</v>
      </c>
      <c r="R4" t="s">
        <v>1006</v>
      </c>
      <c r="S4">
        <v>338</v>
      </c>
      <c r="T4">
        <v>0</v>
      </c>
      <c r="U4">
        <v>0</v>
      </c>
      <c r="V4">
        <v>0</v>
      </c>
      <c r="X4" t="s">
        <v>1133</v>
      </c>
      <c r="Y4" t="s">
        <v>686</v>
      </c>
      <c r="AG4" t="s">
        <v>725</v>
      </c>
      <c r="AI4" t="s">
        <v>725</v>
      </c>
      <c r="AJ4" t="s">
        <v>708</v>
      </c>
      <c r="AL4" t="s">
        <v>660</v>
      </c>
      <c r="AN4" t="s">
        <v>1184</v>
      </c>
      <c r="AP4">
        <v>161001000</v>
      </c>
      <c r="AQ4" t="s">
        <v>1189</v>
      </c>
    </row>
    <row r="5" spans="1:43" x14ac:dyDescent="0.2">
      <c r="A5" t="s">
        <v>656</v>
      </c>
      <c r="C5" t="s">
        <v>648</v>
      </c>
      <c r="E5" t="s">
        <v>388</v>
      </c>
      <c r="G5" t="s">
        <v>388</v>
      </c>
      <c r="H5" t="s">
        <v>940</v>
      </c>
      <c r="M5" t="s">
        <v>729</v>
      </c>
      <c r="N5" t="s">
        <v>651</v>
      </c>
      <c r="P5" t="s">
        <v>206</v>
      </c>
      <c r="Q5" t="s">
        <v>808</v>
      </c>
      <c r="R5" t="s">
        <v>1007</v>
      </c>
      <c r="S5">
        <v>342</v>
      </c>
      <c r="T5">
        <v>0</v>
      </c>
      <c r="U5">
        <v>0</v>
      </c>
      <c r="V5">
        <v>0</v>
      </c>
      <c r="X5" t="s">
        <v>1134</v>
      </c>
      <c r="Y5" t="s">
        <v>686</v>
      </c>
      <c r="AG5" t="s">
        <v>691</v>
      </c>
      <c r="AI5" t="s">
        <v>691</v>
      </c>
      <c r="AJ5" t="s">
        <v>708</v>
      </c>
      <c r="AL5" t="s">
        <v>661</v>
      </c>
      <c r="AN5" t="s">
        <v>1185</v>
      </c>
      <c r="AP5">
        <v>161002000</v>
      </c>
      <c r="AQ5" t="s">
        <v>1190</v>
      </c>
    </row>
    <row r="6" spans="1:43" x14ac:dyDescent="0.2">
      <c r="A6" t="s">
        <v>657</v>
      </c>
      <c r="C6" t="s">
        <v>644</v>
      </c>
      <c r="E6" t="s">
        <v>389</v>
      </c>
      <c r="G6" t="s">
        <v>389</v>
      </c>
      <c r="H6" t="s">
        <v>940</v>
      </c>
      <c r="M6" t="s">
        <v>731</v>
      </c>
      <c r="N6" t="s">
        <v>651</v>
      </c>
      <c r="P6" t="s">
        <v>207</v>
      </c>
      <c r="Q6" t="s">
        <v>809</v>
      </c>
      <c r="R6" t="s">
        <v>1008</v>
      </c>
      <c r="S6">
        <v>346</v>
      </c>
      <c r="T6">
        <v>0</v>
      </c>
      <c r="U6">
        <v>0</v>
      </c>
      <c r="V6">
        <v>0</v>
      </c>
      <c r="X6" t="s">
        <v>959</v>
      </c>
      <c r="Y6" t="s">
        <v>703</v>
      </c>
      <c r="AG6" t="s">
        <v>705</v>
      </c>
      <c r="AI6" t="s">
        <v>705</v>
      </c>
      <c r="AJ6" t="s">
        <v>708</v>
      </c>
      <c r="AN6" t="s">
        <v>1186</v>
      </c>
      <c r="AP6">
        <v>161003000</v>
      </c>
      <c r="AQ6" t="s">
        <v>1191</v>
      </c>
    </row>
    <row r="7" spans="1:43" x14ac:dyDescent="0.2">
      <c r="C7" t="s">
        <v>645</v>
      </c>
      <c r="E7" t="s">
        <v>390</v>
      </c>
      <c r="G7" t="s">
        <v>390</v>
      </c>
      <c r="H7" t="s">
        <v>940</v>
      </c>
      <c r="M7" t="s">
        <v>733</v>
      </c>
      <c r="N7" t="s">
        <v>652</v>
      </c>
      <c r="P7" t="s">
        <v>209</v>
      </c>
      <c r="Q7" t="s">
        <v>810</v>
      </c>
      <c r="R7" t="s">
        <v>1009</v>
      </c>
      <c r="S7">
        <v>351</v>
      </c>
      <c r="T7">
        <v>0</v>
      </c>
      <c r="U7">
        <v>0</v>
      </c>
      <c r="V7">
        <v>0</v>
      </c>
      <c r="X7" t="s">
        <v>961</v>
      </c>
      <c r="Y7" t="s">
        <v>703</v>
      </c>
      <c r="AG7" t="s">
        <v>694</v>
      </c>
      <c r="AI7" t="s">
        <v>694</v>
      </c>
      <c r="AJ7" t="s">
        <v>708</v>
      </c>
      <c r="AP7">
        <v>161004000</v>
      </c>
      <c r="AQ7" t="s">
        <v>1192</v>
      </c>
    </row>
    <row r="8" spans="1:43" x14ac:dyDescent="0.2">
      <c r="C8" t="s">
        <v>646</v>
      </c>
      <c r="E8" t="s">
        <v>391</v>
      </c>
      <c r="G8" t="s">
        <v>391</v>
      </c>
      <c r="H8" t="s">
        <v>940</v>
      </c>
      <c r="M8" t="s">
        <v>735</v>
      </c>
      <c r="N8" t="s">
        <v>652</v>
      </c>
      <c r="P8" t="s">
        <v>210</v>
      </c>
      <c r="Q8" t="s">
        <v>811</v>
      </c>
      <c r="R8" t="s">
        <v>1011</v>
      </c>
      <c r="S8">
        <v>355</v>
      </c>
      <c r="T8">
        <v>0</v>
      </c>
      <c r="U8">
        <v>0</v>
      </c>
      <c r="V8">
        <v>0</v>
      </c>
      <c r="X8" t="s">
        <v>960</v>
      </c>
      <c r="Y8" t="s">
        <v>703</v>
      </c>
      <c r="AG8" t="s">
        <v>706</v>
      </c>
      <c r="AI8" t="s">
        <v>706</v>
      </c>
      <c r="AJ8" t="s">
        <v>708</v>
      </c>
      <c r="AP8">
        <v>161005000</v>
      </c>
      <c r="AQ8" t="s">
        <v>1193</v>
      </c>
    </row>
    <row r="9" spans="1:43" x14ac:dyDescent="0.2">
      <c r="C9" t="s">
        <v>647</v>
      </c>
      <c r="E9" t="s">
        <v>392</v>
      </c>
      <c r="G9" t="s">
        <v>392</v>
      </c>
      <c r="H9" t="s">
        <v>940</v>
      </c>
      <c r="M9" t="s">
        <v>708</v>
      </c>
      <c r="N9" t="s">
        <v>652</v>
      </c>
      <c r="P9" t="s">
        <v>211</v>
      </c>
      <c r="Q9" t="s">
        <v>812</v>
      </c>
      <c r="R9" t="s">
        <v>1012</v>
      </c>
      <c r="S9">
        <v>359</v>
      </c>
      <c r="T9">
        <v>0</v>
      </c>
      <c r="U9">
        <v>0</v>
      </c>
      <c r="V9">
        <v>0</v>
      </c>
      <c r="X9" t="s">
        <v>945</v>
      </c>
      <c r="Y9" t="s">
        <v>686</v>
      </c>
      <c r="AG9" t="s">
        <v>695</v>
      </c>
      <c r="AI9" t="s">
        <v>695</v>
      </c>
      <c r="AJ9" t="s">
        <v>708</v>
      </c>
      <c r="AP9">
        <v>161006000</v>
      </c>
      <c r="AQ9" t="s">
        <v>1194</v>
      </c>
    </row>
    <row r="10" spans="1:43" x14ac:dyDescent="0.2">
      <c r="E10" t="s">
        <v>393</v>
      </c>
      <c r="G10" t="s">
        <v>393</v>
      </c>
      <c r="H10" t="s">
        <v>940</v>
      </c>
      <c r="M10" t="s">
        <v>709</v>
      </c>
      <c r="N10" t="s">
        <v>652</v>
      </c>
      <c r="P10" t="s">
        <v>214</v>
      </c>
      <c r="Q10" t="s">
        <v>813</v>
      </c>
      <c r="R10" t="s">
        <v>1015</v>
      </c>
      <c r="S10">
        <v>365</v>
      </c>
      <c r="T10">
        <v>0</v>
      </c>
      <c r="U10">
        <v>0</v>
      </c>
      <c r="V10">
        <v>0</v>
      </c>
      <c r="X10" t="s">
        <v>946</v>
      </c>
      <c r="Y10" t="s">
        <v>686</v>
      </c>
      <c r="AG10" t="s">
        <v>689</v>
      </c>
      <c r="AI10" t="s">
        <v>670</v>
      </c>
      <c r="AJ10" t="s">
        <v>709</v>
      </c>
      <c r="AP10">
        <v>161007000</v>
      </c>
      <c r="AQ10" t="s">
        <v>1195</v>
      </c>
    </row>
    <row r="11" spans="1:43" x14ac:dyDescent="0.2">
      <c r="E11" t="s">
        <v>394</v>
      </c>
      <c r="G11" t="s">
        <v>394</v>
      </c>
      <c r="H11" t="s">
        <v>941</v>
      </c>
      <c r="M11" t="s">
        <v>738</v>
      </c>
      <c r="N11" t="s">
        <v>652</v>
      </c>
      <c r="P11" t="s">
        <v>215</v>
      </c>
      <c r="Q11" t="s">
        <v>814</v>
      </c>
      <c r="R11" t="s">
        <v>1019</v>
      </c>
      <c r="S11">
        <v>369</v>
      </c>
      <c r="T11">
        <v>0</v>
      </c>
      <c r="U11">
        <v>0</v>
      </c>
      <c r="V11">
        <v>0</v>
      </c>
      <c r="X11" t="s">
        <v>953</v>
      </c>
      <c r="Y11" t="s">
        <v>686</v>
      </c>
      <c r="AG11" t="s">
        <v>670</v>
      </c>
      <c r="AI11" t="s">
        <v>671</v>
      </c>
      <c r="AJ11" t="s">
        <v>738</v>
      </c>
      <c r="AP11">
        <v>161008000</v>
      </c>
      <c r="AQ11" t="s">
        <v>1196</v>
      </c>
    </row>
    <row r="12" spans="1:43" x14ac:dyDescent="0.2">
      <c r="E12" t="s">
        <v>395</v>
      </c>
      <c r="G12" t="s">
        <v>395</v>
      </c>
      <c r="H12" t="s">
        <v>940</v>
      </c>
      <c r="M12" t="s">
        <v>741</v>
      </c>
      <c r="N12" t="s">
        <v>652</v>
      </c>
      <c r="P12" t="s">
        <v>216</v>
      </c>
      <c r="Q12" t="s">
        <v>815</v>
      </c>
      <c r="R12" t="s">
        <v>1018</v>
      </c>
      <c r="S12">
        <v>373</v>
      </c>
      <c r="T12">
        <v>0</v>
      </c>
      <c r="U12">
        <v>0</v>
      </c>
      <c r="V12">
        <v>0</v>
      </c>
      <c r="X12" t="s">
        <v>943</v>
      </c>
      <c r="Y12" t="s">
        <v>686</v>
      </c>
      <c r="AG12" t="s">
        <v>671</v>
      </c>
      <c r="AI12" t="s">
        <v>672</v>
      </c>
      <c r="AJ12" t="s">
        <v>738</v>
      </c>
      <c r="AP12">
        <v>161009000</v>
      </c>
      <c r="AQ12" t="s">
        <v>1197</v>
      </c>
    </row>
    <row r="13" spans="1:43" x14ac:dyDescent="0.2">
      <c r="E13" t="s">
        <v>396</v>
      </c>
      <c r="G13" t="s">
        <v>396</v>
      </c>
      <c r="H13" t="s">
        <v>940</v>
      </c>
      <c r="M13" t="s">
        <v>744</v>
      </c>
      <c r="N13" t="s">
        <v>652</v>
      </c>
      <c r="P13" t="s">
        <v>218</v>
      </c>
      <c r="Q13" t="s">
        <v>816</v>
      </c>
      <c r="R13" t="s">
        <v>1016</v>
      </c>
      <c r="S13">
        <v>381</v>
      </c>
      <c r="T13">
        <v>0</v>
      </c>
      <c r="U13">
        <v>0</v>
      </c>
      <c r="V13">
        <v>0</v>
      </c>
      <c r="X13" t="s">
        <v>947</v>
      </c>
      <c r="Y13" t="s">
        <v>686</v>
      </c>
      <c r="AG13" t="s">
        <v>672</v>
      </c>
      <c r="AI13" t="s">
        <v>675</v>
      </c>
      <c r="AJ13" t="s">
        <v>742</v>
      </c>
      <c r="AP13">
        <v>161010000</v>
      </c>
      <c r="AQ13" t="s">
        <v>1198</v>
      </c>
    </row>
    <row r="14" spans="1:43" x14ac:dyDescent="0.2">
      <c r="E14" t="s">
        <v>397</v>
      </c>
      <c r="G14" t="s">
        <v>397</v>
      </c>
      <c r="H14" t="s">
        <v>942</v>
      </c>
      <c r="M14" t="s">
        <v>746</v>
      </c>
      <c r="N14" t="s">
        <v>652</v>
      </c>
      <c r="P14" t="s">
        <v>219</v>
      </c>
      <c r="Q14" t="s">
        <v>817</v>
      </c>
      <c r="R14" t="s">
        <v>1017</v>
      </c>
      <c r="S14">
        <v>385</v>
      </c>
      <c r="T14">
        <v>0</v>
      </c>
      <c r="U14">
        <v>0</v>
      </c>
      <c r="V14">
        <v>0</v>
      </c>
      <c r="X14" t="s">
        <v>941</v>
      </c>
      <c r="Y14" t="s">
        <v>686</v>
      </c>
      <c r="AG14" t="s">
        <v>675</v>
      </c>
      <c r="AI14" t="s">
        <v>676</v>
      </c>
      <c r="AJ14" t="s">
        <v>742</v>
      </c>
      <c r="AP14">
        <v>161011000</v>
      </c>
      <c r="AQ14" t="s">
        <v>1199</v>
      </c>
    </row>
    <row r="15" spans="1:43" x14ac:dyDescent="0.2">
      <c r="E15" t="s">
        <v>398</v>
      </c>
      <c r="G15" t="s">
        <v>398</v>
      </c>
      <c r="H15" t="s">
        <v>940</v>
      </c>
      <c r="M15" t="s">
        <v>742</v>
      </c>
      <c r="N15" t="s">
        <v>652</v>
      </c>
      <c r="P15" t="s">
        <v>222</v>
      </c>
      <c r="Q15" t="s">
        <v>818</v>
      </c>
      <c r="R15" t="s">
        <v>1024</v>
      </c>
      <c r="S15">
        <v>394</v>
      </c>
      <c r="T15">
        <v>0</v>
      </c>
      <c r="U15">
        <v>0</v>
      </c>
      <c r="V15">
        <v>0</v>
      </c>
      <c r="X15" t="s">
        <v>940</v>
      </c>
      <c r="Y15" t="s">
        <v>686</v>
      </c>
      <c r="AG15" t="s">
        <v>676</v>
      </c>
      <c r="AI15" t="s">
        <v>684</v>
      </c>
      <c r="AJ15" t="s">
        <v>742</v>
      </c>
      <c r="AP15">
        <v>161012000</v>
      </c>
      <c r="AQ15" t="s">
        <v>1200</v>
      </c>
    </row>
    <row r="16" spans="1:43" x14ac:dyDescent="0.2">
      <c r="E16" t="s">
        <v>399</v>
      </c>
      <c r="G16" t="s">
        <v>399</v>
      </c>
      <c r="H16" t="s">
        <v>943</v>
      </c>
      <c r="M16" t="s">
        <v>712</v>
      </c>
      <c r="N16" t="s">
        <v>652</v>
      </c>
      <c r="P16" t="s">
        <v>223</v>
      </c>
      <c r="Q16" t="s">
        <v>819</v>
      </c>
      <c r="R16" t="s">
        <v>1023</v>
      </c>
      <c r="S16">
        <v>398</v>
      </c>
      <c r="T16">
        <v>0</v>
      </c>
      <c r="U16">
        <v>0</v>
      </c>
      <c r="V16">
        <v>0</v>
      </c>
      <c r="X16" t="s">
        <v>942</v>
      </c>
      <c r="Y16" t="s">
        <v>749</v>
      </c>
      <c r="AG16" t="s">
        <v>684</v>
      </c>
      <c r="AI16" t="s">
        <v>697</v>
      </c>
      <c r="AJ16" t="s">
        <v>712</v>
      </c>
      <c r="AP16">
        <v>161013000</v>
      </c>
      <c r="AQ16" t="s">
        <v>1201</v>
      </c>
    </row>
    <row r="17" spans="5:43" x14ac:dyDescent="0.2">
      <c r="E17" t="s">
        <v>400</v>
      </c>
      <c r="G17" t="s">
        <v>400</v>
      </c>
      <c r="H17" t="s">
        <v>940</v>
      </c>
      <c r="M17" t="s">
        <v>751</v>
      </c>
      <c r="N17" t="s">
        <v>652</v>
      </c>
      <c r="P17" t="s">
        <v>224</v>
      </c>
      <c r="Q17" t="s">
        <v>820</v>
      </c>
      <c r="R17" t="s">
        <v>1022</v>
      </c>
      <c r="S17">
        <v>402</v>
      </c>
      <c r="T17">
        <v>0</v>
      </c>
      <c r="U17">
        <v>0</v>
      </c>
      <c r="V17">
        <v>0</v>
      </c>
      <c r="X17" t="s">
        <v>964</v>
      </c>
      <c r="Y17" t="s">
        <v>704</v>
      </c>
      <c r="AG17" t="s">
        <v>688</v>
      </c>
      <c r="AI17" t="s">
        <v>698</v>
      </c>
      <c r="AJ17" t="s">
        <v>712</v>
      </c>
      <c r="AP17">
        <v>161014000</v>
      </c>
      <c r="AQ17" t="s">
        <v>1202</v>
      </c>
    </row>
    <row r="18" spans="5:43" x14ac:dyDescent="0.2">
      <c r="E18" t="s">
        <v>401</v>
      </c>
      <c r="G18" t="s">
        <v>401</v>
      </c>
      <c r="H18" t="s">
        <v>944</v>
      </c>
      <c r="M18" t="s">
        <v>711</v>
      </c>
      <c r="N18" t="s">
        <v>652</v>
      </c>
      <c r="P18" t="s">
        <v>226</v>
      </c>
      <c r="Q18" t="s">
        <v>821</v>
      </c>
      <c r="R18" t="s">
        <v>1026</v>
      </c>
      <c r="S18">
        <v>410</v>
      </c>
      <c r="T18">
        <v>0</v>
      </c>
      <c r="U18">
        <v>0</v>
      </c>
      <c r="V18">
        <v>0</v>
      </c>
      <c r="X18" t="s">
        <v>963</v>
      </c>
      <c r="Y18" t="s">
        <v>704</v>
      </c>
      <c r="AG18" t="s">
        <v>797</v>
      </c>
      <c r="AI18" t="s">
        <v>752</v>
      </c>
      <c r="AJ18" t="s">
        <v>712</v>
      </c>
      <c r="AP18">
        <v>161015000</v>
      </c>
      <c r="AQ18" t="s">
        <v>1203</v>
      </c>
    </row>
    <row r="19" spans="5:43" x14ac:dyDescent="0.2">
      <c r="E19" t="s">
        <v>402</v>
      </c>
      <c r="G19" t="s">
        <v>402</v>
      </c>
      <c r="H19" t="s">
        <v>945</v>
      </c>
      <c r="M19" t="s">
        <v>710</v>
      </c>
      <c r="N19" t="s">
        <v>652</v>
      </c>
      <c r="P19" t="s">
        <v>229</v>
      </c>
      <c r="Q19" t="s">
        <v>822</v>
      </c>
      <c r="R19" t="s">
        <v>1033</v>
      </c>
      <c r="S19">
        <v>419</v>
      </c>
      <c r="T19">
        <v>0</v>
      </c>
      <c r="U19">
        <v>0</v>
      </c>
      <c r="V19">
        <v>0</v>
      </c>
      <c r="X19" t="s">
        <v>1135</v>
      </c>
      <c r="Y19" t="s">
        <v>755</v>
      </c>
      <c r="AG19" t="s">
        <v>697</v>
      </c>
      <c r="AI19" t="s">
        <v>696</v>
      </c>
      <c r="AJ19" t="s">
        <v>710</v>
      </c>
      <c r="AP19">
        <v>161016000</v>
      </c>
      <c r="AQ19" t="s">
        <v>1204</v>
      </c>
    </row>
    <row r="20" spans="5:43" x14ac:dyDescent="0.2">
      <c r="E20" t="s">
        <v>403</v>
      </c>
      <c r="G20" t="s">
        <v>403</v>
      </c>
      <c r="H20" t="s">
        <v>946</v>
      </c>
      <c r="M20" t="s">
        <v>758</v>
      </c>
      <c r="N20" t="s">
        <v>652</v>
      </c>
      <c r="P20" t="s">
        <v>230</v>
      </c>
      <c r="Q20" t="s">
        <v>823</v>
      </c>
      <c r="R20" t="s">
        <v>1034</v>
      </c>
      <c r="S20">
        <v>423</v>
      </c>
      <c r="T20">
        <v>0</v>
      </c>
      <c r="U20">
        <v>0</v>
      </c>
      <c r="V20">
        <v>0</v>
      </c>
      <c r="X20" t="s">
        <v>1136</v>
      </c>
      <c r="Y20" t="s">
        <v>757</v>
      </c>
      <c r="AG20" t="s">
        <v>698</v>
      </c>
      <c r="AI20" t="s">
        <v>678</v>
      </c>
      <c r="AJ20" t="s">
        <v>710</v>
      </c>
      <c r="AP20">
        <v>161017000</v>
      </c>
      <c r="AQ20" t="s">
        <v>1205</v>
      </c>
    </row>
    <row r="21" spans="5:43" x14ac:dyDescent="0.2">
      <c r="E21" t="s">
        <v>404</v>
      </c>
      <c r="G21" t="s">
        <v>404</v>
      </c>
      <c r="H21" t="s">
        <v>947</v>
      </c>
      <c r="M21" t="s">
        <v>760</v>
      </c>
      <c r="N21" t="s">
        <v>652</v>
      </c>
      <c r="P21" t="s">
        <v>231</v>
      </c>
      <c r="Q21" t="s">
        <v>824</v>
      </c>
      <c r="R21" t="s">
        <v>1032</v>
      </c>
      <c r="S21">
        <v>427</v>
      </c>
      <c r="T21">
        <v>0</v>
      </c>
      <c r="U21">
        <v>0</v>
      </c>
      <c r="V21">
        <v>0</v>
      </c>
      <c r="X21" t="s">
        <v>1137</v>
      </c>
      <c r="Y21" t="s">
        <v>757</v>
      </c>
      <c r="AG21" t="s">
        <v>752</v>
      </c>
      <c r="AI21" t="s">
        <v>700</v>
      </c>
      <c r="AJ21" t="s">
        <v>710</v>
      </c>
      <c r="AP21">
        <v>161018000</v>
      </c>
      <c r="AQ21" t="s">
        <v>1206</v>
      </c>
    </row>
    <row r="22" spans="5:43" x14ac:dyDescent="0.2">
      <c r="E22" t="s">
        <v>405</v>
      </c>
      <c r="G22" t="s">
        <v>405</v>
      </c>
      <c r="H22" t="s">
        <v>948</v>
      </c>
      <c r="M22" t="s">
        <v>762</v>
      </c>
      <c r="N22" t="s">
        <v>652</v>
      </c>
      <c r="P22" t="s">
        <v>232</v>
      </c>
      <c r="Q22" t="s">
        <v>825</v>
      </c>
      <c r="R22" t="s">
        <v>1035</v>
      </c>
      <c r="S22">
        <v>431</v>
      </c>
      <c r="T22">
        <v>0</v>
      </c>
      <c r="U22">
        <v>0</v>
      </c>
      <c r="V22">
        <v>0</v>
      </c>
      <c r="X22" t="s">
        <v>1138</v>
      </c>
      <c r="Y22" t="s">
        <v>757</v>
      </c>
      <c r="AG22" t="s">
        <v>696</v>
      </c>
      <c r="AI22" t="s">
        <v>679</v>
      </c>
      <c r="AJ22" t="s">
        <v>710</v>
      </c>
      <c r="AP22">
        <v>161019000</v>
      </c>
      <c r="AQ22" t="s">
        <v>1207</v>
      </c>
    </row>
    <row r="23" spans="5:43" x14ac:dyDescent="0.2">
      <c r="E23" t="s">
        <v>406</v>
      </c>
      <c r="G23" t="s">
        <v>406</v>
      </c>
      <c r="H23" t="s">
        <v>949</v>
      </c>
      <c r="M23" t="s">
        <v>764</v>
      </c>
      <c r="N23" t="s">
        <v>652</v>
      </c>
      <c r="P23" t="s">
        <v>233</v>
      </c>
      <c r="Q23" t="s">
        <v>826</v>
      </c>
      <c r="R23" t="s">
        <v>1036</v>
      </c>
      <c r="S23">
        <v>435</v>
      </c>
      <c r="T23">
        <v>0</v>
      </c>
      <c r="U23">
        <v>0</v>
      </c>
      <c r="V23">
        <v>0</v>
      </c>
      <c r="X23" t="s">
        <v>952</v>
      </c>
      <c r="Y23" t="s">
        <v>757</v>
      </c>
      <c r="AG23" t="s">
        <v>678</v>
      </c>
      <c r="AI23" t="s">
        <v>701</v>
      </c>
      <c r="AJ23" t="s">
        <v>710</v>
      </c>
      <c r="AP23">
        <v>161020000</v>
      </c>
      <c r="AQ23" t="s">
        <v>1208</v>
      </c>
    </row>
    <row r="24" spans="5:43" x14ac:dyDescent="0.2">
      <c r="E24" t="s">
        <v>407</v>
      </c>
      <c r="G24" t="s">
        <v>407</v>
      </c>
      <c r="H24" t="s">
        <v>950</v>
      </c>
      <c r="M24" t="s">
        <v>713</v>
      </c>
      <c r="N24" t="s">
        <v>652</v>
      </c>
      <c r="P24" t="s">
        <v>234</v>
      </c>
      <c r="Q24" t="s">
        <v>827</v>
      </c>
      <c r="R24" t="s">
        <v>1037</v>
      </c>
      <c r="S24">
        <v>439</v>
      </c>
      <c r="T24">
        <v>0</v>
      </c>
      <c r="U24">
        <v>0</v>
      </c>
      <c r="V24">
        <v>0</v>
      </c>
      <c r="X24" t="s">
        <v>957</v>
      </c>
      <c r="Y24" t="s">
        <v>757</v>
      </c>
      <c r="AG24" t="s">
        <v>700</v>
      </c>
      <c r="AI24" t="s">
        <v>680</v>
      </c>
      <c r="AJ24" t="s">
        <v>710</v>
      </c>
      <c r="AP24">
        <v>161021000</v>
      </c>
      <c r="AQ24" t="s">
        <v>1209</v>
      </c>
    </row>
    <row r="25" spans="5:43" x14ac:dyDescent="0.2">
      <c r="E25" t="s">
        <v>408</v>
      </c>
      <c r="G25" t="s">
        <v>408</v>
      </c>
      <c r="H25" t="s">
        <v>951</v>
      </c>
      <c r="M25" t="s">
        <v>768</v>
      </c>
      <c r="N25" t="s">
        <v>652</v>
      </c>
      <c r="P25" t="s">
        <v>235</v>
      </c>
      <c r="Q25" t="s">
        <v>828</v>
      </c>
      <c r="R25" t="s">
        <v>1031</v>
      </c>
      <c r="S25">
        <v>443</v>
      </c>
      <c r="T25">
        <v>0</v>
      </c>
      <c r="U25">
        <v>0</v>
      </c>
      <c r="V25">
        <v>0</v>
      </c>
      <c r="X25" t="s">
        <v>950</v>
      </c>
      <c r="Y25" t="s">
        <v>757</v>
      </c>
      <c r="AG25" t="s">
        <v>679</v>
      </c>
      <c r="AI25" t="s">
        <v>766</v>
      </c>
      <c r="AJ25" t="s">
        <v>710</v>
      </c>
      <c r="AP25">
        <v>161022000</v>
      </c>
      <c r="AQ25" t="s">
        <v>1210</v>
      </c>
    </row>
    <row r="26" spans="5:43" x14ac:dyDescent="0.2">
      <c r="E26" t="s">
        <v>409</v>
      </c>
      <c r="G26" t="s">
        <v>409</v>
      </c>
      <c r="H26" t="s">
        <v>952</v>
      </c>
      <c r="M26" t="s">
        <v>771</v>
      </c>
      <c r="N26" t="s">
        <v>652</v>
      </c>
      <c r="P26" t="s">
        <v>236</v>
      </c>
      <c r="Q26" t="s">
        <v>829</v>
      </c>
      <c r="R26" t="s">
        <v>1038</v>
      </c>
      <c r="S26">
        <v>447</v>
      </c>
      <c r="T26">
        <v>0</v>
      </c>
      <c r="U26">
        <v>0</v>
      </c>
      <c r="V26">
        <v>0</v>
      </c>
      <c r="X26" t="s">
        <v>955</v>
      </c>
      <c r="Y26" t="s">
        <v>757</v>
      </c>
      <c r="AG26" t="s">
        <v>701</v>
      </c>
      <c r="AI26" t="s">
        <v>769</v>
      </c>
      <c r="AJ26" t="s">
        <v>733</v>
      </c>
      <c r="AP26">
        <v>161023000</v>
      </c>
      <c r="AQ26" t="s">
        <v>1211</v>
      </c>
    </row>
    <row r="27" spans="5:43" x14ac:dyDescent="0.2">
      <c r="E27" t="s">
        <v>410</v>
      </c>
      <c r="G27" t="s">
        <v>410</v>
      </c>
      <c r="H27" t="s">
        <v>953</v>
      </c>
      <c r="M27" t="s">
        <v>774</v>
      </c>
      <c r="N27" t="s">
        <v>652</v>
      </c>
      <c r="P27" t="s">
        <v>237</v>
      </c>
      <c r="Q27" t="s">
        <v>830</v>
      </c>
      <c r="R27" t="s">
        <v>1029</v>
      </c>
      <c r="S27">
        <v>451</v>
      </c>
      <c r="T27">
        <v>0</v>
      </c>
      <c r="U27">
        <v>0</v>
      </c>
      <c r="V27">
        <v>0</v>
      </c>
      <c r="X27" t="s">
        <v>956</v>
      </c>
      <c r="Y27" t="s">
        <v>757</v>
      </c>
      <c r="AG27" t="s">
        <v>680</v>
      </c>
      <c r="AI27" t="s">
        <v>669</v>
      </c>
      <c r="AJ27" t="s">
        <v>735</v>
      </c>
      <c r="AP27">
        <v>161024000</v>
      </c>
      <c r="AQ27" t="s">
        <v>1212</v>
      </c>
    </row>
    <row r="28" spans="5:43" x14ac:dyDescent="0.2">
      <c r="E28" t="s">
        <v>411</v>
      </c>
      <c r="G28" t="s">
        <v>411</v>
      </c>
      <c r="H28" t="s">
        <v>954</v>
      </c>
      <c r="P28" t="s">
        <v>238</v>
      </c>
      <c r="Q28" t="s">
        <v>831</v>
      </c>
      <c r="R28" t="s">
        <v>1039</v>
      </c>
      <c r="S28">
        <v>455</v>
      </c>
      <c r="T28">
        <v>0</v>
      </c>
      <c r="U28">
        <v>0</v>
      </c>
      <c r="V28">
        <v>0</v>
      </c>
      <c r="X28" t="s">
        <v>954</v>
      </c>
      <c r="Y28" t="s">
        <v>757</v>
      </c>
      <c r="AG28" t="s">
        <v>766</v>
      </c>
      <c r="AI28" t="s">
        <v>683</v>
      </c>
      <c r="AJ28" t="s">
        <v>721</v>
      </c>
      <c r="AP28">
        <v>161025000</v>
      </c>
      <c r="AQ28" t="s">
        <v>1213</v>
      </c>
    </row>
    <row r="29" spans="5:43" x14ac:dyDescent="0.2">
      <c r="E29" t="s">
        <v>412</v>
      </c>
      <c r="G29" t="s">
        <v>412</v>
      </c>
      <c r="H29" t="s">
        <v>955</v>
      </c>
      <c r="P29" t="s">
        <v>239</v>
      </c>
      <c r="Q29" t="s">
        <v>832</v>
      </c>
      <c r="R29" t="s">
        <v>1030</v>
      </c>
      <c r="S29">
        <v>459</v>
      </c>
      <c r="T29">
        <v>0</v>
      </c>
      <c r="U29">
        <v>0</v>
      </c>
      <c r="V29">
        <v>0</v>
      </c>
      <c r="X29" t="s">
        <v>1139</v>
      </c>
      <c r="Y29" t="s">
        <v>683</v>
      </c>
      <c r="AG29" t="s">
        <v>769</v>
      </c>
      <c r="AI29" t="s">
        <v>749</v>
      </c>
      <c r="AJ29" t="s">
        <v>724</v>
      </c>
      <c r="AP29">
        <v>161026000</v>
      </c>
      <c r="AQ29" t="s">
        <v>1214</v>
      </c>
    </row>
    <row r="30" spans="5:43" x14ac:dyDescent="0.2">
      <c r="E30" t="s">
        <v>413</v>
      </c>
      <c r="G30" t="s">
        <v>413</v>
      </c>
      <c r="H30" t="s">
        <v>956</v>
      </c>
      <c r="P30" t="s">
        <v>240</v>
      </c>
      <c r="Q30" t="s">
        <v>833</v>
      </c>
      <c r="R30" t="s">
        <v>1126</v>
      </c>
      <c r="S30">
        <v>0</v>
      </c>
      <c r="T30">
        <v>0</v>
      </c>
      <c r="U30">
        <v>0</v>
      </c>
      <c r="V30">
        <v>0</v>
      </c>
      <c r="X30" t="s">
        <v>1140</v>
      </c>
      <c r="Y30" t="s">
        <v>703</v>
      </c>
      <c r="AG30" t="s">
        <v>669</v>
      </c>
      <c r="AI30" t="s">
        <v>686</v>
      </c>
      <c r="AJ30" t="s">
        <v>724</v>
      </c>
      <c r="AP30">
        <v>161027000</v>
      </c>
      <c r="AQ30" t="s">
        <v>1215</v>
      </c>
    </row>
    <row r="31" spans="5:43" x14ac:dyDescent="0.2">
      <c r="E31" t="s">
        <v>414</v>
      </c>
      <c r="G31" t="s">
        <v>414</v>
      </c>
      <c r="H31" t="s">
        <v>957</v>
      </c>
      <c r="P31" t="s">
        <v>241</v>
      </c>
      <c r="Q31" t="s">
        <v>834</v>
      </c>
      <c r="R31" t="s">
        <v>1059</v>
      </c>
      <c r="S31">
        <v>463</v>
      </c>
      <c r="T31">
        <v>0</v>
      </c>
      <c r="U31">
        <v>0</v>
      </c>
      <c r="V31">
        <v>0</v>
      </c>
      <c r="X31" t="s">
        <v>1141</v>
      </c>
      <c r="Y31" t="s">
        <v>686</v>
      </c>
      <c r="AG31" t="s">
        <v>683</v>
      </c>
      <c r="AI31" t="s">
        <v>703</v>
      </c>
      <c r="AJ31" t="s">
        <v>727</v>
      </c>
      <c r="AP31">
        <v>161028000</v>
      </c>
      <c r="AQ31" t="s">
        <v>1216</v>
      </c>
    </row>
    <row r="32" spans="5:43" x14ac:dyDescent="0.2">
      <c r="E32" t="s">
        <v>415</v>
      </c>
      <c r="G32" t="s">
        <v>415</v>
      </c>
      <c r="H32" t="s">
        <v>954</v>
      </c>
      <c r="P32" t="s">
        <v>242</v>
      </c>
      <c r="Q32" t="s">
        <v>835</v>
      </c>
      <c r="R32" t="s">
        <v>1040</v>
      </c>
      <c r="S32">
        <v>467</v>
      </c>
      <c r="T32">
        <v>0</v>
      </c>
      <c r="U32">
        <v>0</v>
      </c>
      <c r="V32">
        <v>0</v>
      </c>
      <c r="X32" t="s">
        <v>1142</v>
      </c>
      <c r="Y32" t="s">
        <v>749</v>
      </c>
      <c r="AG32" t="s">
        <v>749</v>
      </c>
      <c r="AI32" t="s">
        <v>704</v>
      </c>
      <c r="AJ32" t="s">
        <v>729</v>
      </c>
      <c r="AP32">
        <v>161100000</v>
      </c>
      <c r="AQ32" t="s">
        <v>1217</v>
      </c>
    </row>
    <row r="33" spans="5:43" x14ac:dyDescent="0.2">
      <c r="E33" t="s">
        <v>416</v>
      </c>
      <c r="G33" t="s">
        <v>416</v>
      </c>
      <c r="H33" t="s">
        <v>958</v>
      </c>
      <c r="P33" t="s">
        <v>244</v>
      </c>
      <c r="Q33" t="s">
        <v>836</v>
      </c>
      <c r="R33" t="s">
        <v>1042</v>
      </c>
      <c r="S33">
        <v>472</v>
      </c>
      <c r="T33">
        <v>0</v>
      </c>
      <c r="U33">
        <v>0</v>
      </c>
      <c r="V33">
        <v>0</v>
      </c>
      <c r="X33" t="s">
        <v>1143</v>
      </c>
      <c r="Y33" t="s">
        <v>704</v>
      </c>
      <c r="AG33" t="s">
        <v>686</v>
      </c>
      <c r="AI33" t="s">
        <v>757</v>
      </c>
      <c r="AJ33" t="s">
        <v>731</v>
      </c>
      <c r="AP33">
        <v>161200000</v>
      </c>
      <c r="AQ33" t="s">
        <v>1218</v>
      </c>
    </row>
    <row r="34" spans="5:43" x14ac:dyDescent="0.2">
      <c r="E34" t="s">
        <v>417</v>
      </c>
      <c r="G34" t="s">
        <v>417</v>
      </c>
      <c r="H34" t="s">
        <v>959</v>
      </c>
      <c r="P34" t="s">
        <v>245</v>
      </c>
      <c r="Q34" t="s">
        <v>837</v>
      </c>
      <c r="R34" t="s">
        <v>1043</v>
      </c>
      <c r="S34">
        <v>476</v>
      </c>
      <c r="T34">
        <v>0</v>
      </c>
      <c r="U34">
        <v>0</v>
      </c>
      <c r="V34">
        <v>0</v>
      </c>
      <c r="X34" t="s">
        <v>1144</v>
      </c>
      <c r="Y34" t="s">
        <v>757</v>
      </c>
      <c r="AG34" t="s">
        <v>703</v>
      </c>
      <c r="AI34" t="s">
        <v>668</v>
      </c>
      <c r="AJ34" t="s">
        <v>733</v>
      </c>
      <c r="AP34">
        <v>161300000</v>
      </c>
      <c r="AQ34" t="s">
        <v>1219</v>
      </c>
    </row>
    <row r="35" spans="5:43" x14ac:dyDescent="0.2">
      <c r="E35" t="s">
        <v>418</v>
      </c>
      <c r="G35" t="s">
        <v>418</v>
      </c>
      <c r="H35" t="s">
        <v>960</v>
      </c>
      <c r="P35" t="s">
        <v>246</v>
      </c>
      <c r="Q35" t="s">
        <v>838</v>
      </c>
      <c r="R35" t="s">
        <v>1044</v>
      </c>
      <c r="S35">
        <v>480</v>
      </c>
      <c r="T35">
        <v>0</v>
      </c>
      <c r="U35">
        <v>0</v>
      </c>
      <c r="V35">
        <v>0</v>
      </c>
      <c r="X35" t="s">
        <v>970</v>
      </c>
      <c r="Y35" t="s">
        <v>668</v>
      </c>
      <c r="AG35" t="s">
        <v>704</v>
      </c>
      <c r="AI35" t="s">
        <v>682</v>
      </c>
      <c r="AJ35" t="s">
        <v>741</v>
      </c>
      <c r="AP35">
        <v>161400000</v>
      </c>
      <c r="AQ35" t="s">
        <v>1220</v>
      </c>
    </row>
    <row r="36" spans="5:43" x14ac:dyDescent="0.2">
      <c r="E36" t="s">
        <v>419</v>
      </c>
      <c r="G36" t="s">
        <v>419</v>
      </c>
      <c r="H36" t="s">
        <v>961</v>
      </c>
      <c r="P36" t="s">
        <v>247</v>
      </c>
      <c r="Q36" t="s">
        <v>839</v>
      </c>
      <c r="R36" t="s">
        <v>1045</v>
      </c>
      <c r="S36">
        <v>484</v>
      </c>
      <c r="T36">
        <v>0</v>
      </c>
      <c r="U36">
        <v>0</v>
      </c>
      <c r="V36">
        <v>0</v>
      </c>
      <c r="X36" t="s">
        <v>971</v>
      </c>
      <c r="Y36" t="s">
        <v>668</v>
      </c>
      <c r="AG36" t="s">
        <v>757</v>
      </c>
      <c r="AI36" t="s">
        <v>673</v>
      </c>
      <c r="AJ36" t="s">
        <v>744</v>
      </c>
      <c r="AP36">
        <v>161600000</v>
      </c>
      <c r="AQ36" t="s">
        <v>1221</v>
      </c>
    </row>
    <row r="37" spans="5:43" x14ac:dyDescent="0.2">
      <c r="E37" t="s">
        <v>420</v>
      </c>
      <c r="G37" t="s">
        <v>420</v>
      </c>
      <c r="H37" t="s">
        <v>962</v>
      </c>
      <c r="P37" t="s">
        <v>248</v>
      </c>
      <c r="Q37" t="s">
        <v>840</v>
      </c>
      <c r="R37" t="s">
        <v>1046</v>
      </c>
      <c r="S37">
        <v>488</v>
      </c>
      <c r="T37">
        <v>0</v>
      </c>
      <c r="U37">
        <v>0</v>
      </c>
      <c r="V37">
        <v>0</v>
      </c>
      <c r="X37" t="s">
        <v>972</v>
      </c>
      <c r="Y37" t="s">
        <v>668</v>
      </c>
      <c r="AG37" t="s">
        <v>668</v>
      </c>
      <c r="AI37" t="s">
        <v>674</v>
      </c>
      <c r="AJ37" t="s">
        <v>746</v>
      </c>
      <c r="AP37">
        <v>161700000</v>
      </c>
      <c r="AQ37" t="s">
        <v>1222</v>
      </c>
    </row>
    <row r="38" spans="5:43" x14ac:dyDescent="0.2">
      <c r="E38" t="s">
        <v>421</v>
      </c>
      <c r="G38" t="s">
        <v>421</v>
      </c>
      <c r="H38" t="s">
        <v>963</v>
      </c>
      <c r="P38" t="s">
        <v>249</v>
      </c>
      <c r="Q38" t="s">
        <v>841</v>
      </c>
      <c r="R38" t="s">
        <v>1047</v>
      </c>
      <c r="S38">
        <v>492</v>
      </c>
      <c r="T38">
        <v>0</v>
      </c>
      <c r="U38">
        <v>0</v>
      </c>
      <c r="V38">
        <v>0</v>
      </c>
      <c r="X38" t="s">
        <v>974</v>
      </c>
      <c r="Y38" t="s">
        <v>769</v>
      </c>
      <c r="AG38" t="s">
        <v>682</v>
      </c>
      <c r="AI38" t="s">
        <v>677</v>
      </c>
      <c r="AJ38" t="s">
        <v>751</v>
      </c>
      <c r="AP38">
        <v>161800000</v>
      </c>
      <c r="AQ38" t="s">
        <v>1223</v>
      </c>
    </row>
    <row r="39" spans="5:43" x14ac:dyDescent="0.2">
      <c r="E39" t="s">
        <v>422</v>
      </c>
      <c r="G39" t="s">
        <v>422</v>
      </c>
      <c r="H39" t="s">
        <v>964</v>
      </c>
      <c r="P39" t="s">
        <v>250</v>
      </c>
      <c r="Q39" t="s">
        <v>842</v>
      </c>
      <c r="R39" t="s">
        <v>1048</v>
      </c>
      <c r="S39">
        <v>496</v>
      </c>
      <c r="T39">
        <v>0</v>
      </c>
      <c r="U39">
        <v>0</v>
      </c>
      <c r="V39">
        <v>0</v>
      </c>
      <c r="X39" t="s">
        <v>975</v>
      </c>
      <c r="Y39" t="s">
        <v>769</v>
      </c>
      <c r="AG39" t="s">
        <v>673</v>
      </c>
      <c r="AI39" t="s">
        <v>786</v>
      </c>
      <c r="AJ39" t="s">
        <v>711</v>
      </c>
      <c r="AP39">
        <v>161900000</v>
      </c>
      <c r="AQ39" t="s">
        <v>1224</v>
      </c>
    </row>
    <row r="40" spans="5:43" x14ac:dyDescent="0.2">
      <c r="E40" t="s">
        <v>423</v>
      </c>
      <c r="G40" t="s">
        <v>423</v>
      </c>
      <c r="H40" t="s">
        <v>965</v>
      </c>
      <c r="P40" t="s">
        <v>251</v>
      </c>
      <c r="Q40" t="s">
        <v>843</v>
      </c>
      <c r="R40" t="s">
        <v>1049</v>
      </c>
      <c r="S40">
        <v>500</v>
      </c>
      <c r="T40">
        <v>0</v>
      </c>
      <c r="U40">
        <v>0</v>
      </c>
      <c r="V40">
        <v>0</v>
      </c>
      <c r="X40" t="s">
        <v>1145</v>
      </c>
      <c r="Y40" t="s">
        <v>669</v>
      </c>
      <c r="AG40" t="s">
        <v>674</v>
      </c>
      <c r="AI40" t="s">
        <v>699</v>
      </c>
      <c r="AJ40" t="s">
        <v>711</v>
      </c>
      <c r="AP40">
        <v>162000000</v>
      </c>
      <c r="AQ40" t="s">
        <v>1225</v>
      </c>
    </row>
    <row r="41" spans="5:43" x14ac:dyDescent="0.2">
      <c r="E41" t="s">
        <v>424</v>
      </c>
      <c r="G41" t="s">
        <v>424</v>
      </c>
      <c r="H41" t="s">
        <v>966</v>
      </c>
      <c r="P41" t="s">
        <v>252</v>
      </c>
      <c r="Q41" t="s">
        <v>844</v>
      </c>
      <c r="R41" t="s">
        <v>1050</v>
      </c>
      <c r="S41">
        <v>504</v>
      </c>
      <c r="T41">
        <v>0</v>
      </c>
      <c r="U41">
        <v>0</v>
      </c>
      <c r="V41">
        <v>0</v>
      </c>
      <c r="X41" t="s">
        <v>981</v>
      </c>
      <c r="Y41" t="s">
        <v>722</v>
      </c>
      <c r="AG41" t="s">
        <v>677</v>
      </c>
      <c r="AI41" t="s">
        <v>687</v>
      </c>
      <c r="AJ41" t="s">
        <v>758</v>
      </c>
      <c r="AP41">
        <v>162100000</v>
      </c>
      <c r="AQ41" t="s">
        <v>1226</v>
      </c>
    </row>
    <row r="42" spans="5:43" x14ac:dyDescent="0.2">
      <c r="E42" t="s">
        <v>425</v>
      </c>
      <c r="G42" t="s">
        <v>425</v>
      </c>
      <c r="H42" t="s">
        <v>967</v>
      </c>
      <c r="P42" t="s">
        <v>253</v>
      </c>
      <c r="Q42" t="s">
        <v>845</v>
      </c>
      <c r="R42" t="s">
        <v>1051</v>
      </c>
      <c r="S42">
        <v>508</v>
      </c>
      <c r="T42">
        <v>0</v>
      </c>
      <c r="U42">
        <v>0</v>
      </c>
      <c r="V42">
        <v>0</v>
      </c>
      <c r="X42" t="s">
        <v>982</v>
      </c>
      <c r="Y42" t="s">
        <v>692</v>
      </c>
      <c r="AG42" t="s">
        <v>786</v>
      </c>
      <c r="AI42" t="s">
        <v>685</v>
      </c>
      <c r="AJ42" t="s">
        <v>760</v>
      </c>
      <c r="AP42">
        <v>162200000</v>
      </c>
      <c r="AQ42" t="s">
        <v>1227</v>
      </c>
    </row>
    <row r="43" spans="5:43" x14ac:dyDescent="0.2">
      <c r="E43" t="s">
        <v>426</v>
      </c>
      <c r="G43" t="s">
        <v>426</v>
      </c>
      <c r="H43" t="s">
        <v>968</v>
      </c>
      <c r="P43" t="s">
        <v>254</v>
      </c>
      <c r="Q43" t="s">
        <v>846</v>
      </c>
      <c r="R43" t="s">
        <v>1052</v>
      </c>
      <c r="S43">
        <v>512</v>
      </c>
      <c r="T43">
        <v>0</v>
      </c>
      <c r="U43">
        <v>0</v>
      </c>
      <c r="V43">
        <v>0</v>
      </c>
      <c r="X43" t="s">
        <v>979</v>
      </c>
      <c r="Y43" t="s">
        <v>691</v>
      </c>
      <c r="AG43" t="s">
        <v>699</v>
      </c>
      <c r="AI43" t="s">
        <v>693</v>
      </c>
      <c r="AJ43" t="s">
        <v>762</v>
      </c>
      <c r="AP43">
        <v>162300000</v>
      </c>
      <c r="AQ43" t="s">
        <v>1228</v>
      </c>
    </row>
    <row r="44" spans="5:43" x14ac:dyDescent="0.2">
      <c r="E44" t="s">
        <v>427</v>
      </c>
      <c r="G44" t="s">
        <v>427</v>
      </c>
      <c r="H44" t="s">
        <v>969</v>
      </c>
      <c r="P44" t="s">
        <v>255</v>
      </c>
      <c r="Q44" t="s">
        <v>847</v>
      </c>
      <c r="R44" t="s">
        <v>1055</v>
      </c>
      <c r="S44">
        <v>516</v>
      </c>
      <c r="T44">
        <v>0</v>
      </c>
      <c r="U44">
        <v>0</v>
      </c>
      <c r="V44">
        <v>0</v>
      </c>
      <c r="X44" t="s">
        <v>985</v>
      </c>
      <c r="Y44" t="s">
        <v>725</v>
      </c>
      <c r="AG44" t="s">
        <v>687</v>
      </c>
      <c r="AI44" t="s">
        <v>702</v>
      </c>
      <c r="AJ44" t="s">
        <v>764</v>
      </c>
      <c r="AP44">
        <v>162400000</v>
      </c>
      <c r="AQ44" t="s">
        <v>1229</v>
      </c>
    </row>
    <row r="45" spans="5:43" x14ac:dyDescent="0.2">
      <c r="E45" t="s">
        <v>428</v>
      </c>
      <c r="G45" t="s">
        <v>428</v>
      </c>
      <c r="H45" t="s">
        <v>970</v>
      </c>
      <c r="P45" t="s">
        <v>256</v>
      </c>
      <c r="Q45" t="s">
        <v>848</v>
      </c>
      <c r="R45" t="s">
        <v>1056</v>
      </c>
      <c r="S45">
        <v>520</v>
      </c>
      <c r="T45">
        <v>0</v>
      </c>
      <c r="U45">
        <v>0</v>
      </c>
      <c r="V45">
        <v>0</v>
      </c>
      <c r="X45" t="s">
        <v>983</v>
      </c>
      <c r="Y45" t="s">
        <v>695</v>
      </c>
      <c r="AG45" t="s">
        <v>685</v>
      </c>
      <c r="AI45" t="s">
        <v>707</v>
      </c>
      <c r="AJ45" t="s">
        <v>713</v>
      </c>
      <c r="AP45">
        <v>162500000</v>
      </c>
      <c r="AQ45" t="s">
        <v>1230</v>
      </c>
    </row>
    <row r="46" spans="5:43" x14ac:dyDescent="0.2">
      <c r="E46" t="s">
        <v>429</v>
      </c>
      <c r="G46" t="s">
        <v>429</v>
      </c>
      <c r="H46" t="s">
        <v>971</v>
      </c>
      <c r="P46" t="s">
        <v>257</v>
      </c>
      <c r="Q46" t="s">
        <v>849</v>
      </c>
      <c r="R46" t="s">
        <v>1057</v>
      </c>
      <c r="S46">
        <v>524</v>
      </c>
      <c r="T46">
        <v>0</v>
      </c>
      <c r="U46">
        <v>0</v>
      </c>
      <c r="V46">
        <v>0</v>
      </c>
      <c r="X46" t="s">
        <v>993</v>
      </c>
      <c r="Y46" t="s">
        <v>722</v>
      </c>
      <c r="AG46" t="s">
        <v>693</v>
      </c>
      <c r="AI46" t="s">
        <v>681</v>
      </c>
      <c r="AJ46" t="s">
        <v>768</v>
      </c>
      <c r="AP46">
        <v>162600000</v>
      </c>
      <c r="AQ46" t="s">
        <v>1231</v>
      </c>
    </row>
    <row r="47" spans="5:43" x14ac:dyDescent="0.2">
      <c r="E47" t="s">
        <v>430</v>
      </c>
      <c r="G47" t="s">
        <v>430</v>
      </c>
      <c r="H47" t="s">
        <v>972</v>
      </c>
      <c r="P47" t="s">
        <v>258</v>
      </c>
      <c r="Q47" t="s">
        <v>850</v>
      </c>
      <c r="R47" t="s">
        <v>1058</v>
      </c>
      <c r="S47">
        <v>528</v>
      </c>
      <c r="T47">
        <v>0</v>
      </c>
      <c r="U47">
        <v>0</v>
      </c>
      <c r="V47">
        <v>0</v>
      </c>
      <c r="X47" t="s">
        <v>992</v>
      </c>
      <c r="Y47" t="s">
        <v>706</v>
      </c>
      <c r="AG47" t="s">
        <v>702</v>
      </c>
      <c r="AI47" t="s">
        <v>755</v>
      </c>
      <c r="AJ47" t="s">
        <v>771</v>
      </c>
      <c r="AP47">
        <v>162700000</v>
      </c>
      <c r="AQ47" t="s">
        <v>1232</v>
      </c>
    </row>
    <row r="48" spans="5:43" x14ac:dyDescent="0.2">
      <c r="E48" t="s">
        <v>431</v>
      </c>
      <c r="G48" t="s">
        <v>431</v>
      </c>
      <c r="H48" t="s">
        <v>973</v>
      </c>
      <c r="P48" t="s">
        <v>260</v>
      </c>
      <c r="Q48" t="s">
        <v>851</v>
      </c>
      <c r="R48" t="s">
        <v>1061</v>
      </c>
      <c r="S48">
        <v>533</v>
      </c>
      <c r="T48">
        <v>0</v>
      </c>
      <c r="U48">
        <v>0</v>
      </c>
      <c r="V48">
        <v>0</v>
      </c>
      <c r="X48" t="s">
        <v>991</v>
      </c>
      <c r="Y48" t="s">
        <v>705</v>
      </c>
      <c r="AG48" t="s">
        <v>707</v>
      </c>
      <c r="AI48" t="s">
        <v>688</v>
      </c>
      <c r="AJ48" t="s">
        <v>742</v>
      </c>
      <c r="AP48">
        <v>162800000</v>
      </c>
      <c r="AQ48" t="s">
        <v>1233</v>
      </c>
    </row>
    <row r="49" spans="5:43" x14ac:dyDescent="0.2">
      <c r="E49" t="s">
        <v>432</v>
      </c>
      <c r="G49" t="s">
        <v>432</v>
      </c>
      <c r="H49" t="s">
        <v>974</v>
      </c>
      <c r="P49" t="s">
        <v>261</v>
      </c>
      <c r="Q49" t="s">
        <v>852</v>
      </c>
      <c r="R49" t="s">
        <v>1062</v>
      </c>
      <c r="S49">
        <v>537</v>
      </c>
      <c r="T49">
        <v>0</v>
      </c>
      <c r="U49">
        <v>0</v>
      </c>
      <c r="V49">
        <v>0</v>
      </c>
      <c r="X49" t="s">
        <v>990</v>
      </c>
      <c r="Y49" t="s">
        <v>694</v>
      </c>
      <c r="AG49" t="s">
        <v>681</v>
      </c>
      <c r="AI49" t="s">
        <v>797</v>
      </c>
      <c r="AJ49" t="s">
        <v>742</v>
      </c>
      <c r="AP49">
        <v>162900000</v>
      </c>
      <c r="AQ49" t="s">
        <v>1234</v>
      </c>
    </row>
    <row r="50" spans="5:43" x14ac:dyDescent="0.2">
      <c r="E50" t="s">
        <v>433</v>
      </c>
      <c r="G50" t="s">
        <v>433</v>
      </c>
      <c r="H50" t="s">
        <v>975</v>
      </c>
      <c r="P50" t="s">
        <v>262</v>
      </c>
      <c r="Q50" t="s">
        <v>853</v>
      </c>
      <c r="R50" t="s">
        <v>1064</v>
      </c>
      <c r="S50">
        <v>541</v>
      </c>
      <c r="T50">
        <v>0</v>
      </c>
      <c r="U50">
        <v>0</v>
      </c>
      <c r="V50">
        <v>0</v>
      </c>
      <c r="X50" t="s">
        <v>994</v>
      </c>
      <c r="Y50" t="s">
        <v>695</v>
      </c>
      <c r="AG50" t="s">
        <v>755</v>
      </c>
      <c r="AI50" t="s">
        <v>689</v>
      </c>
      <c r="AJ50" t="s">
        <v>709</v>
      </c>
    </row>
    <row r="51" spans="5:43" x14ac:dyDescent="0.2">
      <c r="E51" t="s">
        <v>434</v>
      </c>
      <c r="G51" t="s">
        <v>434</v>
      </c>
      <c r="H51" t="s">
        <v>976</v>
      </c>
      <c r="P51" t="s">
        <v>263</v>
      </c>
      <c r="Q51" t="s">
        <v>854</v>
      </c>
      <c r="R51" t="s">
        <v>1065</v>
      </c>
      <c r="S51">
        <v>545</v>
      </c>
      <c r="T51">
        <v>0</v>
      </c>
      <c r="U51">
        <v>0</v>
      </c>
      <c r="V51">
        <v>0</v>
      </c>
      <c r="X51" t="s">
        <v>1001</v>
      </c>
      <c r="Y51" t="s">
        <v>689</v>
      </c>
      <c r="AG51" t="s">
        <v>690</v>
      </c>
      <c r="AI51" t="s">
        <v>1180</v>
      </c>
      <c r="AJ51" t="s">
        <v>735</v>
      </c>
    </row>
    <row r="52" spans="5:43" x14ac:dyDescent="0.2">
      <c r="E52" t="s">
        <v>435</v>
      </c>
      <c r="G52" t="s">
        <v>435</v>
      </c>
      <c r="H52" t="s">
        <v>977</v>
      </c>
      <c r="P52" t="s">
        <v>264</v>
      </c>
      <c r="Q52" t="s">
        <v>855</v>
      </c>
      <c r="R52" t="s">
        <v>1066</v>
      </c>
      <c r="S52">
        <v>549</v>
      </c>
      <c r="T52">
        <v>0</v>
      </c>
      <c r="U52">
        <v>0</v>
      </c>
      <c r="V52">
        <v>0</v>
      </c>
      <c r="X52" t="s">
        <v>1000</v>
      </c>
      <c r="Y52" t="s">
        <v>670</v>
      </c>
      <c r="AG52" t="s">
        <v>1180</v>
      </c>
      <c r="AI52" t="s">
        <v>1181</v>
      </c>
      <c r="AJ52" t="s">
        <v>735</v>
      </c>
    </row>
    <row r="53" spans="5:43" x14ac:dyDescent="0.2">
      <c r="E53" t="s">
        <v>436</v>
      </c>
      <c r="G53" t="s">
        <v>436</v>
      </c>
      <c r="H53" t="s">
        <v>978</v>
      </c>
      <c r="P53" t="s">
        <v>265</v>
      </c>
      <c r="Q53" t="s">
        <v>856</v>
      </c>
      <c r="R53" t="s">
        <v>1067</v>
      </c>
      <c r="S53">
        <v>553</v>
      </c>
      <c r="T53">
        <v>0</v>
      </c>
      <c r="U53">
        <v>0</v>
      </c>
      <c r="V53">
        <v>0</v>
      </c>
      <c r="X53" t="s">
        <v>1146</v>
      </c>
      <c r="Y53" t="s">
        <v>670</v>
      </c>
      <c r="AG53" t="s">
        <v>1181</v>
      </c>
      <c r="AI53" t="s">
        <v>690</v>
      </c>
      <c r="AJ53" t="s">
        <v>774</v>
      </c>
    </row>
    <row r="54" spans="5:43" x14ac:dyDescent="0.2">
      <c r="E54" t="s">
        <v>437</v>
      </c>
      <c r="G54" t="s">
        <v>437</v>
      </c>
      <c r="H54" t="s">
        <v>979</v>
      </c>
      <c r="P54" t="s">
        <v>266</v>
      </c>
      <c r="Q54" t="s">
        <v>857</v>
      </c>
      <c r="R54" t="s">
        <v>1068</v>
      </c>
      <c r="S54">
        <v>557</v>
      </c>
      <c r="T54">
        <v>0</v>
      </c>
      <c r="U54">
        <v>0</v>
      </c>
      <c r="V54">
        <v>0</v>
      </c>
      <c r="X54" t="s">
        <v>1003</v>
      </c>
      <c r="Y54" t="s">
        <v>671</v>
      </c>
      <c r="AG54" t="s">
        <v>1178</v>
      </c>
    </row>
    <row r="55" spans="5:43" x14ac:dyDescent="0.2">
      <c r="E55" t="s">
        <v>438</v>
      </c>
      <c r="G55" t="s">
        <v>438</v>
      </c>
      <c r="H55" t="s">
        <v>980</v>
      </c>
      <c r="P55" t="s">
        <v>267</v>
      </c>
      <c r="Q55" t="s">
        <v>858</v>
      </c>
      <c r="R55" t="s">
        <v>1069</v>
      </c>
      <c r="S55">
        <v>561</v>
      </c>
      <c r="T55">
        <v>0</v>
      </c>
      <c r="U55">
        <v>0</v>
      </c>
      <c r="V55">
        <v>0</v>
      </c>
      <c r="X55" t="s">
        <v>1004</v>
      </c>
      <c r="Y55" t="s">
        <v>672</v>
      </c>
    </row>
    <row r="56" spans="5:43" x14ac:dyDescent="0.2">
      <c r="E56" t="s">
        <v>439</v>
      </c>
      <c r="G56" t="s">
        <v>439</v>
      </c>
      <c r="H56" t="s">
        <v>981</v>
      </c>
      <c r="P56" t="s">
        <v>268</v>
      </c>
      <c r="Q56" t="s">
        <v>859</v>
      </c>
      <c r="R56" t="s">
        <v>1070</v>
      </c>
      <c r="S56">
        <v>565</v>
      </c>
      <c r="T56">
        <v>0</v>
      </c>
      <c r="U56">
        <v>0</v>
      </c>
      <c r="V56">
        <v>0</v>
      </c>
      <c r="X56" t="s">
        <v>1006</v>
      </c>
      <c r="Y56" t="s">
        <v>682</v>
      </c>
    </row>
    <row r="57" spans="5:43" x14ac:dyDescent="0.2">
      <c r="E57" t="s">
        <v>440</v>
      </c>
      <c r="G57" t="s">
        <v>440</v>
      </c>
      <c r="H57" t="s">
        <v>982</v>
      </c>
      <c r="P57" t="s">
        <v>269</v>
      </c>
      <c r="Q57" t="s">
        <v>860</v>
      </c>
      <c r="R57" t="s">
        <v>1072</v>
      </c>
      <c r="S57">
        <v>569</v>
      </c>
      <c r="T57">
        <v>0</v>
      </c>
      <c r="U57">
        <v>0</v>
      </c>
      <c r="V57">
        <v>0</v>
      </c>
      <c r="X57" t="s">
        <v>1007</v>
      </c>
      <c r="Y57" t="s">
        <v>682</v>
      </c>
    </row>
    <row r="58" spans="5:43" x14ac:dyDescent="0.2">
      <c r="E58" t="s">
        <v>441</v>
      </c>
      <c r="G58" t="s">
        <v>441</v>
      </c>
      <c r="H58" t="s">
        <v>983</v>
      </c>
      <c r="P58" t="s">
        <v>270</v>
      </c>
      <c r="Q58" t="s">
        <v>861</v>
      </c>
      <c r="R58" t="s">
        <v>1073</v>
      </c>
      <c r="S58">
        <v>573</v>
      </c>
      <c r="T58">
        <v>0</v>
      </c>
      <c r="U58">
        <v>0</v>
      </c>
      <c r="V58">
        <v>0</v>
      </c>
      <c r="X58" t="s">
        <v>1008</v>
      </c>
      <c r="Y58" t="s">
        <v>682</v>
      </c>
    </row>
    <row r="59" spans="5:43" x14ac:dyDescent="0.2">
      <c r="E59" t="s">
        <v>442</v>
      </c>
      <c r="G59" t="s">
        <v>442</v>
      </c>
      <c r="H59" t="s">
        <v>984</v>
      </c>
      <c r="P59" t="s">
        <v>271</v>
      </c>
      <c r="Q59" t="s">
        <v>862</v>
      </c>
      <c r="R59" t="s">
        <v>1127</v>
      </c>
      <c r="S59">
        <v>577</v>
      </c>
      <c r="T59">
        <v>0</v>
      </c>
      <c r="U59">
        <v>0</v>
      </c>
      <c r="V59">
        <v>0</v>
      </c>
      <c r="X59" t="s">
        <v>1009</v>
      </c>
      <c r="Y59" t="s">
        <v>673</v>
      </c>
    </row>
    <row r="60" spans="5:43" x14ac:dyDescent="0.2">
      <c r="E60" t="s">
        <v>443</v>
      </c>
      <c r="G60" t="s">
        <v>443</v>
      </c>
      <c r="H60" t="s">
        <v>985</v>
      </c>
      <c r="P60" t="s">
        <v>272</v>
      </c>
      <c r="Q60" t="s">
        <v>863</v>
      </c>
      <c r="R60" t="s">
        <v>1128</v>
      </c>
      <c r="S60">
        <v>581</v>
      </c>
      <c r="T60">
        <v>0</v>
      </c>
      <c r="U60">
        <v>0</v>
      </c>
      <c r="V60">
        <v>0</v>
      </c>
      <c r="X60" t="s">
        <v>1011</v>
      </c>
      <c r="Y60" t="s">
        <v>673</v>
      </c>
    </row>
    <row r="61" spans="5:43" x14ac:dyDescent="0.2">
      <c r="E61" t="s">
        <v>444</v>
      </c>
      <c r="G61" t="s">
        <v>444</v>
      </c>
      <c r="H61" t="s">
        <v>986</v>
      </c>
      <c r="P61" t="s">
        <v>273</v>
      </c>
      <c r="Q61" t="s">
        <v>864</v>
      </c>
      <c r="R61" t="s">
        <v>1053</v>
      </c>
      <c r="S61">
        <v>585</v>
      </c>
      <c r="T61">
        <v>0</v>
      </c>
      <c r="U61">
        <v>0</v>
      </c>
      <c r="V61">
        <v>0</v>
      </c>
      <c r="X61" t="s">
        <v>1012</v>
      </c>
      <c r="Y61" t="s">
        <v>674</v>
      </c>
    </row>
    <row r="62" spans="5:43" x14ac:dyDescent="0.2">
      <c r="E62" t="s">
        <v>445</v>
      </c>
      <c r="G62" t="s">
        <v>445</v>
      </c>
      <c r="H62" t="s">
        <v>987</v>
      </c>
      <c r="P62" t="s">
        <v>274</v>
      </c>
      <c r="Q62" t="s">
        <v>865</v>
      </c>
      <c r="R62" t="s">
        <v>1054</v>
      </c>
      <c r="S62">
        <v>589</v>
      </c>
      <c r="T62">
        <v>0</v>
      </c>
      <c r="U62">
        <v>0</v>
      </c>
      <c r="V62">
        <v>0</v>
      </c>
      <c r="X62" t="s">
        <v>1015</v>
      </c>
      <c r="Y62" t="s">
        <v>688</v>
      </c>
    </row>
    <row r="63" spans="5:43" x14ac:dyDescent="0.2">
      <c r="E63" t="s">
        <v>446</v>
      </c>
      <c r="G63" t="s">
        <v>446</v>
      </c>
      <c r="H63" t="s">
        <v>988</v>
      </c>
      <c r="P63" t="s">
        <v>275</v>
      </c>
      <c r="Q63" t="s">
        <v>866</v>
      </c>
      <c r="R63" t="s">
        <v>1129</v>
      </c>
      <c r="S63">
        <v>593</v>
      </c>
      <c r="T63">
        <v>0</v>
      </c>
      <c r="U63">
        <v>0</v>
      </c>
      <c r="V63">
        <v>0</v>
      </c>
      <c r="X63" t="s">
        <v>1019</v>
      </c>
      <c r="Y63" t="s">
        <v>797</v>
      </c>
    </row>
    <row r="64" spans="5:43" x14ac:dyDescent="0.2">
      <c r="E64" t="s">
        <v>447</v>
      </c>
      <c r="G64" t="s">
        <v>447</v>
      </c>
      <c r="H64" t="s">
        <v>989</v>
      </c>
      <c r="P64" t="s">
        <v>276</v>
      </c>
      <c r="Q64" t="s">
        <v>867</v>
      </c>
      <c r="R64" t="s">
        <v>1130</v>
      </c>
      <c r="S64">
        <v>597</v>
      </c>
      <c r="T64">
        <v>0</v>
      </c>
      <c r="U64">
        <v>0</v>
      </c>
      <c r="V64">
        <v>0</v>
      </c>
      <c r="X64" t="s">
        <v>1018</v>
      </c>
      <c r="Y64" t="s">
        <v>675</v>
      </c>
    </row>
    <row r="65" spans="5:25" x14ac:dyDescent="0.2">
      <c r="E65" t="s">
        <v>448</v>
      </c>
      <c r="G65" t="s">
        <v>448</v>
      </c>
      <c r="H65" t="s">
        <v>990</v>
      </c>
      <c r="P65" t="s">
        <v>277</v>
      </c>
      <c r="Q65" t="s">
        <v>868</v>
      </c>
      <c r="R65" t="s">
        <v>1131</v>
      </c>
      <c r="S65">
        <v>601</v>
      </c>
      <c r="T65">
        <v>0</v>
      </c>
      <c r="U65">
        <v>0</v>
      </c>
      <c r="V65">
        <v>0</v>
      </c>
      <c r="X65" t="s">
        <v>1016</v>
      </c>
      <c r="Y65" t="s">
        <v>676</v>
      </c>
    </row>
    <row r="66" spans="5:25" x14ac:dyDescent="0.2">
      <c r="E66" t="s">
        <v>449</v>
      </c>
      <c r="G66" t="s">
        <v>449</v>
      </c>
      <c r="H66" t="s">
        <v>991</v>
      </c>
      <c r="P66" t="s">
        <v>278</v>
      </c>
      <c r="Q66" t="s">
        <v>869</v>
      </c>
      <c r="R66" t="s">
        <v>1063</v>
      </c>
      <c r="S66">
        <v>605</v>
      </c>
      <c r="T66">
        <v>0</v>
      </c>
      <c r="U66">
        <v>0</v>
      </c>
      <c r="V66">
        <v>0</v>
      </c>
      <c r="X66" t="s">
        <v>1017</v>
      </c>
      <c r="Y66" t="s">
        <v>684</v>
      </c>
    </row>
    <row r="67" spans="5:25" x14ac:dyDescent="0.2">
      <c r="E67" t="s">
        <v>450</v>
      </c>
      <c r="G67" t="s">
        <v>450</v>
      </c>
      <c r="H67" t="s">
        <v>992</v>
      </c>
      <c r="P67" t="s">
        <v>113</v>
      </c>
      <c r="Q67" t="s">
        <v>720</v>
      </c>
      <c r="R67" t="s">
        <v>938</v>
      </c>
      <c r="S67">
        <v>0</v>
      </c>
      <c r="T67">
        <v>0</v>
      </c>
      <c r="U67">
        <v>0</v>
      </c>
      <c r="V67">
        <v>0</v>
      </c>
      <c r="X67" t="s">
        <v>1024</v>
      </c>
      <c r="Y67" t="s">
        <v>752</v>
      </c>
    </row>
    <row r="68" spans="5:25" x14ac:dyDescent="0.2">
      <c r="E68" t="s">
        <v>451</v>
      </c>
      <c r="G68" t="s">
        <v>451</v>
      </c>
      <c r="H68" t="s">
        <v>993</v>
      </c>
      <c r="P68" t="s">
        <v>114</v>
      </c>
      <c r="Q68" t="s">
        <v>723</v>
      </c>
      <c r="R68" t="s">
        <v>1132</v>
      </c>
      <c r="S68">
        <v>0</v>
      </c>
      <c r="T68">
        <v>0</v>
      </c>
      <c r="U68">
        <v>0</v>
      </c>
      <c r="V68">
        <v>0</v>
      </c>
      <c r="X68" t="s">
        <v>1023</v>
      </c>
      <c r="Y68" t="s">
        <v>698</v>
      </c>
    </row>
    <row r="69" spans="5:25" x14ac:dyDescent="0.2">
      <c r="E69" t="s">
        <v>452</v>
      </c>
      <c r="G69" t="s">
        <v>452</v>
      </c>
      <c r="H69" t="s">
        <v>994</v>
      </c>
      <c r="P69" t="s">
        <v>117</v>
      </c>
      <c r="Q69" t="s">
        <v>726</v>
      </c>
      <c r="R69" t="s">
        <v>1133</v>
      </c>
      <c r="S69">
        <v>0</v>
      </c>
      <c r="T69">
        <v>0</v>
      </c>
      <c r="U69">
        <v>0</v>
      </c>
      <c r="V69">
        <v>0</v>
      </c>
      <c r="X69" t="s">
        <v>1022</v>
      </c>
      <c r="Y69" t="s">
        <v>697</v>
      </c>
    </row>
    <row r="70" spans="5:25" x14ac:dyDescent="0.2">
      <c r="E70" t="s">
        <v>453</v>
      </c>
      <c r="G70" t="s">
        <v>453</v>
      </c>
      <c r="H70" t="s">
        <v>995</v>
      </c>
      <c r="P70" t="s">
        <v>118</v>
      </c>
      <c r="Q70" t="s">
        <v>728</v>
      </c>
      <c r="R70" t="s">
        <v>1134</v>
      </c>
      <c r="S70">
        <v>0</v>
      </c>
      <c r="T70">
        <v>0</v>
      </c>
      <c r="U70">
        <v>0</v>
      </c>
      <c r="V70">
        <v>0</v>
      </c>
      <c r="X70" t="s">
        <v>1026</v>
      </c>
      <c r="Y70" t="s">
        <v>677</v>
      </c>
    </row>
    <row r="71" spans="5:25" x14ac:dyDescent="0.2">
      <c r="E71" t="s">
        <v>454</v>
      </c>
      <c r="G71" t="s">
        <v>454</v>
      </c>
      <c r="H71" t="s">
        <v>996</v>
      </c>
      <c r="P71" t="s">
        <v>120</v>
      </c>
      <c r="Q71" t="s">
        <v>730</v>
      </c>
      <c r="R71" t="s">
        <v>959</v>
      </c>
      <c r="S71">
        <v>0</v>
      </c>
      <c r="T71">
        <v>0</v>
      </c>
      <c r="U71">
        <v>0</v>
      </c>
      <c r="V71">
        <v>0</v>
      </c>
      <c r="X71" t="s">
        <v>1033</v>
      </c>
      <c r="Y71" t="s">
        <v>699</v>
      </c>
    </row>
    <row r="72" spans="5:25" x14ac:dyDescent="0.2">
      <c r="E72" t="s">
        <v>455</v>
      </c>
      <c r="G72" t="s">
        <v>455</v>
      </c>
      <c r="H72" t="s">
        <v>997</v>
      </c>
      <c r="P72" t="s">
        <v>121</v>
      </c>
      <c r="Q72" t="s">
        <v>732</v>
      </c>
      <c r="R72" t="s">
        <v>961</v>
      </c>
      <c r="S72">
        <v>0</v>
      </c>
      <c r="T72">
        <v>0</v>
      </c>
      <c r="U72">
        <v>0</v>
      </c>
      <c r="V72">
        <v>0</v>
      </c>
      <c r="X72" t="s">
        <v>1034</v>
      </c>
      <c r="Y72" t="s">
        <v>699</v>
      </c>
    </row>
    <row r="73" spans="5:25" x14ac:dyDescent="0.2">
      <c r="E73" t="s">
        <v>456</v>
      </c>
      <c r="G73" t="s">
        <v>456</v>
      </c>
      <c r="H73" t="s">
        <v>998</v>
      </c>
      <c r="P73" t="s">
        <v>122</v>
      </c>
      <c r="Q73" t="s">
        <v>734</v>
      </c>
      <c r="R73" t="s">
        <v>960</v>
      </c>
      <c r="S73">
        <v>0</v>
      </c>
      <c r="T73">
        <v>0</v>
      </c>
      <c r="U73">
        <v>0</v>
      </c>
      <c r="V73">
        <v>0</v>
      </c>
      <c r="X73" t="s">
        <v>1032</v>
      </c>
      <c r="Y73" t="s">
        <v>699</v>
      </c>
    </row>
    <row r="74" spans="5:25" x14ac:dyDescent="0.2">
      <c r="E74" t="s">
        <v>457</v>
      </c>
      <c r="G74" t="s">
        <v>457</v>
      </c>
      <c r="H74" t="s">
        <v>999</v>
      </c>
      <c r="P74" t="s">
        <v>125</v>
      </c>
      <c r="Q74" t="s">
        <v>736</v>
      </c>
      <c r="R74" t="s">
        <v>945</v>
      </c>
      <c r="S74">
        <v>0</v>
      </c>
      <c r="T74">
        <v>0</v>
      </c>
      <c r="U74">
        <v>0</v>
      </c>
      <c r="V74">
        <v>0</v>
      </c>
      <c r="X74" t="s">
        <v>1035</v>
      </c>
      <c r="Y74" t="s">
        <v>699</v>
      </c>
    </row>
    <row r="75" spans="5:25" x14ac:dyDescent="0.2">
      <c r="E75" t="s">
        <v>458</v>
      </c>
      <c r="G75" t="s">
        <v>458</v>
      </c>
      <c r="H75" t="s">
        <v>1000</v>
      </c>
      <c r="P75" t="s">
        <v>126</v>
      </c>
      <c r="Q75" t="s">
        <v>737</v>
      </c>
      <c r="R75" t="s">
        <v>946</v>
      </c>
      <c r="S75">
        <v>0</v>
      </c>
      <c r="T75">
        <v>0</v>
      </c>
      <c r="U75">
        <v>0</v>
      </c>
      <c r="V75">
        <v>0</v>
      </c>
      <c r="X75" t="s">
        <v>1036</v>
      </c>
      <c r="Y75" t="s">
        <v>699</v>
      </c>
    </row>
    <row r="76" spans="5:25" x14ac:dyDescent="0.2">
      <c r="E76" t="s">
        <v>459</v>
      </c>
      <c r="G76" t="s">
        <v>459</v>
      </c>
      <c r="H76" t="s">
        <v>1000</v>
      </c>
      <c r="P76" t="s">
        <v>127</v>
      </c>
      <c r="Q76" t="s">
        <v>739</v>
      </c>
      <c r="R76" t="s">
        <v>953</v>
      </c>
      <c r="S76">
        <v>0</v>
      </c>
      <c r="T76">
        <v>0</v>
      </c>
      <c r="U76">
        <v>0</v>
      </c>
      <c r="V76">
        <v>0</v>
      </c>
      <c r="X76" t="s">
        <v>1037</v>
      </c>
      <c r="Y76" t="s">
        <v>699</v>
      </c>
    </row>
    <row r="77" spans="5:25" x14ac:dyDescent="0.2">
      <c r="E77" t="s">
        <v>460</v>
      </c>
      <c r="G77" t="s">
        <v>460</v>
      </c>
      <c r="H77" t="s">
        <v>1001</v>
      </c>
      <c r="P77" t="s">
        <v>128</v>
      </c>
      <c r="Q77" t="s">
        <v>740</v>
      </c>
      <c r="R77" t="s">
        <v>943</v>
      </c>
      <c r="S77">
        <v>0</v>
      </c>
      <c r="T77">
        <v>0</v>
      </c>
      <c r="U77">
        <v>0</v>
      </c>
      <c r="V77">
        <v>0</v>
      </c>
      <c r="X77" t="s">
        <v>1031</v>
      </c>
      <c r="Y77" t="s">
        <v>699</v>
      </c>
    </row>
    <row r="78" spans="5:25" x14ac:dyDescent="0.2">
      <c r="E78" t="s">
        <v>461</v>
      </c>
      <c r="G78" t="s">
        <v>461</v>
      </c>
      <c r="H78" t="s">
        <v>1002</v>
      </c>
      <c r="P78" t="s">
        <v>129</v>
      </c>
      <c r="Q78" t="s">
        <v>743</v>
      </c>
      <c r="R78" t="s">
        <v>947</v>
      </c>
      <c r="S78">
        <v>0</v>
      </c>
      <c r="T78">
        <v>0</v>
      </c>
      <c r="U78">
        <v>0</v>
      </c>
      <c r="V78">
        <v>0</v>
      </c>
      <c r="X78" t="s">
        <v>1038</v>
      </c>
      <c r="Y78" t="s">
        <v>699</v>
      </c>
    </row>
    <row r="79" spans="5:25" x14ac:dyDescent="0.2">
      <c r="E79" t="s">
        <v>462</v>
      </c>
      <c r="G79" t="s">
        <v>462</v>
      </c>
      <c r="H79" t="s">
        <v>1003</v>
      </c>
      <c r="P79" t="s">
        <v>131</v>
      </c>
      <c r="Q79" t="s">
        <v>745</v>
      </c>
      <c r="R79" t="s">
        <v>941</v>
      </c>
      <c r="S79">
        <v>0</v>
      </c>
      <c r="T79">
        <v>0</v>
      </c>
      <c r="U79">
        <v>0</v>
      </c>
      <c r="V79">
        <v>0</v>
      </c>
      <c r="X79" t="s">
        <v>1029</v>
      </c>
      <c r="Y79" t="s">
        <v>699</v>
      </c>
    </row>
    <row r="80" spans="5:25" x14ac:dyDescent="0.2">
      <c r="E80" t="s">
        <v>463</v>
      </c>
      <c r="G80" t="s">
        <v>463</v>
      </c>
      <c r="H80" t="s">
        <v>1004</v>
      </c>
      <c r="P80" t="s">
        <v>132</v>
      </c>
      <c r="Q80" t="s">
        <v>747</v>
      </c>
      <c r="R80" t="s">
        <v>940</v>
      </c>
      <c r="S80">
        <v>0</v>
      </c>
      <c r="T80">
        <v>0</v>
      </c>
      <c r="U80">
        <v>0</v>
      </c>
      <c r="V80">
        <v>0</v>
      </c>
      <c r="X80" t="s">
        <v>1039</v>
      </c>
      <c r="Y80" t="s">
        <v>699</v>
      </c>
    </row>
    <row r="81" spans="5:25" x14ac:dyDescent="0.2">
      <c r="E81" t="s">
        <v>464</v>
      </c>
      <c r="G81" t="s">
        <v>464</v>
      </c>
      <c r="H81" t="s">
        <v>1005</v>
      </c>
      <c r="P81" t="s">
        <v>133</v>
      </c>
      <c r="Q81" t="s">
        <v>748</v>
      </c>
      <c r="R81" t="s">
        <v>942</v>
      </c>
      <c r="S81">
        <v>0</v>
      </c>
      <c r="T81">
        <v>0</v>
      </c>
      <c r="U81">
        <v>0</v>
      </c>
      <c r="V81">
        <v>0</v>
      </c>
      <c r="X81" t="s">
        <v>1030</v>
      </c>
      <c r="Y81" t="s">
        <v>699</v>
      </c>
    </row>
    <row r="82" spans="5:25" x14ac:dyDescent="0.2">
      <c r="E82" t="s">
        <v>465</v>
      </c>
      <c r="G82" t="s">
        <v>465</v>
      </c>
      <c r="H82" t="s">
        <v>1006</v>
      </c>
      <c r="P82" t="s">
        <v>135</v>
      </c>
      <c r="Q82" t="s">
        <v>750</v>
      </c>
      <c r="R82" t="s">
        <v>964</v>
      </c>
      <c r="S82">
        <v>0</v>
      </c>
      <c r="T82">
        <v>0</v>
      </c>
      <c r="U82">
        <v>0</v>
      </c>
      <c r="V82">
        <v>0</v>
      </c>
      <c r="X82" t="s">
        <v>1126</v>
      </c>
      <c r="Y82" t="s">
        <v>786</v>
      </c>
    </row>
    <row r="83" spans="5:25" x14ac:dyDescent="0.2">
      <c r="E83" t="s">
        <v>466</v>
      </c>
      <c r="G83" t="s">
        <v>466</v>
      </c>
      <c r="H83" t="s">
        <v>1007</v>
      </c>
      <c r="P83" t="s">
        <v>136</v>
      </c>
      <c r="Q83" t="s">
        <v>753</v>
      </c>
      <c r="R83" t="s">
        <v>963</v>
      </c>
      <c r="S83">
        <v>0</v>
      </c>
      <c r="T83">
        <v>0</v>
      </c>
      <c r="U83">
        <v>0</v>
      </c>
      <c r="V83">
        <v>0</v>
      </c>
      <c r="X83" t="s">
        <v>1059</v>
      </c>
      <c r="Y83" t="s">
        <v>699</v>
      </c>
    </row>
    <row r="84" spans="5:25" x14ac:dyDescent="0.2">
      <c r="E84" t="s">
        <v>467</v>
      </c>
      <c r="G84" t="s">
        <v>467</v>
      </c>
      <c r="H84" t="s">
        <v>1008</v>
      </c>
      <c r="P84" t="s">
        <v>142</v>
      </c>
      <c r="Q84" t="s">
        <v>754</v>
      </c>
      <c r="R84" t="s">
        <v>1135</v>
      </c>
      <c r="S84">
        <v>0</v>
      </c>
      <c r="T84">
        <v>0</v>
      </c>
      <c r="U84">
        <v>0</v>
      </c>
      <c r="V84">
        <v>0</v>
      </c>
      <c r="X84" t="s">
        <v>1040</v>
      </c>
      <c r="Y84" t="s">
        <v>699</v>
      </c>
    </row>
    <row r="85" spans="5:25" x14ac:dyDescent="0.2">
      <c r="E85" t="s">
        <v>468</v>
      </c>
      <c r="G85" t="s">
        <v>468</v>
      </c>
      <c r="H85" t="s">
        <v>1009</v>
      </c>
      <c r="P85" t="s">
        <v>143</v>
      </c>
      <c r="Q85" t="s">
        <v>756</v>
      </c>
      <c r="R85" t="s">
        <v>1136</v>
      </c>
      <c r="S85">
        <v>0</v>
      </c>
      <c r="T85">
        <v>0</v>
      </c>
      <c r="U85">
        <v>0</v>
      </c>
      <c r="V85">
        <v>0</v>
      </c>
      <c r="X85" t="s">
        <v>1042</v>
      </c>
      <c r="Y85" t="s">
        <v>1178</v>
      </c>
    </row>
    <row r="86" spans="5:25" x14ac:dyDescent="0.2">
      <c r="E86" t="s">
        <v>469</v>
      </c>
      <c r="G86" t="s">
        <v>469</v>
      </c>
      <c r="H86" t="s">
        <v>1010</v>
      </c>
      <c r="P86" t="s">
        <v>144</v>
      </c>
      <c r="Q86" t="s">
        <v>759</v>
      </c>
      <c r="R86" t="s">
        <v>1137</v>
      </c>
      <c r="S86">
        <v>0</v>
      </c>
      <c r="T86">
        <v>0</v>
      </c>
      <c r="U86">
        <v>0</v>
      </c>
      <c r="V86">
        <v>0</v>
      </c>
      <c r="X86" t="s">
        <v>1043</v>
      </c>
      <c r="Y86" t="s">
        <v>678</v>
      </c>
    </row>
    <row r="87" spans="5:25" x14ac:dyDescent="0.2">
      <c r="E87" t="s">
        <v>470</v>
      </c>
      <c r="G87" t="s">
        <v>470</v>
      </c>
      <c r="H87" t="s">
        <v>1011</v>
      </c>
      <c r="P87" t="s">
        <v>145</v>
      </c>
      <c r="Q87" t="s">
        <v>761</v>
      </c>
      <c r="R87" t="s">
        <v>1138</v>
      </c>
      <c r="S87">
        <v>0</v>
      </c>
      <c r="T87">
        <v>0</v>
      </c>
      <c r="U87">
        <v>0</v>
      </c>
      <c r="V87">
        <v>0</v>
      </c>
      <c r="X87" t="s">
        <v>1044</v>
      </c>
      <c r="Y87" t="s">
        <v>1178</v>
      </c>
    </row>
    <row r="88" spans="5:25" x14ac:dyDescent="0.2">
      <c r="E88" t="s">
        <v>471</v>
      </c>
      <c r="G88" t="s">
        <v>471</v>
      </c>
      <c r="H88" t="s">
        <v>1012</v>
      </c>
      <c r="P88" t="s">
        <v>146</v>
      </c>
      <c r="Q88" t="s">
        <v>763</v>
      </c>
      <c r="R88" t="s">
        <v>952</v>
      </c>
      <c r="S88">
        <v>0</v>
      </c>
      <c r="T88">
        <v>0</v>
      </c>
      <c r="U88">
        <v>0</v>
      </c>
      <c r="V88">
        <v>0</v>
      </c>
      <c r="X88" t="s">
        <v>1045</v>
      </c>
      <c r="Y88" t="s">
        <v>680</v>
      </c>
    </row>
    <row r="89" spans="5:25" x14ac:dyDescent="0.2">
      <c r="E89" t="s">
        <v>472</v>
      </c>
      <c r="G89" t="s">
        <v>472</v>
      </c>
      <c r="H89" t="s">
        <v>1013</v>
      </c>
      <c r="P89" t="s">
        <v>147</v>
      </c>
      <c r="Q89" t="s">
        <v>765</v>
      </c>
      <c r="R89" t="s">
        <v>957</v>
      </c>
      <c r="S89">
        <v>0</v>
      </c>
      <c r="T89">
        <v>0</v>
      </c>
      <c r="U89">
        <v>0</v>
      </c>
      <c r="V89">
        <v>0</v>
      </c>
      <c r="X89" t="s">
        <v>1046</v>
      </c>
      <c r="Y89" t="s">
        <v>680</v>
      </c>
    </row>
    <row r="90" spans="5:25" x14ac:dyDescent="0.2">
      <c r="E90" t="s">
        <v>473</v>
      </c>
      <c r="G90" t="s">
        <v>473</v>
      </c>
      <c r="H90" t="s">
        <v>1014</v>
      </c>
      <c r="P90" t="s">
        <v>148</v>
      </c>
      <c r="Q90" t="s">
        <v>767</v>
      </c>
      <c r="R90" t="s">
        <v>950</v>
      </c>
      <c r="S90">
        <v>0</v>
      </c>
      <c r="T90">
        <v>0</v>
      </c>
      <c r="U90">
        <v>0</v>
      </c>
      <c r="V90">
        <v>0</v>
      </c>
      <c r="X90" t="s">
        <v>1047</v>
      </c>
      <c r="Y90" t="s">
        <v>701</v>
      </c>
    </row>
    <row r="91" spans="5:25" x14ac:dyDescent="0.2">
      <c r="E91" t="s">
        <v>474</v>
      </c>
      <c r="G91" t="s">
        <v>474</v>
      </c>
      <c r="H91" t="s">
        <v>1015</v>
      </c>
      <c r="P91" t="s">
        <v>149</v>
      </c>
      <c r="Q91" t="s">
        <v>770</v>
      </c>
      <c r="R91" t="s">
        <v>955</v>
      </c>
      <c r="S91">
        <v>0</v>
      </c>
      <c r="T91">
        <v>0</v>
      </c>
      <c r="U91">
        <v>0</v>
      </c>
      <c r="V91">
        <v>0</v>
      </c>
      <c r="X91" t="s">
        <v>1048</v>
      </c>
      <c r="Y91" t="s">
        <v>680</v>
      </c>
    </row>
    <row r="92" spans="5:25" x14ac:dyDescent="0.2">
      <c r="E92" t="s">
        <v>475</v>
      </c>
      <c r="G92" t="s">
        <v>475</v>
      </c>
      <c r="H92" t="s">
        <v>1016</v>
      </c>
      <c r="P92" t="s">
        <v>150</v>
      </c>
      <c r="Q92" t="s">
        <v>773</v>
      </c>
      <c r="R92" t="s">
        <v>956</v>
      </c>
      <c r="S92">
        <v>0</v>
      </c>
      <c r="T92">
        <v>0</v>
      </c>
      <c r="U92">
        <v>0</v>
      </c>
      <c r="V92">
        <v>0</v>
      </c>
      <c r="X92" t="s">
        <v>1049</v>
      </c>
      <c r="Y92" t="s">
        <v>1178</v>
      </c>
    </row>
    <row r="93" spans="5:25" x14ac:dyDescent="0.2">
      <c r="E93" t="s">
        <v>476</v>
      </c>
      <c r="G93" t="s">
        <v>476</v>
      </c>
      <c r="H93" t="s">
        <v>1017</v>
      </c>
      <c r="P93" t="s">
        <v>151</v>
      </c>
      <c r="Q93" t="s">
        <v>775</v>
      </c>
      <c r="R93" t="s">
        <v>954</v>
      </c>
      <c r="S93">
        <v>0</v>
      </c>
      <c r="T93">
        <v>0</v>
      </c>
      <c r="U93">
        <v>0</v>
      </c>
      <c r="V93">
        <v>0</v>
      </c>
      <c r="X93" t="s">
        <v>1050</v>
      </c>
      <c r="Y93" t="s">
        <v>1178</v>
      </c>
    </row>
    <row r="94" spans="5:25" x14ac:dyDescent="0.2">
      <c r="E94" t="s">
        <v>477</v>
      </c>
      <c r="G94" t="s">
        <v>477</v>
      </c>
      <c r="H94" t="s">
        <v>1018</v>
      </c>
      <c r="P94" t="s">
        <v>155</v>
      </c>
      <c r="Q94" t="s">
        <v>776</v>
      </c>
      <c r="R94" t="s">
        <v>1139</v>
      </c>
      <c r="S94">
        <v>0</v>
      </c>
      <c r="T94">
        <v>0</v>
      </c>
      <c r="U94">
        <v>0</v>
      </c>
      <c r="V94">
        <v>0</v>
      </c>
      <c r="X94" t="s">
        <v>1051</v>
      </c>
      <c r="Y94" t="s">
        <v>1178</v>
      </c>
    </row>
    <row r="95" spans="5:25" x14ac:dyDescent="0.2">
      <c r="E95" t="s">
        <v>478</v>
      </c>
      <c r="G95" t="s">
        <v>478</v>
      </c>
      <c r="H95" t="s">
        <v>1019</v>
      </c>
      <c r="P95" t="s">
        <v>158</v>
      </c>
      <c r="Q95" t="s">
        <v>777</v>
      </c>
      <c r="R95" t="s">
        <v>1140</v>
      </c>
      <c r="S95">
        <v>0</v>
      </c>
      <c r="T95">
        <v>0</v>
      </c>
      <c r="U95">
        <v>0</v>
      </c>
      <c r="V95">
        <v>0</v>
      </c>
      <c r="X95" t="s">
        <v>1052</v>
      </c>
      <c r="Y95" t="s">
        <v>680</v>
      </c>
    </row>
    <row r="96" spans="5:25" x14ac:dyDescent="0.2">
      <c r="E96" t="s">
        <v>479</v>
      </c>
      <c r="G96" t="s">
        <v>479</v>
      </c>
      <c r="H96" t="s">
        <v>1018</v>
      </c>
      <c r="P96" t="s">
        <v>159</v>
      </c>
      <c r="Q96" t="s">
        <v>778</v>
      </c>
      <c r="R96" t="s">
        <v>1141</v>
      </c>
      <c r="S96">
        <v>0</v>
      </c>
      <c r="T96">
        <v>0</v>
      </c>
      <c r="U96">
        <v>0</v>
      </c>
      <c r="V96">
        <v>0</v>
      </c>
      <c r="X96" t="s">
        <v>1055</v>
      </c>
      <c r="Y96" t="s">
        <v>1178</v>
      </c>
    </row>
    <row r="97" spans="5:25" x14ac:dyDescent="0.2">
      <c r="E97" t="s">
        <v>480</v>
      </c>
      <c r="G97" t="s">
        <v>480</v>
      </c>
      <c r="H97" t="s">
        <v>1020</v>
      </c>
      <c r="P97" t="s">
        <v>160</v>
      </c>
      <c r="Q97" t="s">
        <v>779</v>
      </c>
      <c r="R97" t="s">
        <v>1142</v>
      </c>
      <c r="S97">
        <v>0</v>
      </c>
      <c r="T97">
        <v>0</v>
      </c>
      <c r="U97">
        <v>0</v>
      </c>
      <c r="V97">
        <v>0</v>
      </c>
      <c r="X97" t="s">
        <v>1056</v>
      </c>
      <c r="Y97" t="s">
        <v>679</v>
      </c>
    </row>
    <row r="98" spans="5:25" x14ac:dyDescent="0.2">
      <c r="E98" t="s">
        <v>481</v>
      </c>
      <c r="G98" t="s">
        <v>481</v>
      </c>
      <c r="H98" t="s">
        <v>1021</v>
      </c>
      <c r="P98" t="s">
        <v>161</v>
      </c>
      <c r="Q98" t="s">
        <v>780</v>
      </c>
      <c r="R98" t="s">
        <v>1143</v>
      </c>
      <c r="S98">
        <v>0</v>
      </c>
      <c r="T98">
        <v>0</v>
      </c>
      <c r="U98">
        <v>0</v>
      </c>
      <c r="V98">
        <v>0</v>
      </c>
      <c r="X98" t="s">
        <v>1057</v>
      </c>
      <c r="Y98" t="s">
        <v>1178</v>
      </c>
    </row>
    <row r="99" spans="5:25" x14ac:dyDescent="0.2">
      <c r="E99" t="s">
        <v>482</v>
      </c>
      <c r="G99" t="s">
        <v>482</v>
      </c>
      <c r="H99" t="s">
        <v>1022</v>
      </c>
      <c r="P99" t="s">
        <v>163</v>
      </c>
      <c r="Q99" t="s">
        <v>781</v>
      </c>
      <c r="R99" t="s">
        <v>1144</v>
      </c>
      <c r="S99">
        <v>0</v>
      </c>
      <c r="T99">
        <v>0</v>
      </c>
      <c r="U99">
        <v>0</v>
      </c>
      <c r="V99">
        <v>0</v>
      </c>
      <c r="X99" t="s">
        <v>1058</v>
      </c>
      <c r="Y99" t="s">
        <v>1178</v>
      </c>
    </row>
    <row r="100" spans="5:25" x14ac:dyDescent="0.2">
      <c r="E100" t="s">
        <v>483</v>
      </c>
      <c r="G100" t="s">
        <v>483</v>
      </c>
      <c r="H100" t="s">
        <v>1023</v>
      </c>
      <c r="P100" t="s">
        <v>167</v>
      </c>
      <c r="Q100" t="s">
        <v>782</v>
      </c>
      <c r="R100" t="s">
        <v>970</v>
      </c>
      <c r="S100">
        <v>0</v>
      </c>
      <c r="T100">
        <v>0</v>
      </c>
      <c r="U100">
        <v>0</v>
      </c>
      <c r="V100">
        <v>0</v>
      </c>
      <c r="X100" t="s">
        <v>1061</v>
      </c>
      <c r="Y100" t="s">
        <v>700</v>
      </c>
    </row>
    <row r="101" spans="5:25" x14ac:dyDescent="0.2">
      <c r="E101" t="s">
        <v>484</v>
      </c>
      <c r="G101" t="s">
        <v>484</v>
      </c>
      <c r="H101" t="s">
        <v>1024</v>
      </c>
      <c r="P101" t="s">
        <v>168</v>
      </c>
      <c r="Q101" t="s">
        <v>783</v>
      </c>
      <c r="R101" t="s">
        <v>971</v>
      </c>
      <c r="S101">
        <v>0</v>
      </c>
      <c r="T101">
        <v>0</v>
      </c>
      <c r="U101">
        <v>0</v>
      </c>
      <c r="V101">
        <v>0</v>
      </c>
      <c r="X101" t="s">
        <v>1062</v>
      </c>
      <c r="Y101" t="s">
        <v>680</v>
      </c>
    </row>
    <row r="102" spans="5:25" x14ac:dyDescent="0.2">
      <c r="E102" t="s">
        <v>485</v>
      </c>
      <c r="G102" t="s">
        <v>485</v>
      </c>
      <c r="H102" t="s">
        <v>1025</v>
      </c>
      <c r="P102" t="s">
        <v>169</v>
      </c>
      <c r="Q102" t="s">
        <v>784</v>
      </c>
      <c r="R102" t="s">
        <v>972</v>
      </c>
      <c r="S102">
        <v>0</v>
      </c>
      <c r="T102">
        <v>0</v>
      </c>
      <c r="U102">
        <v>0</v>
      </c>
      <c r="V102">
        <v>0</v>
      </c>
      <c r="X102" t="s">
        <v>1064</v>
      </c>
      <c r="Y102" t="s">
        <v>680</v>
      </c>
    </row>
    <row r="103" spans="5:25" x14ac:dyDescent="0.2">
      <c r="E103" t="s">
        <v>486</v>
      </c>
      <c r="G103" t="s">
        <v>486</v>
      </c>
      <c r="H103" t="s">
        <v>1026</v>
      </c>
      <c r="P103" t="s">
        <v>171</v>
      </c>
      <c r="Q103" t="s">
        <v>785</v>
      </c>
      <c r="R103" t="s">
        <v>974</v>
      </c>
      <c r="S103">
        <v>0</v>
      </c>
      <c r="T103">
        <v>0</v>
      </c>
      <c r="U103">
        <v>0</v>
      </c>
      <c r="V103">
        <v>0</v>
      </c>
      <c r="X103" t="s">
        <v>1065</v>
      </c>
      <c r="Y103" t="s">
        <v>766</v>
      </c>
    </row>
    <row r="104" spans="5:25" x14ac:dyDescent="0.2">
      <c r="E104" t="s">
        <v>487</v>
      </c>
      <c r="G104" t="s">
        <v>487</v>
      </c>
      <c r="H104" t="s">
        <v>1027</v>
      </c>
      <c r="P104" t="s">
        <v>172</v>
      </c>
      <c r="Q104" t="s">
        <v>787</v>
      </c>
      <c r="R104" t="s">
        <v>975</v>
      </c>
      <c r="S104">
        <v>0</v>
      </c>
      <c r="T104">
        <v>0</v>
      </c>
      <c r="U104">
        <v>0</v>
      </c>
      <c r="V104">
        <v>0</v>
      </c>
      <c r="X104" t="s">
        <v>1066</v>
      </c>
      <c r="Y104" t="s">
        <v>680</v>
      </c>
    </row>
    <row r="105" spans="5:25" x14ac:dyDescent="0.2">
      <c r="E105" t="s">
        <v>488</v>
      </c>
      <c r="G105" t="s">
        <v>488</v>
      </c>
      <c r="H105" t="s">
        <v>1028</v>
      </c>
      <c r="P105" t="s">
        <v>173</v>
      </c>
      <c r="Q105" t="s">
        <v>788</v>
      </c>
      <c r="R105" t="s">
        <v>1145</v>
      </c>
      <c r="S105">
        <v>0</v>
      </c>
      <c r="T105">
        <v>0</v>
      </c>
      <c r="U105">
        <v>0</v>
      </c>
      <c r="V105">
        <v>0</v>
      </c>
      <c r="X105" t="s">
        <v>1067</v>
      </c>
      <c r="Y105" t="s">
        <v>680</v>
      </c>
    </row>
    <row r="106" spans="5:25" x14ac:dyDescent="0.2">
      <c r="E106" t="s">
        <v>489</v>
      </c>
      <c r="G106" t="s">
        <v>489</v>
      </c>
      <c r="H106" t="s">
        <v>1029</v>
      </c>
      <c r="P106" t="s">
        <v>176</v>
      </c>
      <c r="Q106" t="s">
        <v>789</v>
      </c>
      <c r="R106" t="s">
        <v>981</v>
      </c>
      <c r="S106">
        <v>234</v>
      </c>
      <c r="T106">
        <v>0</v>
      </c>
      <c r="U106">
        <v>0</v>
      </c>
      <c r="V106">
        <v>0</v>
      </c>
      <c r="X106" t="s">
        <v>1068</v>
      </c>
      <c r="Y106" t="s">
        <v>680</v>
      </c>
    </row>
    <row r="107" spans="5:25" x14ac:dyDescent="0.2">
      <c r="E107" t="s">
        <v>490</v>
      </c>
      <c r="G107" t="s">
        <v>490</v>
      </c>
      <c r="H107" t="s">
        <v>1030</v>
      </c>
      <c r="P107" t="s">
        <v>179</v>
      </c>
      <c r="Q107" t="s">
        <v>790</v>
      </c>
      <c r="R107" t="s">
        <v>982</v>
      </c>
      <c r="S107">
        <v>246</v>
      </c>
      <c r="T107">
        <v>0</v>
      </c>
      <c r="U107">
        <v>0</v>
      </c>
      <c r="V107">
        <v>0</v>
      </c>
      <c r="X107" t="s">
        <v>1069</v>
      </c>
      <c r="Y107" t="s">
        <v>680</v>
      </c>
    </row>
    <row r="108" spans="5:25" x14ac:dyDescent="0.2">
      <c r="E108" t="s">
        <v>491</v>
      </c>
      <c r="G108" t="s">
        <v>491</v>
      </c>
      <c r="H108" t="s">
        <v>1031</v>
      </c>
      <c r="P108" t="s">
        <v>180</v>
      </c>
      <c r="Q108" t="s">
        <v>791</v>
      </c>
      <c r="R108" t="s">
        <v>979</v>
      </c>
      <c r="S108">
        <v>250</v>
      </c>
      <c r="T108">
        <v>0</v>
      </c>
      <c r="U108">
        <v>0</v>
      </c>
      <c r="V108">
        <v>0</v>
      </c>
      <c r="X108" t="s">
        <v>1070</v>
      </c>
      <c r="Y108" t="s">
        <v>680</v>
      </c>
    </row>
    <row r="109" spans="5:25" x14ac:dyDescent="0.2">
      <c r="E109" t="s">
        <v>492</v>
      </c>
      <c r="G109" t="s">
        <v>492</v>
      </c>
      <c r="H109" t="s">
        <v>1032</v>
      </c>
      <c r="P109" t="s">
        <v>181</v>
      </c>
      <c r="Q109" t="s">
        <v>792</v>
      </c>
      <c r="R109" t="s">
        <v>985</v>
      </c>
      <c r="S109">
        <v>254</v>
      </c>
      <c r="T109">
        <v>0</v>
      </c>
      <c r="U109">
        <v>0</v>
      </c>
      <c r="V109">
        <v>0</v>
      </c>
      <c r="X109" t="s">
        <v>1072</v>
      </c>
      <c r="Y109" t="s">
        <v>680</v>
      </c>
    </row>
    <row r="110" spans="5:25" x14ac:dyDescent="0.2">
      <c r="E110" t="s">
        <v>493</v>
      </c>
      <c r="G110" t="s">
        <v>493</v>
      </c>
      <c r="H110" t="s">
        <v>1033</v>
      </c>
      <c r="P110" t="s">
        <v>184</v>
      </c>
      <c r="Q110" t="s">
        <v>793</v>
      </c>
      <c r="R110" t="s">
        <v>983</v>
      </c>
      <c r="S110">
        <v>266</v>
      </c>
      <c r="T110">
        <v>0</v>
      </c>
      <c r="U110">
        <v>0</v>
      </c>
      <c r="V110">
        <v>0</v>
      </c>
      <c r="X110" t="s">
        <v>1073</v>
      </c>
      <c r="Y110" t="s">
        <v>707</v>
      </c>
    </row>
    <row r="111" spans="5:25" x14ac:dyDescent="0.2">
      <c r="E111" t="s">
        <v>494</v>
      </c>
      <c r="G111" t="s">
        <v>494</v>
      </c>
      <c r="H111" t="s">
        <v>1034</v>
      </c>
      <c r="P111" t="s">
        <v>188</v>
      </c>
      <c r="Q111" t="s">
        <v>794</v>
      </c>
      <c r="R111" t="s">
        <v>993</v>
      </c>
      <c r="S111">
        <v>279</v>
      </c>
      <c r="T111">
        <v>0</v>
      </c>
      <c r="U111">
        <v>0</v>
      </c>
      <c r="V111">
        <v>0</v>
      </c>
      <c r="X111" t="s">
        <v>1127</v>
      </c>
      <c r="Y111" t="s">
        <v>680</v>
      </c>
    </row>
    <row r="112" spans="5:25" x14ac:dyDescent="0.2">
      <c r="E112" t="s">
        <v>495</v>
      </c>
      <c r="G112" t="s">
        <v>495</v>
      </c>
      <c r="H112" t="s">
        <v>1035</v>
      </c>
      <c r="P112" t="s">
        <v>193</v>
      </c>
      <c r="Q112" t="s">
        <v>795</v>
      </c>
      <c r="R112" t="s">
        <v>992</v>
      </c>
      <c r="S112">
        <v>299</v>
      </c>
      <c r="T112">
        <v>0</v>
      </c>
      <c r="U112">
        <v>0</v>
      </c>
      <c r="V112">
        <v>0</v>
      </c>
      <c r="X112" t="s">
        <v>1128</v>
      </c>
      <c r="Y112" t="s">
        <v>680</v>
      </c>
    </row>
    <row r="113" spans="5:25" x14ac:dyDescent="0.2">
      <c r="E113" t="s">
        <v>496</v>
      </c>
      <c r="G113" t="s">
        <v>496</v>
      </c>
      <c r="H113" t="s">
        <v>1036</v>
      </c>
      <c r="P113" t="s">
        <v>194</v>
      </c>
      <c r="Q113" t="s">
        <v>796</v>
      </c>
      <c r="R113" t="s">
        <v>991</v>
      </c>
      <c r="S113">
        <v>303</v>
      </c>
      <c r="T113">
        <v>0</v>
      </c>
      <c r="U113">
        <v>0</v>
      </c>
      <c r="V113">
        <v>0</v>
      </c>
      <c r="X113" t="s">
        <v>1053</v>
      </c>
      <c r="Y113" t="s">
        <v>680</v>
      </c>
    </row>
    <row r="114" spans="5:25" x14ac:dyDescent="0.2">
      <c r="E114" t="s">
        <v>497</v>
      </c>
      <c r="G114" t="s">
        <v>497</v>
      </c>
      <c r="H114" t="s">
        <v>1037</v>
      </c>
      <c r="P114" t="s">
        <v>195</v>
      </c>
      <c r="Q114" t="s">
        <v>798</v>
      </c>
      <c r="R114" t="s">
        <v>990</v>
      </c>
      <c r="S114">
        <v>307</v>
      </c>
      <c r="T114">
        <v>0</v>
      </c>
      <c r="U114">
        <v>0</v>
      </c>
      <c r="V114">
        <v>0</v>
      </c>
      <c r="X114" t="s">
        <v>1054</v>
      </c>
      <c r="Y114" t="s">
        <v>680</v>
      </c>
    </row>
    <row r="115" spans="5:25" x14ac:dyDescent="0.2">
      <c r="E115" t="s">
        <v>498</v>
      </c>
      <c r="G115" t="s">
        <v>498</v>
      </c>
      <c r="H115" t="s">
        <v>1038</v>
      </c>
      <c r="P115" t="s">
        <v>196</v>
      </c>
      <c r="Q115" t="s">
        <v>799</v>
      </c>
      <c r="R115" t="s">
        <v>994</v>
      </c>
      <c r="S115">
        <v>311</v>
      </c>
      <c r="T115">
        <v>0</v>
      </c>
      <c r="U115">
        <v>0</v>
      </c>
      <c r="V115">
        <v>0</v>
      </c>
      <c r="X115" t="s">
        <v>1129</v>
      </c>
      <c r="Y115" t="s">
        <v>680</v>
      </c>
    </row>
    <row r="116" spans="5:25" x14ac:dyDescent="0.2">
      <c r="E116" t="s">
        <v>499</v>
      </c>
      <c r="G116" t="s">
        <v>499</v>
      </c>
      <c r="H116" t="s">
        <v>1039</v>
      </c>
      <c r="P116" t="s">
        <v>198</v>
      </c>
      <c r="Q116" t="s">
        <v>801</v>
      </c>
      <c r="R116" t="s">
        <v>1001</v>
      </c>
      <c r="S116">
        <v>316</v>
      </c>
      <c r="T116">
        <v>0</v>
      </c>
      <c r="U116">
        <v>0</v>
      </c>
      <c r="V116">
        <v>0</v>
      </c>
      <c r="X116" t="s">
        <v>1130</v>
      </c>
      <c r="Y116" t="s">
        <v>680</v>
      </c>
    </row>
    <row r="117" spans="5:25" x14ac:dyDescent="0.2">
      <c r="E117" t="s">
        <v>500</v>
      </c>
      <c r="G117" t="s">
        <v>500</v>
      </c>
      <c r="H117" t="s">
        <v>1040</v>
      </c>
      <c r="P117" t="s">
        <v>199</v>
      </c>
      <c r="Q117" t="s">
        <v>803</v>
      </c>
      <c r="R117" t="s">
        <v>1000</v>
      </c>
      <c r="S117">
        <v>320</v>
      </c>
      <c r="T117">
        <v>0</v>
      </c>
      <c r="U117">
        <v>0</v>
      </c>
      <c r="V117">
        <v>0</v>
      </c>
      <c r="X117" t="s">
        <v>1131</v>
      </c>
      <c r="Y117" t="s">
        <v>680</v>
      </c>
    </row>
    <row r="118" spans="5:25" x14ac:dyDescent="0.2">
      <c r="E118" t="s">
        <v>501</v>
      </c>
      <c r="G118" t="s">
        <v>501</v>
      </c>
      <c r="H118" t="s">
        <v>1041</v>
      </c>
      <c r="P118" t="s">
        <v>200</v>
      </c>
      <c r="Q118" t="s">
        <v>804</v>
      </c>
      <c r="R118" t="s">
        <v>1146</v>
      </c>
      <c r="S118">
        <v>324</v>
      </c>
      <c r="T118">
        <v>0</v>
      </c>
      <c r="U118">
        <v>0</v>
      </c>
      <c r="V118">
        <v>0</v>
      </c>
      <c r="X118" t="s">
        <v>1063</v>
      </c>
      <c r="Y118" t="s">
        <v>680</v>
      </c>
    </row>
    <row r="119" spans="5:25" x14ac:dyDescent="0.2">
      <c r="E119" t="s">
        <v>502</v>
      </c>
      <c r="G119" t="s">
        <v>502</v>
      </c>
      <c r="H119" t="s">
        <v>1042</v>
      </c>
      <c r="P119" t="s">
        <v>281</v>
      </c>
      <c r="Q119" t="s">
        <v>870</v>
      </c>
      <c r="R119" t="s">
        <v>1075</v>
      </c>
      <c r="S119">
        <v>611</v>
      </c>
      <c r="T119">
        <v>0</v>
      </c>
      <c r="U119">
        <v>0</v>
      </c>
      <c r="V119">
        <v>0</v>
      </c>
      <c r="X119" t="s">
        <v>1075</v>
      </c>
      <c r="Y119" t="s">
        <v>687</v>
      </c>
    </row>
    <row r="120" spans="5:25" x14ac:dyDescent="0.2">
      <c r="E120" t="s">
        <v>503</v>
      </c>
      <c r="G120" t="s">
        <v>503</v>
      </c>
      <c r="H120" t="s">
        <v>1043</v>
      </c>
      <c r="P120" t="s">
        <v>283</v>
      </c>
      <c r="Q120" t="s">
        <v>871</v>
      </c>
      <c r="R120" t="s">
        <v>1076</v>
      </c>
      <c r="S120">
        <v>616</v>
      </c>
      <c r="T120">
        <v>0</v>
      </c>
      <c r="U120">
        <v>0</v>
      </c>
      <c r="V120">
        <v>0</v>
      </c>
      <c r="X120" t="s">
        <v>1076</v>
      </c>
      <c r="Y120" t="s">
        <v>687</v>
      </c>
    </row>
    <row r="121" spans="5:25" x14ac:dyDescent="0.2">
      <c r="E121" t="s">
        <v>504</v>
      </c>
      <c r="G121" t="s">
        <v>504</v>
      </c>
      <c r="H121" t="s">
        <v>1043</v>
      </c>
      <c r="P121" t="s">
        <v>284</v>
      </c>
      <c r="Q121" t="s">
        <v>872</v>
      </c>
      <c r="R121" t="s">
        <v>1079</v>
      </c>
      <c r="S121">
        <v>620</v>
      </c>
      <c r="T121">
        <v>0</v>
      </c>
      <c r="U121">
        <v>0</v>
      </c>
      <c r="V121">
        <v>0</v>
      </c>
      <c r="X121" t="s">
        <v>1079</v>
      </c>
      <c r="Y121" t="s">
        <v>687</v>
      </c>
    </row>
    <row r="122" spans="5:25" x14ac:dyDescent="0.2">
      <c r="E122" t="s">
        <v>505</v>
      </c>
      <c r="G122" t="s">
        <v>505</v>
      </c>
      <c r="H122" t="s">
        <v>1044</v>
      </c>
      <c r="P122" t="s">
        <v>286</v>
      </c>
      <c r="Q122" t="s">
        <v>873</v>
      </c>
      <c r="R122" t="s">
        <v>1081</v>
      </c>
      <c r="S122">
        <v>625</v>
      </c>
      <c r="T122">
        <v>0</v>
      </c>
      <c r="U122">
        <v>0</v>
      </c>
      <c r="V122">
        <v>0</v>
      </c>
      <c r="X122" t="s">
        <v>1081</v>
      </c>
      <c r="Y122" t="s">
        <v>687</v>
      </c>
    </row>
    <row r="123" spans="5:25" x14ac:dyDescent="0.2">
      <c r="E123" t="s">
        <v>506</v>
      </c>
      <c r="G123" t="s">
        <v>506</v>
      </c>
      <c r="H123" t="s">
        <v>1045</v>
      </c>
      <c r="P123" t="s">
        <v>287</v>
      </c>
      <c r="Q123" t="s">
        <v>874</v>
      </c>
      <c r="R123" t="s">
        <v>1082</v>
      </c>
      <c r="S123">
        <v>629</v>
      </c>
      <c r="T123">
        <v>0</v>
      </c>
      <c r="U123">
        <v>0</v>
      </c>
      <c r="V123">
        <v>0</v>
      </c>
      <c r="X123" t="s">
        <v>1082</v>
      </c>
      <c r="Y123" t="s">
        <v>687</v>
      </c>
    </row>
    <row r="124" spans="5:25" x14ac:dyDescent="0.2">
      <c r="E124" t="s">
        <v>507</v>
      </c>
      <c r="G124" t="s">
        <v>507</v>
      </c>
      <c r="H124" t="s">
        <v>1045</v>
      </c>
      <c r="P124" t="s">
        <v>288</v>
      </c>
      <c r="Q124" t="s">
        <v>875</v>
      </c>
      <c r="R124" t="s">
        <v>1083</v>
      </c>
      <c r="S124">
        <v>633</v>
      </c>
      <c r="T124">
        <v>0</v>
      </c>
      <c r="U124">
        <v>0</v>
      </c>
      <c r="V124">
        <v>0</v>
      </c>
      <c r="X124" t="s">
        <v>1083</v>
      </c>
      <c r="Y124" t="s">
        <v>687</v>
      </c>
    </row>
    <row r="125" spans="5:25" x14ac:dyDescent="0.2">
      <c r="E125" t="s">
        <v>508</v>
      </c>
      <c r="G125" t="s">
        <v>508</v>
      </c>
      <c r="H125" t="s">
        <v>1045</v>
      </c>
      <c r="P125" t="s">
        <v>290</v>
      </c>
      <c r="Q125" t="s">
        <v>876</v>
      </c>
      <c r="R125" t="s">
        <v>1085</v>
      </c>
      <c r="S125">
        <v>638</v>
      </c>
      <c r="T125">
        <v>0</v>
      </c>
      <c r="U125">
        <v>0</v>
      </c>
      <c r="V125">
        <v>0</v>
      </c>
      <c r="X125" t="s">
        <v>1085</v>
      </c>
      <c r="Y125" t="s">
        <v>687</v>
      </c>
    </row>
    <row r="126" spans="5:25" x14ac:dyDescent="0.2">
      <c r="E126" t="s">
        <v>509</v>
      </c>
      <c r="G126" t="s">
        <v>509</v>
      </c>
      <c r="H126" t="s">
        <v>1046</v>
      </c>
      <c r="P126" t="s">
        <v>291</v>
      </c>
      <c r="Q126" t="s">
        <v>877</v>
      </c>
      <c r="R126" t="s">
        <v>1086</v>
      </c>
      <c r="S126">
        <v>642</v>
      </c>
      <c r="T126">
        <v>0</v>
      </c>
      <c r="U126">
        <v>0</v>
      </c>
      <c r="V126">
        <v>0</v>
      </c>
      <c r="X126" t="s">
        <v>1086</v>
      </c>
      <c r="Y126" t="s">
        <v>687</v>
      </c>
    </row>
    <row r="127" spans="5:25" x14ac:dyDescent="0.2">
      <c r="E127" t="s">
        <v>510</v>
      </c>
      <c r="G127" t="s">
        <v>510</v>
      </c>
      <c r="H127" t="s">
        <v>1047</v>
      </c>
      <c r="P127" t="s">
        <v>292</v>
      </c>
      <c r="Q127" t="s">
        <v>878</v>
      </c>
      <c r="R127" t="s">
        <v>1087</v>
      </c>
      <c r="S127">
        <v>646</v>
      </c>
      <c r="T127">
        <v>0</v>
      </c>
      <c r="U127">
        <v>0</v>
      </c>
      <c r="V127">
        <v>0</v>
      </c>
      <c r="X127" t="s">
        <v>1087</v>
      </c>
      <c r="Y127" t="s">
        <v>687</v>
      </c>
    </row>
    <row r="128" spans="5:25" x14ac:dyDescent="0.2">
      <c r="E128" t="s">
        <v>511</v>
      </c>
      <c r="G128" t="s">
        <v>511</v>
      </c>
      <c r="H128" t="s">
        <v>1048</v>
      </c>
      <c r="P128" t="s">
        <v>293</v>
      </c>
      <c r="Q128" t="s">
        <v>879</v>
      </c>
      <c r="R128" t="s">
        <v>1088</v>
      </c>
      <c r="S128">
        <v>650</v>
      </c>
      <c r="T128">
        <v>0</v>
      </c>
      <c r="U128">
        <v>0</v>
      </c>
      <c r="V128">
        <v>0</v>
      </c>
      <c r="X128" t="s">
        <v>1088</v>
      </c>
      <c r="Y128" t="s">
        <v>687</v>
      </c>
    </row>
    <row r="129" spans="5:25" x14ac:dyDescent="0.2">
      <c r="E129" t="s">
        <v>512</v>
      </c>
      <c r="G129" t="s">
        <v>512</v>
      </c>
      <c r="H129" t="s">
        <v>1049</v>
      </c>
      <c r="P129" t="s">
        <v>294</v>
      </c>
      <c r="Q129" t="s">
        <v>880</v>
      </c>
      <c r="R129" t="s">
        <v>1089</v>
      </c>
      <c r="S129">
        <v>654</v>
      </c>
      <c r="T129">
        <v>0</v>
      </c>
      <c r="U129">
        <v>0</v>
      </c>
      <c r="V129">
        <v>0</v>
      </c>
      <c r="X129" t="s">
        <v>1089</v>
      </c>
      <c r="Y129" t="s">
        <v>687</v>
      </c>
    </row>
    <row r="130" spans="5:25" x14ac:dyDescent="0.2">
      <c r="E130" t="s">
        <v>513</v>
      </c>
      <c r="G130" t="s">
        <v>513</v>
      </c>
      <c r="H130" t="s">
        <v>1050</v>
      </c>
      <c r="P130" t="s">
        <v>295</v>
      </c>
      <c r="Q130" t="s">
        <v>881</v>
      </c>
      <c r="R130" t="s">
        <v>1090</v>
      </c>
      <c r="S130">
        <v>658</v>
      </c>
      <c r="T130">
        <v>0</v>
      </c>
      <c r="U130">
        <v>0</v>
      </c>
      <c r="V130">
        <v>0</v>
      </c>
      <c r="X130" t="s">
        <v>1090</v>
      </c>
      <c r="Y130" t="s">
        <v>687</v>
      </c>
    </row>
    <row r="131" spans="5:25" x14ac:dyDescent="0.2">
      <c r="E131" t="s">
        <v>514</v>
      </c>
      <c r="G131" t="s">
        <v>514</v>
      </c>
      <c r="H131" t="s">
        <v>1051</v>
      </c>
      <c r="P131" t="s">
        <v>296</v>
      </c>
      <c r="Q131" t="s">
        <v>882</v>
      </c>
      <c r="R131" t="s">
        <v>1091</v>
      </c>
      <c r="S131">
        <v>662</v>
      </c>
      <c r="T131">
        <v>0</v>
      </c>
      <c r="U131">
        <v>0</v>
      </c>
      <c r="V131">
        <v>0</v>
      </c>
      <c r="X131" t="s">
        <v>1091</v>
      </c>
      <c r="Y131" t="s">
        <v>687</v>
      </c>
    </row>
    <row r="132" spans="5:25" x14ac:dyDescent="0.2">
      <c r="E132" t="s">
        <v>515</v>
      </c>
      <c r="G132" t="s">
        <v>515</v>
      </c>
      <c r="H132" t="s">
        <v>1051</v>
      </c>
      <c r="P132" t="s">
        <v>297</v>
      </c>
      <c r="Q132" t="s">
        <v>883</v>
      </c>
      <c r="R132" t="s">
        <v>1077</v>
      </c>
      <c r="S132">
        <v>666</v>
      </c>
      <c r="T132">
        <v>0</v>
      </c>
      <c r="U132">
        <v>0</v>
      </c>
      <c r="V132">
        <v>0</v>
      </c>
      <c r="X132" t="s">
        <v>1077</v>
      </c>
      <c r="Y132" t="s">
        <v>687</v>
      </c>
    </row>
    <row r="133" spans="5:25" x14ac:dyDescent="0.2">
      <c r="E133" t="s">
        <v>516</v>
      </c>
      <c r="G133" t="s">
        <v>516</v>
      </c>
      <c r="H133" t="s">
        <v>1051</v>
      </c>
      <c r="P133" t="s">
        <v>298</v>
      </c>
      <c r="Q133" t="s">
        <v>884</v>
      </c>
      <c r="R133" t="s">
        <v>1092</v>
      </c>
      <c r="S133">
        <v>670</v>
      </c>
      <c r="T133">
        <v>0</v>
      </c>
      <c r="U133">
        <v>0</v>
      </c>
      <c r="V133">
        <v>0</v>
      </c>
      <c r="X133" t="s">
        <v>1092</v>
      </c>
      <c r="Y133" t="s">
        <v>687</v>
      </c>
    </row>
    <row r="134" spans="5:25" x14ac:dyDescent="0.2">
      <c r="E134" t="s">
        <v>517</v>
      </c>
      <c r="G134" t="s">
        <v>517</v>
      </c>
      <c r="H134" t="s">
        <v>1052</v>
      </c>
      <c r="P134" t="s">
        <v>300</v>
      </c>
      <c r="Q134" t="s">
        <v>885</v>
      </c>
      <c r="R134" t="s">
        <v>1102</v>
      </c>
      <c r="S134">
        <v>675</v>
      </c>
      <c r="T134">
        <v>0</v>
      </c>
      <c r="U134">
        <v>0</v>
      </c>
      <c r="V134">
        <v>0</v>
      </c>
      <c r="X134" t="s">
        <v>1102</v>
      </c>
      <c r="Y134" t="s">
        <v>702</v>
      </c>
    </row>
    <row r="135" spans="5:25" x14ac:dyDescent="0.2">
      <c r="E135" t="s">
        <v>518</v>
      </c>
      <c r="G135" t="s">
        <v>518</v>
      </c>
      <c r="H135" t="s">
        <v>1048</v>
      </c>
      <c r="P135" t="s">
        <v>301</v>
      </c>
      <c r="Q135" t="s">
        <v>886</v>
      </c>
      <c r="R135" t="s">
        <v>1071</v>
      </c>
      <c r="S135">
        <v>679</v>
      </c>
      <c r="T135">
        <v>0</v>
      </c>
      <c r="U135">
        <v>0</v>
      </c>
      <c r="V135">
        <v>0</v>
      </c>
      <c r="X135" t="s">
        <v>1071</v>
      </c>
      <c r="Y135" t="s">
        <v>702</v>
      </c>
    </row>
    <row r="136" spans="5:25" x14ac:dyDescent="0.2">
      <c r="E136" t="s">
        <v>519</v>
      </c>
      <c r="G136" t="s">
        <v>519</v>
      </c>
      <c r="H136" t="s">
        <v>1048</v>
      </c>
      <c r="P136" t="s">
        <v>302</v>
      </c>
      <c r="Q136" t="s">
        <v>887</v>
      </c>
      <c r="R136" t="s">
        <v>1100</v>
      </c>
      <c r="S136">
        <v>683</v>
      </c>
      <c r="T136">
        <v>0</v>
      </c>
      <c r="U136">
        <v>0</v>
      </c>
      <c r="V136">
        <v>0</v>
      </c>
      <c r="X136" t="s">
        <v>1100</v>
      </c>
      <c r="Y136" t="s">
        <v>702</v>
      </c>
    </row>
    <row r="137" spans="5:25" x14ac:dyDescent="0.2">
      <c r="E137" t="s">
        <v>520</v>
      </c>
      <c r="G137" t="s">
        <v>520</v>
      </c>
      <c r="H137" t="s">
        <v>1048</v>
      </c>
      <c r="P137" t="s">
        <v>303</v>
      </c>
      <c r="Q137" t="s">
        <v>888</v>
      </c>
      <c r="R137" t="s">
        <v>1104</v>
      </c>
      <c r="S137">
        <v>687</v>
      </c>
      <c r="T137">
        <v>0</v>
      </c>
      <c r="U137">
        <v>0</v>
      </c>
      <c r="V137">
        <v>0</v>
      </c>
      <c r="X137" t="s">
        <v>1104</v>
      </c>
      <c r="Y137" t="s">
        <v>685</v>
      </c>
    </row>
    <row r="138" spans="5:25" x14ac:dyDescent="0.2">
      <c r="E138" t="s">
        <v>521</v>
      </c>
      <c r="G138" t="s">
        <v>521</v>
      </c>
      <c r="H138" t="s">
        <v>1048</v>
      </c>
      <c r="P138" t="s">
        <v>304</v>
      </c>
      <c r="Q138" t="s">
        <v>889</v>
      </c>
      <c r="R138" t="s">
        <v>1120</v>
      </c>
      <c r="S138">
        <v>691</v>
      </c>
      <c r="T138">
        <v>0</v>
      </c>
      <c r="U138">
        <v>0</v>
      </c>
      <c r="V138">
        <v>0</v>
      </c>
      <c r="X138" t="s">
        <v>1120</v>
      </c>
      <c r="Y138" t="s">
        <v>681</v>
      </c>
    </row>
    <row r="139" spans="5:25" x14ac:dyDescent="0.2">
      <c r="E139" t="s">
        <v>522</v>
      </c>
      <c r="G139" t="s">
        <v>522</v>
      </c>
      <c r="H139" t="s">
        <v>1053</v>
      </c>
      <c r="P139" t="s">
        <v>308</v>
      </c>
      <c r="Q139" t="s">
        <v>890</v>
      </c>
      <c r="R139" t="s">
        <v>1105</v>
      </c>
      <c r="S139">
        <v>704</v>
      </c>
      <c r="T139">
        <v>0</v>
      </c>
      <c r="U139">
        <v>0</v>
      </c>
      <c r="V139">
        <v>0</v>
      </c>
      <c r="X139" t="s">
        <v>1105</v>
      </c>
      <c r="Y139" t="s">
        <v>693</v>
      </c>
    </row>
    <row r="140" spans="5:25" x14ac:dyDescent="0.2">
      <c r="E140" t="s">
        <v>523</v>
      </c>
      <c r="G140" t="s">
        <v>523</v>
      </c>
      <c r="H140" t="s">
        <v>1054</v>
      </c>
      <c r="P140" t="s">
        <v>310</v>
      </c>
      <c r="Q140" t="s">
        <v>891</v>
      </c>
      <c r="R140" t="s">
        <v>1107</v>
      </c>
      <c r="S140">
        <v>709</v>
      </c>
      <c r="T140">
        <v>0</v>
      </c>
      <c r="U140">
        <v>0</v>
      </c>
      <c r="V140">
        <v>0</v>
      </c>
      <c r="X140" t="s">
        <v>1107</v>
      </c>
      <c r="Y140" t="s">
        <v>693</v>
      </c>
    </row>
    <row r="141" spans="5:25" x14ac:dyDescent="0.2">
      <c r="E141" t="s">
        <v>524</v>
      </c>
      <c r="G141" t="s">
        <v>524</v>
      </c>
      <c r="H141" t="s">
        <v>1055</v>
      </c>
      <c r="P141" t="s">
        <v>311</v>
      </c>
      <c r="Q141" t="s">
        <v>892</v>
      </c>
      <c r="R141" t="s">
        <v>1108</v>
      </c>
      <c r="S141">
        <v>713</v>
      </c>
      <c r="T141">
        <v>0</v>
      </c>
      <c r="U141">
        <v>0</v>
      </c>
      <c r="V141">
        <v>0</v>
      </c>
      <c r="X141" t="s">
        <v>1108</v>
      </c>
      <c r="Y141" t="s">
        <v>693</v>
      </c>
    </row>
    <row r="142" spans="5:25" x14ac:dyDescent="0.2">
      <c r="E142" t="s">
        <v>525</v>
      </c>
      <c r="G142" t="s">
        <v>525</v>
      </c>
      <c r="H142" t="s">
        <v>1056</v>
      </c>
      <c r="P142" t="s">
        <v>313</v>
      </c>
      <c r="Q142" t="s">
        <v>893</v>
      </c>
      <c r="R142" t="s">
        <v>1110</v>
      </c>
      <c r="S142">
        <v>718</v>
      </c>
      <c r="T142">
        <v>0</v>
      </c>
      <c r="U142">
        <v>0</v>
      </c>
      <c r="V142">
        <v>0</v>
      </c>
      <c r="X142" t="s">
        <v>1110</v>
      </c>
      <c r="Y142" t="s">
        <v>693</v>
      </c>
    </row>
    <row r="143" spans="5:25" x14ac:dyDescent="0.2">
      <c r="E143" t="s">
        <v>526</v>
      </c>
      <c r="G143" t="s">
        <v>526</v>
      </c>
      <c r="H143" t="s">
        <v>1057</v>
      </c>
      <c r="P143" t="s">
        <v>314</v>
      </c>
      <c r="Q143" t="s">
        <v>894</v>
      </c>
      <c r="R143" t="s">
        <v>1111</v>
      </c>
      <c r="S143">
        <v>722</v>
      </c>
      <c r="T143">
        <v>0</v>
      </c>
      <c r="U143">
        <v>0</v>
      </c>
      <c r="V143">
        <v>0</v>
      </c>
      <c r="X143" t="s">
        <v>1111</v>
      </c>
      <c r="Y143" t="s">
        <v>693</v>
      </c>
    </row>
    <row r="144" spans="5:25" x14ac:dyDescent="0.2">
      <c r="E144" t="s">
        <v>527</v>
      </c>
      <c r="G144" t="s">
        <v>527</v>
      </c>
      <c r="H144" t="s">
        <v>1058</v>
      </c>
      <c r="P144" t="s">
        <v>315</v>
      </c>
      <c r="Q144" t="s">
        <v>895</v>
      </c>
      <c r="R144" t="s">
        <v>1112</v>
      </c>
      <c r="S144">
        <v>726</v>
      </c>
      <c r="T144">
        <v>0</v>
      </c>
      <c r="U144">
        <v>0</v>
      </c>
      <c r="V144">
        <v>0</v>
      </c>
      <c r="X144" t="s">
        <v>1112</v>
      </c>
      <c r="Y144" t="s">
        <v>693</v>
      </c>
    </row>
    <row r="145" spans="5:25" x14ac:dyDescent="0.2">
      <c r="E145" t="s">
        <v>528</v>
      </c>
      <c r="G145" t="s">
        <v>528</v>
      </c>
      <c r="H145" t="s">
        <v>1059</v>
      </c>
      <c r="P145" t="s">
        <v>317</v>
      </c>
      <c r="Q145" t="s">
        <v>896</v>
      </c>
      <c r="R145" t="s">
        <v>1114</v>
      </c>
      <c r="S145">
        <v>731</v>
      </c>
      <c r="T145">
        <v>0</v>
      </c>
      <c r="U145">
        <v>0</v>
      </c>
      <c r="V145">
        <v>0</v>
      </c>
      <c r="X145" t="s">
        <v>1114</v>
      </c>
      <c r="Y145" t="s">
        <v>693</v>
      </c>
    </row>
    <row r="146" spans="5:25" x14ac:dyDescent="0.2">
      <c r="E146" t="s">
        <v>529</v>
      </c>
      <c r="G146" t="s">
        <v>529</v>
      </c>
      <c r="H146" t="s">
        <v>1052</v>
      </c>
      <c r="P146" t="s">
        <v>318</v>
      </c>
      <c r="Q146" t="s">
        <v>897</v>
      </c>
      <c r="R146" t="s">
        <v>1115</v>
      </c>
      <c r="S146">
        <v>735</v>
      </c>
      <c r="T146">
        <v>0</v>
      </c>
      <c r="U146">
        <v>0</v>
      </c>
      <c r="V146">
        <v>0</v>
      </c>
      <c r="X146" t="s">
        <v>1115</v>
      </c>
      <c r="Y146" t="s">
        <v>693</v>
      </c>
    </row>
    <row r="147" spans="5:25" x14ac:dyDescent="0.2">
      <c r="E147" t="s">
        <v>530</v>
      </c>
      <c r="G147" t="s">
        <v>530</v>
      </c>
      <c r="H147" t="s">
        <v>1060</v>
      </c>
      <c r="P147" t="s">
        <v>319</v>
      </c>
      <c r="Q147" t="s">
        <v>898</v>
      </c>
      <c r="R147" t="s">
        <v>1116</v>
      </c>
      <c r="S147">
        <v>739</v>
      </c>
      <c r="T147">
        <v>0</v>
      </c>
      <c r="U147">
        <v>0</v>
      </c>
      <c r="V147">
        <v>0</v>
      </c>
      <c r="X147" t="s">
        <v>1116</v>
      </c>
      <c r="Y147" t="s">
        <v>693</v>
      </c>
    </row>
    <row r="148" spans="5:25" x14ac:dyDescent="0.2">
      <c r="E148" t="s">
        <v>531</v>
      </c>
      <c r="G148" t="s">
        <v>531</v>
      </c>
      <c r="H148" t="s">
        <v>1061</v>
      </c>
      <c r="P148" t="s">
        <v>320</v>
      </c>
      <c r="Q148" t="s">
        <v>899</v>
      </c>
      <c r="R148" t="s">
        <v>1117</v>
      </c>
      <c r="S148">
        <v>743</v>
      </c>
      <c r="T148">
        <v>0</v>
      </c>
      <c r="U148">
        <v>0</v>
      </c>
      <c r="V148">
        <v>0</v>
      </c>
      <c r="X148" t="s">
        <v>1117</v>
      </c>
      <c r="Y148" t="s">
        <v>693</v>
      </c>
    </row>
    <row r="149" spans="5:25" x14ac:dyDescent="0.2">
      <c r="E149" t="s">
        <v>532</v>
      </c>
      <c r="G149" t="s">
        <v>532</v>
      </c>
      <c r="H149" t="s">
        <v>1062</v>
      </c>
      <c r="P149" t="s">
        <v>321</v>
      </c>
      <c r="Q149" t="s">
        <v>900</v>
      </c>
      <c r="R149" t="s">
        <v>1118</v>
      </c>
      <c r="S149">
        <v>747</v>
      </c>
      <c r="T149">
        <v>0</v>
      </c>
      <c r="U149">
        <v>0</v>
      </c>
      <c r="V149">
        <v>0</v>
      </c>
      <c r="X149" t="s">
        <v>1118</v>
      </c>
      <c r="Y149" t="s">
        <v>693</v>
      </c>
    </row>
    <row r="150" spans="5:25" x14ac:dyDescent="0.2">
      <c r="E150" t="s">
        <v>533</v>
      </c>
      <c r="G150" t="s">
        <v>533</v>
      </c>
      <c r="H150" t="s">
        <v>1063</v>
      </c>
      <c r="P150" t="s">
        <v>322</v>
      </c>
      <c r="Q150" t="s">
        <v>901</v>
      </c>
      <c r="R150" t="s">
        <v>1119</v>
      </c>
      <c r="S150">
        <v>751</v>
      </c>
      <c r="T150">
        <v>0</v>
      </c>
      <c r="U150">
        <v>0</v>
      </c>
      <c r="V150">
        <v>0</v>
      </c>
      <c r="X150" t="s">
        <v>1119</v>
      </c>
      <c r="Y150" t="s">
        <v>693</v>
      </c>
    </row>
    <row r="151" spans="5:25" x14ac:dyDescent="0.2">
      <c r="E151" t="s">
        <v>534</v>
      </c>
      <c r="G151" t="s">
        <v>534</v>
      </c>
      <c r="H151" t="s">
        <v>1064</v>
      </c>
      <c r="P151" t="s">
        <v>323</v>
      </c>
      <c r="Q151" t="s">
        <v>902</v>
      </c>
      <c r="R151" t="s">
        <v>1103</v>
      </c>
      <c r="S151">
        <v>755</v>
      </c>
      <c r="T151">
        <v>0</v>
      </c>
      <c r="U151">
        <v>0</v>
      </c>
      <c r="V151">
        <v>0</v>
      </c>
      <c r="X151" t="s">
        <v>1103</v>
      </c>
      <c r="Y151" t="s">
        <v>693</v>
      </c>
    </row>
    <row r="152" spans="5:25" x14ac:dyDescent="0.2">
      <c r="E152" t="s">
        <v>535</v>
      </c>
      <c r="G152" t="s">
        <v>535</v>
      </c>
      <c r="H152" t="s">
        <v>1065</v>
      </c>
      <c r="P152" t="s">
        <v>329</v>
      </c>
      <c r="Q152" t="s">
        <v>903</v>
      </c>
      <c r="R152" t="s">
        <v>1147</v>
      </c>
      <c r="S152">
        <v>773</v>
      </c>
      <c r="T152">
        <v>0</v>
      </c>
      <c r="U152">
        <v>0</v>
      </c>
      <c r="V152">
        <v>0</v>
      </c>
      <c r="X152" t="s">
        <v>1147</v>
      </c>
      <c r="Y152" t="s">
        <v>755</v>
      </c>
    </row>
    <row r="153" spans="5:25" x14ac:dyDescent="0.2">
      <c r="E153" t="s">
        <v>536</v>
      </c>
      <c r="G153" t="s">
        <v>536</v>
      </c>
      <c r="H153" t="s">
        <v>1066</v>
      </c>
      <c r="P153" t="s">
        <v>333</v>
      </c>
      <c r="Q153" t="s">
        <v>904</v>
      </c>
      <c r="R153" t="s">
        <v>1098</v>
      </c>
      <c r="S153">
        <v>782</v>
      </c>
      <c r="T153">
        <v>0</v>
      </c>
      <c r="U153">
        <v>0</v>
      </c>
      <c r="V153">
        <v>0</v>
      </c>
      <c r="X153" t="s">
        <v>1098</v>
      </c>
      <c r="Y153" t="s">
        <v>680</v>
      </c>
    </row>
    <row r="154" spans="5:25" x14ac:dyDescent="0.2">
      <c r="E154" t="s">
        <v>537</v>
      </c>
      <c r="G154" t="s">
        <v>537</v>
      </c>
      <c r="H154" t="s">
        <v>1067</v>
      </c>
      <c r="P154" t="s">
        <v>335</v>
      </c>
      <c r="Q154" t="s">
        <v>905</v>
      </c>
      <c r="R154" t="s">
        <v>1148</v>
      </c>
      <c r="S154">
        <v>790</v>
      </c>
      <c r="T154">
        <v>0</v>
      </c>
      <c r="U154">
        <v>0</v>
      </c>
      <c r="V154">
        <v>0</v>
      </c>
      <c r="X154" t="s">
        <v>1148</v>
      </c>
      <c r="Y154" t="s">
        <v>680</v>
      </c>
    </row>
    <row r="155" spans="5:25" x14ac:dyDescent="0.2">
      <c r="E155" t="s">
        <v>538</v>
      </c>
      <c r="G155" t="s">
        <v>538</v>
      </c>
      <c r="H155" t="s">
        <v>1068</v>
      </c>
      <c r="P155" t="s">
        <v>337</v>
      </c>
      <c r="Q155" t="s">
        <v>906</v>
      </c>
      <c r="R155" t="s">
        <v>1149</v>
      </c>
      <c r="S155">
        <v>795</v>
      </c>
      <c r="T155">
        <v>0</v>
      </c>
      <c r="U155">
        <v>0</v>
      </c>
      <c r="V155">
        <v>0</v>
      </c>
      <c r="X155" t="s">
        <v>1149</v>
      </c>
      <c r="Y155" t="s">
        <v>695</v>
      </c>
    </row>
    <row r="156" spans="5:25" x14ac:dyDescent="0.2">
      <c r="E156" t="s">
        <v>539</v>
      </c>
      <c r="G156" t="s">
        <v>539</v>
      </c>
      <c r="H156" t="s">
        <v>1069</v>
      </c>
      <c r="P156" t="s">
        <v>338</v>
      </c>
      <c r="Q156" t="s">
        <v>907</v>
      </c>
      <c r="R156" t="s">
        <v>1150</v>
      </c>
      <c r="S156">
        <v>799</v>
      </c>
      <c r="T156">
        <v>0</v>
      </c>
      <c r="U156">
        <v>0</v>
      </c>
      <c r="V156">
        <v>0</v>
      </c>
      <c r="X156" t="s">
        <v>1150</v>
      </c>
      <c r="Y156" t="s">
        <v>670</v>
      </c>
    </row>
    <row r="157" spans="5:25" x14ac:dyDescent="0.2">
      <c r="E157" t="s">
        <v>540</v>
      </c>
      <c r="G157" t="s">
        <v>540</v>
      </c>
      <c r="H157" t="s">
        <v>1070</v>
      </c>
      <c r="P157" t="s">
        <v>339</v>
      </c>
      <c r="Q157" t="s">
        <v>908</v>
      </c>
      <c r="R157" t="s">
        <v>1151</v>
      </c>
      <c r="S157">
        <v>803</v>
      </c>
      <c r="T157">
        <v>0</v>
      </c>
      <c r="U157">
        <v>0</v>
      </c>
      <c r="V157">
        <v>0</v>
      </c>
      <c r="X157" t="s">
        <v>1151</v>
      </c>
      <c r="Y157" t="s">
        <v>672</v>
      </c>
    </row>
    <row r="158" spans="5:25" x14ac:dyDescent="0.2">
      <c r="E158" t="s">
        <v>541</v>
      </c>
      <c r="G158" t="s">
        <v>541</v>
      </c>
      <c r="H158" t="s">
        <v>1071</v>
      </c>
      <c r="P158" t="s">
        <v>340</v>
      </c>
      <c r="Q158" t="s">
        <v>909</v>
      </c>
      <c r="R158" t="s">
        <v>1152</v>
      </c>
      <c r="S158">
        <v>807</v>
      </c>
      <c r="T158">
        <v>0</v>
      </c>
      <c r="U158">
        <v>0</v>
      </c>
      <c r="V158">
        <v>0</v>
      </c>
      <c r="X158" t="s">
        <v>1152</v>
      </c>
      <c r="Y158" t="s">
        <v>693</v>
      </c>
    </row>
    <row r="159" spans="5:25" x14ac:dyDescent="0.2">
      <c r="E159" t="s">
        <v>542</v>
      </c>
      <c r="G159" t="s">
        <v>542</v>
      </c>
      <c r="H159" t="s">
        <v>1072</v>
      </c>
      <c r="P159" t="s">
        <v>341</v>
      </c>
      <c r="Q159" t="s">
        <v>910</v>
      </c>
      <c r="R159" t="s">
        <v>1153</v>
      </c>
      <c r="S159">
        <v>811</v>
      </c>
      <c r="T159">
        <v>0</v>
      </c>
      <c r="U159">
        <v>0</v>
      </c>
      <c r="V159">
        <v>0</v>
      </c>
      <c r="X159" t="s">
        <v>1153</v>
      </c>
      <c r="Y159" t="s">
        <v>674</v>
      </c>
    </row>
    <row r="160" spans="5:25" x14ac:dyDescent="0.2">
      <c r="E160" t="s">
        <v>543</v>
      </c>
      <c r="G160" t="s">
        <v>543</v>
      </c>
      <c r="H160" t="s">
        <v>1063</v>
      </c>
      <c r="P160" t="s">
        <v>342</v>
      </c>
      <c r="Q160" t="s">
        <v>911</v>
      </c>
      <c r="R160" t="s">
        <v>1154</v>
      </c>
      <c r="S160">
        <v>815</v>
      </c>
      <c r="T160">
        <v>0</v>
      </c>
      <c r="U160">
        <v>0</v>
      </c>
      <c r="V160">
        <v>0</v>
      </c>
      <c r="X160" t="s">
        <v>1154</v>
      </c>
      <c r="Y160" t="s">
        <v>675</v>
      </c>
    </row>
    <row r="161" spans="5:25" x14ac:dyDescent="0.2">
      <c r="E161" t="s">
        <v>544</v>
      </c>
      <c r="G161" t="s">
        <v>544</v>
      </c>
      <c r="H161" t="s">
        <v>1063</v>
      </c>
      <c r="P161" t="s">
        <v>344</v>
      </c>
      <c r="Q161" t="s">
        <v>912</v>
      </c>
      <c r="R161" t="s">
        <v>1155</v>
      </c>
      <c r="S161">
        <v>823</v>
      </c>
      <c r="T161">
        <v>0</v>
      </c>
      <c r="U161">
        <v>0</v>
      </c>
      <c r="V161">
        <v>0</v>
      </c>
      <c r="X161" t="s">
        <v>1155</v>
      </c>
      <c r="Y161" t="s">
        <v>697</v>
      </c>
    </row>
    <row r="162" spans="5:25" x14ac:dyDescent="0.2">
      <c r="E162" t="s">
        <v>545</v>
      </c>
      <c r="G162" t="s">
        <v>545</v>
      </c>
      <c r="H162" t="s">
        <v>1063</v>
      </c>
      <c r="P162" t="s">
        <v>345</v>
      </c>
      <c r="Q162" t="s">
        <v>913</v>
      </c>
      <c r="R162" t="s">
        <v>1156</v>
      </c>
      <c r="S162">
        <v>827</v>
      </c>
      <c r="T162">
        <v>0</v>
      </c>
      <c r="U162">
        <v>0</v>
      </c>
      <c r="V162">
        <v>0</v>
      </c>
      <c r="X162" t="s">
        <v>1156</v>
      </c>
      <c r="Y162" t="s">
        <v>699</v>
      </c>
    </row>
    <row r="163" spans="5:25" x14ac:dyDescent="0.2">
      <c r="E163" t="s">
        <v>546</v>
      </c>
      <c r="G163" t="s">
        <v>546</v>
      </c>
      <c r="H163" t="s">
        <v>1073</v>
      </c>
      <c r="P163" t="s">
        <v>346</v>
      </c>
      <c r="Q163" t="s">
        <v>914</v>
      </c>
      <c r="R163" t="s">
        <v>1157</v>
      </c>
      <c r="S163">
        <v>831</v>
      </c>
      <c r="T163">
        <v>0</v>
      </c>
      <c r="U163">
        <v>0</v>
      </c>
      <c r="V163">
        <v>0</v>
      </c>
      <c r="X163" t="s">
        <v>1157</v>
      </c>
      <c r="Y163" t="s">
        <v>680</v>
      </c>
    </row>
    <row r="164" spans="5:25" x14ac:dyDescent="0.2">
      <c r="E164" t="s">
        <v>547</v>
      </c>
      <c r="G164" t="s">
        <v>547</v>
      </c>
      <c r="H164" t="s">
        <v>1074</v>
      </c>
      <c r="P164" t="s">
        <v>347</v>
      </c>
      <c r="Q164" t="s">
        <v>915</v>
      </c>
      <c r="R164" t="s">
        <v>1158</v>
      </c>
      <c r="S164">
        <v>835</v>
      </c>
      <c r="T164">
        <v>0</v>
      </c>
      <c r="U164">
        <v>0</v>
      </c>
      <c r="V164">
        <v>0</v>
      </c>
      <c r="X164" t="s">
        <v>1158</v>
      </c>
      <c r="Y164" t="s">
        <v>687</v>
      </c>
    </row>
    <row r="165" spans="5:25" x14ac:dyDescent="0.2">
      <c r="E165" t="s">
        <v>548</v>
      </c>
      <c r="G165" t="s">
        <v>548</v>
      </c>
      <c r="H165" t="s">
        <v>1075</v>
      </c>
      <c r="P165" t="s">
        <v>349</v>
      </c>
      <c r="Q165" t="s">
        <v>916</v>
      </c>
      <c r="R165" t="s">
        <v>1159</v>
      </c>
      <c r="S165">
        <v>844</v>
      </c>
      <c r="T165">
        <v>0</v>
      </c>
      <c r="U165">
        <v>0</v>
      </c>
      <c r="V165">
        <v>0</v>
      </c>
      <c r="X165" t="s">
        <v>1159</v>
      </c>
      <c r="Y165" t="s">
        <v>668</v>
      </c>
    </row>
    <row r="166" spans="5:25" x14ac:dyDescent="0.2">
      <c r="E166" t="s">
        <v>549</v>
      </c>
      <c r="G166" t="s">
        <v>549</v>
      </c>
      <c r="H166" t="s">
        <v>1075</v>
      </c>
      <c r="P166" t="s">
        <v>350</v>
      </c>
      <c r="Q166" t="s">
        <v>917</v>
      </c>
      <c r="R166" t="s">
        <v>1160</v>
      </c>
      <c r="S166">
        <v>848</v>
      </c>
      <c r="T166">
        <v>0</v>
      </c>
      <c r="U166">
        <v>0</v>
      </c>
      <c r="V166">
        <v>0</v>
      </c>
      <c r="X166" t="s">
        <v>1160</v>
      </c>
      <c r="Y166" t="s">
        <v>669</v>
      </c>
    </row>
    <row r="167" spans="5:25" x14ac:dyDescent="0.2">
      <c r="E167" t="s">
        <v>550</v>
      </c>
      <c r="G167" t="s">
        <v>550</v>
      </c>
      <c r="H167" t="s">
        <v>1076</v>
      </c>
      <c r="P167" t="s">
        <v>351</v>
      </c>
      <c r="Q167" t="s">
        <v>918</v>
      </c>
      <c r="R167" t="s">
        <v>1161</v>
      </c>
      <c r="S167">
        <v>852</v>
      </c>
      <c r="T167">
        <v>0</v>
      </c>
      <c r="U167">
        <v>0</v>
      </c>
      <c r="V167">
        <v>0</v>
      </c>
      <c r="X167" t="s">
        <v>1161</v>
      </c>
      <c r="Y167" t="s">
        <v>695</v>
      </c>
    </row>
    <row r="168" spans="5:25" x14ac:dyDescent="0.2">
      <c r="E168" t="s">
        <v>551</v>
      </c>
      <c r="G168" t="s">
        <v>551</v>
      </c>
      <c r="H168" t="s">
        <v>1077</v>
      </c>
      <c r="P168" t="s">
        <v>352</v>
      </c>
      <c r="Q168" t="s">
        <v>919</v>
      </c>
      <c r="R168" t="s">
        <v>1162</v>
      </c>
      <c r="S168">
        <v>856</v>
      </c>
      <c r="T168">
        <v>0</v>
      </c>
      <c r="U168">
        <v>0</v>
      </c>
      <c r="V168">
        <v>0</v>
      </c>
      <c r="X168" t="s">
        <v>1162</v>
      </c>
      <c r="Y168" t="s">
        <v>670</v>
      </c>
    </row>
    <row r="169" spans="5:25" x14ac:dyDescent="0.2">
      <c r="E169" t="s">
        <v>552</v>
      </c>
      <c r="G169" t="s">
        <v>552</v>
      </c>
      <c r="H169" t="s">
        <v>1078</v>
      </c>
      <c r="P169" t="s">
        <v>353</v>
      </c>
      <c r="Q169" t="s">
        <v>920</v>
      </c>
      <c r="R169" t="s">
        <v>1163</v>
      </c>
      <c r="S169">
        <v>860</v>
      </c>
      <c r="T169">
        <v>0</v>
      </c>
      <c r="U169">
        <v>0</v>
      </c>
      <c r="V169">
        <v>0</v>
      </c>
      <c r="X169" t="s">
        <v>1163</v>
      </c>
      <c r="Y169" t="s">
        <v>672</v>
      </c>
    </row>
    <row r="170" spans="5:25" x14ac:dyDescent="0.2">
      <c r="E170" t="s">
        <v>553</v>
      </c>
      <c r="G170" t="s">
        <v>553</v>
      </c>
      <c r="H170" t="s">
        <v>1079</v>
      </c>
      <c r="P170" t="s">
        <v>354</v>
      </c>
      <c r="Q170" t="s">
        <v>921</v>
      </c>
      <c r="R170" t="s">
        <v>1164</v>
      </c>
      <c r="S170">
        <v>864</v>
      </c>
      <c r="T170">
        <v>0</v>
      </c>
      <c r="U170">
        <v>0</v>
      </c>
      <c r="V170">
        <v>0</v>
      </c>
      <c r="X170" t="s">
        <v>1164</v>
      </c>
      <c r="Y170" t="s">
        <v>682</v>
      </c>
    </row>
    <row r="171" spans="5:25" x14ac:dyDescent="0.2">
      <c r="E171" t="s">
        <v>554</v>
      </c>
      <c r="G171" t="s">
        <v>554</v>
      </c>
      <c r="H171" t="s">
        <v>1078</v>
      </c>
      <c r="P171" t="s">
        <v>355</v>
      </c>
      <c r="Q171" t="s">
        <v>922</v>
      </c>
      <c r="R171" t="s">
        <v>1165</v>
      </c>
      <c r="S171">
        <v>868</v>
      </c>
      <c r="T171">
        <v>0</v>
      </c>
      <c r="U171">
        <v>0</v>
      </c>
      <c r="V171">
        <v>0</v>
      </c>
      <c r="X171" t="s">
        <v>1165</v>
      </c>
      <c r="Y171" t="s">
        <v>673</v>
      </c>
    </row>
    <row r="172" spans="5:25" x14ac:dyDescent="0.2">
      <c r="E172" t="s">
        <v>555</v>
      </c>
      <c r="G172" t="s">
        <v>555</v>
      </c>
      <c r="H172" t="s">
        <v>1076</v>
      </c>
      <c r="P172" t="s">
        <v>356</v>
      </c>
      <c r="Q172" t="s">
        <v>923</v>
      </c>
      <c r="R172" t="s">
        <v>1166</v>
      </c>
      <c r="S172">
        <v>872</v>
      </c>
      <c r="T172">
        <v>0</v>
      </c>
      <c r="U172">
        <v>0</v>
      </c>
      <c r="V172">
        <v>0</v>
      </c>
      <c r="X172" t="s">
        <v>1166</v>
      </c>
      <c r="Y172" t="s">
        <v>674</v>
      </c>
    </row>
    <row r="173" spans="5:25" x14ac:dyDescent="0.2">
      <c r="E173" t="s">
        <v>556</v>
      </c>
      <c r="G173" t="s">
        <v>556</v>
      </c>
      <c r="H173" t="s">
        <v>1079</v>
      </c>
      <c r="P173" t="s">
        <v>357</v>
      </c>
      <c r="Q173" t="s">
        <v>924</v>
      </c>
      <c r="R173" t="s">
        <v>1167</v>
      </c>
      <c r="S173">
        <v>876</v>
      </c>
      <c r="T173">
        <v>0</v>
      </c>
      <c r="U173">
        <v>0</v>
      </c>
      <c r="V173">
        <v>0</v>
      </c>
      <c r="X173" t="s">
        <v>1167</v>
      </c>
      <c r="Y173" t="s">
        <v>675</v>
      </c>
    </row>
    <row r="174" spans="5:25" x14ac:dyDescent="0.2">
      <c r="E174" t="s">
        <v>557</v>
      </c>
      <c r="G174" t="s">
        <v>557</v>
      </c>
      <c r="H174" t="s">
        <v>1080</v>
      </c>
      <c r="P174" t="s">
        <v>359</v>
      </c>
      <c r="Q174" t="s">
        <v>925</v>
      </c>
      <c r="R174" t="s">
        <v>1168</v>
      </c>
      <c r="S174">
        <v>884</v>
      </c>
      <c r="T174">
        <v>0</v>
      </c>
      <c r="U174">
        <v>0</v>
      </c>
      <c r="V174">
        <v>0</v>
      </c>
      <c r="X174" t="s">
        <v>1168</v>
      </c>
      <c r="Y174" t="s">
        <v>697</v>
      </c>
    </row>
    <row r="175" spans="5:25" x14ac:dyDescent="0.2">
      <c r="E175" t="s">
        <v>558</v>
      </c>
      <c r="G175" t="s">
        <v>558</v>
      </c>
      <c r="H175" t="s">
        <v>1081</v>
      </c>
      <c r="P175" t="s">
        <v>360</v>
      </c>
      <c r="Q175" t="s">
        <v>926</v>
      </c>
      <c r="R175" t="s">
        <v>1169</v>
      </c>
      <c r="S175">
        <v>888</v>
      </c>
      <c r="T175">
        <v>0</v>
      </c>
      <c r="U175">
        <v>0</v>
      </c>
      <c r="V175">
        <v>0</v>
      </c>
      <c r="X175" t="s">
        <v>1169</v>
      </c>
      <c r="Y175" t="s">
        <v>677</v>
      </c>
    </row>
    <row r="176" spans="5:25" x14ac:dyDescent="0.2">
      <c r="E176" t="s">
        <v>559</v>
      </c>
      <c r="G176" t="s">
        <v>559</v>
      </c>
      <c r="H176" t="s">
        <v>1082</v>
      </c>
      <c r="P176" t="s">
        <v>362</v>
      </c>
      <c r="Q176" t="s">
        <v>927</v>
      </c>
      <c r="R176" t="s">
        <v>1170</v>
      </c>
      <c r="S176">
        <v>896</v>
      </c>
      <c r="T176">
        <v>0</v>
      </c>
      <c r="U176">
        <v>0</v>
      </c>
      <c r="V176">
        <v>0</v>
      </c>
      <c r="X176" t="s">
        <v>1170</v>
      </c>
      <c r="Y176" t="s">
        <v>699</v>
      </c>
    </row>
    <row r="177" spans="5:25" x14ac:dyDescent="0.2">
      <c r="E177" t="s">
        <v>560</v>
      </c>
      <c r="G177" t="s">
        <v>560</v>
      </c>
      <c r="H177" t="s">
        <v>1083</v>
      </c>
      <c r="P177" t="s">
        <v>363</v>
      </c>
      <c r="Q177" t="s">
        <v>928</v>
      </c>
      <c r="R177" t="s">
        <v>1171</v>
      </c>
      <c r="S177">
        <v>900</v>
      </c>
      <c r="T177">
        <v>0</v>
      </c>
      <c r="U177">
        <v>0</v>
      </c>
      <c r="V177">
        <v>0</v>
      </c>
      <c r="X177" t="s">
        <v>1171</v>
      </c>
      <c r="Y177" t="s">
        <v>680</v>
      </c>
    </row>
    <row r="178" spans="5:25" x14ac:dyDescent="0.2">
      <c r="E178" t="s">
        <v>561</v>
      </c>
      <c r="G178" t="s">
        <v>561</v>
      </c>
      <c r="H178" t="s">
        <v>1084</v>
      </c>
      <c r="P178" t="s">
        <v>364</v>
      </c>
      <c r="Q178" t="s">
        <v>929</v>
      </c>
      <c r="R178" t="s">
        <v>1172</v>
      </c>
      <c r="S178">
        <v>904</v>
      </c>
      <c r="T178">
        <v>0</v>
      </c>
      <c r="U178">
        <v>0</v>
      </c>
      <c r="V178">
        <v>0</v>
      </c>
      <c r="X178" t="s">
        <v>1172</v>
      </c>
      <c r="Y178" t="s">
        <v>687</v>
      </c>
    </row>
    <row r="179" spans="5:25" x14ac:dyDescent="0.2">
      <c r="E179" t="s">
        <v>562</v>
      </c>
      <c r="G179" t="s">
        <v>562</v>
      </c>
      <c r="H179" t="s">
        <v>1085</v>
      </c>
      <c r="P179" t="s">
        <v>365</v>
      </c>
      <c r="Q179" t="s">
        <v>930</v>
      </c>
      <c r="R179" t="s">
        <v>1173</v>
      </c>
      <c r="S179">
        <v>908</v>
      </c>
      <c r="T179">
        <v>0</v>
      </c>
      <c r="U179">
        <v>0</v>
      </c>
      <c r="V179">
        <v>0</v>
      </c>
      <c r="X179" t="s">
        <v>1173</v>
      </c>
      <c r="Y179" t="s">
        <v>702</v>
      </c>
    </row>
    <row r="180" spans="5:25" x14ac:dyDescent="0.2">
      <c r="E180" t="s">
        <v>563</v>
      </c>
      <c r="G180" t="s">
        <v>563</v>
      </c>
      <c r="H180" t="s">
        <v>1086</v>
      </c>
      <c r="P180" t="s">
        <v>366</v>
      </c>
      <c r="Q180" t="s">
        <v>931</v>
      </c>
      <c r="R180" t="s">
        <v>1174</v>
      </c>
      <c r="S180">
        <v>912</v>
      </c>
      <c r="T180">
        <v>0</v>
      </c>
      <c r="U180">
        <v>0</v>
      </c>
      <c r="V180">
        <v>0</v>
      </c>
      <c r="X180" t="s">
        <v>1174</v>
      </c>
      <c r="Y180" t="s">
        <v>685</v>
      </c>
    </row>
    <row r="181" spans="5:25" x14ac:dyDescent="0.2">
      <c r="E181" t="s">
        <v>564</v>
      </c>
      <c r="G181" t="s">
        <v>564</v>
      </c>
      <c r="H181" t="s">
        <v>1087</v>
      </c>
      <c r="P181" t="s">
        <v>367</v>
      </c>
      <c r="Q181" t="s">
        <v>932</v>
      </c>
      <c r="R181" t="s">
        <v>1175</v>
      </c>
      <c r="S181">
        <v>916</v>
      </c>
      <c r="T181">
        <v>0</v>
      </c>
      <c r="U181">
        <v>0</v>
      </c>
      <c r="V181">
        <v>0</v>
      </c>
      <c r="X181" t="s">
        <v>1175</v>
      </c>
      <c r="Y181" t="s">
        <v>693</v>
      </c>
    </row>
    <row r="182" spans="5:25" x14ac:dyDescent="0.2">
      <c r="E182" t="s">
        <v>565</v>
      </c>
      <c r="G182" t="s">
        <v>565</v>
      </c>
      <c r="H182" t="s">
        <v>1088</v>
      </c>
      <c r="P182" t="s">
        <v>370</v>
      </c>
      <c r="Q182" t="s">
        <v>933</v>
      </c>
      <c r="R182" t="s">
        <v>1176</v>
      </c>
      <c r="S182">
        <v>928</v>
      </c>
      <c r="T182">
        <v>0</v>
      </c>
      <c r="U182">
        <v>0</v>
      </c>
      <c r="V182">
        <v>0</v>
      </c>
      <c r="X182" t="s">
        <v>1176</v>
      </c>
      <c r="Y182" t="s">
        <v>680</v>
      </c>
    </row>
    <row r="183" spans="5:25" x14ac:dyDescent="0.2">
      <c r="E183" t="s">
        <v>566</v>
      </c>
      <c r="G183" t="s">
        <v>566</v>
      </c>
      <c r="H183" t="s">
        <v>1089</v>
      </c>
      <c r="P183" t="s">
        <v>1177</v>
      </c>
      <c r="Q183" t="s">
        <v>1177</v>
      </c>
      <c r="R183" t="s">
        <v>939</v>
      </c>
      <c r="S183">
        <v>0</v>
      </c>
      <c r="T183">
        <v>0</v>
      </c>
      <c r="U183">
        <v>0</v>
      </c>
      <c r="V183">
        <v>0</v>
      </c>
    </row>
    <row r="184" spans="5:25" x14ac:dyDescent="0.2">
      <c r="E184" t="s">
        <v>567</v>
      </c>
      <c r="G184" t="s">
        <v>567</v>
      </c>
      <c r="H184" t="s">
        <v>1090</v>
      </c>
      <c r="P184" t="s">
        <v>1177</v>
      </c>
      <c r="Q184" t="s">
        <v>1177</v>
      </c>
      <c r="R184" t="s">
        <v>944</v>
      </c>
      <c r="S184">
        <v>0</v>
      </c>
      <c r="T184">
        <v>0</v>
      </c>
      <c r="U184">
        <v>0</v>
      </c>
      <c r="V184">
        <v>0</v>
      </c>
    </row>
    <row r="185" spans="5:25" x14ac:dyDescent="0.2">
      <c r="E185" t="s">
        <v>568</v>
      </c>
      <c r="G185" t="s">
        <v>568</v>
      </c>
      <c r="H185" t="s">
        <v>1091</v>
      </c>
      <c r="P185" t="s">
        <v>1177</v>
      </c>
      <c r="Q185" t="s">
        <v>1177</v>
      </c>
      <c r="R185" t="s">
        <v>948</v>
      </c>
      <c r="S185">
        <v>0</v>
      </c>
      <c r="T185">
        <v>0</v>
      </c>
      <c r="U185">
        <v>0</v>
      </c>
      <c r="V185">
        <v>0</v>
      </c>
    </row>
    <row r="186" spans="5:25" x14ac:dyDescent="0.2">
      <c r="E186" t="s">
        <v>569</v>
      </c>
      <c r="G186" t="s">
        <v>569</v>
      </c>
      <c r="H186" t="s">
        <v>1092</v>
      </c>
      <c r="P186" t="s">
        <v>1177</v>
      </c>
      <c r="Q186" t="s">
        <v>1177</v>
      </c>
      <c r="R186" t="s">
        <v>949</v>
      </c>
      <c r="S186">
        <v>0</v>
      </c>
      <c r="T186">
        <v>0</v>
      </c>
      <c r="U186">
        <v>0</v>
      </c>
      <c r="V186">
        <v>0</v>
      </c>
    </row>
    <row r="187" spans="5:25" x14ac:dyDescent="0.2">
      <c r="E187" t="s">
        <v>570</v>
      </c>
      <c r="G187" t="s">
        <v>570</v>
      </c>
      <c r="H187" t="s">
        <v>1093</v>
      </c>
      <c r="P187" t="s">
        <v>1177</v>
      </c>
      <c r="Q187" t="s">
        <v>1177</v>
      </c>
      <c r="R187" t="s">
        <v>951</v>
      </c>
      <c r="S187">
        <v>0</v>
      </c>
      <c r="T187">
        <v>0</v>
      </c>
      <c r="U187">
        <v>0</v>
      </c>
      <c r="V187">
        <v>0</v>
      </c>
    </row>
    <row r="188" spans="5:25" x14ac:dyDescent="0.2">
      <c r="E188" t="s">
        <v>571</v>
      </c>
      <c r="G188" t="s">
        <v>571</v>
      </c>
      <c r="H188" t="s">
        <v>1094</v>
      </c>
      <c r="P188" t="s">
        <v>1177</v>
      </c>
      <c r="Q188" t="s">
        <v>1177</v>
      </c>
      <c r="R188" t="s">
        <v>958</v>
      </c>
      <c r="S188">
        <v>0</v>
      </c>
      <c r="T188">
        <v>0</v>
      </c>
      <c r="U188">
        <v>0</v>
      </c>
      <c r="V188">
        <v>0</v>
      </c>
    </row>
    <row r="189" spans="5:25" x14ac:dyDescent="0.2">
      <c r="E189" t="s">
        <v>572</v>
      </c>
      <c r="G189" t="s">
        <v>572</v>
      </c>
      <c r="H189" t="s">
        <v>1095</v>
      </c>
      <c r="P189" t="s">
        <v>1177</v>
      </c>
      <c r="Q189" t="s">
        <v>1177</v>
      </c>
      <c r="R189" t="s">
        <v>962</v>
      </c>
      <c r="S189">
        <v>0</v>
      </c>
      <c r="T189">
        <v>0</v>
      </c>
      <c r="U189">
        <v>0</v>
      </c>
      <c r="V189">
        <v>0</v>
      </c>
    </row>
    <row r="190" spans="5:25" x14ac:dyDescent="0.2">
      <c r="E190" t="s">
        <v>573</v>
      </c>
      <c r="G190" t="s">
        <v>573</v>
      </c>
      <c r="H190" t="s">
        <v>1096</v>
      </c>
      <c r="P190" t="s">
        <v>1177</v>
      </c>
      <c r="Q190" t="s">
        <v>1177</v>
      </c>
      <c r="R190" t="s">
        <v>965</v>
      </c>
      <c r="S190">
        <v>0</v>
      </c>
      <c r="T190">
        <v>0</v>
      </c>
      <c r="U190">
        <v>0</v>
      </c>
      <c r="V190">
        <v>0</v>
      </c>
    </row>
    <row r="191" spans="5:25" x14ac:dyDescent="0.2">
      <c r="E191" t="s">
        <v>574</v>
      </c>
      <c r="G191" t="s">
        <v>574</v>
      </c>
      <c r="H191" t="s">
        <v>1097</v>
      </c>
      <c r="P191" t="s">
        <v>1177</v>
      </c>
      <c r="Q191" t="s">
        <v>1177</v>
      </c>
      <c r="R191" t="s">
        <v>966</v>
      </c>
      <c r="S191">
        <v>0</v>
      </c>
      <c r="T191">
        <v>0</v>
      </c>
      <c r="U191">
        <v>0</v>
      </c>
      <c r="V191">
        <v>0</v>
      </c>
    </row>
    <row r="192" spans="5:25" x14ac:dyDescent="0.2">
      <c r="E192" t="s">
        <v>575</v>
      </c>
      <c r="G192" t="s">
        <v>575</v>
      </c>
      <c r="H192" t="s">
        <v>1098</v>
      </c>
      <c r="P192" t="s">
        <v>1177</v>
      </c>
      <c r="Q192" t="s">
        <v>1177</v>
      </c>
      <c r="R192" t="s">
        <v>967</v>
      </c>
      <c r="S192">
        <v>0</v>
      </c>
      <c r="T192">
        <v>0</v>
      </c>
      <c r="U192">
        <v>0</v>
      </c>
      <c r="V192">
        <v>0</v>
      </c>
    </row>
    <row r="193" spans="5:22" x14ac:dyDescent="0.2">
      <c r="E193" t="s">
        <v>576</v>
      </c>
      <c r="G193" t="s">
        <v>576</v>
      </c>
      <c r="H193" t="s">
        <v>1099</v>
      </c>
      <c r="P193" t="s">
        <v>1177</v>
      </c>
      <c r="Q193" t="s">
        <v>1177</v>
      </c>
      <c r="R193" t="s">
        <v>968</v>
      </c>
      <c r="S193">
        <v>0</v>
      </c>
      <c r="T193">
        <v>0</v>
      </c>
      <c r="U193">
        <v>0</v>
      </c>
      <c r="V193">
        <v>0</v>
      </c>
    </row>
    <row r="194" spans="5:22" x14ac:dyDescent="0.2">
      <c r="E194" t="s">
        <v>577</v>
      </c>
      <c r="G194" t="s">
        <v>577</v>
      </c>
      <c r="H194" t="s">
        <v>1063</v>
      </c>
      <c r="P194" t="s">
        <v>1177</v>
      </c>
      <c r="Q194" t="s">
        <v>1177</v>
      </c>
      <c r="R194" t="s">
        <v>969</v>
      </c>
      <c r="S194">
        <v>0</v>
      </c>
      <c r="T194">
        <v>0</v>
      </c>
      <c r="U194">
        <v>0</v>
      </c>
      <c r="V194">
        <v>0</v>
      </c>
    </row>
    <row r="195" spans="5:22" x14ac:dyDescent="0.2">
      <c r="E195" t="s">
        <v>578</v>
      </c>
      <c r="G195" t="s">
        <v>578</v>
      </c>
      <c r="H195" t="s">
        <v>1100</v>
      </c>
      <c r="P195" t="s">
        <v>1177</v>
      </c>
      <c r="Q195" t="s">
        <v>1177</v>
      </c>
      <c r="R195" t="s">
        <v>973</v>
      </c>
      <c r="S195">
        <v>0</v>
      </c>
      <c r="T195">
        <v>0</v>
      </c>
      <c r="U195">
        <v>0</v>
      </c>
      <c r="V195">
        <v>0</v>
      </c>
    </row>
    <row r="196" spans="5:22" x14ac:dyDescent="0.2">
      <c r="E196" t="s">
        <v>579</v>
      </c>
      <c r="G196" t="s">
        <v>579</v>
      </c>
      <c r="H196" t="s">
        <v>1101</v>
      </c>
      <c r="P196" t="s">
        <v>1177</v>
      </c>
      <c r="Q196" t="s">
        <v>1177</v>
      </c>
      <c r="R196" t="s">
        <v>976</v>
      </c>
      <c r="S196">
        <v>224</v>
      </c>
      <c r="T196">
        <v>0</v>
      </c>
      <c r="U196">
        <v>0</v>
      </c>
      <c r="V196">
        <v>0</v>
      </c>
    </row>
    <row r="197" spans="5:22" x14ac:dyDescent="0.2">
      <c r="E197" t="s">
        <v>580</v>
      </c>
      <c r="G197" t="s">
        <v>580</v>
      </c>
      <c r="H197" t="s">
        <v>1102</v>
      </c>
      <c r="P197" t="s">
        <v>1177</v>
      </c>
      <c r="Q197" t="s">
        <v>1177</v>
      </c>
      <c r="R197" t="s">
        <v>977</v>
      </c>
      <c r="S197">
        <v>0</v>
      </c>
      <c r="T197">
        <v>0</v>
      </c>
      <c r="U197">
        <v>0</v>
      </c>
      <c r="V197">
        <v>0</v>
      </c>
    </row>
    <row r="198" spans="5:22" x14ac:dyDescent="0.2">
      <c r="E198" t="s">
        <v>581</v>
      </c>
      <c r="G198" t="s">
        <v>581</v>
      </c>
      <c r="H198" t="s">
        <v>1100</v>
      </c>
      <c r="P198" t="s">
        <v>1177</v>
      </c>
      <c r="Q198" t="s">
        <v>1177</v>
      </c>
      <c r="R198" t="s">
        <v>978</v>
      </c>
      <c r="S198">
        <v>0</v>
      </c>
      <c r="T198">
        <v>0</v>
      </c>
      <c r="U198">
        <v>0</v>
      </c>
      <c r="V198">
        <v>0</v>
      </c>
    </row>
    <row r="199" spans="5:22" x14ac:dyDescent="0.2">
      <c r="E199" t="s">
        <v>582</v>
      </c>
      <c r="G199" t="s">
        <v>582</v>
      </c>
      <c r="H199" t="s">
        <v>1100</v>
      </c>
      <c r="P199" t="s">
        <v>1177</v>
      </c>
      <c r="Q199" t="s">
        <v>1177</v>
      </c>
      <c r="R199" t="s">
        <v>980</v>
      </c>
      <c r="S199">
        <v>228</v>
      </c>
      <c r="T199">
        <v>0</v>
      </c>
      <c r="U199">
        <v>0</v>
      </c>
      <c r="V199">
        <v>0</v>
      </c>
    </row>
    <row r="200" spans="5:22" x14ac:dyDescent="0.2">
      <c r="E200" t="s">
        <v>583</v>
      </c>
      <c r="G200" t="s">
        <v>583</v>
      </c>
      <c r="H200" t="s">
        <v>1071</v>
      </c>
      <c r="P200" t="s">
        <v>1177</v>
      </c>
      <c r="Q200" t="s">
        <v>1177</v>
      </c>
      <c r="R200" t="s">
        <v>984</v>
      </c>
      <c r="S200">
        <v>242</v>
      </c>
      <c r="T200">
        <v>0</v>
      </c>
      <c r="U200">
        <v>0</v>
      </c>
      <c r="V200">
        <v>0</v>
      </c>
    </row>
    <row r="201" spans="5:22" x14ac:dyDescent="0.2">
      <c r="E201" t="s">
        <v>584</v>
      </c>
      <c r="G201" t="s">
        <v>584</v>
      </c>
      <c r="H201" t="s">
        <v>1103</v>
      </c>
      <c r="P201" t="s">
        <v>1177</v>
      </c>
      <c r="Q201" t="s">
        <v>1177</v>
      </c>
      <c r="R201" t="s">
        <v>986</v>
      </c>
      <c r="S201">
        <v>262</v>
      </c>
      <c r="T201">
        <v>0</v>
      </c>
      <c r="U201">
        <v>0</v>
      </c>
      <c r="V201">
        <v>0</v>
      </c>
    </row>
    <row r="202" spans="5:22" x14ac:dyDescent="0.2">
      <c r="E202" t="s">
        <v>585</v>
      </c>
      <c r="G202" t="s">
        <v>585</v>
      </c>
      <c r="H202" t="s">
        <v>1104</v>
      </c>
      <c r="P202" t="s">
        <v>1177</v>
      </c>
      <c r="Q202" t="s">
        <v>1177</v>
      </c>
      <c r="R202" t="s">
        <v>987</v>
      </c>
      <c r="S202">
        <v>258</v>
      </c>
      <c r="T202">
        <v>0</v>
      </c>
      <c r="U202">
        <v>0</v>
      </c>
      <c r="V202">
        <v>0</v>
      </c>
    </row>
    <row r="203" spans="5:22" x14ac:dyDescent="0.2">
      <c r="E203" t="s">
        <v>586</v>
      </c>
      <c r="G203" t="s">
        <v>586</v>
      </c>
      <c r="H203" t="s">
        <v>1105</v>
      </c>
      <c r="P203" t="s">
        <v>1177</v>
      </c>
      <c r="Q203" t="s">
        <v>1177</v>
      </c>
      <c r="R203" t="s">
        <v>988</v>
      </c>
      <c r="S203">
        <v>238</v>
      </c>
      <c r="T203">
        <v>0</v>
      </c>
      <c r="U203">
        <v>0</v>
      </c>
      <c r="V203">
        <v>0</v>
      </c>
    </row>
    <row r="204" spans="5:22" x14ac:dyDescent="0.2">
      <c r="E204" t="s">
        <v>587</v>
      </c>
      <c r="G204" t="s">
        <v>587</v>
      </c>
      <c r="H204" t="s">
        <v>1106</v>
      </c>
      <c r="P204" t="s">
        <v>1177</v>
      </c>
      <c r="Q204" t="s">
        <v>1177</v>
      </c>
      <c r="R204" t="s">
        <v>989</v>
      </c>
      <c r="S204">
        <v>0</v>
      </c>
      <c r="T204">
        <v>0</v>
      </c>
      <c r="U204">
        <v>0</v>
      </c>
      <c r="V204">
        <v>0</v>
      </c>
    </row>
    <row r="205" spans="5:22" x14ac:dyDescent="0.2">
      <c r="E205" t="s">
        <v>588</v>
      </c>
      <c r="G205" t="s">
        <v>588</v>
      </c>
      <c r="H205" t="s">
        <v>1107</v>
      </c>
      <c r="P205" t="s">
        <v>1177</v>
      </c>
      <c r="Q205" t="s">
        <v>1177</v>
      </c>
      <c r="R205" t="s">
        <v>995</v>
      </c>
      <c r="S205">
        <v>283</v>
      </c>
      <c r="T205">
        <v>0</v>
      </c>
      <c r="U205">
        <v>0</v>
      </c>
      <c r="V205">
        <v>0</v>
      </c>
    </row>
    <row r="206" spans="5:22" x14ac:dyDescent="0.2">
      <c r="E206" t="s">
        <v>589</v>
      </c>
      <c r="G206" t="s">
        <v>589</v>
      </c>
      <c r="H206" t="s">
        <v>1108</v>
      </c>
      <c r="P206" t="s">
        <v>1177</v>
      </c>
      <c r="Q206" t="s">
        <v>1177</v>
      </c>
      <c r="R206" t="s">
        <v>996</v>
      </c>
      <c r="S206">
        <v>287</v>
      </c>
      <c r="T206">
        <v>0</v>
      </c>
      <c r="U206">
        <v>0</v>
      </c>
      <c r="V206">
        <v>0</v>
      </c>
    </row>
    <row r="207" spans="5:22" x14ac:dyDescent="0.2">
      <c r="E207" t="s">
        <v>590</v>
      </c>
      <c r="G207" t="s">
        <v>590</v>
      </c>
      <c r="H207" t="s">
        <v>1109</v>
      </c>
      <c r="P207" t="s">
        <v>1177</v>
      </c>
      <c r="Q207" t="s">
        <v>1177</v>
      </c>
      <c r="R207" t="s">
        <v>997</v>
      </c>
      <c r="S207">
        <v>291</v>
      </c>
      <c r="T207">
        <v>0</v>
      </c>
      <c r="U207">
        <v>0</v>
      </c>
      <c r="V207">
        <v>0</v>
      </c>
    </row>
    <row r="208" spans="5:22" x14ac:dyDescent="0.2">
      <c r="E208" t="s">
        <v>591</v>
      </c>
      <c r="G208" t="s">
        <v>591</v>
      </c>
      <c r="H208" t="s">
        <v>1110</v>
      </c>
      <c r="P208" t="s">
        <v>1177</v>
      </c>
      <c r="Q208" t="s">
        <v>1177</v>
      </c>
      <c r="R208" t="s">
        <v>998</v>
      </c>
      <c r="S208">
        <v>295</v>
      </c>
      <c r="T208">
        <v>0</v>
      </c>
      <c r="U208">
        <v>0</v>
      </c>
      <c r="V208">
        <v>0</v>
      </c>
    </row>
    <row r="209" spans="5:22" x14ac:dyDescent="0.2">
      <c r="E209" t="s">
        <v>592</v>
      </c>
      <c r="G209" t="s">
        <v>592</v>
      </c>
      <c r="H209" t="s">
        <v>1111</v>
      </c>
      <c r="P209" t="s">
        <v>1177</v>
      </c>
      <c r="Q209" t="s">
        <v>1177</v>
      </c>
      <c r="R209" t="s">
        <v>999</v>
      </c>
      <c r="S209">
        <v>0</v>
      </c>
      <c r="T209">
        <v>0</v>
      </c>
      <c r="U209">
        <v>0</v>
      </c>
      <c r="V209">
        <v>0</v>
      </c>
    </row>
    <row r="210" spans="5:22" x14ac:dyDescent="0.2">
      <c r="E210" t="s">
        <v>593</v>
      </c>
      <c r="G210" t="s">
        <v>593</v>
      </c>
      <c r="H210" t="s">
        <v>1110</v>
      </c>
      <c r="P210" t="s">
        <v>1177</v>
      </c>
      <c r="Q210" t="s">
        <v>1177</v>
      </c>
      <c r="R210" t="s">
        <v>1002</v>
      </c>
      <c r="S210">
        <v>0</v>
      </c>
      <c r="T210">
        <v>0</v>
      </c>
      <c r="U210">
        <v>0</v>
      </c>
      <c r="V210">
        <v>0</v>
      </c>
    </row>
    <row r="211" spans="5:22" x14ac:dyDescent="0.2">
      <c r="E211" t="s">
        <v>594</v>
      </c>
      <c r="G211" t="s">
        <v>594</v>
      </c>
      <c r="H211" t="s">
        <v>1111</v>
      </c>
      <c r="P211" t="s">
        <v>1177</v>
      </c>
      <c r="Q211" t="s">
        <v>1177</v>
      </c>
      <c r="R211" t="s">
        <v>1005</v>
      </c>
      <c r="S211">
        <v>0</v>
      </c>
      <c r="T211">
        <v>0</v>
      </c>
      <c r="U211">
        <v>0</v>
      </c>
      <c r="V211">
        <v>0</v>
      </c>
    </row>
    <row r="212" spans="5:22" x14ac:dyDescent="0.2">
      <c r="E212" t="s">
        <v>595</v>
      </c>
      <c r="G212" t="s">
        <v>595</v>
      </c>
      <c r="H212" t="s">
        <v>1112</v>
      </c>
      <c r="P212" t="s">
        <v>1177</v>
      </c>
      <c r="Q212" t="s">
        <v>1177</v>
      </c>
      <c r="R212" t="s">
        <v>1010</v>
      </c>
      <c r="S212">
        <v>0</v>
      </c>
      <c r="T212">
        <v>0</v>
      </c>
      <c r="U212">
        <v>0</v>
      </c>
      <c r="V212">
        <v>0</v>
      </c>
    </row>
    <row r="213" spans="5:22" x14ac:dyDescent="0.2">
      <c r="E213" t="s">
        <v>596</v>
      </c>
      <c r="G213" t="s">
        <v>596</v>
      </c>
      <c r="H213" t="s">
        <v>1113</v>
      </c>
      <c r="P213" t="s">
        <v>1177</v>
      </c>
      <c r="Q213" t="s">
        <v>1177</v>
      </c>
      <c r="R213" t="s">
        <v>1013</v>
      </c>
      <c r="S213">
        <v>0</v>
      </c>
      <c r="T213">
        <v>0</v>
      </c>
      <c r="U213">
        <v>0</v>
      </c>
      <c r="V213">
        <v>0</v>
      </c>
    </row>
    <row r="214" spans="5:22" x14ac:dyDescent="0.2">
      <c r="E214" t="s">
        <v>597</v>
      </c>
      <c r="G214" t="s">
        <v>597</v>
      </c>
      <c r="H214" t="s">
        <v>1114</v>
      </c>
      <c r="P214" t="s">
        <v>1177</v>
      </c>
      <c r="Q214" t="s">
        <v>1177</v>
      </c>
      <c r="R214" t="s">
        <v>1014</v>
      </c>
      <c r="S214">
        <v>0</v>
      </c>
      <c r="T214">
        <v>0</v>
      </c>
      <c r="U214">
        <v>0</v>
      </c>
      <c r="V214">
        <v>0</v>
      </c>
    </row>
    <row r="215" spans="5:22" x14ac:dyDescent="0.2">
      <c r="E215" t="s">
        <v>598</v>
      </c>
      <c r="G215" t="s">
        <v>598</v>
      </c>
      <c r="H215" t="s">
        <v>1114</v>
      </c>
      <c r="P215" t="s">
        <v>1177</v>
      </c>
      <c r="Q215" t="s">
        <v>1177</v>
      </c>
      <c r="R215" t="s">
        <v>1020</v>
      </c>
      <c r="S215">
        <v>389</v>
      </c>
      <c r="T215">
        <v>0</v>
      </c>
      <c r="U215">
        <v>0</v>
      </c>
      <c r="V215">
        <v>0</v>
      </c>
    </row>
    <row r="216" spans="5:22" x14ac:dyDescent="0.2">
      <c r="E216" t="s">
        <v>599</v>
      </c>
      <c r="G216" t="s">
        <v>599</v>
      </c>
      <c r="H216" t="s">
        <v>1115</v>
      </c>
      <c r="P216" t="s">
        <v>1177</v>
      </c>
      <c r="Q216" t="s">
        <v>1177</v>
      </c>
      <c r="R216" t="s">
        <v>1021</v>
      </c>
      <c r="S216">
        <v>0</v>
      </c>
      <c r="T216">
        <v>0</v>
      </c>
      <c r="U216">
        <v>0</v>
      </c>
      <c r="V216">
        <v>0</v>
      </c>
    </row>
    <row r="217" spans="5:22" x14ac:dyDescent="0.2">
      <c r="E217" t="s">
        <v>600</v>
      </c>
      <c r="G217" t="s">
        <v>600</v>
      </c>
      <c r="H217" t="s">
        <v>1116</v>
      </c>
      <c r="P217" t="s">
        <v>1177</v>
      </c>
      <c r="Q217" t="s">
        <v>1177</v>
      </c>
      <c r="R217" t="s">
        <v>1025</v>
      </c>
      <c r="S217">
        <v>406</v>
      </c>
      <c r="T217">
        <v>0</v>
      </c>
      <c r="U217">
        <v>0</v>
      </c>
      <c r="V217">
        <v>0</v>
      </c>
    </row>
    <row r="218" spans="5:22" x14ac:dyDescent="0.2">
      <c r="E218" t="s">
        <v>601</v>
      </c>
      <c r="G218" t="s">
        <v>601</v>
      </c>
      <c r="H218" t="s">
        <v>1117</v>
      </c>
      <c r="P218" t="s">
        <v>1177</v>
      </c>
      <c r="Q218" t="s">
        <v>1177</v>
      </c>
      <c r="R218" t="s">
        <v>1027</v>
      </c>
      <c r="S218">
        <v>414</v>
      </c>
      <c r="T218">
        <v>0</v>
      </c>
      <c r="U218">
        <v>0</v>
      </c>
      <c r="V218">
        <v>0</v>
      </c>
    </row>
    <row r="219" spans="5:22" x14ac:dyDescent="0.2">
      <c r="E219" t="s">
        <v>602</v>
      </c>
      <c r="G219" t="s">
        <v>602</v>
      </c>
      <c r="H219" t="s">
        <v>1118</v>
      </c>
      <c r="P219" t="s">
        <v>1177</v>
      </c>
      <c r="Q219" t="s">
        <v>1177</v>
      </c>
      <c r="R219" t="s">
        <v>1028</v>
      </c>
      <c r="S219">
        <v>0</v>
      </c>
      <c r="T219">
        <v>0</v>
      </c>
      <c r="U219">
        <v>0</v>
      </c>
      <c r="V219">
        <v>0</v>
      </c>
    </row>
    <row r="220" spans="5:22" x14ac:dyDescent="0.2">
      <c r="E220" t="s">
        <v>603</v>
      </c>
      <c r="G220" t="s">
        <v>603</v>
      </c>
      <c r="H220" t="s">
        <v>1119</v>
      </c>
      <c r="P220" t="s">
        <v>1177</v>
      </c>
      <c r="Q220" t="s">
        <v>1177</v>
      </c>
      <c r="R220" t="s">
        <v>1041</v>
      </c>
      <c r="S220">
        <v>0</v>
      </c>
      <c r="T220">
        <v>0</v>
      </c>
      <c r="U220">
        <v>0</v>
      </c>
      <c r="V220">
        <v>0</v>
      </c>
    </row>
    <row r="221" spans="5:22" x14ac:dyDescent="0.2">
      <c r="E221" t="s">
        <v>604</v>
      </c>
      <c r="G221" t="s">
        <v>604</v>
      </c>
      <c r="H221" t="s">
        <v>1103</v>
      </c>
      <c r="P221" t="s">
        <v>1177</v>
      </c>
      <c r="Q221" t="s">
        <v>1177</v>
      </c>
      <c r="R221" t="s">
        <v>1060</v>
      </c>
      <c r="S221">
        <v>0</v>
      </c>
      <c r="T221">
        <v>0</v>
      </c>
      <c r="U221">
        <v>0</v>
      </c>
      <c r="V221">
        <v>0</v>
      </c>
    </row>
    <row r="222" spans="5:22" x14ac:dyDescent="0.2">
      <c r="E222" t="s">
        <v>605</v>
      </c>
      <c r="G222" t="s">
        <v>605</v>
      </c>
      <c r="H222" t="s">
        <v>1103</v>
      </c>
      <c r="P222" t="s">
        <v>1177</v>
      </c>
      <c r="Q222" t="s">
        <v>1177</v>
      </c>
      <c r="R222" t="s">
        <v>1074</v>
      </c>
      <c r="S222">
        <v>0</v>
      </c>
      <c r="T222">
        <v>0</v>
      </c>
      <c r="U222">
        <v>0</v>
      </c>
      <c r="V222">
        <v>0</v>
      </c>
    </row>
    <row r="223" spans="5:22" x14ac:dyDescent="0.2">
      <c r="E223" t="s">
        <v>606</v>
      </c>
      <c r="G223" t="s">
        <v>606</v>
      </c>
      <c r="H223" t="s">
        <v>1103</v>
      </c>
      <c r="P223" t="s">
        <v>1177</v>
      </c>
      <c r="Q223" t="s">
        <v>1177</v>
      </c>
      <c r="R223" t="s">
        <v>1078</v>
      </c>
      <c r="S223">
        <v>0</v>
      </c>
      <c r="T223">
        <v>0</v>
      </c>
      <c r="U223">
        <v>0</v>
      </c>
      <c r="V223">
        <v>0</v>
      </c>
    </row>
    <row r="224" spans="5:22" x14ac:dyDescent="0.2">
      <c r="E224" t="s">
        <v>607</v>
      </c>
      <c r="G224" t="s">
        <v>607</v>
      </c>
      <c r="H224" t="s">
        <v>1120</v>
      </c>
      <c r="P224" t="s">
        <v>1177</v>
      </c>
      <c r="Q224" t="s">
        <v>1177</v>
      </c>
      <c r="R224" t="s">
        <v>1080</v>
      </c>
      <c r="S224">
        <v>0</v>
      </c>
      <c r="T224">
        <v>0</v>
      </c>
      <c r="U224">
        <v>0</v>
      </c>
      <c r="V224">
        <v>0</v>
      </c>
    </row>
    <row r="225" spans="16:22" x14ac:dyDescent="0.2">
      <c r="P225" t="s">
        <v>1177</v>
      </c>
      <c r="Q225" t="s">
        <v>1177</v>
      </c>
      <c r="R225" t="s">
        <v>1084</v>
      </c>
      <c r="S225">
        <v>0</v>
      </c>
      <c r="T225">
        <v>0</v>
      </c>
      <c r="U225">
        <v>0</v>
      </c>
      <c r="V225">
        <v>0</v>
      </c>
    </row>
    <row r="226" spans="16:22" x14ac:dyDescent="0.2">
      <c r="P226" t="s">
        <v>1177</v>
      </c>
      <c r="Q226" t="s">
        <v>1177</v>
      </c>
      <c r="R226" t="s">
        <v>1093</v>
      </c>
      <c r="S226">
        <v>0</v>
      </c>
      <c r="T226">
        <v>0</v>
      </c>
      <c r="U226">
        <v>0</v>
      </c>
      <c r="V226">
        <v>0</v>
      </c>
    </row>
    <row r="227" spans="16:22" x14ac:dyDescent="0.2">
      <c r="P227" t="s">
        <v>1177</v>
      </c>
      <c r="Q227" t="s">
        <v>1177</v>
      </c>
      <c r="R227" t="s">
        <v>1094</v>
      </c>
      <c r="S227">
        <v>764</v>
      </c>
      <c r="T227">
        <v>0</v>
      </c>
      <c r="U227">
        <v>0</v>
      </c>
      <c r="V227">
        <v>0</v>
      </c>
    </row>
    <row r="228" spans="16:22" x14ac:dyDescent="0.2">
      <c r="P228" t="s">
        <v>1177</v>
      </c>
      <c r="Q228" t="s">
        <v>1177</v>
      </c>
      <c r="R228" t="s">
        <v>1095</v>
      </c>
      <c r="S228">
        <v>768</v>
      </c>
      <c r="T228">
        <v>0</v>
      </c>
      <c r="U228">
        <v>0</v>
      </c>
      <c r="V228">
        <v>0</v>
      </c>
    </row>
    <row r="229" spans="16:22" x14ac:dyDescent="0.2">
      <c r="P229" t="s">
        <v>1177</v>
      </c>
      <c r="Q229" t="s">
        <v>1177</v>
      </c>
      <c r="R229" t="s">
        <v>1096</v>
      </c>
      <c r="S229">
        <v>759</v>
      </c>
      <c r="T229">
        <v>0</v>
      </c>
      <c r="U229">
        <v>0</v>
      </c>
      <c r="V229">
        <v>0</v>
      </c>
    </row>
    <row r="230" spans="16:22" x14ac:dyDescent="0.2">
      <c r="P230" t="s">
        <v>1177</v>
      </c>
      <c r="Q230" t="s">
        <v>1177</v>
      </c>
      <c r="R230" t="s">
        <v>1097</v>
      </c>
      <c r="S230">
        <v>0</v>
      </c>
      <c r="T230">
        <v>0</v>
      </c>
      <c r="U230">
        <v>0</v>
      </c>
      <c r="V230">
        <v>0</v>
      </c>
    </row>
    <row r="231" spans="16:22" x14ac:dyDescent="0.2">
      <c r="P231" t="s">
        <v>1177</v>
      </c>
      <c r="Q231" t="s">
        <v>1177</v>
      </c>
      <c r="R231" t="s">
        <v>1099</v>
      </c>
      <c r="S231">
        <v>786</v>
      </c>
      <c r="T231">
        <v>0</v>
      </c>
      <c r="U231">
        <v>0</v>
      </c>
      <c r="V231">
        <v>0</v>
      </c>
    </row>
    <row r="232" spans="16:22" x14ac:dyDescent="0.2">
      <c r="P232" t="s">
        <v>1177</v>
      </c>
      <c r="Q232" t="s">
        <v>1177</v>
      </c>
      <c r="R232" t="s">
        <v>1101</v>
      </c>
      <c r="S232">
        <v>0</v>
      </c>
      <c r="T232">
        <v>0</v>
      </c>
      <c r="U232">
        <v>0</v>
      </c>
      <c r="V232">
        <v>0</v>
      </c>
    </row>
    <row r="233" spans="16:22" x14ac:dyDescent="0.2">
      <c r="P233" t="s">
        <v>1177</v>
      </c>
      <c r="Q233" t="s">
        <v>1177</v>
      </c>
      <c r="R233" t="s">
        <v>1106</v>
      </c>
      <c r="S233">
        <v>0</v>
      </c>
      <c r="T233">
        <v>0</v>
      </c>
      <c r="U233">
        <v>0</v>
      </c>
      <c r="V233">
        <v>0</v>
      </c>
    </row>
    <row r="234" spans="16:22" x14ac:dyDescent="0.2">
      <c r="P234" t="s">
        <v>1177</v>
      </c>
      <c r="Q234" t="s">
        <v>1177</v>
      </c>
      <c r="R234" t="s">
        <v>1109</v>
      </c>
      <c r="S234">
        <v>0</v>
      </c>
      <c r="T234">
        <v>0</v>
      </c>
      <c r="U234">
        <v>0</v>
      </c>
      <c r="V234">
        <v>0</v>
      </c>
    </row>
    <row r="235" spans="16:22" x14ac:dyDescent="0.2">
      <c r="P235" t="s">
        <v>1177</v>
      </c>
      <c r="Q235" t="s">
        <v>1177</v>
      </c>
      <c r="R235" t="s">
        <v>1113</v>
      </c>
      <c r="S235">
        <v>0</v>
      </c>
      <c r="T235">
        <v>0</v>
      </c>
      <c r="U235">
        <v>0</v>
      </c>
      <c r="V235">
        <v>0</v>
      </c>
    </row>
  </sheetData>
  <pageMargins left="0.7" right="0.7" top="0.75" bottom="0.75" header="0.3" footer="0.3"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Z275"/>
  <sheetViews>
    <sheetView topLeftCell="K1" workbookViewId="0">
      <selection activeCell="Z1" sqref="Z1"/>
    </sheetView>
  </sheetViews>
  <sheetFormatPr defaultRowHeight="12.75" x14ac:dyDescent="0.2"/>
  <cols>
    <col min="2" max="2" width="13.7109375" bestFit="1" customWidth="1"/>
    <col min="6" max="7" width="14.140625" customWidth="1"/>
    <col min="8" max="9" width="36.28515625" customWidth="1"/>
    <col min="10" max="10" width="36.140625" customWidth="1"/>
    <col min="11" max="11" width="10" bestFit="1" customWidth="1"/>
    <col min="12" max="12" width="17.85546875" bestFit="1" customWidth="1"/>
    <col min="13" max="14" width="17.85546875" customWidth="1"/>
    <col min="15" max="16" width="15" customWidth="1"/>
    <col min="17" max="17" width="18.42578125" bestFit="1" customWidth="1"/>
    <col min="18" max="18" width="18.42578125" customWidth="1"/>
    <col min="22" max="22" width="9.140625" style="25"/>
    <col min="23" max="23" width="13" style="25" customWidth="1"/>
    <col min="24" max="24" width="39.42578125" style="25" customWidth="1"/>
    <col min="25" max="25" width="10" bestFit="1" customWidth="1"/>
  </cols>
  <sheetData>
    <row r="1" spans="1:26" x14ac:dyDescent="0.2">
      <c r="A1" s="28" t="s">
        <v>612</v>
      </c>
      <c r="C1" s="2" t="s">
        <v>613</v>
      </c>
      <c r="D1" s="2"/>
      <c r="E1" t="s">
        <v>614</v>
      </c>
      <c r="G1" s="28" t="s">
        <v>611</v>
      </c>
      <c r="I1" s="28" t="s">
        <v>610</v>
      </c>
      <c r="K1" s="28" t="s">
        <v>615</v>
      </c>
      <c r="L1" s="28" t="s">
        <v>616</v>
      </c>
      <c r="M1" s="28" t="s">
        <v>638</v>
      </c>
      <c r="O1" s="28" t="s">
        <v>617</v>
      </c>
      <c r="P1" t="s">
        <v>618</v>
      </c>
      <c r="R1" t="s">
        <v>619</v>
      </c>
      <c r="T1" t="s">
        <v>640</v>
      </c>
      <c r="V1" s="29" t="s">
        <v>625</v>
      </c>
      <c r="Y1" s="24" t="s">
        <v>626</v>
      </c>
      <c r="Z1" t="s">
        <v>630</v>
      </c>
    </row>
    <row r="2" spans="1:26" x14ac:dyDescent="0.2">
      <c r="A2" t="s">
        <v>16</v>
      </c>
      <c r="B2" t="s">
        <v>641</v>
      </c>
      <c r="C2" t="s">
        <v>0</v>
      </c>
      <c r="D2" s="3" t="s">
        <v>649</v>
      </c>
      <c r="E2" t="s">
        <v>1</v>
      </c>
      <c r="F2" t="s">
        <v>651</v>
      </c>
      <c r="G2" t="s">
        <v>55</v>
      </c>
      <c r="H2" t="str">
        <f>LEFT(G2,4)&amp;"Item "&amp;LEFT(G2,2)</f>
        <v>_1. Item _1</v>
      </c>
      <c r="I2" t="s">
        <v>25</v>
      </c>
      <c r="J2" t="str">
        <f>TRIM(LEFT(I2,FIND(" ",I2))&amp;"SubItem "&amp;LEFT(I2,FIND(" ",I2)))</f>
        <v>03.1. SubItem 03.1.</v>
      </c>
      <c r="K2" t="s">
        <v>20</v>
      </c>
      <c r="L2" t="s">
        <v>20</v>
      </c>
      <c r="M2" t="s">
        <v>99</v>
      </c>
      <c r="N2" t="s">
        <v>653</v>
      </c>
      <c r="O2">
        <v>1</v>
      </c>
      <c r="P2" t="s">
        <v>57</v>
      </c>
      <c r="Q2" t="s">
        <v>658</v>
      </c>
      <c r="R2" t="s">
        <v>21</v>
      </c>
      <c r="S2" t="s">
        <v>662</v>
      </c>
      <c r="T2">
        <v>2019</v>
      </c>
      <c r="V2" s="25" t="s">
        <v>108</v>
      </c>
      <c r="W2" s="25">
        <v>2110000000</v>
      </c>
      <c r="X2" s="31" t="str">
        <f>"ItemE "&amp;V2</f>
        <v>ItemE 1.</v>
      </c>
      <c r="Y2">
        <v>160000000</v>
      </c>
      <c r="Z2" t="str">
        <f>"FC_"&amp;LEFT(Y2,6)</f>
        <v>FC_160000</v>
      </c>
    </row>
    <row r="3" spans="1:26" x14ac:dyDescent="0.2">
      <c r="A3" t="s">
        <v>17</v>
      </c>
      <c r="B3" t="s">
        <v>642</v>
      </c>
      <c r="C3" t="s">
        <v>3</v>
      </c>
      <c r="D3" s="3" t="s">
        <v>650</v>
      </c>
      <c r="E3" t="s">
        <v>2</v>
      </c>
      <c r="F3" t="s">
        <v>652</v>
      </c>
      <c r="G3" t="s">
        <v>56</v>
      </c>
      <c r="H3" t="str">
        <f t="shared" ref="H3:H27" si="0">LEFT(G3,4)&amp;"Item "&amp;LEFT(G3,2)</f>
        <v>_2. Item _2</v>
      </c>
      <c r="I3" t="s">
        <v>26</v>
      </c>
      <c r="J3" t="str">
        <f t="shared" ref="J3:J51" si="1">TRIM(LEFT(I3,FIND(" ",I3))&amp;"SubItem "&amp;LEFT(I3,FIND(" ",I3)))</f>
        <v>03.2. SubItem 03.2.</v>
      </c>
      <c r="M3" t="s">
        <v>98</v>
      </c>
      <c r="N3" t="s">
        <v>654</v>
      </c>
      <c r="O3">
        <v>2</v>
      </c>
      <c r="P3" t="s">
        <v>58</v>
      </c>
      <c r="Q3" t="s">
        <v>659</v>
      </c>
      <c r="R3" t="s">
        <v>22</v>
      </c>
      <c r="S3" t="s">
        <v>663</v>
      </c>
      <c r="T3">
        <v>2020</v>
      </c>
      <c r="V3" s="25" t="s">
        <v>109</v>
      </c>
      <c r="W3" s="25">
        <v>2110100000</v>
      </c>
      <c r="X3" s="31" t="str">
        <f t="shared" ref="X3:X66" si="2">"ItemE "&amp;V3</f>
        <v>ItemE 1.01.</v>
      </c>
      <c r="Y3">
        <v>161000000</v>
      </c>
      <c r="Z3" t="str">
        <f t="shared" ref="Z3:Z49" si="3">"FC_"&amp;LEFT(Y3,6)</f>
        <v>FC_161000</v>
      </c>
    </row>
    <row r="4" spans="1:26" x14ac:dyDescent="0.2">
      <c r="A4" t="s">
        <v>19</v>
      </c>
      <c r="B4" s="2" t="s">
        <v>643</v>
      </c>
      <c r="C4" s="1"/>
      <c r="D4" s="1"/>
      <c r="E4" s="1"/>
      <c r="G4" t="s">
        <v>86</v>
      </c>
      <c r="H4" t="str">
        <f t="shared" si="0"/>
        <v>_3. Item _3</v>
      </c>
      <c r="I4" t="s">
        <v>27</v>
      </c>
      <c r="J4" t="str">
        <f t="shared" si="1"/>
        <v>03.3. SubItem 03.3.</v>
      </c>
      <c r="M4" t="s">
        <v>100</v>
      </c>
      <c r="N4" t="s">
        <v>655</v>
      </c>
      <c r="O4">
        <v>3</v>
      </c>
      <c r="P4" t="s">
        <v>59</v>
      </c>
      <c r="Q4" t="s">
        <v>660</v>
      </c>
      <c r="T4">
        <v>2021</v>
      </c>
      <c r="V4" s="25" t="s">
        <v>110</v>
      </c>
      <c r="W4" s="25">
        <v>2110110000</v>
      </c>
      <c r="X4" s="31" t="str">
        <f t="shared" si="2"/>
        <v>ItemE 1.01.1.</v>
      </c>
      <c r="Y4">
        <v>161001000</v>
      </c>
      <c r="Z4" t="str">
        <f t="shared" si="3"/>
        <v>FC_161001</v>
      </c>
    </row>
    <row r="5" spans="1:26" x14ac:dyDescent="0.2">
      <c r="A5" t="s">
        <v>23</v>
      </c>
      <c r="B5" t="s">
        <v>648</v>
      </c>
      <c r="G5" t="s">
        <v>87</v>
      </c>
      <c r="H5" t="str">
        <f t="shared" si="0"/>
        <v>_4. Item _4</v>
      </c>
      <c r="I5" t="s">
        <v>28</v>
      </c>
      <c r="J5" t="str">
        <f t="shared" si="1"/>
        <v>03.4. SubItem 03.4.</v>
      </c>
      <c r="M5" t="s">
        <v>101</v>
      </c>
      <c r="N5" t="s">
        <v>656</v>
      </c>
      <c r="O5">
        <v>4</v>
      </c>
      <c r="P5" t="s">
        <v>60</v>
      </c>
      <c r="Q5" t="s">
        <v>661</v>
      </c>
      <c r="V5" s="25" t="s">
        <v>111</v>
      </c>
      <c r="W5" s="25">
        <v>2110120000</v>
      </c>
      <c r="X5" s="31" t="str">
        <f t="shared" si="2"/>
        <v>ItemE 1.01.2.</v>
      </c>
      <c r="Y5">
        <v>161002000</v>
      </c>
      <c r="Z5" t="str">
        <f t="shared" si="3"/>
        <v>FC_161002</v>
      </c>
    </row>
    <row r="6" spans="1:26" x14ac:dyDescent="0.2">
      <c r="A6" t="s">
        <v>24</v>
      </c>
      <c r="B6" t="s">
        <v>644</v>
      </c>
      <c r="G6" t="s">
        <v>90</v>
      </c>
      <c r="H6" t="str">
        <f t="shared" si="0"/>
        <v>_5. Item _5</v>
      </c>
      <c r="I6" t="s">
        <v>29</v>
      </c>
      <c r="J6" t="str">
        <f t="shared" si="1"/>
        <v>03.5. SubItem 03.5.</v>
      </c>
      <c r="M6" t="s">
        <v>102</v>
      </c>
      <c r="N6" t="s">
        <v>657</v>
      </c>
      <c r="O6" t="s">
        <v>107</v>
      </c>
      <c r="V6" s="25" t="s">
        <v>112</v>
      </c>
      <c r="W6" s="25">
        <v>2110200000</v>
      </c>
      <c r="X6" s="31" t="str">
        <f t="shared" si="2"/>
        <v>ItemE 1.02.</v>
      </c>
      <c r="Y6">
        <v>161003000</v>
      </c>
      <c r="Z6" t="str">
        <f t="shared" si="3"/>
        <v>FC_161003</v>
      </c>
    </row>
    <row r="7" spans="1:26" x14ac:dyDescent="0.2">
      <c r="A7" t="s">
        <v>82</v>
      </c>
      <c r="B7" t="s">
        <v>645</v>
      </c>
      <c r="G7" t="s">
        <v>9</v>
      </c>
      <c r="H7" t="str">
        <f t="shared" si="0"/>
        <v>01. Item 01</v>
      </c>
      <c r="I7" t="s">
        <v>30</v>
      </c>
      <c r="J7" t="str">
        <f t="shared" si="1"/>
        <v>03.6. SubItem 03.6.</v>
      </c>
      <c r="V7" s="25" t="s">
        <v>113</v>
      </c>
      <c r="W7" s="25">
        <v>2110210000</v>
      </c>
      <c r="X7" s="31" t="str">
        <f t="shared" si="2"/>
        <v>ItemE 1.02.1.</v>
      </c>
      <c r="Y7">
        <v>161004000</v>
      </c>
      <c r="Z7" t="str">
        <f t="shared" si="3"/>
        <v>FC_161004</v>
      </c>
    </row>
    <row r="8" spans="1:26" x14ac:dyDescent="0.2">
      <c r="A8" t="s">
        <v>83</v>
      </c>
      <c r="B8" t="s">
        <v>646</v>
      </c>
      <c r="G8" t="s">
        <v>54</v>
      </c>
      <c r="H8" t="str">
        <f t="shared" si="0"/>
        <v>02. Item 02</v>
      </c>
      <c r="I8" t="s">
        <v>32</v>
      </c>
      <c r="J8" t="str">
        <f t="shared" si="1"/>
        <v>03.7. SubItem 03.7.</v>
      </c>
      <c r="V8" s="25" t="s">
        <v>114</v>
      </c>
      <c r="W8" s="25">
        <v>2110220000</v>
      </c>
      <c r="X8" s="31" t="str">
        <f t="shared" si="2"/>
        <v>ItemE 1.02.2.</v>
      </c>
      <c r="Y8">
        <v>161005000</v>
      </c>
      <c r="Z8" t="str">
        <f t="shared" si="3"/>
        <v>FC_161005</v>
      </c>
    </row>
    <row r="9" spans="1:26" x14ac:dyDescent="0.2">
      <c r="A9" t="s">
        <v>106</v>
      </c>
      <c r="B9" t="s">
        <v>647</v>
      </c>
      <c r="G9" t="s">
        <v>53</v>
      </c>
      <c r="H9" t="str">
        <f t="shared" si="0"/>
        <v>03. Item 03</v>
      </c>
      <c r="I9" t="s">
        <v>31</v>
      </c>
      <c r="J9" t="str">
        <f t="shared" si="1"/>
        <v>03.8. SubItem 03.8.</v>
      </c>
      <c r="V9" s="25" t="s">
        <v>115</v>
      </c>
      <c r="W9" s="25">
        <v>2110300000</v>
      </c>
      <c r="X9" s="31" t="str">
        <f t="shared" si="2"/>
        <v>ItemE 1.03.</v>
      </c>
      <c r="Y9">
        <v>161006000</v>
      </c>
      <c r="Z9" t="str">
        <f t="shared" si="3"/>
        <v>FC_161006</v>
      </c>
    </row>
    <row r="10" spans="1:26" x14ac:dyDescent="0.2">
      <c r="G10" t="s">
        <v>10</v>
      </c>
      <c r="H10" t="str">
        <f t="shared" si="0"/>
        <v>04. Item 04</v>
      </c>
      <c r="I10" t="s">
        <v>103</v>
      </c>
      <c r="J10" t="str">
        <f t="shared" si="1"/>
        <v>04.1. SubItem 04.1.</v>
      </c>
      <c r="V10" s="25" t="s">
        <v>116</v>
      </c>
      <c r="W10" s="25">
        <v>2110400000</v>
      </c>
      <c r="X10" s="31" t="str">
        <f t="shared" si="2"/>
        <v>ItemE 1.04.</v>
      </c>
      <c r="Y10">
        <v>161007000</v>
      </c>
      <c r="Z10" t="str">
        <f t="shared" si="3"/>
        <v>FC_161007</v>
      </c>
    </row>
    <row r="11" spans="1:26" x14ac:dyDescent="0.2">
      <c r="G11" t="s">
        <v>11</v>
      </c>
      <c r="H11" t="str">
        <f t="shared" si="0"/>
        <v>05. Item 05</v>
      </c>
      <c r="I11" t="s">
        <v>33</v>
      </c>
      <c r="J11" t="str">
        <f t="shared" si="1"/>
        <v>04.2. SubItem 04.2.</v>
      </c>
      <c r="V11" s="25" t="s">
        <v>117</v>
      </c>
      <c r="W11" s="25">
        <v>2110410000</v>
      </c>
      <c r="X11" s="31" t="str">
        <f t="shared" si="2"/>
        <v>ItemE 1.04.1.</v>
      </c>
      <c r="Y11">
        <v>161008000</v>
      </c>
      <c r="Z11" t="str">
        <f t="shared" si="3"/>
        <v>FC_161008</v>
      </c>
    </row>
    <row r="12" spans="1:26" x14ac:dyDescent="0.2">
      <c r="G12" t="s">
        <v>12</v>
      </c>
      <c r="H12" t="str">
        <f t="shared" si="0"/>
        <v>06. Item 06</v>
      </c>
      <c r="I12" t="s">
        <v>51</v>
      </c>
      <c r="J12" t="str">
        <f t="shared" si="1"/>
        <v>05.1. SubItem 05.1.</v>
      </c>
      <c r="V12" s="25" t="s">
        <v>118</v>
      </c>
      <c r="W12" s="25">
        <v>2110420000</v>
      </c>
      <c r="X12" s="31" t="str">
        <f t="shared" si="2"/>
        <v>ItemE 1.04.2.</v>
      </c>
      <c r="Y12">
        <v>161009000</v>
      </c>
      <c r="Z12" t="str">
        <f t="shared" si="3"/>
        <v>FC_161009</v>
      </c>
    </row>
    <row r="13" spans="1:26" x14ac:dyDescent="0.2">
      <c r="G13" t="s">
        <v>13</v>
      </c>
      <c r="H13" t="str">
        <f t="shared" si="0"/>
        <v>07. Item 07</v>
      </c>
      <c r="I13" t="s">
        <v>52</v>
      </c>
      <c r="J13" t="str">
        <f t="shared" si="1"/>
        <v>05.2. SubItem 05.2.</v>
      </c>
      <c r="V13" s="25" t="s">
        <v>119</v>
      </c>
      <c r="W13" s="25">
        <v>2110500000</v>
      </c>
      <c r="X13" s="31" t="str">
        <f t="shared" si="2"/>
        <v>ItemE 1.05.</v>
      </c>
      <c r="Y13">
        <v>161010000</v>
      </c>
      <c r="Z13" t="str">
        <f t="shared" si="3"/>
        <v>FC_161010</v>
      </c>
    </row>
    <row r="14" spans="1:26" x14ac:dyDescent="0.2">
      <c r="G14" t="s">
        <v>14</v>
      </c>
      <c r="H14" t="str">
        <f t="shared" si="0"/>
        <v>08. Item 08</v>
      </c>
      <c r="I14" t="s">
        <v>34</v>
      </c>
      <c r="J14" t="str">
        <f t="shared" si="1"/>
        <v>09.1. SubItem 09.1.</v>
      </c>
      <c r="V14" s="25" t="s">
        <v>120</v>
      </c>
      <c r="W14" s="25">
        <v>2110510000</v>
      </c>
      <c r="X14" s="31" t="str">
        <f t="shared" si="2"/>
        <v>ItemE 1.05.1.</v>
      </c>
      <c r="Y14">
        <v>161011000</v>
      </c>
      <c r="Z14" t="str">
        <f t="shared" si="3"/>
        <v>FC_161011</v>
      </c>
    </row>
    <row r="15" spans="1:26" x14ac:dyDescent="0.2">
      <c r="G15" t="s">
        <v>15</v>
      </c>
      <c r="H15" t="str">
        <f t="shared" si="0"/>
        <v>09. Item 09</v>
      </c>
      <c r="I15" t="s">
        <v>35</v>
      </c>
      <c r="J15" t="str">
        <f t="shared" si="1"/>
        <v>09.2. SubItem 09.2.</v>
      </c>
      <c r="V15" s="25" t="s">
        <v>121</v>
      </c>
      <c r="W15" s="25">
        <v>2110520000</v>
      </c>
      <c r="X15" s="31" t="str">
        <f t="shared" si="2"/>
        <v>ItemE 1.05.2.</v>
      </c>
      <c r="Y15">
        <v>161012000</v>
      </c>
      <c r="Z15" t="str">
        <f t="shared" si="3"/>
        <v>FC_161012</v>
      </c>
    </row>
    <row r="16" spans="1:26" x14ac:dyDescent="0.2">
      <c r="G16" t="s">
        <v>4</v>
      </c>
      <c r="H16" t="str">
        <f t="shared" si="0"/>
        <v>10. Item 10</v>
      </c>
      <c r="I16" t="s">
        <v>36</v>
      </c>
      <c r="J16" t="str">
        <f t="shared" si="1"/>
        <v>09.3. SubItem 09.3.</v>
      </c>
      <c r="V16" s="25" t="s">
        <v>122</v>
      </c>
      <c r="W16" s="25">
        <v>2110530000</v>
      </c>
      <c r="X16" s="31" t="str">
        <f t="shared" si="2"/>
        <v>ItemE 1.05.3.</v>
      </c>
      <c r="Y16">
        <v>161013000</v>
      </c>
      <c r="Z16" t="str">
        <f t="shared" si="3"/>
        <v>FC_161013</v>
      </c>
    </row>
    <row r="17" spans="7:26" x14ac:dyDescent="0.2">
      <c r="G17" t="s">
        <v>5</v>
      </c>
      <c r="H17" t="str">
        <f t="shared" si="0"/>
        <v>11. Item 11</v>
      </c>
      <c r="I17" t="s">
        <v>104</v>
      </c>
      <c r="J17" t="str">
        <f t="shared" si="1"/>
        <v>09.4. SubItem 09.4.</v>
      </c>
      <c r="V17" s="25" t="s">
        <v>123</v>
      </c>
      <c r="W17" s="25">
        <v>2110600000</v>
      </c>
      <c r="X17" s="31" t="str">
        <f t="shared" si="2"/>
        <v>ItemE 1.06.</v>
      </c>
      <c r="Y17">
        <v>161014000</v>
      </c>
      <c r="Z17" t="str">
        <f t="shared" si="3"/>
        <v>FC_161014</v>
      </c>
    </row>
    <row r="18" spans="7:26" x14ac:dyDescent="0.2">
      <c r="G18" t="s">
        <v>6</v>
      </c>
      <c r="H18" t="str">
        <f t="shared" si="0"/>
        <v>12. Item 12</v>
      </c>
      <c r="I18" t="s">
        <v>105</v>
      </c>
      <c r="J18" t="str">
        <f t="shared" si="1"/>
        <v>09.5. SubItem 09.5.</v>
      </c>
      <c r="V18" s="25" t="s">
        <v>124</v>
      </c>
      <c r="W18" s="25">
        <v>2110610000</v>
      </c>
      <c r="X18" s="31" t="str">
        <f t="shared" si="2"/>
        <v>ItemE 1.06.1.</v>
      </c>
      <c r="Y18">
        <v>161015000</v>
      </c>
      <c r="Z18" t="str">
        <f t="shared" si="3"/>
        <v>FC_161015</v>
      </c>
    </row>
    <row r="19" spans="7:26" x14ac:dyDescent="0.2">
      <c r="G19" t="s">
        <v>7</v>
      </c>
      <c r="H19" t="str">
        <f t="shared" si="0"/>
        <v>13. Item 13</v>
      </c>
      <c r="I19" t="s">
        <v>37</v>
      </c>
      <c r="J19" t="str">
        <f t="shared" si="1"/>
        <v>10.1. SubItem 10.1.</v>
      </c>
      <c r="V19" s="25" t="s">
        <v>125</v>
      </c>
      <c r="W19" s="25">
        <v>2110620000</v>
      </c>
      <c r="X19" s="31" t="str">
        <f t="shared" si="2"/>
        <v>ItemE 1.06.2.</v>
      </c>
      <c r="Y19">
        <v>161016000</v>
      </c>
      <c r="Z19" t="str">
        <f t="shared" si="3"/>
        <v>FC_161016</v>
      </c>
    </row>
    <row r="20" spans="7:26" x14ac:dyDescent="0.2">
      <c r="G20" t="s">
        <v>8</v>
      </c>
      <c r="H20" t="str">
        <f t="shared" si="0"/>
        <v>14. Item 14</v>
      </c>
      <c r="I20" t="s">
        <v>38</v>
      </c>
      <c r="J20" t="str">
        <f t="shared" si="1"/>
        <v>10.2. SubItem 10.2.</v>
      </c>
      <c r="V20" s="25" t="s">
        <v>126</v>
      </c>
      <c r="W20" s="25">
        <v>2110630000</v>
      </c>
      <c r="X20" s="31" t="str">
        <f t="shared" si="2"/>
        <v>ItemE 1.06.3.</v>
      </c>
      <c r="Y20">
        <v>161017000</v>
      </c>
      <c r="Z20" t="str">
        <f t="shared" si="3"/>
        <v>FC_161017</v>
      </c>
    </row>
    <row r="21" spans="7:26" x14ac:dyDescent="0.2">
      <c r="G21" t="s">
        <v>18</v>
      </c>
      <c r="H21" t="str">
        <f t="shared" si="0"/>
        <v>15. Item 15</v>
      </c>
      <c r="I21" t="s">
        <v>39</v>
      </c>
      <c r="J21" t="str">
        <f t="shared" si="1"/>
        <v>10.3. SubItem 10.3.</v>
      </c>
      <c r="V21" s="25" t="s">
        <v>127</v>
      </c>
      <c r="W21" s="25">
        <v>2110640000</v>
      </c>
      <c r="X21" s="31" t="str">
        <f t="shared" si="2"/>
        <v>ItemE 1.06.4.</v>
      </c>
      <c r="Y21">
        <v>161018000</v>
      </c>
      <c r="Z21" t="str">
        <f t="shared" si="3"/>
        <v>FC_161018</v>
      </c>
    </row>
    <row r="22" spans="7:26" x14ac:dyDescent="0.2">
      <c r="G22" t="s">
        <v>47</v>
      </c>
      <c r="H22" t="str">
        <f t="shared" si="0"/>
        <v>16. Item 16</v>
      </c>
      <c r="I22" t="s">
        <v>40</v>
      </c>
      <c r="J22" t="str">
        <f t="shared" si="1"/>
        <v>13.1. SubItem 13.1.</v>
      </c>
      <c r="V22" s="25" t="s">
        <v>128</v>
      </c>
      <c r="W22" s="25">
        <v>2110650000</v>
      </c>
      <c r="X22" s="31" t="str">
        <f t="shared" si="2"/>
        <v>ItemE 1.06.5.</v>
      </c>
      <c r="Y22">
        <v>161019000</v>
      </c>
      <c r="Z22" t="str">
        <f t="shared" si="3"/>
        <v>FC_161019</v>
      </c>
    </row>
    <row r="23" spans="7:26" x14ac:dyDescent="0.2">
      <c r="G23" t="s">
        <v>48</v>
      </c>
      <c r="H23" t="str">
        <f t="shared" si="0"/>
        <v>17. Item 17</v>
      </c>
      <c r="I23" t="s">
        <v>41</v>
      </c>
      <c r="J23" t="str">
        <f t="shared" si="1"/>
        <v>13.2. SubItem 13.2.</v>
      </c>
      <c r="V23" s="25" t="s">
        <v>129</v>
      </c>
      <c r="W23" s="25">
        <v>2110660000</v>
      </c>
      <c r="X23" s="31" t="str">
        <f t="shared" si="2"/>
        <v>ItemE 1.06.6.</v>
      </c>
      <c r="Y23">
        <v>161020000</v>
      </c>
      <c r="Z23" t="str">
        <f t="shared" si="3"/>
        <v>FC_161020</v>
      </c>
    </row>
    <row r="24" spans="7:26" x14ac:dyDescent="0.2">
      <c r="G24" t="s">
        <v>49</v>
      </c>
      <c r="H24" t="str">
        <f t="shared" si="0"/>
        <v>18. Item 18</v>
      </c>
      <c r="I24" t="s">
        <v>42</v>
      </c>
      <c r="J24" t="str">
        <f t="shared" si="1"/>
        <v>13.3. SubItem 13.3.</v>
      </c>
      <c r="V24" s="25" t="s">
        <v>130</v>
      </c>
      <c r="W24" s="25">
        <v>2110670000</v>
      </c>
      <c r="X24" s="31" t="str">
        <f t="shared" si="2"/>
        <v>ItemE 1.06.7.</v>
      </c>
      <c r="Y24">
        <v>161021000</v>
      </c>
      <c r="Z24" t="str">
        <f t="shared" si="3"/>
        <v>FC_161021</v>
      </c>
    </row>
    <row r="25" spans="7:26" x14ac:dyDescent="0.2">
      <c r="G25" t="s">
        <v>50</v>
      </c>
      <c r="H25" t="str">
        <f t="shared" si="0"/>
        <v>19. Item 19</v>
      </c>
      <c r="I25" t="s">
        <v>43</v>
      </c>
      <c r="J25" t="str">
        <f t="shared" si="1"/>
        <v>13.4. SubItem 13.4.</v>
      </c>
      <c r="V25" s="25" t="s">
        <v>131</v>
      </c>
      <c r="W25" s="25">
        <v>2110671000</v>
      </c>
      <c r="X25" s="31" t="str">
        <f t="shared" si="2"/>
        <v>ItemE 1.06.7.1</v>
      </c>
      <c r="Y25">
        <v>161022000</v>
      </c>
      <c r="Z25" t="str">
        <f t="shared" si="3"/>
        <v>FC_161022</v>
      </c>
    </row>
    <row r="26" spans="7:26" x14ac:dyDescent="0.2">
      <c r="G26" t="s">
        <v>91</v>
      </c>
      <c r="H26" t="str">
        <f t="shared" si="0"/>
        <v>20. Item 20</v>
      </c>
      <c r="I26" t="s">
        <v>44</v>
      </c>
      <c r="J26" t="str">
        <f t="shared" si="1"/>
        <v>13.5. SubItem 13.5.</v>
      </c>
      <c r="V26" s="25" t="s">
        <v>132</v>
      </c>
      <c r="W26" s="25">
        <v>2110672000</v>
      </c>
      <c r="X26" s="31" t="str">
        <f t="shared" si="2"/>
        <v>ItemE 1.06.7.2</v>
      </c>
      <c r="Y26">
        <v>161023000</v>
      </c>
      <c r="Z26" t="str">
        <f t="shared" si="3"/>
        <v>FC_161023</v>
      </c>
    </row>
    <row r="27" spans="7:26" x14ac:dyDescent="0.2">
      <c r="G27" s="24" t="s">
        <v>608</v>
      </c>
      <c r="H27" t="str">
        <f t="shared" si="0"/>
        <v>21. Item 21</v>
      </c>
      <c r="I27" t="s">
        <v>45</v>
      </c>
      <c r="J27" t="str">
        <f t="shared" si="1"/>
        <v>13.8. SubItem 13.8.</v>
      </c>
      <c r="V27" s="25" t="s">
        <v>133</v>
      </c>
      <c r="W27" s="25">
        <v>2110700000</v>
      </c>
      <c r="X27" s="31" t="str">
        <f t="shared" si="2"/>
        <v>ItemE 1.07.</v>
      </c>
      <c r="Y27">
        <v>161024000</v>
      </c>
      <c r="Z27" t="str">
        <f t="shared" si="3"/>
        <v>FC_161024</v>
      </c>
    </row>
    <row r="28" spans="7:26" x14ac:dyDescent="0.2">
      <c r="I28" t="s">
        <v>46</v>
      </c>
      <c r="J28" t="str">
        <f t="shared" si="1"/>
        <v>13.9. SubItem 13.9.</v>
      </c>
      <c r="V28" s="25" t="s">
        <v>134</v>
      </c>
      <c r="W28" s="25">
        <v>2110800000</v>
      </c>
      <c r="X28" s="31" t="str">
        <f t="shared" si="2"/>
        <v>ItemE 1.08.</v>
      </c>
      <c r="Y28">
        <v>161025000</v>
      </c>
      <c r="Z28" t="str">
        <f t="shared" si="3"/>
        <v>FC_161025</v>
      </c>
    </row>
    <row r="29" spans="7:26" x14ac:dyDescent="0.2">
      <c r="I29" s="24" t="s">
        <v>609</v>
      </c>
      <c r="J29" t="str">
        <f t="shared" si="1"/>
        <v>01.1. SubItem 01.1.</v>
      </c>
      <c r="V29" s="25" t="s">
        <v>135</v>
      </c>
      <c r="W29" s="25">
        <v>2110810000</v>
      </c>
      <c r="X29" s="31" t="str">
        <f t="shared" si="2"/>
        <v>ItemE 1.08.1.</v>
      </c>
      <c r="Y29">
        <v>161026000</v>
      </c>
      <c r="Z29" t="str">
        <f t="shared" si="3"/>
        <v>FC_161026</v>
      </c>
    </row>
    <row r="30" spans="7:26" x14ac:dyDescent="0.2">
      <c r="I30" t="s">
        <v>54</v>
      </c>
      <c r="J30" t="str">
        <f t="shared" si="1"/>
        <v>02. SubItem 02.</v>
      </c>
      <c r="V30" s="25" t="s">
        <v>136</v>
      </c>
      <c r="W30" s="25">
        <v>2110820000</v>
      </c>
      <c r="X30" s="31" t="str">
        <f t="shared" si="2"/>
        <v>ItemE 1.08.2.</v>
      </c>
      <c r="Y30">
        <v>161027000</v>
      </c>
      <c r="Z30" t="str">
        <f t="shared" si="3"/>
        <v>FC_161027</v>
      </c>
    </row>
    <row r="31" spans="7:26" x14ac:dyDescent="0.2">
      <c r="I31" t="s">
        <v>55</v>
      </c>
      <c r="J31" t="str">
        <f t="shared" si="1"/>
        <v>_1. SubItem _1.</v>
      </c>
      <c r="V31" s="25" t="s">
        <v>137</v>
      </c>
      <c r="W31" s="25">
        <v>2110900000</v>
      </c>
      <c r="X31" s="31" t="str">
        <f t="shared" si="2"/>
        <v>ItemE 1.09.</v>
      </c>
      <c r="Y31">
        <v>161028000</v>
      </c>
      <c r="Z31" t="str">
        <f t="shared" si="3"/>
        <v>FC_161028</v>
      </c>
    </row>
    <row r="32" spans="7:26" x14ac:dyDescent="0.2">
      <c r="I32" t="s">
        <v>88</v>
      </c>
      <c r="J32" t="str">
        <f t="shared" si="1"/>
        <v>_2.1. SubItem _2.1.</v>
      </c>
      <c r="V32" s="25" t="s">
        <v>138</v>
      </c>
      <c r="W32" s="25">
        <v>2110910000</v>
      </c>
      <c r="X32" s="31" t="str">
        <f t="shared" si="2"/>
        <v>ItemE 1.09.1.</v>
      </c>
      <c r="Y32">
        <v>161100000</v>
      </c>
      <c r="Z32" t="str">
        <f t="shared" si="3"/>
        <v>FC_161100</v>
      </c>
    </row>
    <row r="33" spans="9:26" x14ac:dyDescent="0.2">
      <c r="I33" t="s">
        <v>89</v>
      </c>
      <c r="J33" t="str">
        <f t="shared" si="1"/>
        <v>_2.2. SubItem _2.2.</v>
      </c>
      <c r="V33" s="25" t="s">
        <v>139</v>
      </c>
      <c r="W33" s="25">
        <v>2110920000</v>
      </c>
      <c r="X33" s="31" t="str">
        <f t="shared" si="2"/>
        <v>ItemE 1.09.2.</v>
      </c>
      <c r="Y33">
        <v>161200000</v>
      </c>
      <c r="Z33" t="str">
        <f t="shared" si="3"/>
        <v>FC_161200</v>
      </c>
    </row>
    <row r="34" spans="9:26" x14ac:dyDescent="0.2">
      <c r="I34" t="s">
        <v>86</v>
      </c>
      <c r="J34" t="str">
        <f t="shared" si="1"/>
        <v>_3. SubItem _3.</v>
      </c>
      <c r="V34" s="25" t="s">
        <v>140</v>
      </c>
      <c r="W34" s="25">
        <v>2111000000</v>
      </c>
      <c r="X34" s="31" t="str">
        <f t="shared" si="2"/>
        <v>ItemE 1.10.</v>
      </c>
      <c r="Y34">
        <v>161300000</v>
      </c>
      <c r="Z34" t="str">
        <f t="shared" si="3"/>
        <v>FC_161300</v>
      </c>
    </row>
    <row r="35" spans="9:26" x14ac:dyDescent="0.2">
      <c r="I35" t="s">
        <v>87</v>
      </c>
      <c r="J35" t="str">
        <f t="shared" si="1"/>
        <v>_4. SubItem _4.</v>
      </c>
      <c r="V35" s="25" t="s">
        <v>141</v>
      </c>
      <c r="W35" s="25">
        <v>2111010000</v>
      </c>
      <c r="X35" s="31" t="str">
        <f t="shared" si="2"/>
        <v>ItemE 1.10.1.</v>
      </c>
      <c r="Y35">
        <v>161400000</v>
      </c>
      <c r="Z35" t="str">
        <f t="shared" si="3"/>
        <v>FC_161400</v>
      </c>
    </row>
    <row r="36" spans="9:26" x14ac:dyDescent="0.2">
      <c r="I36" t="s">
        <v>90</v>
      </c>
      <c r="J36" t="str">
        <f t="shared" si="1"/>
        <v>_5. SubItem _5.</v>
      </c>
      <c r="V36" s="25" t="s">
        <v>142</v>
      </c>
      <c r="W36" s="25">
        <v>2111011000</v>
      </c>
      <c r="X36" s="31" t="str">
        <f t="shared" si="2"/>
        <v>ItemE 1.10.1.1.</v>
      </c>
      <c r="Y36">
        <v>161600000</v>
      </c>
      <c r="Z36" t="str">
        <f t="shared" si="3"/>
        <v>FC_161600</v>
      </c>
    </row>
    <row r="37" spans="9:26" x14ac:dyDescent="0.2">
      <c r="I37" t="s">
        <v>9</v>
      </c>
      <c r="J37" t="str">
        <f t="shared" si="1"/>
        <v>01. SubItem 01.</v>
      </c>
      <c r="V37" s="25" t="s">
        <v>143</v>
      </c>
      <c r="W37" s="25">
        <v>2111012000</v>
      </c>
      <c r="X37" s="31" t="str">
        <f t="shared" si="2"/>
        <v>ItemE 1.10.1.2.</v>
      </c>
      <c r="Y37">
        <v>161700000</v>
      </c>
      <c r="Z37" t="str">
        <f t="shared" si="3"/>
        <v>FC_161700</v>
      </c>
    </row>
    <row r="38" spans="9:26" x14ac:dyDescent="0.2">
      <c r="I38" t="s">
        <v>12</v>
      </c>
      <c r="J38" t="str">
        <f t="shared" si="1"/>
        <v>06. SubItem 06.</v>
      </c>
      <c r="V38" s="25" t="s">
        <v>144</v>
      </c>
      <c r="W38" s="25">
        <v>2111013000</v>
      </c>
      <c r="X38" s="31" t="str">
        <f t="shared" si="2"/>
        <v>ItemE 1.10.1.3.</v>
      </c>
      <c r="Y38">
        <v>161800000</v>
      </c>
      <c r="Z38" t="str">
        <f t="shared" si="3"/>
        <v>FC_161800</v>
      </c>
    </row>
    <row r="39" spans="9:26" x14ac:dyDescent="0.2">
      <c r="I39" t="s">
        <v>13</v>
      </c>
      <c r="J39" t="str">
        <f t="shared" si="1"/>
        <v>07. SubItem 07.</v>
      </c>
      <c r="V39" s="25" t="s">
        <v>145</v>
      </c>
      <c r="W39" s="25">
        <v>2111014000</v>
      </c>
      <c r="X39" s="31" t="str">
        <f t="shared" si="2"/>
        <v>ItemE 1.10.1.4.</v>
      </c>
      <c r="Y39">
        <v>161900000</v>
      </c>
      <c r="Z39" t="str">
        <f t="shared" si="3"/>
        <v>FC_161900</v>
      </c>
    </row>
    <row r="40" spans="9:26" x14ac:dyDescent="0.2">
      <c r="I40" t="s">
        <v>14</v>
      </c>
      <c r="J40" t="str">
        <f t="shared" si="1"/>
        <v>08. SubItem 08.</v>
      </c>
      <c r="V40" s="25" t="s">
        <v>146</v>
      </c>
      <c r="W40" s="25">
        <v>2111020000</v>
      </c>
      <c r="X40" s="31" t="str">
        <f t="shared" si="2"/>
        <v>ItemE 1.10.2.</v>
      </c>
      <c r="Y40">
        <v>162000000</v>
      </c>
      <c r="Z40" t="str">
        <f t="shared" si="3"/>
        <v>FC_162000</v>
      </c>
    </row>
    <row r="41" spans="9:26" x14ac:dyDescent="0.2">
      <c r="I41" t="s">
        <v>5</v>
      </c>
      <c r="J41" t="str">
        <f t="shared" si="1"/>
        <v>11. SubItem 11.</v>
      </c>
      <c r="V41" s="25" t="s">
        <v>147</v>
      </c>
      <c r="W41" s="25">
        <v>2111030000</v>
      </c>
      <c r="X41" s="31" t="str">
        <f t="shared" si="2"/>
        <v>ItemE 1.10.3.</v>
      </c>
      <c r="Y41">
        <v>162100000</v>
      </c>
      <c r="Z41" t="str">
        <f t="shared" si="3"/>
        <v>FC_162100</v>
      </c>
    </row>
    <row r="42" spans="9:26" x14ac:dyDescent="0.2">
      <c r="I42" t="s">
        <v>84</v>
      </c>
      <c r="J42" t="str">
        <f t="shared" si="1"/>
        <v>12.1. SubItem 12.1.</v>
      </c>
      <c r="V42" s="25" t="s">
        <v>148</v>
      </c>
      <c r="W42" s="25">
        <v>2111040000</v>
      </c>
      <c r="X42" s="31" t="str">
        <f t="shared" si="2"/>
        <v>ItemE 1.10.4.</v>
      </c>
      <c r="Y42">
        <v>162200000</v>
      </c>
      <c r="Z42" t="str">
        <f t="shared" si="3"/>
        <v>FC_162200</v>
      </c>
    </row>
    <row r="43" spans="9:26" x14ac:dyDescent="0.2">
      <c r="I43" t="s">
        <v>85</v>
      </c>
      <c r="J43" t="str">
        <f t="shared" si="1"/>
        <v>12.2. SubItem 12.2.</v>
      </c>
      <c r="V43" s="25" t="s">
        <v>149</v>
      </c>
      <c r="W43" s="25">
        <v>2111050000</v>
      </c>
      <c r="X43" s="31" t="str">
        <f t="shared" si="2"/>
        <v>ItemE 1.10.5.</v>
      </c>
      <c r="Y43">
        <v>162300000</v>
      </c>
      <c r="Z43" t="str">
        <f t="shared" si="3"/>
        <v>FC_162300</v>
      </c>
    </row>
    <row r="44" spans="9:26" x14ac:dyDescent="0.2">
      <c r="I44" t="s">
        <v>8</v>
      </c>
      <c r="J44" t="str">
        <f t="shared" si="1"/>
        <v>14. SubItem 14.</v>
      </c>
      <c r="V44" s="25" t="s">
        <v>150</v>
      </c>
      <c r="W44" s="25">
        <v>2111060000</v>
      </c>
      <c r="X44" s="31" t="str">
        <f t="shared" si="2"/>
        <v>ItemE 1.10.6.</v>
      </c>
      <c r="Y44">
        <v>162400000</v>
      </c>
      <c r="Z44" t="str">
        <f t="shared" si="3"/>
        <v>FC_162400</v>
      </c>
    </row>
    <row r="45" spans="9:26" x14ac:dyDescent="0.2">
      <c r="I45" t="s">
        <v>18</v>
      </c>
      <c r="J45" t="str">
        <f t="shared" si="1"/>
        <v>15. SubItem 15.</v>
      </c>
      <c r="V45" s="25" t="s">
        <v>151</v>
      </c>
      <c r="W45" s="25">
        <v>2111070000</v>
      </c>
      <c r="X45" s="31" t="str">
        <f t="shared" si="2"/>
        <v>ItemE 1.10.7.</v>
      </c>
      <c r="Y45">
        <v>162500000</v>
      </c>
      <c r="Z45" t="str">
        <f t="shared" si="3"/>
        <v>FC_162500</v>
      </c>
    </row>
    <row r="46" spans="9:26" x14ac:dyDescent="0.2">
      <c r="I46" t="s">
        <v>47</v>
      </c>
      <c r="J46" t="str">
        <f t="shared" si="1"/>
        <v>16. SubItem 16.</v>
      </c>
      <c r="V46" s="25" t="s">
        <v>152</v>
      </c>
      <c r="W46" s="25">
        <v>2111100000</v>
      </c>
      <c r="X46" s="31" t="str">
        <f t="shared" si="2"/>
        <v>ItemE 1.11.</v>
      </c>
      <c r="Y46">
        <v>162600000</v>
      </c>
      <c r="Z46" t="str">
        <f t="shared" si="3"/>
        <v>FC_162600</v>
      </c>
    </row>
    <row r="47" spans="9:26" x14ac:dyDescent="0.2">
      <c r="I47" t="s">
        <v>48</v>
      </c>
      <c r="J47" t="str">
        <f t="shared" si="1"/>
        <v>17. SubItem 17.</v>
      </c>
      <c r="V47" s="25" t="s">
        <v>153</v>
      </c>
      <c r="W47" s="25">
        <v>2111200000</v>
      </c>
      <c r="X47" s="31" t="str">
        <f t="shared" si="2"/>
        <v>ItemE 1.12.</v>
      </c>
      <c r="Y47">
        <v>162700000</v>
      </c>
      <c r="Z47" t="str">
        <f t="shared" si="3"/>
        <v>FC_162700</v>
      </c>
    </row>
    <row r="48" spans="9:26" x14ac:dyDescent="0.2">
      <c r="I48" t="s">
        <v>49</v>
      </c>
      <c r="J48" t="str">
        <f t="shared" si="1"/>
        <v>18. SubItem 18.</v>
      </c>
      <c r="V48" s="25" t="s">
        <v>154</v>
      </c>
      <c r="W48" s="25">
        <v>2111210000</v>
      </c>
      <c r="X48" s="31" t="str">
        <f t="shared" si="2"/>
        <v>ItemE 1.12.1.</v>
      </c>
      <c r="Y48">
        <v>162800000</v>
      </c>
      <c r="Z48" t="str">
        <f t="shared" si="3"/>
        <v>FC_162800</v>
      </c>
    </row>
    <row r="49" spans="9:26" x14ac:dyDescent="0.2">
      <c r="I49" t="s">
        <v>50</v>
      </c>
      <c r="J49" t="str">
        <f t="shared" si="1"/>
        <v>19. SubItem 19.</v>
      </c>
      <c r="V49" s="25" t="s">
        <v>155</v>
      </c>
      <c r="W49" s="25">
        <v>2111220000</v>
      </c>
      <c r="X49" s="31" t="str">
        <f t="shared" si="2"/>
        <v>ItemE 1.12.2.</v>
      </c>
      <c r="Y49">
        <v>162900000</v>
      </c>
      <c r="Z49" t="str">
        <f t="shared" si="3"/>
        <v>FC_162900</v>
      </c>
    </row>
    <row r="50" spans="9:26" x14ac:dyDescent="0.2">
      <c r="I50" t="s">
        <v>91</v>
      </c>
      <c r="J50" t="str">
        <f t="shared" si="1"/>
        <v>20. SubItem 20.</v>
      </c>
      <c r="V50" s="25" t="s">
        <v>156</v>
      </c>
      <c r="W50" s="25">
        <v>2111230000</v>
      </c>
      <c r="X50" s="31" t="str">
        <f t="shared" si="2"/>
        <v>ItemE 1.12.3.</v>
      </c>
    </row>
    <row r="51" spans="9:26" x14ac:dyDescent="0.2">
      <c r="I51" s="24" t="s">
        <v>608</v>
      </c>
      <c r="J51" t="str">
        <f t="shared" si="1"/>
        <v>21. SubItem 21.</v>
      </c>
      <c r="V51" s="25" t="s">
        <v>157</v>
      </c>
      <c r="W51" s="25">
        <v>2111240000</v>
      </c>
      <c r="X51" s="31" t="str">
        <f t="shared" si="2"/>
        <v>ItemE 1.12.4.</v>
      </c>
    </row>
    <row r="52" spans="9:26" x14ac:dyDescent="0.2">
      <c r="V52" s="25" t="s">
        <v>158</v>
      </c>
      <c r="W52" s="25">
        <v>2111250000</v>
      </c>
      <c r="X52" s="31" t="str">
        <f t="shared" si="2"/>
        <v>ItemE 1.12.5.</v>
      </c>
    </row>
    <row r="53" spans="9:26" x14ac:dyDescent="0.2">
      <c r="V53" s="25" t="s">
        <v>159</v>
      </c>
      <c r="W53" s="25">
        <v>2111260000</v>
      </c>
      <c r="X53" s="31" t="str">
        <f t="shared" si="2"/>
        <v>ItemE 1.12.6.</v>
      </c>
    </row>
    <row r="54" spans="9:26" x14ac:dyDescent="0.2">
      <c r="V54" s="25" t="s">
        <v>160</v>
      </c>
      <c r="W54" s="25">
        <v>2111270000</v>
      </c>
      <c r="X54" s="31" t="str">
        <f t="shared" si="2"/>
        <v>ItemE 1.12.7.</v>
      </c>
    </row>
    <row r="55" spans="9:26" x14ac:dyDescent="0.2">
      <c r="V55" s="25" t="s">
        <v>161</v>
      </c>
      <c r="W55" s="25">
        <v>2111280000</v>
      </c>
      <c r="X55" s="31" t="str">
        <f t="shared" si="2"/>
        <v>ItemE 1.12.8.</v>
      </c>
    </row>
    <row r="56" spans="9:26" x14ac:dyDescent="0.2">
      <c r="V56" s="25" t="s">
        <v>162</v>
      </c>
      <c r="W56" s="25">
        <v>2111290000</v>
      </c>
      <c r="X56" s="31" t="str">
        <f t="shared" si="2"/>
        <v>ItemE 1.12.9.</v>
      </c>
    </row>
    <row r="57" spans="9:26" x14ac:dyDescent="0.2">
      <c r="V57" s="25" t="s">
        <v>163</v>
      </c>
      <c r="W57" s="25">
        <v>2111291000</v>
      </c>
      <c r="X57" s="31" t="str">
        <f t="shared" si="2"/>
        <v>ItemE 1.12.10.</v>
      </c>
    </row>
    <row r="58" spans="9:26" x14ac:dyDescent="0.2">
      <c r="V58" s="25" t="s">
        <v>164</v>
      </c>
      <c r="W58" s="25">
        <v>2111292000</v>
      </c>
      <c r="X58" s="31" t="str">
        <f t="shared" si="2"/>
        <v>ItemE 1.12.11.</v>
      </c>
    </row>
    <row r="59" spans="9:26" x14ac:dyDescent="0.2">
      <c r="V59" s="25" t="s">
        <v>165</v>
      </c>
      <c r="W59" s="25">
        <v>2220000000</v>
      </c>
      <c r="X59" s="31" t="str">
        <f t="shared" si="2"/>
        <v>ItemE 2.</v>
      </c>
    </row>
    <row r="60" spans="9:26" x14ac:dyDescent="0.2">
      <c r="V60" s="25" t="s">
        <v>166</v>
      </c>
      <c r="W60" s="25">
        <v>2220100000</v>
      </c>
      <c r="X60" s="31" t="str">
        <f t="shared" si="2"/>
        <v>ItemE 2.01.</v>
      </c>
    </row>
    <row r="61" spans="9:26" x14ac:dyDescent="0.2">
      <c r="V61" s="25" t="s">
        <v>167</v>
      </c>
      <c r="W61" s="25">
        <v>2220110000</v>
      </c>
      <c r="X61" s="31" t="str">
        <f t="shared" si="2"/>
        <v>ItemE 2.01.1.</v>
      </c>
    </row>
    <row r="62" spans="9:26" x14ac:dyDescent="0.2">
      <c r="V62" s="25" t="s">
        <v>168</v>
      </c>
      <c r="W62" s="25">
        <v>2220120000</v>
      </c>
      <c r="X62" s="31" t="str">
        <f t="shared" si="2"/>
        <v>ItemE 2.01.2.</v>
      </c>
    </row>
    <row r="63" spans="9:26" x14ac:dyDescent="0.2">
      <c r="V63" s="25" t="s">
        <v>169</v>
      </c>
      <c r="W63" s="25">
        <v>2220130000</v>
      </c>
      <c r="X63" s="31" t="str">
        <f t="shared" si="2"/>
        <v>ItemE 2.01.3.</v>
      </c>
    </row>
    <row r="64" spans="9:26" x14ac:dyDescent="0.2">
      <c r="V64" s="25" t="s">
        <v>170</v>
      </c>
      <c r="W64" s="25">
        <v>2220140000</v>
      </c>
      <c r="X64" s="31" t="str">
        <f t="shared" si="2"/>
        <v>ItemE 2.01.4.</v>
      </c>
    </row>
    <row r="65" spans="22:24" x14ac:dyDescent="0.2">
      <c r="V65" s="25" t="s">
        <v>171</v>
      </c>
      <c r="W65" s="25">
        <v>2220141000</v>
      </c>
      <c r="X65" s="31" t="str">
        <f t="shared" si="2"/>
        <v>ItemE 2.01.4.1.</v>
      </c>
    </row>
    <row r="66" spans="22:24" x14ac:dyDescent="0.2">
      <c r="V66" s="25" t="s">
        <v>172</v>
      </c>
      <c r="W66" s="25">
        <v>2220142000</v>
      </c>
      <c r="X66" s="31" t="str">
        <f t="shared" si="2"/>
        <v>ItemE 2.01.4.2.</v>
      </c>
    </row>
    <row r="67" spans="22:24" x14ac:dyDescent="0.2">
      <c r="V67" s="25" t="s">
        <v>173</v>
      </c>
      <c r="W67" s="25">
        <v>2220200000</v>
      </c>
      <c r="X67" s="31" t="str">
        <f t="shared" ref="X67:X130" si="4">"ItemE "&amp;V67</f>
        <v>ItemE 2.02.</v>
      </c>
    </row>
    <row r="68" spans="22:24" x14ac:dyDescent="0.2">
      <c r="V68" s="25" t="s">
        <v>174</v>
      </c>
      <c r="W68" s="25">
        <v>2220300000</v>
      </c>
      <c r="X68" s="31" t="str">
        <f t="shared" si="4"/>
        <v>ItemE 2.03.</v>
      </c>
    </row>
    <row r="69" spans="22:24" x14ac:dyDescent="0.2">
      <c r="V69" s="25" t="s">
        <v>175</v>
      </c>
      <c r="W69" s="25">
        <v>2220310000</v>
      </c>
      <c r="X69" s="31" t="str">
        <f t="shared" si="4"/>
        <v>ItemE 2.03.1.</v>
      </c>
    </row>
    <row r="70" spans="22:24" x14ac:dyDescent="0.2">
      <c r="V70" s="25" t="s">
        <v>176</v>
      </c>
      <c r="W70" s="25">
        <v>2220311000</v>
      </c>
      <c r="X70" s="31" t="str">
        <f t="shared" si="4"/>
        <v>ItemE 2.03.1.1</v>
      </c>
    </row>
    <row r="71" spans="22:24" x14ac:dyDescent="0.2">
      <c r="V71" s="25" t="s">
        <v>177</v>
      </c>
      <c r="W71" s="25">
        <v>2220312000</v>
      </c>
      <c r="X71" s="31" t="str">
        <f t="shared" si="4"/>
        <v>ItemE 2.03.1.2</v>
      </c>
    </row>
    <row r="72" spans="22:24" x14ac:dyDescent="0.2">
      <c r="V72" s="25" t="s">
        <v>178</v>
      </c>
      <c r="W72" s="25">
        <v>2220313000</v>
      </c>
      <c r="X72" s="31" t="str">
        <f t="shared" si="4"/>
        <v>ItemE 2.03.1.3</v>
      </c>
    </row>
    <row r="73" spans="22:24" x14ac:dyDescent="0.2">
      <c r="V73" s="25" t="s">
        <v>179</v>
      </c>
      <c r="W73" s="25">
        <v>2220314000</v>
      </c>
      <c r="X73" s="31" t="str">
        <f t="shared" si="4"/>
        <v>ItemE 2.03.1.4</v>
      </c>
    </row>
    <row r="74" spans="22:24" x14ac:dyDescent="0.2">
      <c r="V74" s="25" t="s">
        <v>180</v>
      </c>
      <c r="W74" s="25">
        <v>2220315000</v>
      </c>
      <c r="X74" s="31" t="str">
        <f t="shared" si="4"/>
        <v>ItemE 2.03.1.5</v>
      </c>
    </row>
    <row r="75" spans="22:24" x14ac:dyDescent="0.2">
      <c r="V75" s="25" t="s">
        <v>181</v>
      </c>
      <c r="W75" s="25">
        <v>2220316000</v>
      </c>
      <c r="X75" s="31" t="str">
        <f t="shared" si="4"/>
        <v>ItemE 2.03.1.6</v>
      </c>
    </row>
    <row r="76" spans="22:24" x14ac:dyDescent="0.2">
      <c r="V76" s="25" t="s">
        <v>182</v>
      </c>
      <c r="W76" s="25">
        <v>2220317000</v>
      </c>
      <c r="X76" s="31" t="str">
        <f t="shared" si="4"/>
        <v>ItemE 2.03.1.7</v>
      </c>
    </row>
    <row r="77" spans="22:24" x14ac:dyDescent="0.2">
      <c r="V77" s="25" t="s">
        <v>183</v>
      </c>
      <c r="W77" s="25">
        <v>2220318000</v>
      </c>
      <c r="X77" s="31" t="str">
        <f t="shared" si="4"/>
        <v>ItemE 2.03.1.8</v>
      </c>
    </row>
    <row r="78" spans="22:24" x14ac:dyDescent="0.2">
      <c r="V78" s="25" t="s">
        <v>184</v>
      </c>
      <c r="W78" s="25">
        <v>2220319000</v>
      </c>
      <c r="X78" s="31" t="str">
        <f t="shared" si="4"/>
        <v>ItemE 2.03.1.9</v>
      </c>
    </row>
    <row r="79" spans="22:24" x14ac:dyDescent="0.2">
      <c r="V79" s="25" t="s">
        <v>185</v>
      </c>
      <c r="W79" s="25">
        <v>2220319100</v>
      </c>
      <c r="X79" s="31" t="str">
        <f t="shared" si="4"/>
        <v>ItemE 2.03.1.10</v>
      </c>
    </row>
    <row r="80" spans="22:24" x14ac:dyDescent="0.2">
      <c r="V80" s="25" t="s">
        <v>186</v>
      </c>
      <c r="W80" s="25">
        <v>2220319200</v>
      </c>
      <c r="X80" s="31" t="str">
        <f t="shared" si="4"/>
        <v>ItemE 2.03.1.11</v>
      </c>
    </row>
    <row r="81" spans="22:24" x14ac:dyDescent="0.2">
      <c r="V81" s="25" t="s">
        <v>187</v>
      </c>
      <c r="W81" s="25">
        <v>2220320000</v>
      </c>
      <c r="X81" s="31" t="str">
        <f t="shared" si="4"/>
        <v>ItemE 2.03.2.</v>
      </c>
    </row>
    <row r="82" spans="22:24" x14ac:dyDescent="0.2">
      <c r="V82" s="25" t="s">
        <v>188</v>
      </c>
      <c r="W82" s="25">
        <v>2220320100</v>
      </c>
      <c r="X82" s="31" t="str">
        <f t="shared" si="4"/>
        <v>ItemE 2.03.2.01</v>
      </c>
    </row>
    <row r="83" spans="22:24" x14ac:dyDescent="0.2">
      <c r="V83" s="25" t="s">
        <v>189</v>
      </c>
      <c r="W83" s="25">
        <v>2220320200</v>
      </c>
      <c r="X83" s="31" t="str">
        <f t="shared" si="4"/>
        <v>ItemE 2.03.2.02</v>
      </c>
    </row>
    <row r="84" spans="22:24" x14ac:dyDescent="0.2">
      <c r="V84" s="25" t="s">
        <v>190</v>
      </c>
      <c r="W84" s="25">
        <v>2220320300</v>
      </c>
      <c r="X84" s="31" t="str">
        <f t="shared" si="4"/>
        <v>ItemE 2.03.2.03</v>
      </c>
    </row>
    <row r="85" spans="22:24" x14ac:dyDescent="0.2">
      <c r="V85" s="25" t="s">
        <v>191</v>
      </c>
      <c r="W85" s="25">
        <v>2220320400</v>
      </c>
      <c r="X85" s="31" t="str">
        <f t="shared" si="4"/>
        <v>ItemE 2.03.2.04</v>
      </c>
    </row>
    <row r="86" spans="22:24" x14ac:dyDescent="0.2">
      <c r="V86" s="25" t="s">
        <v>192</v>
      </c>
      <c r="W86" s="25">
        <v>2220320500</v>
      </c>
      <c r="X86" s="31" t="str">
        <f t="shared" si="4"/>
        <v>ItemE 2.03.2.05</v>
      </c>
    </row>
    <row r="87" spans="22:24" x14ac:dyDescent="0.2">
      <c r="V87" s="25" t="s">
        <v>193</v>
      </c>
      <c r="W87" s="25">
        <v>2220320600</v>
      </c>
      <c r="X87" s="31" t="str">
        <f t="shared" si="4"/>
        <v>ItemE 2.03.2.06</v>
      </c>
    </row>
    <row r="88" spans="22:24" x14ac:dyDescent="0.2">
      <c r="V88" s="25" t="s">
        <v>194</v>
      </c>
      <c r="W88" s="25">
        <v>2220320700</v>
      </c>
      <c r="X88" s="31" t="str">
        <f t="shared" si="4"/>
        <v>ItemE 2.03.2.07</v>
      </c>
    </row>
    <row r="89" spans="22:24" x14ac:dyDescent="0.2">
      <c r="V89" s="25" t="s">
        <v>195</v>
      </c>
      <c r="W89" s="25">
        <v>2220320800</v>
      </c>
      <c r="X89" s="31" t="str">
        <f t="shared" si="4"/>
        <v>ItemE 2.03.2.08</v>
      </c>
    </row>
    <row r="90" spans="22:24" x14ac:dyDescent="0.2">
      <c r="V90" s="25" t="s">
        <v>196</v>
      </c>
      <c r="W90" s="25">
        <v>2220321000</v>
      </c>
      <c r="X90" s="31" t="str">
        <f t="shared" si="4"/>
        <v>ItemE 2.03.2.09</v>
      </c>
    </row>
    <row r="91" spans="22:24" x14ac:dyDescent="0.2">
      <c r="V91" s="25" t="s">
        <v>197</v>
      </c>
      <c r="W91" s="25">
        <v>2220400000</v>
      </c>
      <c r="X91" s="31" t="str">
        <f t="shared" si="4"/>
        <v>ItemE 2.04.</v>
      </c>
    </row>
    <row r="92" spans="22:24" x14ac:dyDescent="0.2">
      <c r="V92" s="25" t="s">
        <v>198</v>
      </c>
      <c r="W92" s="25">
        <v>2220410000</v>
      </c>
      <c r="X92" s="31" t="str">
        <f t="shared" si="4"/>
        <v>ItemE 2.04.1.</v>
      </c>
    </row>
    <row r="93" spans="22:24" x14ac:dyDescent="0.2">
      <c r="V93" s="25" t="s">
        <v>199</v>
      </c>
      <c r="W93" s="25">
        <v>2220420000</v>
      </c>
      <c r="X93" s="31" t="str">
        <f t="shared" si="4"/>
        <v>ItemE 2.04.2.</v>
      </c>
    </row>
    <row r="94" spans="22:24" x14ac:dyDescent="0.2">
      <c r="V94" s="25" t="s">
        <v>200</v>
      </c>
      <c r="W94" s="25">
        <v>2220430000</v>
      </c>
      <c r="X94" s="31" t="str">
        <f t="shared" si="4"/>
        <v>ItemE 2.04.3.</v>
      </c>
    </row>
    <row r="95" spans="22:24" x14ac:dyDescent="0.2">
      <c r="V95" s="25" t="s">
        <v>201</v>
      </c>
      <c r="W95" s="25">
        <v>2220500000</v>
      </c>
      <c r="X95" s="31" t="str">
        <f t="shared" si="4"/>
        <v>ItemE 2.05.</v>
      </c>
    </row>
    <row r="96" spans="22:24" x14ac:dyDescent="0.2">
      <c r="V96" s="25" t="s">
        <v>202</v>
      </c>
      <c r="W96" s="25">
        <v>2220510000</v>
      </c>
      <c r="X96" s="31" t="str">
        <f t="shared" si="4"/>
        <v>ItemE 2.05.1.</v>
      </c>
    </row>
    <row r="97" spans="22:24" x14ac:dyDescent="0.2">
      <c r="V97" s="25" t="s">
        <v>203</v>
      </c>
      <c r="W97" s="25">
        <v>2220520000</v>
      </c>
      <c r="X97" s="31" t="str">
        <f t="shared" si="4"/>
        <v>ItemE 2.05.2.</v>
      </c>
    </row>
    <row r="98" spans="22:24" x14ac:dyDescent="0.2">
      <c r="V98" s="25" t="s">
        <v>204</v>
      </c>
      <c r="W98" s="25">
        <v>2220600000</v>
      </c>
      <c r="X98" s="31" t="str">
        <f t="shared" si="4"/>
        <v>ItemE 2.06.</v>
      </c>
    </row>
    <row r="99" spans="22:24" x14ac:dyDescent="0.2">
      <c r="V99" s="25" t="s">
        <v>205</v>
      </c>
      <c r="W99" s="25">
        <v>2220610000</v>
      </c>
      <c r="X99" s="31" t="str">
        <f t="shared" si="4"/>
        <v>ItemE 2.06.1.</v>
      </c>
    </row>
    <row r="100" spans="22:24" x14ac:dyDescent="0.2">
      <c r="V100" s="25" t="s">
        <v>206</v>
      </c>
      <c r="W100" s="25">
        <v>2220620000</v>
      </c>
      <c r="X100" s="31" t="str">
        <f t="shared" si="4"/>
        <v>ItemE 2.06.2.</v>
      </c>
    </row>
    <row r="101" spans="22:24" x14ac:dyDescent="0.2">
      <c r="V101" s="25" t="s">
        <v>207</v>
      </c>
      <c r="W101" s="25">
        <v>2220630000</v>
      </c>
      <c r="X101" s="31" t="str">
        <f t="shared" si="4"/>
        <v>ItemE 2.06.3.</v>
      </c>
    </row>
    <row r="102" spans="22:24" x14ac:dyDescent="0.2">
      <c r="V102" s="25" t="s">
        <v>208</v>
      </c>
      <c r="W102" s="25">
        <v>2220700000</v>
      </c>
      <c r="X102" s="31" t="str">
        <f t="shared" si="4"/>
        <v>ItemE 2.07.</v>
      </c>
    </row>
    <row r="103" spans="22:24" x14ac:dyDescent="0.2">
      <c r="V103" s="25" t="s">
        <v>209</v>
      </c>
      <c r="W103" s="25">
        <v>2220710000</v>
      </c>
      <c r="X103" s="31" t="str">
        <f t="shared" si="4"/>
        <v>ItemE 2.07.1.</v>
      </c>
    </row>
    <row r="104" spans="22:24" x14ac:dyDescent="0.2">
      <c r="V104" s="25" t="s">
        <v>210</v>
      </c>
      <c r="W104" s="25">
        <v>2220720000</v>
      </c>
      <c r="X104" s="31" t="str">
        <f t="shared" si="4"/>
        <v>ItemE 2.07.2.</v>
      </c>
    </row>
    <row r="105" spans="22:24" x14ac:dyDescent="0.2">
      <c r="V105" s="25" t="s">
        <v>211</v>
      </c>
      <c r="W105" s="25">
        <v>2220800000</v>
      </c>
      <c r="X105" s="31" t="str">
        <f t="shared" si="4"/>
        <v>ItemE 2.08.</v>
      </c>
    </row>
    <row r="106" spans="22:24" x14ac:dyDescent="0.2">
      <c r="V106" s="25" t="s">
        <v>212</v>
      </c>
      <c r="W106" s="25">
        <v>2220900000</v>
      </c>
      <c r="X106" s="31" t="str">
        <f t="shared" si="4"/>
        <v>ItemE 2.09.</v>
      </c>
    </row>
    <row r="107" spans="22:24" x14ac:dyDescent="0.2">
      <c r="V107" s="25" t="s">
        <v>213</v>
      </c>
      <c r="W107" s="25">
        <v>2220910000</v>
      </c>
      <c r="X107" s="31" t="str">
        <f t="shared" si="4"/>
        <v>ItemE 2.09.1.</v>
      </c>
    </row>
    <row r="108" spans="22:24" x14ac:dyDescent="0.2">
      <c r="V108" s="25" t="s">
        <v>214</v>
      </c>
      <c r="W108" s="25">
        <v>2220911000</v>
      </c>
      <c r="X108" s="31" t="str">
        <f t="shared" si="4"/>
        <v>ItemE 2.09.1.1</v>
      </c>
    </row>
    <row r="109" spans="22:24" x14ac:dyDescent="0.2">
      <c r="V109" s="25" t="s">
        <v>215</v>
      </c>
      <c r="W109" s="25">
        <v>2220912000</v>
      </c>
      <c r="X109" s="31" t="str">
        <f t="shared" si="4"/>
        <v>ItemE 2.09.1.2</v>
      </c>
    </row>
    <row r="110" spans="22:24" x14ac:dyDescent="0.2">
      <c r="V110" s="25" t="s">
        <v>216</v>
      </c>
      <c r="W110" s="25">
        <v>2220913000</v>
      </c>
      <c r="X110" s="31" t="str">
        <f t="shared" si="4"/>
        <v>ItemE 2.09.1.3</v>
      </c>
    </row>
    <row r="111" spans="22:24" x14ac:dyDescent="0.2">
      <c r="V111" s="25" t="s">
        <v>217</v>
      </c>
      <c r="W111" s="25">
        <v>2220914000</v>
      </c>
      <c r="X111" s="31" t="str">
        <f t="shared" si="4"/>
        <v>ItemE 2.09.1.4</v>
      </c>
    </row>
    <row r="112" spans="22:24" x14ac:dyDescent="0.2">
      <c r="V112" s="25" t="s">
        <v>218</v>
      </c>
      <c r="W112" s="25">
        <v>2220920000</v>
      </c>
      <c r="X112" s="31" t="str">
        <f t="shared" si="4"/>
        <v>ItemE 2.09.2.</v>
      </c>
    </row>
    <row r="113" spans="22:24" x14ac:dyDescent="0.2">
      <c r="V113" s="25" t="s">
        <v>219</v>
      </c>
      <c r="W113" s="25">
        <v>2220930000</v>
      </c>
      <c r="X113" s="31" t="str">
        <f t="shared" si="4"/>
        <v>ItemE 2.09.3.</v>
      </c>
    </row>
    <row r="114" spans="22:24" x14ac:dyDescent="0.2">
      <c r="V114" s="25" t="s">
        <v>220</v>
      </c>
      <c r="W114" s="25">
        <v>2221000000</v>
      </c>
      <c r="X114" s="31" t="str">
        <f t="shared" si="4"/>
        <v>ItemE 2.10</v>
      </c>
    </row>
    <row r="115" spans="22:24" x14ac:dyDescent="0.2">
      <c r="V115" s="25" t="s">
        <v>221</v>
      </c>
      <c r="W115" s="25">
        <v>2221100000</v>
      </c>
      <c r="X115" s="31" t="str">
        <f t="shared" si="4"/>
        <v>ItemE 2.11.</v>
      </c>
    </row>
    <row r="116" spans="22:24" x14ac:dyDescent="0.2">
      <c r="V116" s="25" t="s">
        <v>222</v>
      </c>
      <c r="W116" s="25">
        <v>2221110000</v>
      </c>
      <c r="X116" s="31" t="str">
        <f t="shared" si="4"/>
        <v>ItemE 2.11.1.</v>
      </c>
    </row>
    <row r="117" spans="22:24" x14ac:dyDescent="0.2">
      <c r="V117" s="25" t="s">
        <v>223</v>
      </c>
      <c r="W117" s="25">
        <v>2221120000</v>
      </c>
      <c r="X117" s="31" t="str">
        <f t="shared" si="4"/>
        <v>ItemE 2.11.2.</v>
      </c>
    </row>
    <row r="118" spans="22:24" x14ac:dyDescent="0.2">
      <c r="V118" s="25" t="s">
        <v>224</v>
      </c>
      <c r="W118" s="25">
        <v>2221130000</v>
      </c>
      <c r="X118" s="31" t="str">
        <f t="shared" si="4"/>
        <v>ItemE 2.11.3.</v>
      </c>
    </row>
    <row r="119" spans="22:24" x14ac:dyDescent="0.2">
      <c r="V119" s="25" t="s">
        <v>225</v>
      </c>
      <c r="W119" s="25">
        <v>2221140000</v>
      </c>
      <c r="X119" s="31" t="str">
        <f t="shared" si="4"/>
        <v>ItemE 2.11.4.</v>
      </c>
    </row>
    <row r="120" spans="22:24" x14ac:dyDescent="0.2">
      <c r="V120" s="25" t="s">
        <v>226</v>
      </c>
      <c r="W120" s="25">
        <v>2221200000</v>
      </c>
      <c r="X120" s="31" t="str">
        <f t="shared" si="4"/>
        <v>ItemE 2.12.</v>
      </c>
    </row>
    <row r="121" spans="22:24" x14ac:dyDescent="0.2">
      <c r="V121" s="25" t="s">
        <v>227</v>
      </c>
      <c r="W121" s="25">
        <v>2221300000</v>
      </c>
      <c r="X121" s="31" t="str">
        <f t="shared" si="4"/>
        <v>ItemE 2.13.</v>
      </c>
    </row>
    <row r="122" spans="22:24" x14ac:dyDescent="0.2">
      <c r="V122" s="25" t="s">
        <v>228</v>
      </c>
      <c r="W122" s="25">
        <v>2221400000</v>
      </c>
      <c r="X122" s="31" t="str">
        <f t="shared" si="4"/>
        <v>ItemE 2.14.</v>
      </c>
    </row>
    <row r="123" spans="22:24" x14ac:dyDescent="0.2">
      <c r="V123" s="25" t="s">
        <v>229</v>
      </c>
      <c r="W123" s="25">
        <v>2221401000</v>
      </c>
      <c r="X123" s="31" t="str">
        <f t="shared" si="4"/>
        <v>ItemE 2.14.01</v>
      </c>
    </row>
    <row r="124" spans="22:24" x14ac:dyDescent="0.2">
      <c r="V124" s="25" t="s">
        <v>230</v>
      </c>
      <c r="W124" s="25">
        <v>2221402000</v>
      </c>
      <c r="X124" s="31" t="str">
        <f t="shared" si="4"/>
        <v>ItemE 2.14.02</v>
      </c>
    </row>
    <row r="125" spans="22:24" x14ac:dyDescent="0.2">
      <c r="V125" s="25" t="s">
        <v>231</v>
      </c>
      <c r="W125" s="25">
        <v>2221403000</v>
      </c>
      <c r="X125" s="31" t="str">
        <f t="shared" si="4"/>
        <v>ItemE 2.14.03</v>
      </c>
    </row>
    <row r="126" spans="22:24" x14ac:dyDescent="0.2">
      <c r="V126" s="25" t="s">
        <v>232</v>
      </c>
      <c r="W126" s="25">
        <v>2221404000</v>
      </c>
      <c r="X126" s="31" t="str">
        <f t="shared" si="4"/>
        <v>ItemE 2.14.04</v>
      </c>
    </row>
    <row r="127" spans="22:24" x14ac:dyDescent="0.2">
      <c r="V127" s="25" t="s">
        <v>233</v>
      </c>
      <c r="W127" s="25">
        <v>2221405000</v>
      </c>
      <c r="X127" s="31" t="str">
        <f t="shared" si="4"/>
        <v>ItemE 2.14.05</v>
      </c>
    </row>
    <row r="128" spans="22:24" x14ac:dyDescent="0.2">
      <c r="V128" s="25" t="s">
        <v>234</v>
      </c>
      <c r="W128" s="25">
        <v>2221406000</v>
      </c>
      <c r="X128" s="31" t="str">
        <f t="shared" si="4"/>
        <v>ItemE 2.14.06</v>
      </c>
    </row>
    <row r="129" spans="22:24" x14ac:dyDescent="0.2">
      <c r="V129" s="25" t="s">
        <v>235</v>
      </c>
      <c r="W129" s="25">
        <v>2221407000</v>
      </c>
      <c r="X129" s="31" t="str">
        <f t="shared" si="4"/>
        <v>ItemE 2.14.07</v>
      </c>
    </row>
    <row r="130" spans="22:24" x14ac:dyDescent="0.2">
      <c r="V130" s="25" t="s">
        <v>236</v>
      </c>
      <c r="W130" s="25">
        <v>2221408000</v>
      </c>
      <c r="X130" s="31" t="str">
        <f t="shared" si="4"/>
        <v>ItemE 2.14.08</v>
      </c>
    </row>
    <row r="131" spans="22:24" x14ac:dyDescent="0.2">
      <c r="V131" s="25" t="s">
        <v>237</v>
      </c>
      <c r="W131" s="25">
        <v>2221409000</v>
      </c>
      <c r="X131" s="31" t="str">
        <f t="shared" ref="X131:X194" si="5">"ItemE "&amp;V131</f>
        <v>ItemE 2.14.09</v>
      </c>
    </row>
    <row r="132" spans="22:24" x14ac:dyDescent="0.2">
      <c r="V132" s="25" t="s">
        <v>238</v>
      </c>
      <c r="W132" s="25">
        <v>2221410000</v>
      </c>
      <c r="X132" s="31" t="str">
        <f t="shared" si="5"/>
        <v>ItemE 2.14.10</v>
      </c>
    </row>
    <row r="133" spans="22:24" x14ac:dyDescent="0.2">
      <c r="V133" s="25" t="s">
        <v>239</v>
      </c>
      <c r="W133" s="25">
        <v>2221411000</v>
      </c>
      <c r="X133" s="31" t="str">
        <f t="shared" si="5"/>
        <v>ItemE 2.14.11</v>
      </c>
    </row>
    <row r="134" spans="22:24" x14ac:dyDescent="0.2">
      <c r="V134" s="25" t="s">
        <v>240</v>
      </c>
      <c r="W134" s="25">
        <v>2220320900</v>
      </c>
      <c r="X134" s="31" t="str">
        <f t="shared" si="5"/>
        <v>ItemE 2.14.12</v>
      </c>
    </row>
    <row r="135" spans="22:24" x14ac:dyDescent="0.2">
      <c r="V135" s="25" t="s">
        <v>241</v>
      </c>
      <c r="W135" s="25">
        <v>2221516000</v>
      </c>
      <c r="X135" s="31" t="str">
        <f t="shared" si="5"/>
        <v>ItemE 2.14.13</v>
      </c>
    </row>
    <row r="136" spans="22:24" x14ac:dyDescent="0.2">
      <c r="V136" s="25" t="s">
        <v>242</v>
      </c>
      <c r="W136" s="25">
        <v>2221412000</v>
      </c>
      <c r="X136" s="31" t="str">
        <f t="shared" si="5"/>
        <v>ItemE 2.14.14</v>
      </c>
    </row>
    <row r="137" spans="22:24" x14ac:dyDescent="0.2">
      <c r="V137" s="25" t="s">
        <v>243</v>
      </c>
      <c r="W137" s="25">
        <v>2221500000</v>
      </c>
      <c r="X137" s="31" t="str">
        <f t="shared" si="5"/>
        <v>ItemE 2.15.</v>
      </c>
    </row>
    <row r="138" spans="22:24" x14ac:dyDescent="0.2">
      <c r="V138" s="25" t="s">
        <v>244</v>
      </c>
      <c r="W138" s="25">
        <v>2221501000</v>
      </c>
      <c r="X138" s="31" t="str">
        <f t="shared" si="5"/>
        <v>ItemE 2.15.01</v>
      </c>
    </row>
    <row r="139" spans="22:24" x14ac:dyDescent="0.2">
      <c r="V139" s="25" t="s">
        <v>245</v>
      </c>
      <c r="W139" s="25">
        <v>2221502000</v>
      </c>
      <c r="X139" s="31" t="str">
        <f t="shared" si="5"/>
        <v>ItemE 2.15.02</v>
      </c>
    </row>
    <row r="140" spans="22:24" x14ac:dyDescent="0.2">
      <c r="V140" s="25" t="s">
        <v>246</v>
      </c>
      <c r="W140" s="25">
        <v>2221503000</v>
      </c>
      <c r="X140" s="31" t="str">
        <f t="shared" si="5"/>
        <v>ItemE 2.15.03</v>
      </c>
    </row>
    <row r="141" spans="22:24" x14ac:dyDescent="0.2">
      <c r="V141" s="25" t="s">
        <v>247</v>
      </c>
      <c r="W141" s="25">
        <v>2221504000</v>
      </c>
      <c r="X141" s="31" t="str">
        <f t="shared" si="5"/>
        <v>ItemE 2.15.04</v>
      </c>
    </row>
    <row r="142" spans="22:24" x14ac:dyDescent="0.2">
      <c r="V142" s="25" t="s">
        <v>248</v>
      </c>
      <c r="W142" s="25">
        <v>2221505000</v>
      </c>
      <c r="X142" s="31" t="str">
        <f t="shared" si="5"/>
        <v>ItemE 2.15.05</v>
      </c>
    </row>
    <row r="143" spans="22:24" x14ac:dyDescent="0.2">
      <c r="V143" s="25" t="s">
        <v>249</v>
      </c>
      <c r="W143" s="25">
        <v>2221506000</v>
      </c>
      <c r="X143" s="31" t="str">
        <f t="shared" si="5"/>
        <v>ItemE 2.15.06</v>
      </c>
    </row>
    <row r="144" spans="22:24" x14ac:dyDescent="0.2">
      <c r="V144" s="25" t="s">
        <v>250</v>
      </c>
      <c r="W144" s="25">
        <v>2221507000</v>
      </c>
      <c r="X144" s="31" t="str">
        <f t="shared" si="5"/>
        <v>ItemE 2.15.07</v>
      </c>
    </row>
    <row r="145" spans="22:24" x14ac:dyDescent="0.2">
      <c r="V145" s="25" t="s">
        <v>251</v>
      </c>
      <c r="W145" s="25">
        <v>2221508000</v>
      </c>
      <c r="X145" s="31" t="str">
        <f t="shared" si="5"/>
        <v>ItemE 2.15.08</v>
      </c>
    </row>
    <row r="146" spans="22:24" x14ac:dyDescent="0.2">
      <c r="V146" s="25" t="s">
        <v>252</v>
      </c>
      <c r="W146" s="25">
        <v>2221509000</v>
      </c>
      <c r="X146" s="31" t="str">
        <f t="shared" si="5"/>
        <v>ItemE 2.15.09</v>
      </c>
    </row>
    <row r="147" spans="22:24" x14ac:dyDescent="0.2">
      <c r="V147" s="25" t="s">
        <v>253</v>
      </c>
      <c r="W147" s="25">
        <v>2221510000</v>
      </c>
      <c r="X147" s="31" t="str">
        <f t="shared" si="5"/>
        <v>ItemE 2.15.10</v>
      </c>
    </row>
    <row r="148" spans="22:24" x14ac:dyDescent="0.2">
      <c r="V148" s="25" t="s">
        <v>254</v>
      </c>
      <c r="W148" s="25">
        <v>2221511000</v>
      </c>
      <c r="X148" s="31" t="str">
        <f t="shared" si="5"/>
        <v>ItemE 2.15.11</v>
      </c>
    </row>
    <row r="149" spans="22:24" x14ac:dyDescent="0.2">
      <c r="V149" s="25" t="s">
        <v>255</v>
      </c>
      <c r="W149" s="25">
        <v>2221512000</v>
      </c>
      <c r="X149" s="31" t="str">
        <f t="shared" si="5"/>
        <v>ItemE 2.15.12</v>
      </c>
    </row>
    <row r="150" spans="22:24" x14ac:dyDescent="0.2">
      <c r="V150" s="25" t="s">
        <v>256</v>
      </c>
      <c r="W150" s="25">
        <v>2221513000</v>
      </c>
      <c r="X150" s="31" t="str">
        <f t="shared" si="5"/>
        <v>ItemE 2.15.13</v>
      </c>
    </row>
    <row r="151" spans="22:24" x14ac:dyDescent="0.2">
      <c r="V151" s="25" t="s">
        <v>257</v>
      </c>
      <c r="W151" s="25">
        <v>2221514000</v>
      </c>
      <c r="X151" s="31" t="str">
        <f t="shared" si="5"/>
        <v>ItemE 2.15.14</v>
      </c>
    </row>
    <row r="152" spans="22:24" x14ac:dyDescent="0.2">
      <c r="V152" s="25" t="s">
        <v>258</v>
      </c>
      <c r="W152" s="25">
        <v>2221515000</v>
      </c>
      <c r="X152" s="31" t="str">
        <f t="shared" si="5"/>
        <v>ItemE 2.15.15</v>
      </c>
    </row>
    <row r="153" spans="22:24" x14ac:dyDescent="0.2">
      <c r="V153" s="25" t="s">
        <v>259</v>
      </c>
      <c r="W153" s="25">
        <v>2221517000</v>
      </c>
      <c r="X153" s="31" t="str">
        <f t="shared" si="5"/>
        <v>ItemE 2.15.16</v>
      </c>
    </row>
    <row r="154" spans="22:24" x14ac:dyDescent="0.2">
      <c r="V154" s="25" t="s">
        <v>260</v>
      </c>
      <c r="W154" s="25">
        <v>2221517010</v>
      </c>
      <c r="X154" s="31" t="str">
        <f t="shared" si="5"/>
        <v>ItemE 2.15.16.01</v>
      </c>
    </row>
    <row r="155" spans="22:24" x14ac:dyDescent="0.2">
      <c r="V155" s="25" t="s">
        <v>261</v>
      </c>
      <c r="W155" s="25">
        <v>2221517020</v>
      </c>
      <c r="X155" s="31" t="str">
        <f t="shared" si="5"/>
        <v>ItemE 2.15.16.02</v>
      </c>
    </row>
    <row r="156" spans="22:24" x14ac:dyDescent="0.2">
      <c r="V156" s="25" t="s">
        <v>262</v>
      </c>
      <c r="W156" s="25">
        <v>2221517030</v>
      </c>
      <c r="X156" s="31" t="str">
        <f t="shared" si="5"/>
        <v>ItemE 2.15.16.03</v>
      </c>
    </row>
    <row r="157" spans="22:24" x14ac:dyDescent="0.2">
      <c r="V157" s="25" t="s">
        <v>263</v>
      </c>
      <c r="W157" s="25">
        <v>2221517040</v>
      </c>
      <c r="X157" s="31" t="str">
        <f t="shared" si="5"/>
        <v>ItemE 2.15.16.04</v>
      </c>
    </row>
    <row r="158" spans="22:24" x14ac:dyDescent="0.2">
      <c r="V158" s="25" t="s">
        <v>264</v>
      </c>
      <c r="W158" s="25">
        <v>2221517050</v>
      </c>
      <c r="X158" s="31" t="str">
        <f t="shared" si="5"/>
        <v>ItemE 2.15.16.05</v>
      </c>
    </row>
    <row r="159" spans="22:24" x14ac:dyDescent="0.2">
      <c r="V159" s="25" t="s">
        <v>265</v>
      </c>
      <c r="W159" s="25">
        <v>2221517060</v>
      </c>
      <c r="X159" s="31" t="str">
        <f t="shared" si="5"/>
        <v>ItemE 2.15.16.06</v>
      </c>
    </row>
    <row r="160" spans="22:24" x14ac:dyDescent="0.2">
      <c r="V160" s="25" t="s">
        <v>266</v>
      </c>
      <c r="W160" s="25">
        <v>2221517070</v>
      </c>
      <c r="X160" s="31" t="str">
        <f t="shared" si="5"/>
        <v>ItemE 2.15.16.07</v>
      </c>
    </row>
    <row r="161" spans="22:24" x14ac:dyDescent="0.2">
      <c r="V161" s="25" t="s">
        <v>267</v>
      </c>
      <c r="W161" s="25">
        <v>2221517080</v>
      </c>
      <c r="X161" s="31" t="str">
        <f t="shared" si="5"/>
        <v>ItemE 2.15.16.08</v>
      </c>
    </row>
    <row r="162" spans="22:24" x14ac:dyDescent="0.2">
      <c r="V162" s="25" t="s">
        <v>268</v>
      </c>
      <c r="W162" s="25">
        <v>2221517090</v>
      </c>
      <c r="X162" s="31" t="str">
        <f t="shared" si="5"/>
        <v>ItemE 2.15.16.09</v>
      </c>
    </row>
    <row r="163" spans="22:24" x14ac:dyDescent="0.2">
      <c r="V163" s="25" t="s">
        <v>269</v>
      </c>
      <c r="W163" s="25">
        <v>2221517100</v>
      </c>
      <c r="X163" s="31" t="str">
        <f t="shared" si="5"/>
        <v>ItemE 2.15.16.10</v>
      </c>
    </row>
    <row r="164" spans="22:24" x14ac:dyDescent="0.2">
      <c r="V164" s="25" t="s">
        <v>270</v>
      </c>
      <c r="W164" s="25">
        <v>2221517120</v>
      </c>
      <c r="X164" s="31" t="str">
        <f t="shared" si="5"/>
        <v>ItemE 2.15.16.11</v>
      </c>
    </row>
    <row r="165" spans="22:24" x14ac:dyDescent="0.2">
      <c r="V165" s="25" t="s">
        <v>271</v>
      </c>
      <c r="W165" s="25">
        <v>2221517130</v>
      </c>
      <c r="X165" s="31" t="str">
        <f t="shared" si="5"/>
        <v>ItemE 2.15.16.12</v>
      </c>
    </row>
    <row r="166" spans="22:24" x14ac:dyDescent="0.2">
      <c r="V166" s="25" t="s">
        <v>272</v>
      </c>
      <c r="W166" s="25">
        <v>2221517140</v>
      </c>
      <c r="X166" s="31" t="str">
        <f t="shared" si="5"/>
        <v>ItemE 2.15.16.13</v>
      </c>
    </row>
    <row r="167" spans="22:24" x14ac:dyDescent="0.2">
      <c r="V167" s="25" t="s">
        <v>273</v>
      </c>
      <c r="W167" s="25">
        <v>2221517150</v>
      </c>
      <c r="X167" s="31" t="str">
        <f t="shared" si="5"/>
        <v>ItemE 2.15.16.14</v>
      </c>
    </row>
    <row r="168" spans="22:24" x14ac:dyDescent="0.2">
      <c r="V168" s="25" t="s">
        <v>274</v>
      </c>
      <c r="W168" s="25">
        <v>2221517160</v>
      </c>
      <c r="X168" s="31" t="str">
        <f t="shared" si="5"/>
        <v>ItemE 2.15.16.15</v>
      </c>
    </row>
    <row r="169" spans="22:24" x14ac:dyDescent="0.2">
      <c r="V169" s="25" t="s">
        <v>275</v>
      </c>
      <c r="W169" s="25">
        <v>2221517170</v>
      </c>
      <c r="X169" s="31" t="str">
        <f t="shared" si="5"/>
        <v>ItemE 2.15.16.16</v>
      </c>
    </row>
    <row r="170" spans="22:24" x14ac:dyDescent="0.2">
      <c r="V170" s="25" t="s">
        <v>276</v>
      </c>
      <c r="W170" s="25">
        <v>2221517180</v>
      </c>
      <c r="X170" s="31" t="str">
        <f t="shared" si="5"/>
        <v>ItemE 2.15.16.17</v>
      </c>
    </row>
    <row r="171" spans="22:24" x14ac:dyDescent="0.2">
      <c r="V171" s="25" t="s">
        <v>277</v>
      </c>
      <c r="W171" s="25">
        <v>2221517190</v>
      </c>
      <c r="X171" s="31" t="str">
        <f t="shared" si="5"/>
        <v>ItemE 2.15.16.18</v>
      </c>
    </row>
    <row r="172" spans="22:24" x14ac:dyDescent="0.2">
      <c r="V172" s="25" t="s">
        <v>278</v>
      </c>
      <c r="W172" s="25">
        <v>2221517110</v>
      </c>
      <c r="X172" s="31" t="str">
        <f t="shared" si="5"/>
        <v>ItemE 2.15.16.19</v>
      </c>
    </row>
    <row r="173" spans="22:24" x14ac:dyDescent="0.2">
      <c r="V173" s="25" t="s">
        <v>279</v>
      </c>
      <c r="W173" s="25">
        <v>2221600000</v>
      </c>
      <c r="X173" s="31" t="str">
        <f t="shared" si="5"/>
        <v>ItemE 2.16.</v>
      </c>
    </row>
    <row r="174" spans="22:24" x14ac:dyDescent="0.2">
      <c r="V174" s="25" t="s">
        <v>280</v>
      </c>
      <c r="W174" s="25">
        <v>2221610000</v>
      </c>
      <c r="X174" s="31" t="str">
        <f t="shared" si="5"/>
        <v>ItemE 2.16.1</v>
      </c>
    </row>
    <row r="175" spans="22:24" x14ac:dyDescent="0.2">
      <c r="V175" s="25" t="s">
        <v>281</v>
      </c>
      <c r="W175" s="25">
        <v>2221611000</v>
      </c>
      <c r="X175" s="31" t="str">
        <f t="shared" si="5"/>
        <v>ItemE 2.16.1.1</v>
      </c>
    </row>
    <row r="176" spans="22:24" x14ac:dyDescent="0.2">
      <c r="V176" s="25" t="s">
        <v>282</v>
      </c>
      <c r="W176" s="25">
        <v>2221612000</v>
      </c>
      <c r="X176" s="31" t="str">
        <f t="shared" si="5"/>
        <v>ItemE 2.16.1.2</v>
      </c>
    </row>
    <row r="177" spans="22:24" x14ac:dyDescent="0.2">
      <c r="V177" s="25" t="s">
        <v>283</v>
      </c>
      <c r="W177" s="25">
        <v>2221612100</v>
      </c>
      <c r="X177" s="31" t="str">
        <f t="shared" si="5"/>
        <v>ItemE 2.16.1.2.1</v>
      </c>
    </row>
    <row r="178" spans="22:24" x14ac:dyDescent="0.2">
      <c r="V178" s="25" t="s">
        <v>284</v>
      </c>
      <c r="W178" s="25">
        <v>2221612200</v>
      </c>
      <c r="X178" s="31" t="str">
        <f t="shared" si="5"/>
        <v>ItemE 2.16.1.2.2</v>
      </c>
    </row>
    <row r="179" spans="22:24" x14ac:dyDescent="0.2">
      <c r="V179" s="25" t="s">
        <v>285</v>
      </c>
      <c r="W179" s="25">
        <v>2221613000</v>
      </c>
      <c r="X179" s="31" t="str">
        <f t="shared" si="5"/>
        <v>ItemE 2.16.1.3</v>
      </c>
    </row>
    <row r="180" spans="22:24" x14ac:dyDescent="0.2">
      <c r="V180" s="25" t="s">
        <v>286</v>
      </c>
      <c r="W180" s="25">
        <v>2221613100</v>
      </c>
      <c r="X180" s="31" t="str">
        <f t="shared" si="5"/>
        <v>ItemE 2.16.1.3.1</v>
      </c>
    </row>
    <row r="181" spans="22:24" x14ac:dyDescent="0.2">
      <c r="V181" s="25" t="s">
        <v>287</v>
      </c>
      <c r="W181" s="25">
        <v>2221613200</v>
      </c>
      <c r="X181" s="31" t="str">
        <f t="shared" si="5"/>
        <v>ItemE 2.16.1.3.2</v>
      </c>
    </row>
    <row r="182" spans="22:24" x14ac:dyDescent="0.2">
      <c r="V182" s="25" t="s">
        <v>288</v>
      </c>
      <c r="W182" s="25">
        <v>2221614000</v>
      </c>
      <c r="X182" s="31" t="str">
        <f t="shared" si="5"/>
        <v>ItemE 2.16.1.4</v>
      </c>
    </row>
    <row r="183" spans="22:24" x14ac:dyDescent="0.2">
      <c r="V183" s="25" t="s">
        <v>289</v>
      </c>
      <c r="W183" s="25">
        <v>2221615000</v>
      </c>
      <c r="X183" s="31" t="str">
        <f t="shared" si="5"/>
        <v>ItemE 2.16.1.5</v>
      </c>
    </row>
    <row r="184" spans="22:24" x14ac:dyDescent="0.2">
      <c r="V184" s="25" t="s">
        <v>290</v>
      </c>
      <c r="W184" s="25">
        <v>2221615100</v>
      </c>
      <c r="X184" s="31" t="str">
        <f t="shared" si="5"/>
        <v>ItemE 2.16.1.5.1</v>
      </c>
    </row>
    <row r="185" spans="22:24" x14ac:dyDescent="0.2">
      <c r="V185" s="25" t="s">
        <v>291</v>
      </c>
      <c r="W185" s="25">
        <v>2221615200</v>
      </c>
      <c r="X185" s="31" t="str">
        <f t="shared" si="5"/>
        <v>ItemE 2.16.1.5.2</v>
      </c>
    </row>
    <row r="186" spans="22:24" x14ac:dyDescent="0.2">
      <c r="V186" s="25" t="s">
        <v>292</v>
      </c>
      <c r="W186" s="25">
        <v>2221615300</v>
      </c>
      <c r="X186" s="31" t="str">
        <f t="shared" si="5"/>
        <v>ItemE 2.16.1.5.3</v>
      </c>
    </row>
    <row r="187" spans="22:24" x14ac:dyDescent="0.2">
      <c r="V187" s="25" t="s">
        <v>293</v>
      </c>
      <c r="W187" s="25">
        <v>2221615400</v>
      </c>
      <c r="X187" s="31" t="str">
        <f t="shared" si="5"/>
        <v>ItemE 2.16.1.5.4</v>
      </c>
    </row>
    <row r="188" spans="22:24" x14ac:dyDescent="0.2">
      <c r="V188" s="25" t="s">
        <v>294</v>
      </c>
      <c r="W188" s="25">
        <v>2221615500</v>
      </c>
      <c r="X188" s="31" t="str">
        <f t="shared" si="5"/>
        <v>ItemE 2.16.1.5.5</v>
      </c>
    </row>
    <row r="189" spans="22:24" x14ac:dyDescent="0.2">
      <c r="V189" s="25" t="s">
        <v>295</v>
      </c>
      <c r="W189" s="25">
        <v>2221615600</v>
      </c>
      <c r="X189" s="31" t="str">
        <f t="shared" si="5"/>
        <v>ItemE 2.16.1.5.6</v>
      </c>
    </row>
    <row r="190" spans="22:24" x14ac:dyDescent="0.2">
      <c r="V190" s="25" t="s">
        <v>296</v>
      </c>
      <c r="W190" s="25">
        <v>2221615700</v>
      </c>
      <c r="X190" s="31" t="str">
        <f t="shared" si="5"/>
        <v>ItemE 2.16.1.5.7</v>
      </c>
    </row>
    <row r="191" spans="22:24" x14ac:dyDescent="0.2">
      <c r="V191" s="25" t="s">
        <v>297</v>
      </c>
      <c r="W191" s="25">
        <v>2221620000</v>
      </c>
      <c r="X191" s="31" t="str">
        <f t="shared" si="5"/>
        <v>ItemE 2.16.2</v>
      </c>
    </row>
    <row r="192" spans="22:24" x14ac:dyDescent="0.2">
      <c r="V192" s="25" t="s">
        <v>298</v>
      </c>
      <c r="W192" s="25">
        <v>2221630000</v>
      </c>
      <c r="X192" s="31" t="str">
        <f t="shared" si="5"/>
        <v>ItemE 2.16.3</v>
      </c>
    </row>
    <row r="193" spans="22:24" x14ac:dyDescent="0.2">
      <c r="V193" s="25" t="s">
        <v>299</v>
      </c>
      <c r="W193" s="25">
        <v>2221700000</v>
      </c>
      <c r="X193" s="31" t="str">
        <f t="shared" si="5"/>
        <v>ItemE 2.17.</v>
      </c>
    </row>
    <row r="194" spans="22:24" x14ac:dyDescent="0.2">
      <c r="V194" s="25" t="s">
        <v>300</v>
      </c>
      <c r="W194" s="25">
        <v>2221710000</v>
      </c>
      <c r="X194" s="31" t="str">
        <f t="shared" si="5"/>
        <v>ItemE 2.17.1</v>
      </c>
    </row>
    <row r="195" spans="22:24" x14ac:dyDescent="0.2">
      <c r="V195" s="25" t="s">
        <v>301</v>
      </c>
      <c r="W195" s="25">
        <v>2221720000</v>
      </c>
      <c r="X195" s="31" t="str">
        <f t="shared" ref="X195:X258" si="6">"ItemE "&amp;V195</f>
        <v>ItemE 2.17.2</v>
      </c>
    </row>
    <row r="196" spans="22:24" x14ac:dyDescent="0.2">
      <c r="V196" s="25" t="s">
        <v>302</v>
      </c>
      <c r="W196" s="25">
        <v>2221730000</v>
      </c>
      <c r="X196" s="31" t="str">
        <f t="shared" si="6"/>
        <v>ItemE 2.17.3</v>
      </c>
    </row>
    <row r="197" spans="22:24" x14ac:dyDescent="0.2">
      <c r="V197" s="25" t="s">
        <v>303</v>
      </c>
      <c r="W197" s="25">
        <v>2221800000</v>
      </c>
      <c r="X197" s="31" t="str">
        <f t="shared" si="6"/>
        <v>ItemE 2.18.</v>
      </c>
    </row>
    <row r="198" spans="22:24" x14ac:dyDescent="0.2">
      <c r="V198" s="25" t="s">
        <v>304</v>
      </c>
      <c r="W198" s="25">
        <v>2222100000</v>
      </c>
      <c r="X198" s="31" t="str">
        <f t="shared" si="6"/>
        <v>ItemE 2.21.</v>
      </c>
    </row>
    <row r="199" spans="22:24" x14ac:dyDescent="0.2">
      <c r="V199" s="25" t="s">
        <v>305</v>
      </c>
      <c r="W199" s="25">
        <v>2222200000</v>
      </c>
      <c r="X199" s="31" t="str">
        <f t="shared" si="6"/>
        <v>ItemE 2.22.</v>
      </c>
    </row>
    <row r="200" spans="22:24" x14ac:dyDescent="0.2">
      <c r="V200" s="25" t="s">
        <v>306</v>
      </c>
      <c r="W200" s="25">
        <v>2222300000</v>
      </c>
      <c r="X200" s="31" t="str">
        <f t="shared" si="6"/>
        <v>ItemE 2.23.</v>
      </c>
    </row>
    <row r="201" spans="22:24" x14ac:dyDescent="0.2">
      <c r="V201" s="25" t="s">
        <v>307</v>
      </c>
      <c r="W201" s="25">
        <v>2230000000</v>
      </c>
      <c r="X201" s="31" t="str">
        <f t="shared" si="6"/>
        <v>ItemE 3.</v>
      </c>
    </row>
    <row r="202" spans="22:24" x14ac:dyDescent="0.2">
      <c r="V202" s="25" t="s">
        <v>308</v>
      </c>
      <c r="W202" s="25">
        <v>2231000000</v>
      </c>
      <c r="X202" s="31" t="str">
        <f t="shared" si="6"/>
        <v>ItemE 3.1.</v>
      </c>
    </row>
    <row r="203" spans="22:24" x14ac:dyDescent="0.2">
      <c r="V203" s="25" t="s">
        <v>309</v>
      </c>
      <c r="W203" s="25">
        <v>2232000000</v>
      </c>
      <c r="X203" s="31" t="str">
        <f t="shared" si="6"/>
        <v>ItemE 3.2.</v>
      </c>
    </row>
    <row r="204" spans="22:24" x14ac:dyDescent="0.2">
      <c r="V204" s="25" t="s">
        <v>310</v>
      </c>
      <c r="W204" s="25">
        <v>2232100000</v>
      </c>
      <c r="X204" s="31" t="str">
        <f t="shared" si="6"/>
        <v>ItemE 3.2.1.</v>
      </c>
    </row>
    <row r="205" spans="22:24" x14ac:dyDescent="0.2">
      <c r="V205" s="25" t="s">
        <v>311</v>
      </c>
      <c r="W205" s="25">
        <v>2232200000</v>
      </c>
      <c r="X205" s="31" t="str">
        <f t="shared" si="6"/>
        <v>ItemE 3.2.2.</v>
      </c>
    </row>
    <row r="206" spans="22:24" x14ac:dyDescent="0.2">
      <c r="V206" s="25" t="s">
        <v>312</v>
      </c>
      <c r="W206" s="25">
        <v>2233000000</v>
      </c>
      <c r="X206" s="31" t="str">
        <f t="shared" si="6"/>
        <v>ItemE 3.3.</v>
      </c>
    </row>
    <row r="207" spans="22:24" x14ac:dyDescent="0.2">
      <c r="V207" s="25" t="s">
        <v>313</v>
      </c>
      <c r="W207" s="25">
        <v>2233100000</v>
      </c>
      <c r="X207" s="31" t="str">
        <f t="shared" si="6"/>
        <v>ItemE 3.3.1.</v>
      </c>
    </row>
    <row r="208" spans="22:24" x14ac:dyDescent="0.2">
      <c r="V208" s="25" t="s">
        <v>314</v>
      </c>
      <c r="W208" s="25">
        <v>2233200000</v>
      </c>
      <c r="X208" s="31" t="str">
        <f t="shared" si="6"/>
        <v>ItemE 3.3.2.</v>
      </c>
    </row>
    <row r="209" spans="22:24" x14ac:dyDescent="0.2">
      <c r="V209" s="25" t="s">
        <v>315</v>
      </c>
      <c r="W209" s="25">
        <v>2234000000</v>
      </c>
      <c r="X209" s="31" t="str">
        <f t="shared" si="6"/>
        <v>ItemE 3.4.</v>
      </c>
    </row>
    <row r="210" spans="22:24" x14ac:dyDescent="0.2">
      <c r="V210" s="25" t="s">
        <v>316</v>
      </c>
      <c r="W210" s="25">
        <v>2235000000</v>
      </c>
      <c r="X210" s="31" t="str">
        <f t="shared" si="6"/>
        <v>ItemE 3.5.</v>
      </c>
    </row>
    <row r="211" spans="22:24" x14ac:dyDescent="0.2">
      <c r="V211" s="25" t="s">
        <v>317</v>
      </c>
      <c r="W211" s="25">
        <v>2235100000</v>
      </c>
      <c r="X211" s="31" t="str">
        <f t="shared" si="6"/>
        <v>ItemE 3.5.1.</v>
      </c>
    </row>
    <row r="212" spans="22:24" x14ac:dyDescent="0.2">
      <c r="V212" s="25" t="s">
        <v>318</v>
      </c>
      <c r="W212" s="25">
        <v>2235200000</v>
      </c>
      <c r="X212" s="31" t="str">
        <f t="shared" si="6"/>
        <v>ItemE 3.5.2.</v>
      </c>
    </row>
    <row r="213" spans="22:24" x14ac:dyDescent="0.2">
      <c r="V213" s="25" t="s">
        <v>319</v>
      </c>
      <c r="W213" s="25">
        <v>2235300000</v>
      </c>
      <c r="X213" s="31" t="str">
        <f t="shared" si="6"/>
        <v>ItemE 3.5.3.</v>
      </c>
    </row>
    <row r="214" spans="22:24" x14ac:dyDescent="0.2">
      <c r="V214" s="25" t="s">
        <v>320</v>
      </c>
      <c r="W214" s="25">
        <v>2235400000</v>
      </c>
      <c r="X214" s="31" t="str">
        <f t="shared" si="6"/>
        <v>ItemE 3.5.4.</v>
      </c>
    </row>
    <row r="215" spans="22:24" x14ac:dyDescent="0.2">
      <c r="V215" s="25" t="s">
        <v>321</v>
      </c>
      <c r="W215" s="25">
        <v>2235500000</v>
      </c>
      <c r="X215" s="31" t="str">
        <f t="shared" si="6"/>
        <v>ItemE 3.5.5.</v>
      </c>
    </row>
    <row r="216" spans="22:24" x14ac:dyDescent="0.2">
      <c r="V216" s="25" t="s">
        <v>322</v>
      </c>
      <c r="W216" s="25">
        <v>2235600000</v>
      </c>
      <c r="X216" s="31" t="str">
        <f t="shared" si="6"/>
        <v>ItemE 3.5.6.</v>
      </c>
    </row>
    <row r="217" spans="22:24" x14ac:dyDescent="0.2">
      <c r="V217" s="25" t="s">
        <v>323</v>
      </c>
      <c r="W217" s="25">
        <v>2235700000</v>
      </c>
      <c r="X217" s="31" t="str">
        <f t="shared" si="6"/>
        <v>ItemE 3.5.7.</v>
      </c>
    </row>
    <row r="218" spans="22:24" x14ac:dyDescent="0.2">
      <c r="V218" s="25" t="s">
        <v>324</v>
      </c>
      <c r="W218" s="25">
        <v>2240000000</v>
      </c>
      <c r="X218" s="31" t="str">
        <f t="shared" si="6"/>
        <v>ItemE 4.</v>
      </c>
    </row>
    <row r="219" spans="22:24" x14ac:dyDescent="0.2">
      <c r="V219" s="25" t="s">
        <v>325</v>
      </c>
      <c r="W219" s="25">
        <v>2250000000</v>
      </c>
      <c r="X219" s="31" t="str">
        <f t="shared" si="6"/>
        <v>ItemE 5.</v>
      </c>
    </row>
    <row r="220" spans="22:24" x14ac:dyDescent="0.2">
      <c r="V220" s="25" t="s">
        <v>326</v>
      </c>
      <c r="W220" s="25">
        <v>2251000000</v>
      </c>
      <c r="X220" s="31" t="str">
        <f t="shared" si="6"/>
        <v>ItemE 5.1.</v>
      </c>
    </row>
    <row r="221" spans="22:24" x14ac:dyDescent="0.2">
      <c r="V221" s="25" t="s">
        <v>327</v>
      </c>
      <c r="W221" s="25">
        <v>2252000000</v>
      </c>
      <c r="X221" s="31" t="str">
        <f t="shared" si="6"/>
        <v>ItemE 5.2.</v>
      </c>
    </row>
    <row r="222" spans="22:24" x14ac:dyDescent="0.2">
      <c r="V222" s="25" t="s">
        <v>328</v>
      </c>
      <c r="W222" s="25">
        <v>2253000000</v>
      </c>
      <c r="X222" s="31" t="str">
        <f t="shared" si="6"/>
        <v>ItemE 5.3.</v>
      </c>
    </row>
    <row r="223" spans="22:24" x14ac:dyDescent="0.2">
      <c r="V223" s="25" t="s">
        <v>329</v>
      </c>
      <c r="W223" s="25">
        <v>2253100000</v>
      </c>
      <c r="X223" s="31" t="str">
        <f t="shared" si="6"/>
        <v>ItemE 5.3.1.</v>
      </c>
    </row>
    <row r="224" spans="22:24" x14ac:dyDescent="0.2">
      <c r="V224" s="25" t="s">
        <v>330</v>
      </c>
      <c r="W224" s="25">
        <v>2253200000</v>
      </c>
      <c r="X224" s="31" t="str">
        <f t="shared" si="6"/>
        <v>ItemE 5.3.2.</v>
      </c>
    </row>
    <row r="225" spans="22:24" x14ac:dyDescent="0.2">
      <c r="V225" s="25" t="s">
        <v>331</v>
      </c>
      <c r="W225" s="25">
        <v>2253300000</v>
      </c>
      <c r="X225" s="31" t="str">
        <f t="shared" si="6"/>
        <v>ItemE 5.3.3.</v>
      </c>
    </row>
    <row r="226" spans="22:24" x14ac:dyDescent="0.2">
      <c r="V226" s="25" t="s">
        <v>332</v>
      </c>
      <c r="W226" s="25">
        <v>2260000000</v>
      </c>
      <c r="X226" s="31" t="str">
        <f t="shared" si="6"/>
        <v>ItemE 6.</v>
      </c>
    </row>
    <row r="227" spans="22:24" x14ac:dyDescent="0.2">
      <c r="V227" s="25" t="s">
        <v>333</v>
      </c>
      <c r="W227" s="25">
        <v>2261000000</v>
      </c>
      <c r="X227" s="31" t="str">
        <f t="shared" si="6"/>
        <v>ItemE 6.1.</v>
      </c>
    </row>
    <row r="228" spans="22:24" x14ac:dyDescent="0.2">
      <c r="V228" s="25" t="s">
        <v>334</v>
      </c>
      <c r="W228" s="25">
        <v>2262000000</v>
      </c>
      <c r="X228" s="31" t="str">
        <f t="shared" si="6"/>
        <v>ItemE 6.2.</v>
      </c>
    </row>
    <row r="229" spans="22:24" x14ac:dyDescent="0.2">
      <c r="V229" s="25" t="s">
        <v>335</v>
      </c>
      <c r="W229" s="25">
        <v>2263000000</v>
      </c>
      <c r="X229" s="31" t="str">
        <f t="shared" si="6"/>
        <v>ItemE 6.3.</v>
      </c>
    </row>
    <row r="230" spans="22:24" x14ac:dyDescent="0.2">
      <c r="V230" s="25" t="s">
        <v>336</v>
      </c>
      <c r="W230" s="25">
        <v>2270000000</v>
      </c>
      <c r="X230" s="31" t="str">
        <f t="shared" si="6"/>
        <v>ItemE 7</v>
      </c>
    </row>
    <row r="231" spans="22:24" x14ac:dyDescent="0.2">
      <c r="V231" s="25" t="s">
        <v>337</v>
      </c>
      <c r="W231" s="25">
        <v>2270100000</v>
      </c>
      <c r="X231" s="31" t="str">
        <f t="shared" si="6"/>
        <v>ItemE 7.01</v>
      </c>
    </row>
    <row r="232" spans="22:24" x14ac:dyDescent="0.2">
      <c r="V232" s="25" t="s">
        <v>338</v>
      </c>
      <c r="W232" s="25">
        <v>2270200000</v>
      </c>
      <c r="X232" s="31" t="str">
        <f t="shared" si="6"/>
        <v>ItemE 7.02</v>
      </c>
    </row>
    <row r="233" spans="22:24" x14ac:dyDescent="0.2">
      <c r="V233" s="25" t="s">
        <v>339</v>
      </c>
      <c r="W233" s="25">
        <v>2270300000</v>
      </c>
      <c r="X233" s="31" t="str">
        <f t="shared" si="6"/>
        <v>ItemE 7.03</v>
      </c>
    </row>
    <row r="234" spans="22:24" x14ac:dyDescent="0.2">
      <c r="V234" s="25" t="s">
        <v>340</v>
      </c>
      <c r="W234" s="25">
        <v>2270400000</v>
      </c>
      <c r="X234" s="31" t="str">
        <f t="shared" si="6"/>
        <v>ItemE 7.04</v>
      </c>
    </row>
    <row r="235" spans="22:24" x14ac:dyDescent="0.2">
      <c r="V235" s="25" t="s">
        <v>341</v>
      </c>
      <c r="W235" s="25">
        <v>2270500000</v>
      </c>
      <c r="X235" s="31" t="str">
        <f t="shared" si="6"/>
        <v>ItemE 7.05</v>
      </c>
    </row>
    <row r="236" spans="22:24" x14ac:dyDescent="0.2">
      <c r="V236" s="25" t="s">
        <v>342</v>
      </c>
      <c r="W236" s="25">
        <v>2270600000</v>
      </c>
      <c r="X236" s="31" t="str">
        <f t="shared" si="6"/>
        <v>ItemE 7.06</v>
      </c>
    </row>
    <row r="237" spans="22:24" x14ac:dyDescent="0.2">
      <c r="V237" s="25" t="s">
        <v>343</v>
      </c>
      <c r="W237" s="25">
        <v>2270700000</v>
      </c>
      <c r="X237" s="31" t="str">
        <f t="shared" si="6"/>
        <v>ItemE 7.07</v>
      </c>
    </row>
    <row r="238" spans="22:24" x14ac:dyDescent="0.2">
      <c r="V238" s="25" t="s">
        <v>344</v>
      </c>
      <c r="W238" s="25">
        <v>2270800000</v>
      </c>
      <c r="X238" s="31" t="str">
        <f t="shared" si="6"/>
        <v>ItemE 7.08</v>
      </c>
    </row>
    <row r="239" spans="22:24" x14ac:dyDescent="0.2">
      <c r="V239" s="25" t="s">
        <v>345</v>
      </c>
      <c r="W239" s="25">
        <v>2270900000</v>
      </c>
      <c r="X239" s="31" t="str">
        <f t="shared" si="6"/>
        <v>ItemE 7.09</v>
      </c>
    </row>
    <row r="240" spans="22:24" x14ac:dyDescent="0.2">
      <c r="V240" s="25" t="s">
        <v>346</v>
      </c>
      <c r="W240" s="25">
        <v>2271000000</v>
      </c>
      <c r="X240" s="31" t="str">
        <f t="shared" si="6"/>
        <v>ItemE 7.10</v>
      </c>
    </row>
    <row r="241" spans="22:24" x14ac:dyDescent="0.2">
      <c r="V241" s="25" t="s">
        <v>347</v>
      </c>
      <c r="W241" s="25">
        <v>2271100000</v>
      </c>
      <c r="X241" s="31" t="str">
        <f t="shared" si="6"/>
        <v>ItemE 7.11</v>
      </c>
    </row>
    <row r="242" spans="22:24" x14ac:dyDescent="0.2">
      <c r="V242" s="25" t="s">
        <v>348</v>
      </c>
      <c r="W242" s="25">
        <v>2271200000</v>
      </c>
      <c r="X242" s="31" t="str">
        <f t="shared" si="6"/>
        <v>ItemE 7.12.</v>
      </c>
    </row>
    <row r="243" spans="22:24" x14ac:dyDescent="0.2">
      <c r="V243" s="25">
        <v>8</v>
      </c>
      <c r="W243" s="25">
        <v>2280000000</v>
      </c>
      <c r="X243" s="31" t="str">
        <f t="shared" si="6"/>
        <v>ItemE 8</v>
      </c>
    </row>
    <row r="244" spans="22:24" x14ac:dyDescent="0.2">
      <c r="V244" s="25" t="s">
        <v>349</v>
      </c>
      <c r="W244" s="25">
        <v>2280100000</v>
      </c>
      <c r="X244" s="31" t="str">
        <f t="shared" si="6"/>
        <v>ItemE 8.01</v>
      </c>
    </row>
    <row r="245" spans="22:24" x14ac:dyDescent="0.2">
      <c r="V245" s="25" t="s">
        <v>350</v>
      </c>
      <c r="W245" s="25">
        <v>2280200000</v>
      </c>
      <c r="X245" s="31" t="str">
        <f t="shared" si="6"/>
        <v>ItemE 8.02</v>
      </c>
    </row>
    <row r="246" spans="22:24" x14ac:dyDescent="0.2">
      <c r="V246" s="25" t="s">
        <v>351</v>
      </c>
      <c r="W246" s="25">
        <v>2280300000</v>
      </c>
      <c r="X246" s="31" t="str">
        <f t="shared" si="6"/>
        <v>ItemE 8.03</v>
      </c>
    </row>
    <row r="247" spans="22:24" x14ac:dyDescent="0.2">
      <c r="V247" s="25" t="s">
        <v>352</v>
      </c>
      <c r="W247" s="25">
        <v>2280400000</v>
      </c>
      <c r="X247" s="31" t="str">
        <f t="shared" si="6"/>
        <v>ItemE 8.04</v>
      </c>
    </row>
    <row r="248" spans="22:24" x14ac:dyDescent="0.2">
      <c r="V248" s="25" t="s">
        <v>353</v>
      </c>
      <c r="W248" s="25">
        <v>2280500000</v>
      </c>
      <c r="X248" s="31" t="str">
        <f t="shared" si="6"/>
        <v>ItemE 8.05</v>
      </c>
    </row>
    <row r="249" spans="22:24" x14ac:dyDescent="0.2">
      <c r="V249" s="25" t="s">
        <v>354</v>
      </c>
      <c r="W249" s="25">
        <v>2280600000</v>
      </c>
      <c r="X249" s="31" t="str">
        <f t="shared" si="6"/>
        <v>ItemE 8.06</v>
      </c>
    </row>
    <row r="250" spans="22:24" x14ac:dyDescent="0.2">
      <c r="V250" s="25" t="s">
        <v>355</v>
      </c>
      <c r="W250" s="25">
        <v>2280700000</v>
      </c>
      <c r="X250" s="31" t="str">
        <f t="shared" si="6"/>
        <v>ItemE 8.07</v>
      </c>
    </row>
    <row r="251" spans="22:24" x14ac:dyDescent="0.2">
      <c r="V251" s="25" t="s">
        <v>356</v>
      </c>
      <c r="W251" s="25">
        <v>2280800000</v>
      </c>
      <c r="X251" s="31" t="str">
        <f t="shared" si="6"/>
        <v>ItemE 8.08</v>
      </c>
    </row>
    <row r="252" spans="22:24" x14ac:dyDescent="0.2">
      <c r="V252" s="25" t="s">
        <v>357</v>
      </c>
      <c r="W252" s="25">
        <v>2280900000</v>
      </c>
      <c r="X252" s="31" t="str">
        <f t="shared" si="6"/>
        <v>ItemE 8.09</v>
      </c>
    </row>
    <row r="253" spans="22:24" x14ac:dyDescent="0.2">
      <c r="V253" s="25" t="s">
        <v>358</v>
      </c>
      <c r="W253" s="25">
        <v>2281000000</v>
      </c>
      <c r="X253" s="31" t="str">
        <f t="shared" si="6"/>
        <v>ItemE 8.10</v>
      </c>
    </row>
    <row r="254" spans="22:24" x14ac:dyDescent="0.2">
      <c r="V254" s="25" t="s">
        <v>359</v>
      </c>
      <c r="W254" s="25">
        <v>2281100000</v>
      </c>
      <c r="X254" s="31" t="str">
        <f t="shared" si="6"/>
        <v>ItemE 8.11</v>
      </c>
    </row>
    <row r="255" spans="22:24" x14ac:dyDescent="0.2">
      <c r="V255" s="25" t="s">
        <v>360</v>
      </c>
      <c r="W255" s="25">
        <v>2281200000</v>
      </c>
      <c r="X255" s="31" t="str">
        <f t="shared" si="6"/>
        <v>ItemE 8.12</v>
      </c>
    </row>
    <row r="256" spans="22:24" x14ac:dyDescent="0.2">
      <c r="V256" s="25" t="s">
        <v>361</v>
      </c>
      <c r="W256" s="25">
        <v>2281300000</v>
      </c>
      <c r="X256" s="31" t="str">
        <f t="shared" si="6"/>
        <v>ItemE 8.13</v>
      </c>
    </row>
    <row r="257" spans="22:24" x14ac:dyDescent="0.2">
      <c r="V257" s="25" t="s">
        <v>362</v>
      </c>
      <c r="W257" s="25">
        <v>2281400000</v>
      </c>
      <c r="X257" s="31" t="str">
        <f t="shared" si="6"/>
        <v>ItemE 8.14</v>
      </c>
    </row>
    <row r="258" spans="22:24" x14ac:dyDescent="0.2">
      <c r="V258" s="25" t="s">
        <v>363</v>
      </c>
      <c r="W258" s="25">
        <v>2281500000</v>
      </c>
      <c r="X258" s="31" t="str">
        <f t="shared" si="6"/>
        <v>ItemE 8.15</v>
      </c>
    </row>
    <row r="259" spans="22:24" x14ac:dyDescent="0.2">
      <c r="V259" s="25" t="s">
        <v>364</v>
      </c>
      <c r="W259" s="25">
        <v>2281600000</v>
      </c>
      <c r="X259" s="31" t="str">
        <f t="shared" ref="X259:X275" si="7">"ItemE "&amp;V259</f>
        <v>ItemE 8.16</v>
      </c>
    </row>
    <row r="260" spans="22:24" x14ac:dyDescent="0.2">
      <c r="V260" s="25" t="s">
        <v>365</v>
      </c>
      <c r="W260" s="25">
        <v>2281700000</v>
      </c>
      <c r="X260" s="31" t="str">
        <f t="shared" si="7"/>
        <v>ItemE 8.17</v>
      </c>
    </row>
    <row r="261" spans="22:24" x14ac:dyDescent="0.2">
      <c r="V261" s="25" t="s">
        <v>366</v>
      </c>
      <c r="W261" s="25">
        <v>2281800000</v>
      </c>
      <c r="X261" s="31" t="str">
        <f t="shared" si="7"/>
        <v>ItemE 8.18</v>
      </c>
    </row>
    <row r="262" spans="22:24" x14ac:dyDescent="0.2">
      <c r="V262" s="25" t="s">
        <v>367</v>
      </c>
      <c r="W262" s="25">
        <v>2281900000</v>
      </c>
      <c r="X262" s="31" t="str">
        <f t="shared" si="7"/>
        <v>ItemE 8.19</v>
      </c>
    </row>
    <row r="263" spans="22:24" x14ac:dyDescent="0.2">
      <c r="V263" s="25" t="s">
        <v>368</v>
      </c>
      <c r="W263" s="25">
        <v>2282000000</v>
      </c>
      <c r="X263" s="31" t="str">
        <f t="shared" si="7"/>
        <v>ItemE 8.20</v>
      </c>
    </row>
    <row r="264" spans="22:24" x14ac:dyDescent="0.2">
      <c r="V264" s="25" t="s">
        <v>369</v>
      </c>
      <c r="W264" s="25">
        <v>2282100000</v>
      </c>
      <c r="X264" s="31" t="str">
        <f t="shared" si="7"/>
        <v>ItemE 8.21</v>
      </c>
    </row>
    <row r="265" spans="22:24" x14ac:dyDescent="0.2">
      <c r="V265" s="25" t="s">
        <v>370</v>
      </c>
      <c r="W265" s="25">
        <v>2282200000</v>
      </c>
      <c r="X265" s="31" t="str">
        <f t="shared" si="7"/>
        <v>ItemE 8.22</v>
      </c>
    </row>
    <row r="266" spans="22:24" x14ac:dyDescent="0.2">
      <c r="V266" s="25" t="s">
        <v>371</v>
      </c>
      <c r="W266" s="25">
        <v>2282300000</v>
      </c>
      <c r="X266" s="31" t="str">
        <f t="shared" si="7"/>
        <v>ItemE 8.23</v>
      </c>
    </row>
    <row r="267" spans="22:24" x14ac:dyDescent="0.2">
      <c r="V267" s="25">
        <v>9</v>
      </c>
      <c r="W267" s="25" t="s">
        <v>372</v>
      </c>
      <c r="X267" s="31" t="str">
        <f t="shared" si="7"/>
        <v>ItemE 9</v>
      </c>
    </row>
    <row r="268" spans="22:24" x14ac:dyDescent="0.2">
      <c r="V268" s="25" t="s">
        <v>373</v>
      </c>
      <c r="W268" s="25" t="s">
        <v>374</v>
      </c>
      <c r="X268" s="31" t="str">
        <f t="shared" si="7"/>
        <v>ItemE   9.1</v>
      </c>
    </row>
    <row r="269" spans="22:24" x14ac:dyDescent="0.2">
      <c r="V269" s="25" t="s">
        <v>375</v>
      </c>
      <c r="W269" s="25" t="s">
        <v>376</v>
      </c>
      <c r="X269" s="31" t="str">
        <f t="shared" si="7"/>
        <v>ItemE     9.1.1</v>
      </c>
    </row>
    <row r="270" spans="22:24" x14ac:dyDescent="0.2">
      <c r="V270" s="25" t="s">
        <v>377</v>
      </c>
      <c r="W270" s="25" t="s">
        <v>378</v>
      </c>
      <c r="X270" s="31" t="str">
        <f t="shared" si="7"/>
        <v>ItemE   9.2</v>
      </c>
    </row>
    <row r="271" spans="22:24" x14ac:dyDescent="0.2">
      <c r="V271" s="25" t="s">
        <v>379</v>
      </c>
      <c r="W271" s="25" t="s">
        <v>380</v>
      </c>
      <c r="X271" s="31" t="str">
        <f t="shared" si="7"/>
        <v>ItemE     9.2.2</v>
      </c>
    </row>
    <row r="272" spans="22:24" x14ac:dyDescent="0.2">
      <c r="V272" s="25">
        <v>10</v>
      </c>
      <c r="W272" s="25" t="s">
        <v>381</v>
      </c>
      <c r="X272" s="31" t="str">
        <f t="shared" si="7"/>
        <v>ItemE 10</v>
      </c>
    </row>
    <row r="273" spans="22:24" x14ac:dyDescent="0.2">
      <c r="V273" s="25">
        <v>11</v>
      </c>
      <c r="W273" s="25" t="s">
        <v>382</v>
      </c>
      <c r="X273" s="31" t="str">
        <f t="shared" si="7"/>
        <v>ItemE 11</v>
      </c>
    </row>
    <row r="274" spans="22:24" x14ac:dyDescent="0.2">
      <c r="V274" s="25">
        <v>12</v>
      </c>
      <c r="W274" s="25" t="s">
        <v>383</v>
      </c>
      <c r="X274" s="31" t="str">
        <f t="shared" si="7"/>
        <v>ItemE 12</v>
      </c>
    </row>
    <row r="275" spans="22:24" x14ac:dyDescent="0.2">
      <c r="V275" s="25">
        <v>13</v>
      </c>
      <c r="W275" s="25" t="s">
        <v>384</v>
      </c>
      <c r="X275" s="31" t="str">
        <f t="shared" si="7"/>
        <v>ItemE 13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12"/>
  <sheetViews>
    <sheetView workbookViewId="0">
      <selection activeCell="C41" sqref="C41"/>
    </sheetView>
  </sheetViews>
  <sheetFormatPr defaultRowHeight="12.75" x14ac:dyDescent="0.2"/>
  <cols>
    <col min="2" max="2" width="28.140625" bestFit="1" customWidth="1"/>
    <col min="3" max="3" width="229.85546875" bestFit="1" customWidth="1"/>
    <col min="4" max="4" width="14" bestFit="1" customWidth="1"/>
  </cols>
  <sheetData>
    <row r="1" spans="1:4" x14ac:dyDescent="0.2">
      <c r="A1" s="16" t="s">
        <v>63</v>
      </c>
      <c r="B1" s="16" t="s">
        <v>80</v>
      </c>
      <c r="C1" s="16" t="s">
        <v>61</v>
      </c>
      <c r="D1" t="s">
        <v>62</v>
      </c>
    </row>
    <row r="2" spans="1:4" x14ac:dyDescent="0.2">
      <c r="A2">
        <v>1</v>
      </c>
      <c r="B2" t="s">
        <v>64</v>
      </c>
      <c r="C2" t="s">
        <v>79</v>
      </c>
      <c r="D2" t="s">
        <v>65</v>
      </c>
    </row>
    <row r="3" spans="1:4" x14ac:dyDescent="0.2">
      <c r="A3">
        <v>2</v>
      </c>
      <c r="B3" t="s">
        <v>70</v>
      </c>
      <c r="C3" t="s">
        <v>96</v>
      </c>
      <c r="D3" t="s">
        <v>71</v>
      </c>
    </row>
    <row r="4" spans="1:4" x14ac:dyDescent="0.2">
      <c r="A4">
        <v>3</v>
      </c>
      <c r="B4" t="s">
        <v>92</v>
      </c>
      <c r="C4" t="s">
        <v>78</v>
      </c>
      <c r="D4" t="s">
        <v>72</v>
      </c>
    </row>
    <row r="5" spans="1:4" x14ac:dyDescent="0.2">
      <c r="A5">
        <v>4</v>
      </c>
      <c r="B5" t="s">
        <v>66</v>
      </c>
      <c r="C5" t="s">
        <v>74</v>
      </c>
      <c r="D5" t="s">
        <v>73</v>
      </c>
    </row>
    <row r="6" spans="1:4" x14ac:dyDescent="0.2">
      <c r="A6">
        <v>5</v>
      </c>
      <c r="B6" t="s">
        <v>67</v>
      </c>
      <c r="C6" t="s">
        <v>76</v>
      </c>
      <c r="D6" t="s">
        <v>73</v>
      </c>
    </row>
    <row r="7" spans="1:4" x14ac:dyDescent="0.2">
      <c r="A7">
        <v>6</v>
      </c>
      <c r="B7" t="s">
        <v>69</v>
      </c>
      <c r="C7" t="s">
        <v>75</v>
      </c>
      <c r="D7" t="s">
        <v>71</v>
      </c>
    </row>
    <row r="8" spans="1:4" x14ac:dyDescent="0.2">
      <c r="A8">
        <v>7</v>
      </c>
      <c r="B8" t="s">
        <v>93</v>
      </c>
      <c r="C8" t="s">
        <v>94</v>
      </c>
      <c r="D8" t="s">
        <v>73</v>
      </c>
    </row>
    <row r="9" spans="1:4" x14ac:dyDescent="0.2">
      <c r="A9">
        <v>8</v>
      </c>
      <c r="B9" t="s">
        <v>68</v>
      </c>
      <c r="C9" t="s">
        <v>97</v>
      </c>
      <c r="D9" t="s">
        <v>73</v>
      </c>
    </row>
    <row r="10" spans="1:4" x14ac:dyDescent="0.2">
      <c r="A10">
        <v>9</v>
      </c>
      <c r="B10" t="s">
        <v>81</v>
      </c>
      <c r="C10" t="s">
        <v>95</v>
      </c>
    </row>
    <row r="11" spans="1:4" x14ac:dyDescent="0.2">
      <c r="A11">
        <v>10</v>
      </c>
      <c r="B11" t="s">
        <v>77</v>
      </c>
    </row>
    <row r="12" spans="1:4" x14ac:dyDescent="0.2">
      <c r="A12">
        <v>11</v>
      </c>
      <c r="B12" t="s">
        <v>17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224"/>
  <sheetViews>
    <sheetView zoomScaleNormal="100" workbookViewId="0">
      <selection activeCell="A13" sqref="A13"/>
    </sheetView>
  </sheetViews>
  <sheetFormatPr defaultRowHeight="12.75" x14ac:dyDescent="0.2"/>
  <cols>
    <col min="1" max="1" width="37.7109375" customWidth="1"/>
    <col min="2" max="2" width="11.140625" customWidth="1"/>
    <col min="4" max="4" width="9.140625" style="25"/>
    <col min="5" max="5" width="48.42578125" style="25" customWidth="1"/>
    <col min="6" max="6" width="14.5703125" style="25" customWidth="1"/>
    <col min="7" max="7" width="9.140625" style="25"/>
    <col min="8" max="8" width="13.140625" customWidth="1"/>
    <col min="9" max="9" width="13.7109375" customWidth="1"/>
    <col min="12" max="12" width="15" bestFit="1" customWidth="1"/>
    <col min="13" max="13" width="11" bestFit="1" customWidth="1"/>
    <col min="14" max="14" width="21.5703125" bestFit="1" customWidth="1"/>
    <col min="15" max="15" width="16" bestFit="1" customWidth="1"/>
    <col min="16" max="16" width="17.42578125" bestFit="1" customWidth="1"/>
  </cols>
  <sheetData>
    <row r="1" spans="1:16" x14ac:dyDescent="0.2">
      <c r="A1" t="s">
        <v>610</v>
      </c>
      <c r="B1" t="s">
        <v>611</v>
      </c>
      <c r="D1" s="25" t="s">
        <v>714</v>
      </c>
      <c r="F1" s="25" t="s">
        <v>625</v>
      </c>
      <c r="G1" t="s">
        <v>610</v>
      </c>
      <c r="I1" t="s">
        <v>611</v>
      </c>
      <c r="J1" s="25" t="s">
        <v>614</v>
      </c>
      <c r="L1" s="26" t="s">
        <v>715</v>
      </c>
      <c r="M1" s="26" t="s">
        <v>716</v>
      </c>
      <c r="N1" s="26" t="s">
        <v>717</v>
      </c>
      <c r="O1" s="26" t="s">
        <v>718</v>
      </c>
      <c r="P1" s="26" t="s">
        <v>719</v>
      </c>
    </row>
    <row r="2" spans="1:16" x14ac:dyDescent="0.2">
      <c r="A2" t="s">
        <v>692</v>
      </c>
      <c r="B2" t="s">
        <v>708</v>
      </c>
      <c r="D2" s="31" t="s">
        <v>113</v>
      </c>
      <c r="E2" s="31" t="s">
        <v>720</v>
      </c>
      <c r="F2" s="31">
        <v>2110210000</v>
      </c>
      <c r="G2" s="31" t="s">
        <v>683</v>
      </c>
      <c r="I2" t="s">
        <v>721</v>
      </c>
      <c r="J2" t="s">
        <v>651</v>
      </c>
      <c r="L2" s="27" t="s">
        <v>385</v>
      </c>
      <c r="M2" s="27">
        <v>2110210000</v>
      </c>
      <c r="N2" s="27">
        <v>2110900000</v>
      </c>
      <c r="O2" s="27">
        <v>2111220000</v>
      </c>
      <c r="P2" s="27">
        <v>2110220000</v>
      </c>
    </row>
    <row r="3" spans="1:16" x14ac:dyDescent="0.2">
      <c r="A3" t="s">
        <v>722</v>
      </c>
      <c r="B3" t="s">
        <v>708</v>
      </c>
      <c r="D3" s="31" t="s">
        <v>114</v>
      </c>
      <c r="E3" s="31" t="s">
        <v>723</v>
      </c>
      <c r="F3" s="31">
        <v>2110220000</v>
      </c>
      <c r="G3" s="31" t="s">
        <v>683</v>
      </c>
      <c r="I3" t="s">
        <v>724</v>
      </c>
      <c r="J3" t="s">
        <v>651</v>
      </c>
      <c r="L3" s="27" t="s">
        <v>386</v>
      </c>
      <c r="M3" s="27">
        <v>2110600000</v>
      </c>
      <c r="N3" s="27">
        <v>2110900000</v>
      </c>
      <c r="O3" s="27"/>
      <c r="P3" s="27"/>
    </row>
    <row r="4" spans="1:16" x14ac:dyDescent="0.2">
      <c r="A4" t="s">
        <v>725</v>
      </c>
      <c r="B4" t="s">
        <v>708</v>
      </c>
      <c r="D4" s="31" t="s">
        <v>117</v>
      </c>
      <c r="E4" s="31" t="s">
        <v>726</v>
      </c>
      <c r="F4" s="31">
        <v>2110410000</v>
      </c>
      <c r="G4" s="31" t="s">
        <v>686</v>
      </c>
      <c r="I4" t="s">
        <v>727</v>
      </c>
      <c r="J4" t="s">
        <v>651</v>
      </c>
      <c r="L4" s="27" t="s">
        <v>387</v>
      </c>
      <c r="M4" s="27">
        <v>2110672000</v>
      </c>
      <c r="N4" s="27">
        <v>2110900000</v>
      </c>
      <c r="O4" s="27">
        <v>2111260000</v>
      </c>
      <c r="P4" s="27"/>
    </row>
    <row r="5" spans="1:16" x14ac:dyDescent="0.2">
      <c r="A5" t="s">
        <v>691</v>
      </c>
      <c r="B5" t="s">
        <v>708</v>
      </c>
      <c r="D5" s="31" t="s">
        <v>118</v>
      </c>
      <c r="E5" s="31" t="s">
        <v>728</v>
      </c>
      <c r="F5" s="31">
        <v>2110420000</v>
      </c>
      <c r="G5" s="31" t="s">
        <v>686</v>
      </c>
      <c r="I5" t="s">
        <v>729</v>
      </c>
      <c r="J5" t="s">
        <v>651</v>
      </c>
      <c r="L5" s="27" t="s">
        <v>388</v>
      </c>
      <c r="M5" s="27">
        <v>2110672000</v>
      </c>
      <c r="N5" s="27">
        <v>2110900000</v>
      </c>
      <c r="O5" s="27">
        <v>2111260000</v>
      </c>
      <c r="P5" s="27"/>
    </row>
    <row r="6" spans="1:16" x14ac:dyDescent="0.2">
      <c r="A6" t="s">
        <v>705</v>
      </c>
      <c r="B6" t="s">
        <v>708</v>
      </c>
      <c r="D6" s="31" t="s">
        <v>120</v>
      </c>
      <c r="E6" s="31" t="s">
        <v>730</v>
      </c>
      <c r="F6" s="31">
        <v>2110510000</v>
      </c>
      <c r="G6" s="31" t="s">
        <v>703</v>
      </c>
      <c r="I6" t="s">
        <v>731</v>
      </c>
      <c r="J6" t="s">
        <v>651</v>
      </c>
      <c r="L6" s="27" t="s">
        <v>389</v>
      </c>
      <c r="M6" s="27">
        <v>2110672000</v>
      </c>
      <c r="N6" s="27">
        <v>2110900000</v>
      </c>
      <c r="O6" s="27">
        <v>2111260000</v>
      </c>
      <c r="P6" s="27"/>
    </row>
    <row r="7" spans="1:16" x14ac:dyDescent="0.2">
      <c r="A7" t="s">
        <v>694</v>
      </c>
      <c r="B7" t="s">
        <v>708</v>
      </c>
      <c r="D7" s="31" t="s">
        <v>121</v>
      </c>
      <c r="E7" s="31" t="s">
        <v>732</v>
      </c>
      <c r="F7" s="31">
        <v>2110520000</v>
      </c>
      <c r="G7" s="31" t="s">
        <v>703</v>
      </c>
      <c r="I7" t="s">
        <v>733</v>
      </c>
      <c r="J7" s="25" t="s">
        <v>652</v>
      </c>
      <c r="L7" s="27" t="s">
        <v>390</v>
      </c>
      <c r="M7" s="27">
        <v>2110672000</v>
      </c>
      <c r="N7" s="27">
        <v>2110900000</v>
      </c>
      <c r="O7" s="27">
        <v>2111260000</v>
      </c>
      <c r="P7" s="27"/>
    </row>
    <row r="8" spans="1:16" x14ac:dyDescent="0.2">
      <c r="A8" t="s">
        <v>706</v>
      </c>
      <c r="B8" t="s">
        <v>708</v>
      </c>
      <c r="D8" s="31" t="s">
        <v>122</v>
      </c>
      <c r="E8" s="31" t="s">
        <v>734</v>
      </c>
      <c r="F8" s="31">
        <v>2110530000</v>
      </c>
      <c r="G8" s="31" t="s">
        <v>703</v>
      </c>
      <c r="I8" t="s">
        <v>735</v>
      </c>
      <c r="J8" s="25" t="s">
        <v>652</v>
      </c>
      <c r="L8" s="27" t="s">
        <v>391</v>
      </c>
      <c r="M8" s="27">
        <v>2110672000</v>
      </c>
      <c r="N8" s="27">
        <v>2110900000</v>
      </c>
      <c r="O8" s="27">
        <v>2111260000</v>
      </c>
      <c r="P8" s="27"/>
    </row>
    <row r="9" spans="1:16" x14ac:dyDescent="0.2">
      <c r="A9" t="s">
        <v>695</v>
      </c>
      <c r="B9" t="s">
        <v>708</v>
      </c>
      <c r="D9" s="31" t="s">
        <v>125</v>
      </c>
      <c r="E9" s="31" t="s">
        <v>736</v>
      </c>
      <c r="F9" s="31">
        <v>2110620000</v>
      </c>
      <c r="G9" s="31" t="s">
        <v>686</v>
      </c>
      <c r="I9" t="s">
        <v>708</v>
      </c>
      <c r="J9" s="25" t="s">
        <v>652</v>
      </c>
      <c r="L9" s="27" t="s">
        <v>392</v>
      </c>
      <c r="M9" s="27">
        <v>2110672000</v>
      </c>
      <c r="N9" s="27">
        <v>2110900000</v>
      </c>
      <c r="O9" s="27">
        <v>2111260000</v>
      </c>
      <c r="P9" s="27"/>
    </row>
    <row r="10" spans="1:16" x14ac:dyDescent="0.2">
      <c r="A10" t="s">
        <v>670</v>
      </c>
      <c r="B10" t="s">
        <v>709</v>
      </c>
      <c r="D10" s="31" t="s">
        <v>126</v>
      </c>
      <c r="E10" s="31" t="s">
        <v>737</v>
      </c>
      <c r="F10" s="31">
        <v>2110630000</v>
      </c>
      <c r="G10" s="31" t="s">
        <v>686</v>
      </c>
      <c r="I10" t="s">
        <v>709</v>
      </c>
      <c r="J10" s="25" t="s">
        <v>652</v>
      </c>
      <c r="L10" s="27" t="s">
        <v>393</v>
      </c>
      <c r="M10" s="27">
        <v>2110672000</v>
      </c>
      <c r="N10" s="27">
        <v>2110900000</v>
      </c>
      <c r="O10" s="27">
        <v>2111260000</v>
      </c>
      <c r="P10" s="27"/>
    </row>
    <row r="11" spans="1:16" x14ac:dyDescent="0.2">
      <c r="A11" t="s">
        <v>671</v>
      </c>
      <c r="B11" t="s">
        <v>738</v>
      </c>
      <c r="D11" s="31" t="s">
        <v>127</v>
      </c>
      <c r="E11" s="31" t="s">
        <v>739</v>
      </c>
      <c r="F11" s="31">
        <v>2110640000</v>
      </c>
      <c r="G11" s="31" t="s">
        <v>686</v>
      </c>
      <c r="I11" t="s">
        <v>738</v>
      </c>
      <c r="J11" s="25" t="s">
        <v>652</v>
      </c>
      <c r="L11" s="27" t="s">
        <v>394</v>
      </c>
      <c r="M11" s="27">
        <v>2110671000</v>
      </c>
      <c r="N11" s="27">
        <v>2110900000</v>
      </c>
      <c r="O11" s="27">
        <v>2111260000</v>
      </c>
      <c r="P11" s="27"/>
    </row>
    <row r="12" spans="1:16" x14ac:dyDescent="0.2">
      <c r="A12" t="s">
        <v>672</v>
      </c>
      <c r="B12" t="s">
        <v>738</v>
      </c>
      <c r="D12" s="31" t="s">
        <v>128</v>
      </c>
      <c r="E12" s="31" t="s">
        <v>740</v>
      </c>
      <c r="F12" s="31">
        <v>2110650000</v>
      </c>
      <c r="G12" s="31" t="s">
        <v>686</v>
      </c>
      <c r="I12" t="s">
        <v>741</v>
      </c>
      <c r="J12" s="25" t="s">
        <v>652</v>
      </c>
      <c r="L12" s="27" t="s">
        <v>395</v>
      </c>
      <c r="M12" s="27">
        <v>2110672000</v>
      </c>
      <c r="N12" s="27">
        <v>2110900000</v>
      </c>
      <c r="O12" s="27">
        <v>2111260000</v>
      </c>
      <c r="P12" s="27"/>
    </row>
    <row r="13" spans="1:16" x14ac:dyDescent="0.2">
      <c r="A13" t="s">
        <v>675</v>
      </c>
      <c r="B13" t="s">
        <v>742</v>
      </c>
      <c r="D13" s="31" t="s">
        <v>129</v>
      </c>
      <c r="E13" s="31" t="s">
        <v>743</v>
      </c>
      <c r="F13" s="31">
        <v>2110660000</v>
      </c>
      <c r="G13" s="31" t="s">
        <v>686</v>
      </c>
      <c r="I13" t="s">
        <v>744</v>
      </c>
      <c r="J13" s="25" t="s">
        <v>652</v>
      </c>
      <c r="L13" s="27" t="s">
        <v>396</v>
      </c>
      <c r="M13" s="27">
        <v>2110672000</v>
      </c>
      <c r="N13" s="27">
        <v>2110900000</v>
      </c>
      <c r="O13" s="27">
        <v>2111260000</v>
      </c>
      <c r="P13" s="27"/>
    </row>
    <row r="14" spans="1:16" x14ac:dyDescent="0.2">
      <c r="A14" t="s">
        <v>676</v>
      </c>
      <c r="B14" t="s">
        <v>742</v>
      </c>
      <c r="D14" s="31" t="s">
        <v>131</v>
      </c>
      <c r="E14" s="31" t="s">
        <v>745</v>
      </c>
      <c r="F14" s="31">
        <v>2110671000</v>
      </c>
      <c r="G14" s="31" t="s">
        <v>686</v>
      </c>
      <c r="I14" t="s">
        <v>746</v>
      </c>
      <c r="J14" s="25" t="s">
        <v>652</v>
      </c>
      <c r="L14" s="27" t="s">
        <v>397</v>
      </c>
      <c r="M14" s="27">
        <v>2110700000</v>
      </c>
      <c r="N14" s="27">
        <v>2110900000</v>
      </c>
      <c r="O14" s="27">
        <v>2111270000</v>
      </c>
      <c r="P14" s="27"/>
    </row>
    <row r="15" spans="1:16" x14ac:dyDescent="0.2">
      <c r="A15" t="s">
        <v>684</v>
      </c>
      <c r="B15" t="s">
        <v>742</v>
      </c>
      <c r="D15" s="31" t="s">
        <v>132</v>
      </c>
      <c r="E15" s="31" t="s">
        <v>747</v>
      </c>
      <c r="F15" s="31">
        <v>2110672000</v>
      </c>
      <c r="G15" s="31" t="s">
        <v>686</v>
      </c>
      <c r="I15" t="s">
        <v>742</v>
      </c>
      <c r="J15" s="25" t="s">
        <v>652</v>
      </c>
      <c r="L15" s="27" t="s">
        <v>398</v>
      </c>
      <c r="M15" s="27">
        <v>2110672000</v>
      </c>
      <c r="N15" s="27">
        <v>2110900000</v>
      </c>
      <c r="O15" s="27">
        <v>2111260000</v>
      </c>
      <c r="P15" s="27"/>
    </row>
    <row r="16" spans="1:16" x14ac:dyDescent="0.2">
      <c r="A16" t="s">
        <v>697</v>
      </c>
      <c r="B16" t="s">
        <v>712</v>
      </c>
      <c r="D16" s="31" t="s">
        <v>133</v>
      </c>
      <c r="E16" s="31" t="s">
        <v>748</v>
      </c>
      <c r="F16" s="31">
        <v>2110700000</v>
      </c>
      <c r="G16" s="31" t="s">
        <v>749</v>
      </c>
      <c r="I16" t="s">
        <v>712</v>
      </c>
      <c r="J16" s="25" t="s">
        <v>652</v>
      </c>
      <c r="L16" s="27" t="s">
        <v>399</v>
      </c>
      <c r="M16" s="27">
        <v>2110650000</v>
      </c>
      <c r="N16" s="27">
        <v>2110900000</v>
      </c>
      <c r="O16" s="27">
        <v>2111260000</v>
      </c>
      <c r="P16" s="27"/>
    </row>
    <row r="17" spans="1:16" x14ac:dyDescent="0.2">
      <c r="A17" t="s">
        <v>698</v>
      </c>
      <c r="B17" t="s">
        <v>712</v>
      </c>
      <c r="D17" s="31" t="s">
        <v>135</v>
      </c>
      <c r="E17" s="31" t="s">
        <v>750</v>
      </c>
      <c r="F17" s="31">
        <v>2110810000</v>
      </c>
      <c r="G17" s="31" t="s">
        <v>704</v>
      </c>
      <c r="I17" t="s">
        <v>751</v>
      </c>
      <c r="J17" s="25" t="s">
        <v>652</v>
      </c>
      <c r="L17" s="27" t="s">
        <v>400</v>
      </c>
      <c r="M17" s="27">
        <v>2110672000</v>
      </c>
      <c r="N17" s="27">
        <v>2110900000</v>
      </c>
      <c r="O17" s="27">
        <v>2111260000</v>
      </c>
      <c r="P17" s="27"/>
    </row>
    <row r="18" spans="1:16" x14ac:dyDescent="0.2">
      <c r="A18" t="s">
        <v>752</v>
      </c>
      <c r="B18" t="s">
        <v>712</v>
      </c>
      <c r="D18" s="31" t="s">
        <v>136</v>
      </c>
      <c r="E18" s="31" t="s">
        <v>753</v>
      </c>
      <c r="F18" s="31">
        <v>2110820000</v>
      </c>
      <c r="G18" s="31" t="s">
        <v>704</v>
      </c>
      <c r="I18" t="s">
        <v>711</v>
      </c>
      <c r="J18" s="25" t="s">
        <v>652</v>
      </c>
      <c r="L18" s="27" t="s">
        <v>401</v>
      </c>
      <c r="M18" s="27">
        <v>2110610000</v>
      </c>
      <c r="N18" s="27">
        <v>2110900000</v>
      </c>
      <c r="O18" s="27">
        <v>2111260000</v>
      </c>
      <c r="P18" s="27"/>
    </row>
    <row r="19" spans="1:16" x14ac:dyDescent="0.2">
      <c r="A19" t="s">
        <v>696</v>
      </c>
      <c r="B19" t="s">
        <v>710</v>
      </c>
      <c r="D19" s="31" t="s">
        <v>142</v>
      </c>
      <c r="E19" s="31" t="s">
        <v>754</v>
      </c>
      <c r="F19" s="31">
        <v>2111011000</v>
      </c>
      <c r="G19" s="31" t="s">
        <v>755</v>
      </c>
      <c r="I19" t="s">
        <v>710</v>
      </c>
      <c r="J19" s="25" t="s">
        <v>652</v>
      </c>
      <c r="L19" s="27" t="s">
        <v>402</v>
      </c>
      <c r="M19" s="27">
        <v>2110620000</v>
      </c>
      <c r="N19" s="27">
        <v>2110900000</v>
      </c>
      <c r="O19" s="27">
        <v>2111260000</v>
      </c>
      <c r="P19" s="27"/>
    </row>
    <row r="20" spans="1:16" x14ac:dyDescent="0.2">
      <c r="A20" t="s">
        <v>678</v>
      </c>
      <c r="B20" t="s">
        <v>710</v>
      </c>
      <c r="D20" s="31" t="s">
        <v>143</v>
      </c>
      <c r="E20" s="31" t="s">
        <v>756</v>
      </c>
      <c r="F20" s="31">
        <v>2111012000</v>
      </c>
      <c r="G20" s="31" t="s">
        <v>757</v>
      </c>
      <c r="I20" t="s">
        <v>758</v>
      </c>
      <c r="J20" s="25" t="s">
        <v>652</v>
      </c>
      <c r="L20" s="27" t="s">
        <v>403</v>
      </c>
      <c r="M20" s="27">
        <v>2110630000</v>
      </c>
      <c r="N20" s="27">
        <v>2110900000</v>
      </c>
      <c r="O20" s="27">
        <v>2111260000</v>
      </c>
      <c r="P20" s="27"/>
    </row>
    <row r="21" spans="1:16" x14ac:dyDescent="0.2">
      <c r="A21" t="s">
        <v>700</v>
      </c>
      <c r="B21" t="s">
        <v>710</v>
      </c>
      <c r="D21" s="31" t="s">
        <v>144</v>
      </c>
      <c r="E21" s="31" t="s">
        <v>759</v>
      </c>
      <c r="F21" s="31">
        <v>2111013000</v>
      </c>
      <c r="G21" s="31" t="s">
        <v>757</v>
      </c>
      <c r="I21" t="s">
        <v>760</v>
      </c>
      <c r="J21" s="25" t="s">
        <v>652</v>
      </c>
      <c r="L21" s="27" t="s">
        <v>404</v>
      </c>
      <c r="M21" s="27">
        <v>2110660000</v>
      </c>
      <c r="N21" s="27">
        <v>2110900000</v>
      </c>
      <c r="O21" s="27">
        <v>2111260000</v>
      </c>
      <c r="P21" s="27"/>
    </row>
    <row r="22" spans="1:16" x14ac:dyDescent="0.2">
      <c r="A22" t="s">
        <v>679</v>
      </c>
      <c r="B22" t="s">
        <v>710</v>
      </c>
      <c r="D22" s="31" t="s">
        <v>145</v>
      </c>
      <c r="E22" s="31" t="s">
        <v>761</v>
      </c>
      <c r="F22" s="31">
        <v>2111014000</v>
      </c>
      <c r="G22" s="31" t="s">
        <v>757</v>
      </c>
      <c r="I22" t="s">
        <v>762</v>
      </c>
      <c r="J22" s="25" t="s">
        <v>652</v>
      </c>
      <c r="L22" s="27" t="s">
        <v>405</v>
      </c>
      <c r="M22" s="27">
        <v>2110670000</v>
      </c>
      <c r="N22" s="27">
        <v>2110900000</v>
      </c>
      <c r="O22" s="27">
        <v>2111260000</v>
      </c>
      <c r="P22" s="27"/>
    </row>
    <row r="23" spans="1:16" x14ac:dyDescent="0.2">
      <c r="A23" t="s">
        <v>701</v>
      </c>
      <c r="B23" t="s">
        <v>710</v>
      </c>
      <c r="D23" s="31" t="s">
        <v>146</v>
      </c>
      <c r="E23" s="31" t="s">
        <v>763</v>
      </c>
      <c r="F23" s="31">
        <v>2111020000</v>
      </c>
      <c r="G23" s="31" t="s">
        <v>757</v>
      </c>
      <c r="I23" t="s">
        <v>764</v>
      </c>
      <c r="J23" s="25" t="s">
        <v>652</v>
      </c>
      <c r="L23" s="27" t="s">
        <v>406</v>
      </c>
      <c r="M23" s="27">
        <v>2111000000</v>
      </c>
      <c r="N23" s="27">
        <v>2110900000</v>
      </c>
      <c r="O23" s="27"/>
      <c r="P23" s="27"/>
    </row>
    <row r="24" spans="1:16" x14ac:dyDescent="0.2">
      <c r="A24" t="s">
        <v>680</v>
      </c>
      <c r="B24" t="s">
        <v>710</v>
      </c>
      <c r="D24" s="31" t="s">
        <v>147</v>
      </c>
      <c r="E24" s="31" t="s">
        <v>765</v>
      </c>
      <c r="F24" s="31">
        <v>2111030000</v>
      </c>
      <c r="G24" s="31" t="s">
        <v>757</v>
      </c>
      <c r="I24" t="s">
        <v>713</v>
      </c>
      <c r="J24" s="25" t="s">
        <v>652</v>
      </c>
      <c r="L24" s="27" t="s">
        <v>407</v>
      </c>
      <c r="M24" s="27">
        <v>2111040000</v>
      </c>
      <c r="N24" s="27">
        <v>2110900000</v>
      </c>
      <c r="O24" s="27">
        <v>2111291000</v>
      </c>
      <c r="P24" s="27"/>
    </row>
    <row r="25" spans="1:16" x14ac:dyDescent="0.2">
      <c r="A25" t="s">
        <v>766</v>
      </c>
      <c r="B25" t="s">
        <v>710</v>
      </c>
      <c r="D25" s="31" t="s">
        <v>148</v>
      </c>
      <c r="E25" s="31" t="s">
        <v>767</v>
      </c>
      <c r="F25" s="31">
        <v>2111040000</v>
      </c>
      <c r="G25" s="31" t="s">
        <v>757</v>
      </c>
      <c r="I25" t="s">
        <v>768</v>
      </c>
      <c r="J25" s="25" t="s">
        <v>652</v>
      </c>
      <c r="L25" s="27" t="s">
        <v>408</v>
      </c>
      <c r="M25" s="27">
        <v>2111010000</v>
      </c>
      <c r="N25" s="27">
        <v>2110900000</v>
      </c>
      <c r="O25" s="27">
        <v>2111291000</v>
      </c>
      <c r="P25" s="27"/>
    </row>
    <row r="26" spans="1:16" x14ac:dyDescent="0.2">
      <c r="A26" t="s">
        <v>769</v>
      </c>
      <c r="B26" t="s">
        <v>733</v>
      </c>
      <c r="D26" s="31" t="s">
        <v>149</v>
      </c>
      <c r="E26" s="31" t="s">
        <v>770</v>
      </c>
      <c r="F26" s="31">
        <v>2111050000</v>
      </c>
      <c r="G26" s="31" t="s">
        <v>757</v>
      </c>
      <c r="I26" t="s">
        <v>771</v>
      </c>
      <c r="J26" s="25" t="s">
        <v>772</v>
      </c>
      <c r="L26" s="27" t="s">
        <v>409</v>
      </c>
      <c r="M26" s="27">
        <v>2111020000</v>
      </c>
      <c r="N26" s="27">
        <v>2110900000</v>
      </c>
      <c r="O26" s="27">
        <v>2111011000</v>
      </c>
      <c r="P26" s="27"/>
    </row>
    <row r="27" spans="1:16" x14ac:dyDescent="0.2">
      <c r="A27" t="s">
        <v>669</v>
      </c>
      <c r="B27" t="s">
        <v>735</v>
      </c>
      <c r="D27" s="31" t="s">
        <v>150</v>
      </c>
      <c r="E27" s="31" t="s">
        <v>773</v>
      </c>
      <c r="F27" s="31">
        <v>2111060000</v>
      </c>
      <c r="G27" s="31" t="s">
        <v>757</v>
      </c>
      <c r="I27" t="s">
        <v>774</v>
      </c>
      <c r="J27" s="25" t="s">
        <v>652</v>
      </c>
      <c r="L27" s="27" t="s">
        <v>410</v>
      </c>
      <c r="M27" s="27">
        <v>2110640000</v>
      </c>
      <c r="N27" s="27">
        <v>2110900000</v>
      </c>
      <c r="O27" s="27">
        <v>2111260000</v>
      </c>
      <c r="P27" s="27"/>
    </row>
    <row r="28" spans="1:16" x14ac:dyDescent="0.2">
      <c r="A28" t="s">
        <v>683</v>
      </c>
      <c r="B28" t="s">
        <v>721</v>
      </c>
      <c r="D28" s="31" t="s">
        <v>151</v>
      </c>
      <c r="E28" s="31" t="s">
        <v>775</v>
      </c>
      <c r="F28" s="31">
        <v>2111070000</v>
      </c>
      <c r="G28" s="31" t="s">
        <v>757</v>
      </c>
      <c r="L28" s="27" t="s">
        <v>411</v>
      </c>
      <c r="M28" s="27">
        <v>2111070000</v>
      </c>
      <c r="N28" s="27">
        <v>2110900000</v>
      </c>
      <c r="O28" s="27">
        <v>2111291000</v>
      </c>
      <c r="P28" s="27"/>
    </row>
    <row r="29" spans="1:16" x14ac:dyDescent="0.2">
      <c r="A29" t="s">
        <v>749</v>
      </c>
      <c r="B29" t="s">
        <v>724</v>
      </c>
      <c r="D29" s="31" t="s">
        <v>155</v>
      </c>
      <c r="E29" s="31" t="s">
        <v>776</v>
      </c>
      <c r="F29" s="31">
        <v>2111220000</v>
      </c>
      <c r="G29" s="31" t="s">
        <v>683</v>
      </c>
      <c r="L29" s="27" t="s">
        <v>412</v>
      </c>
      <c r="M29" s="27">
        <v>2111050000</v>
      </c>
      <c r="N29" s="27">
        <v>2110900000</v>
      </c>
      <c r="O29" s="27">
        <v>2111291000</v>
      </c>
      <c r="P29" s="27"/>
    </row>
    <row r="30" spans="1:16" x14ac:dyDescent="0.2">
      <c r="A30" t="s">
        <v>686</v>
      </c>
      <c r="B30" t="s">
        <v>724</v>
      </c>
      <c r="D30" s="31" t="s">
        <v>158</v>
      </c>
      <c r="E30" s="31" t="s">
        <v>777</v>
      </c>
      <c r="F30" s="31">
        <v>2111250000</v>
      </c>
      <c r="G30" s="31" t="s">
        <v>703</v>
      </c>
      <c r="L30" s="27" t="s">
        <v>413</v>
      </c>
      <c r="M30" s="27">
        <v>2111060000</v>
      </c>
      <c r="N30" s="27">
        <v>2110900000</v>
      </c>
      <c r="O30" s="27">
        <v>2111291000</v>
      </c>
      <c r="P30" s="27"/>
    </row>
    <row r="31" spans="1:16" x14ac:dyDescent="0.2">
      <c r="A31" t="s">
        <v>703</v>
      </c>
      <c r="B31" t="s">
        <v>727</v>
      </c>
      <c r="D31" s="31" t="s">
        <v>159</v>
      </c>
      <c r="E31" s="31" t="s">
        <v>778</v>
      </c>
      <c r="F31" s="31">
        <v>2111260000</v>
      </c>
      <c r="G31" s="31" t="s">
        <v>686</v>
      </c>
      <c r="L31" s="27" t="s">
        <v>414</v>
      </c>
      <c r="M31" s="27">
        <v>2111030000</v>
      </c>
      <c r="N31" s="27">
        <v>2110900000</v>
      </c>
      <c r="O31" s="27">
        <v>2111291000</v>
      </c>
      <c r="P31" s="27"/>
    </row>
    <row r="32" spans="1:16" x14ac:dyDescent="0.2">
      <c r="A32" t="s">
        <v>704</v>
      </c>
      <c r="B32" t="s">
        <v>729</v>
      </c>
      <c r="D32" s="31" t="s">
        <v>160</v>
      </c>
      <c r="E32" s="31" t="s">
        <v>779</v>
      </c>
      <c r="F32" s="31">
        <v>2111270000</v>
      </c>
      <c r="G32" s="31" t="s">
        <v>749</v>
      </c>
      <c r="L32" s="27" t="s">
        <v>415</v>
      </c>
      <c r="M32" s="27">
        <v>2111070000</v>
      </c>
      <c r="N32" s="27">
        <v>2110900000</v>
      </c>
      <c r="O32" s="27">
        <v>2111291000</v>
      </c>
      <c r="P32" s="27"/>
    </row>
    <row r="33" spans="1:16" x14ac:dyDescent="0.2">
      <c r="A33" t="s">
        <v>757</v>
      </c>
      <c r="B33" t="s">
        <v>731</v>
      </c>
      <c r="D33" s="31" t="s">
        <v>161</v>
      </c>
      <c r="E33" s="31" t="s">
        <v>780</v>
      </c>
      <c r="F33" s="31">
        <v>2111280000</v>
      </c>
      <c r="G33" s="31" t="s">
        <v>704</v>
      </c>
      <c r="L33" s="27" t="s">
        <v>416</v>
      </c>
      <c r="M33" s="27">
        <v>2110900000</v>
      </c>
      <c r="N33" s="27">
        <v>2110900000</v>
      </c>
      <c r="O33" s="27"/>
      <c r="P33" s="27"/>
    </row>
    <row r="34" spans="1:16" x14ac:dyDescent="0.2">
      <c r="A34" t="s">
        <v>668</v>
      </c>
      <c r="B34" t="s">
        <v>733</v>
      </c>
      <c r="D34" s="31" t="s">
        <v>163</v>
      </c>
      <c r="E34" s="31" t="s">
        <v>781</v>
      </c>
      <c r="F34" s="31">
        <v>2111291000</v>
      </c>
      <c r="G34" s="31" t="s">
        <v>757</v>
      </c>
      <c r="L34" s="27" t="s">
        <v>417</v>
      </c>
      <c r="M34" s="27">
        <v>2110510000</v>
      </c>
      <c r="N34" s="27">
        <v>2110900000</v>
      </c>
      <c r="O34" s="27">
        <v>2111250000</v>
      </c>
      <c r="P34" s="27"/>
    </row>
    <row r="35" spans="1:16" x14ac:dyDescent="0.2">
      <c r="A35" t="s">
        <v>682</v>
      </c>
      <c r="B35" t="s">
        <v>741</v>
      </c>
      <c r="D35" s="31" t="s">
        <v>167</v>
      </c>
      <c r="E35" s="31" t="s">
        <v>782</v>
      </c>
      <c r="F35" s="31">
        <v>2220110000</v>
      </c>
      <c r="G35" s="31" t="s">
        <v>668</v>
      </c>
      <c r="L35" s="27" t="s">
        <v>418</v>
      </c>
      <c r="M35" s="27">
        <v>2110530000</v>
      </c>
      <c r="N35" s="27">
        <v>2110900000</v>
      </c>
      <c r="O35" s="27">
        <v>2111250000</v>
      </c>
      <c r="P35" s="27"/>
    </row>
    <row r="36" spans="1:16" x14ac:dyDescent="0.2">
      <c r="A36" t="s">
        <v>673</v>
      </c>
      <c r="B36" t="s">
        <v>744</v>
      </c>
      <c r="D36" s="31" t="s">
        <v>168</v>
      </c>
      <c r="E36" s="31" t="s">
        <v>783</v>
      </c>
      <c r="F36" s="31">
        <v>2220120000</v>
      </c>
      <c r="G36" s="31" t="s">
        <v>668</v>
      </c>
      <c r="L36" s="27" t="s">
        <v>419</v>
      </c>
      <c r="M36" s="27">
        <v>2110520000</v>
      </c>
      <c r="N36" s="27">
        <v>2110900000</v>
      </c>
      <c r="O36" s="27">
        <v>2111250000</v>
      </c>
      <c r="P36" s="27"/>
    </row>
    <row r="37" spans="1:16" x14ac:dyDescent="0.2">
      <c r="A37" t="s">
        <v>674</v>
      </c>
      <c r="B37" t="s">
        <v>746</v>
      </c>
      <c r="D37" s="31" t="s">
        <v>169</v>
      </c>
      <c r="E37" s="31" t="s">
        <v>784</v>
      </c>
      <c r="F37" s="31">
        <v>2220130000</v>
      </c>
      <c r="G37" s="31" t="s">
        <v>668</v>
      </c>
      <c r="L37" s="27" t="s">
        <v>420</v>
      </c>
      <c r="M37" s="27">
        <v>2110800000</v>
      </c>
      <c r="N37" s="27">
        <v>2110900000</v>
      </c>
      <c r="O37" s="27">
        <v>2111280000</v>
      </c>
      <c r="P37" s="27"/>
    </row>
    <row r="38" spans="1:16" x14ac:dyDescent="0.2">
      <c r="A38" t="s">
        <v>677</v>
      </c>
      <c r="B38" t="s">
        <v>751</v>
      </c>
      <c r="D38" s="31" t="s">
        <v>171</v>
      </c>
      <c r="E38" s="31" t="s">
        <v>785</v>
      </c>
      <c r="F38" s="31">
        <v>2220141000</v>
      </c>
      <c r="G38" s="31" t="s">
        <v>769</v>
      </c>
      <c r="L38" s="27" t="s">
        <v>421</v>
      </c>
      <c r="M38" s="27">
        <v>2110820000</v>
      </c>
      <c r="N38" s="27">
        <v>2110900000</v>
      </c>
      <c r="O38" s="27">
        <v>2111280000</v>
      </c>
      <c r="P38" s="27"/>
    </row>
    <row r="39" spans="1:16" x14ac:dyDescent="0.2">
      <c r="A39" t="s">
        <v>786</v>
      </c>
      <c r="B39" t="s">
        <v>711</v>
      </c>
      <c r="D39" s="31" t="s">
        <v>172</v>
      </c>
      <c r="E39" s="31" t="s">
        <v>787</v>
      </c>
      <c r="F39" s="31">
        <v>2220142000</v>
      </c>
      <c r="G39" s="31" t="s">
        <v>769</v>
      </c>
      <c r="L39" s="27" t="s">
        <v>422</v>
      </c>
      <c r="M39" s="27">
        <v>2110810000</v>
      </c>
      <c r="N39" s="27">
        <v>2110900000</v>
      </c>
      <c r="O39" s="27">
        <v>2111280000</v>
      </c>
      <c r="P39" s="27"/>
    </row>
    <row r="40" spans="1:16" x14ac:dyDescent="0.2">
      <c r="A40" t="s">
        <v>699</v>
      </c>
      <c r="B40" t="s">
        <v>711</v>
      </c>
      <c r="D40" s="31" t="s">
        <v>173</v>
      </c>
      <c r="E40" s="31" t="s">
        <v>788</v>
      </c>
      <c r="F40" s="31">
        <v>2220200000</v>
      </c>
      <c r="G40" s="31" t="s">
        <v>669</v>
      </c>
      <c r="L40" s="27" t="s">
        <v>423</v>
      </c>
      <c r="M40" s="27">
        <v>2110100000</v>
      </c>
      <c r="N40" s="27">
        <v>2110900000</v>
      </c>
      <c r="O40" s="27">
        <v>2111210000</v>
      </c>
      <c r="P40" s="27"/>
    </row>
    <row r="41" spans="1:16" x14ac:dyDescent="0.2">
      <c r="A41" t="s">
        <v>687</v>
      </c>
      <c r="B41" t="s">
        <v>758</v>
      </c>
      <c r="D41" s="31" t="s">
        <v>176</v>
      </c>
      <c r="E41" s="31" t="s">
        <v>789</v>
      </c>
      <c r="F41" s="31">
        <v>2220311000</v>
      </c>
      <c r="G41" s="31" t="s">
        <v>722</v>
      </c>
      <c r="L41" s="27" t="s">
        <v>424</v>
      </c>
      <c r="M41" s="27">
        <v>2110300000</v>
      </c>
      <c r="N41" s="27">
        <v>2110900000</v>
      </c>
      <c r="O41" s="27">
        <v>2111230000</v>
      </c>
      <c r="P41" s="27"/>
    </row>
    <row r="42" spans="1:16" x14ac:dyDescent="0.2">
      <c r="A42" t="s">
        <v>685</v>
      </c>
      <c r="B42" t="s">
        <v>760</v>
      </c>
      <c r="D42" s="31" t="s">
        <v>179</v>
      </c>
      <c r="E42" s="31" t="s">
        <v>790</v>
      </c>
      <c r="F42" s="31">
        <v>2220314000</v>
      </c>
      <c r="G42" s="31" t="s">
        <v>692</v>
      </c>
      <c r="L42" s="27" t="s">
        <v>425</v>
      </c>
      <c r="M42" s="27">
        <v>2110400000</v>
      </c>
      <c r="N42" s="27">
        <v>2110900000</v>
      </c>
      <c r="O42" s="27">
        <v>2111240000</v>
      </c>
      <c r="P42" s="27"/>
    </row>
    <row r="43" spans="1:16" x14ac:dyDescent="0.2">
      <c r="A43" t="s">
        <v>693</v>
      </c>
      <c r="B43" t="s">
        <v>762</v>
      </c>
      <c r="D43" s="31" t="s">
        <v>180</v>
      </c>
      <c r="E43" s="31" t="s">
        <v>791</v>
      </c>
      <c r="F43" s="31">
        <v>2220315000</v>
      </c>
      <c r="G43" s="31" t="s">
        <v>691</v>
      </c>
      <c r="L43" s="27" t="s">
        <v>426</v>
      </c>
      <c r="M43" s="27">
        <v>2110500000</v>
      </c>
      <c r="N43" s="27">
        <v>2110900000</v>
      </c>
      <c r="O43" s="27">
        <v>2111250000</v>
      </c>
      <c r="P43" s="27"/>
    </row>
    <row r="44" spans="1:16" x14ac:dyDescent="0.2">
      <c r="A44" t="s">
        <v>702</v>
      </c>
      <c r="B44" t="s">
        <v>764</v>
      </c>
      <c r="D44" s="31" t="s">
        <v>181</v>
      </c>
      <c r="E44" s="31" t="s">
        <v>792</v>
      </c>
      <c r="F44" s="31">
        <v>2220316000</v>
      </c>
      <c r="G44" s="31" t="s">
        <v>725</v>
      </c>
      <c r="L44" s="27" t="s">
        <v>427</v>
      </c>
      <c r="M44" s="27">
        <v>2220100000</v>
      </c>
      <c r="N44" s="27">
        <v>2271000000</v>
      </c>
      <c r="O44" s="27"/>
      <c r="P44" s="27"/>
    </row>
    <row r="45" spans="1:16" x14ac:dyDescent="0.2">
      <c r="A45" t="s">
        <v>707</v>
      </c>
      <c r="B45" t="s">
        <v>713</v>
      </c>
      <c r="D45" s="31" t="s">
        <v>184</v>
      </c>
      <c r="E45" s="31" t="s">
        <v>793</v>
      </c>
      <c r="F45" s="31">
        <v>2220319000</v>
      </c>
      <c r="G45" s="31" t="s">
        <v>695</v>
      </c>
      <c r="L45" s="27" t="s">
        <v>428</v>
      </c>
      <c r="M45" s="27">
        <v>2220110000</v>
      </c>
      <c r="N45" s="27">
        <v>2271000000</v>
      </c>
      <c r="O45" s="27">
        <v>2280100000</v>
      </c>
      <c r="P45" s="27"/>
    </row>
    <row r="46" spans="1:16" x14ac:dyDescent="0.2">
      <c r="A46" t="s">
        <v>681</v>
      </c>
      <c r="B46" t="s">
        <v>768</v>
      </c>
      <c r="D46" s="31" t="s">
        <v>188</v>
      </c>
      <c r="E46" s="31" t="s">
        <v>794</v>
      </c>
      <c r="F46" s="31">
        <v>2220320100</v>
      </c>
      <c r="G46" s="31" t="s">
        <v>722</v>
      </c>
      <c r="L46" s="27" t="s">
        <v>429</v>
      </c>
      <c r="M46" s="27">
        <v>2220120000</v>
      </c>
      <c r="N46" s="27">
        <v>2271000000</v>
      </c>
      <c r="O46" s="27">
        <v>2280100000</v>
      </c>
      <c r="P46" s="27"/>
    </row>
    <row r="47" spans="1:16" x14ac:dyDescent="0.2">
      <c r="A47" t="s">
        <v>755</v>
      </c>
      <c r="B47" t="s">
        <v>771</v>
      </c>
      <c r="D47" s="31" t="s">
        <v>193</v>
      </c>
      <c r="E47" s="31" t="s">
        <v>795</v>
      </c>
      <c r="F47" s="31">
        <v>2220320600</v>
      </c>
      <c r="G47" s="31" t="s">
        <v>706</v>
      </c>
      <c r="L47" s="27" t="s">
        <v>430</v>
      </c>
      <c r="M47" s="27">
        <v>2220130000</v>
      </c>
      <c r="N47" s="27">
        <v>2271000000</v>
      </c>
      <c r="O47" s="27">
        <v>2280100000</v>
      </c>
      <c r="P47" s="27"/>
    </row>
    <row r="48" spans="1:16" x14ac:dyDescent="0.2">
      <c r="A48" t="s">
        <v>688</v>
      </c>
      <c r="B48" t="s">
        <v>742</v>
      </c>
      <c r="D48" s="31" t="s">
        <v>194</v>
      </c>
      <c r="E48" s="31" t="s">
        <v>796</v>
      </c>
      <c r="F48" s="31">
        <v>2220320700</v>
      </c>
      <c r="G48" s="31" t="s">
        <v>705</v>
      </c>
      <c r="L48" s="27" t="s">
        <v>431</v>
      </c>
      <c r="M48" s="27">
        <v>2220140000</v>
      </c>
      <c r="N48" s="27"/>
      <c r="O48" s="27">
        <v>2280100000</v>
      </c>
      <c r="P48" s="27"/>
    </row>
    <row r="49" spans="1:16" x14ac:dyDescent="0.2">
      <c r="A49" t="s">
        <v>797</v>
      </c>
      <c r="B49" t="s">
        <v>742</v>
      </c>
      <c r="D49" s="31" t="s">
        <v>195</v>
      </c>
      <c r="E49" s="31" t="s">
        <v>798</v>
      </c>
      <c r="F49" s="31">
        <v>2220320800</v>
      </c>
      <c r="G49" s="31" t="s">
        <v>694</v>
      </c>
      <c r="L49" s="27" t="s">
        <v>432</v>
      </c>
      <c r="M49" s="27">
        <v>2220141000</v>
      </c>
      <c r="N49" s="27">
        <v>2220141000</v>
      </c>
      <c r="O49" s="27">
        <v>2280100000</v>
      </c>
      <c r="P49" s="27"/>
    </row>
    <row r="50" spans="1:16" x14ac:dyDescent="0.2">
      <c r="A50" t="s">
        <v>689</v>
      </c>
      <c r="B50" t="s">
        <v>709</v>
      </c>
      <c r="D50" s="31" t="s">
        <v>196</v>
      </c>
      <c r="E50" s="31" t="s">
        <v>799</v>
      </c>
      <c r="F50" s="31">
        <v>2220321000</v>
      </c>
      <c r="G50" s="31" t="s">
        <v>695</v>
      </c>
      <c r="L50" s="27" t="s">
        <v>433</v>
      </c>
      <c r="M50" s="27">
        <v>2220142000</v>
      </c>
      <c r="N50" s="27"/>
      <c r="O50" s="27">
        <v>2280100000</v>
      </c>
      <c r="P50" s="27"/>
    </row>
    <row r="51" spans="1:16" x14ac:dyDescent="0.2">
      <c r="A51" s="31" t="s">
        <v>800</v>
      </c>
      <c r="B51" t="s">
        <v>735</v>
      </c>
      <c r="D51" s="31" t="s">
        <v>198</v>
      </c>
      <c r="E51" s="31" t="s">
        <v>801</v>
      </c>
      <c r="F51" s="31">
        <v>2220410000</v>
      </c>
      <c r="G51" s="31" t="s">
        <v>689</v>
      </c>
      <c r="L51" s="34" t="s">
        <v>434</v>
      </c>
      <c r="M51" s="34">
        <v>2220210000</v>
      </c>
      <c r="N51" s="34">
        <v>2271000000</v>
      </c>
      <c r="O51" s="34">
        <v>2280200000</v>
      </c>
      <c r="P51" s="27"/>
    </row>
    <row r="52" spans="1:16" x14ac:dyDescent="0.2">
      <c r="A52" s="31" t="s">
        <v>802</v>
      </c>
      <c r="B52" t="s">
        <v>735</v>
      </c>
      <c r="D52" s="31" t="s">
        <v>199</v>
      </c>
      <c r="E52" s="31" t="s">
        <v>803</v>
      </c>
      <c r="F52" s="31">
        <v>2220420000</v>
      </c>
      <c r="G52" s="31" t="s">
        <v>670</v>
      </c>
      <c r="L52" s="34" t="s">
        <v>435</v>
      </c>
      <c r="M52" s="34">
        <v>2220300000</v>
      </c>
      <c r="N52" s="34">
        <v>2270100000</v>
      </c>
      <c r="O52" s="34"/>
      <c r="P52" s="27"/>
    </row>
    <row r="53" spans="1:16" x14ac:dyDescent="0.2">
      <c r="A53" t="s">
        <v>690</v>
      </c>
      <c r="B53" t="s">
        <v>774</v>
      </c>
      <c r="D53" s="31" t="s">
        <v>200</v>
      </c>
      <c r="E53" s="31" t="s">
        <v>804</v>
      </c>
      <c r="F53" s="31">
        <v>2220430000</v>
      </c>
      <c r="G53" s="31" t="s">
        <v>670</v>
      </c>
      <c r="L53" s="34" t="s">
        <v>436</v>
      </c>
      <c r="M53" s="34">
        <v>2220310000</v>
      </c>
      <c r="N53" s="34">
        <v>2270100000</v>
      </c>
      <c r="O53" s="34"/>
      <c r="P53" s="27"/>
    </row>
    <row r="54" spans="1:16" x14ac:dyDescent="0.2">
      <c r="D54" s="31" t="s">
        <v>202</v>
      </c>
      <c r="E54" s="31" t="s">
        <v>805</v>
      </c>
      <c r="F54" s="31">
        <v>2220510000</v>
      </c>
      <c r="G54" s="31" t="s">
        <v>671</v>
      </c>
      <c r="L54" s="34" t="s">
        <v>437</v>
      </c>
      <c r="M54" s="34">
        <v>2220315000</v>
      </c>
      <c r="N54" s="34">
        <v>2270100000</v>
      </c>
      <c r="O54" s="34">
        <v>2280300000</v>
      </c>
      <c r="P54" s="27"/>
    </row>
    <row r="55" spans="1:16" x14ac:dyDescent="0.2">
      <c r="D55" s="31" t="s">
        <v>203</v>
      </c>
      <c r="E55" s="31" t="s">
        <v>806</v>
      </c>
      <c r="F55" s="31">
        <v>2220520000</v>
      </c>
      <c r="G55" s="31" t="s">
        <v>672</v>
      </c>
      <c r="L55" s="34" t="s">
        <v>438</v>
      </c>
      <c r="M55" s="34">
        <v>2220220000</v>
      </c>
      <c r="N55" s="34">
        <v>2271000000</v>
      </c>
      <c r="O55" s="34">
        <v>2280200000</v>
      </c>
      <c r="P55" s="27"/>
    </row>
    <row r="56" spans="1:16" x14ac:dyDescent="0.2">
      <c r="A56" s="4"/>
      <c r="D56" s="31" t="s">
        <v>205</v>
      </c>
      <c r="E56" s="31" t="s">
        <v>807</v>
      </c>
      <c r="F56" s="31">
        <v>2220610000</v>
      </c>
      <c r="G56" s="31" t="s">
        <v>682</v>
      </c>
      <c r="L56" s="27" t="s">
        <v>439</v>
      </c>
      <c r="M56" s="27">
        <v>2220311000</v>
      </c>
      <c r="N56" s="27">
        <v>2270100000</v>
      </c>
      <c r="O56" s="27">
        <v>2280300000</v>
      </c>
      <c r="P56" s="27"/>
    </row>
    <row r="57" spans="1:16" x14ac:dyDescent="0.2">
      <c r="A57" s="4"/>
      <c r="D57" s="31" t="s">
        <v>206</v>
      </c>
      <c r="E57" s="31" t="s">
        <v>808</v>
      </c>
      <c r="F57" s="31">
        <v>2220620000</v>
      </c>
      <c r="G57" s="31" t="s">
        <v>682</v>
      </c>
      <c r="L57" s="27" t="s">
        <v>440</v>
      </c>
      <c r="M57" s="27">
        <v>2220314000</v>
      </c>
      <c r="N57" s="27">
        <v>2270100000</v>
      </c>
      <c r="O57" s="27">
        <v>2280300000</v>
      </c>
      <c r="P57" s="27"/>
    </row>
    <row r="58" spans="1:16" x14ac:dyDescent="0.2">
      <c r="A58" s="4"/>
      <c r="D58" s="31" t="s">
        <v>207</v>
      </c>
      <c r="E58" s="31" t="s">
        <v>809</v>
      </c>
      <c r="F58" s="31">
        <v>2220630000</v>
      </c>
      <c r="G58" s="31" t="s">
        <v>682</v>
      </c>
      <c r="L58" s="27" t="s">
        <v>441</v>
      </c>
      <c r="M58" s="27">
        <v>2220319000</v>
      </c>
      <c r="N58" s="27">
        <v>2270100000</v>
      </c>
      <c r="O58" s="27">
        <v>2280300000</v>
      </c>
      <c r="P58" s="27"/>
    </row>
    <row r="59" spans="1:16" x14ac:dyDescent="0.2">
      <c r="A59" s="4"/>
      <c r="D59" s="31" t="s">
        <v>209</v>
      </c>
      <c r="E59" s="31" t="s">
        <v>810</v>
      </c>
      <c r="F59" s="31">
        <v>2220710000</v>
      </c>
      <c r="G59" s="31" t="s">
        <v>673</v>
      </c>
      <c r="L59" s="27" t="s">
        <v>442</v>
      </c>
      <c r="M59" s="27">
        <v>2220313000</v>
      </c>
      <c r="N59" s="27">
        <v>2270100000</v>
      </c>
      <c r="O59" s="27">
        <v>2280300000</v>
      </c>
      <c r="P59" s="27"/>
    </row>
    <row r="60" spans="1:16" x14ac:dyDescent="0.2">
      <c r="D60" s="31" t="s">
        <v>210</v>
      </c>
      <c r="E60" s="31" t="s">
        <v>811</v>
      </c>
      <c r="F60" s="31">
        <v>2220720000</v>
      </c>
      <c r="G60" s="31" t="s">
        <v>673</v>
      </c>
      <c r="L60" s="27" t="s">
        <v>443</v>
      </c>
      <c r="M60" s="27">
        <v>2220316000</v>
      </c>
      <c r="N60" s="27">
        <v>2270100000</v>
      </c>
      <c r="O60" s="27">
        <v>2280300000</v>
      </c>
      <c r="P60" s="27"/>
    </row>
    <row r="61" spans="1:16" x14ac:dyDescent="0.2">
      <c r="D61" s="31" t="s">
        <v>211</v>
      </c>
      <c r="E61" s="31" t="s">
        <v>812</v>
      </c>
      <c r="F61" s="31">
        <v>2220800000</v>
      </c>
      <c r="G61" s="31" t="s">
        <v>674</v>
      </c>
      <c r="L61" s="27" t="s">
        <v>444</v>
      </c>
      <c r="M61" s="27">
        <v>2220318000</v>
      </c>
      <c r="N61" s="27">
        <v>2270100000</v>
      </c>
      <c r="O61" s="27">
        <v>2280300000</v>
      </c>
      <c r="P61" s="27"/>
    </row>
    <row r="62" spans="1:16" x14ac:dyDescent="0.2">
      <c r="D62" s="31" t="s">
        <v>214</v>
      </c>
      <c r="E62" s="31" t="s">
        <v>813</v>
      </c>
      <c r="F62" s="31">
        <v>2220911000</v>
      </c>
      <c r="G62" s="31" t="s">
        <v>688</v>
      </c>
      <c r="L62" s="27" t="s">
        <v>445</v>
      </c>
      <c r="M62" s="27">
        <v>2220317000</v>
      </c>
      <c r="N62" s="27">
        <v>2270100000</v>
      </c>
      <c r="O62" s="27">
        <v>2280300000</v>
      </c>
      <c r="P62" s="27"/>
    </row>
    <row r="63" spans="1:16" x14ac:dyDescent="0.2">
      <c r="D63" s="31" t="s">
        <v>215</v>
      </c>
      <c r="E63" s="31" t="s">
        <v>814</v>
      </c>
      <c r="F63" s="31">
        <v>2220912000</v>
      </c>
      <c r="G63" s="31" t="s">
        <v>797</v>
      </c>
      <c r="L63" s="27" t="s">
        <v>446</v>
      </c>
      <c r="M63" s="27">
        <v>2220312000</v>
      </c>
      <c r="N63" s="27">
        <v>2270100000</v>
      </c>
      <c r="O63" s="27">
        <v>2280300000</v>
      </c>
      <c r="P63" s="27"/>
    </row>
    <row r="64" spans="1:16" x14ac:dyDescent="0.2">
      <c r="D64" s="31" t="s">
        <v>216</v>
      </c>
      <c r="E64" s="31" t="s">
        <v>815</v>
      </c>
      <c r="F64" s="31">
        <v>2220913000</v>
      </c>
      <c r="G64" s="31" t="s">
        <v>675</v>
      </c>
      <c r="L64" s="27" t="s">
        <v>447</v>
      </c>
      <c r="M64" s="27">
        <v>2220320000</v>
      </c>
      <c r="N64" s="27">
        <v>2270100000</v>
      </c>
      <c r="O64" s="27"/>
      <c r="P64" s="27"/>
    </row>
    <row r="65" spans="4:16" x14ac:dyDescent="0.2">
      <c r="D65" s="31" t="s">
        <v>218</v>
      </c>
      <c r="E65" s="31" t="s">
        <v>816</v>
      </c>
      <c r="F65" s="31">
        <v>2220920000</v>
      </c>
      <c r="G65" s="31" t="s">
        <v>676</v>
      </c>
      <c r="L65" s="27" t="s">
        <v>448</v>
      </c>
      <c r="M65" s="27">
        <v>2220320800</v>
      </c>
      <c r="N65" s="27">
        <v>2270100000</v>
      </c>
      <c r="O65" s="27">
        <v>2280300000</v>
      </c>
      <c r="P65" s="27"/>
    </row>
    <row r="66" spans="4:16" x14ac:dyDescent="0.2">
      <c r="D66" s="31" t="s">
        <v>219</v>
      </c>
      <c r="E66" s="31" t="s">
        <v>817</v>
      </c>
      <c r="F66" s="31">
        <v>2220930000</v>
      </c>
      <c r="G66" s="31" t="s">
        <v>684</v>
      </c>
      <c r="L66" s="27" t="s">
        <v>449</v>
      </c>
      <c r="M66" s="27">
        <v>2220320700</v>
      </c>
      <c r="N66" s="27">
        <v>2270100000</v>
      </c>
      <c r="O66" s="27">
        <v>2280300000</v>
      </c>
      <c r="P66" s="27"/>
    </row>
    <row r="67" spans="4:16" x14ac:dyDescent="0.2">
      <c r="D67" s="31" t="s">
        <v>222</v>
      </c>
      <c r="E67" s="31" t="s">
        <v>818</v>
      </c>
      <c r="F67" s="31">
        <v>2221110000</v>
      </c>
      <c r="G67" s="31" t="s">
        <v>752</v>
      </c>
      <c r="L67" s="27" t="s">
        <v>450</v>
      </c>
      <c r="M67" s="27">
        <v>2220320600</v>
      </c>
      <c r="N67" s="27">
        <v>2270100000</v>
      </c>
      <c r="O67" s="27">
        <v>2280300000</v>
      </c>
      <c r="P67" s="27"/>
    </row>
    <row r="68" spans="4:16" x14ac:dyDescent="0.2">
      <c r="D68" s="31" t="s">
        <v>223</v>
      </c>
      <c r="E68" s="31" t="s">
        <v>819</v>
      </c>
      <c r="F68" s="31">
        <v>2221120000</v>
      </c>
      <c r="G68" s="31" t="s">
        <v>698</v>
      </c>
      <c r="L68" s="27" t="s">
        <v>451</v>
      </c>
      <c r="M68" s="27">
        <v>2220320100</v>
      </c>
      <c r="N68" s="27">
        <v>2270100000</v>
      </c>
      <c r="O68" s="27">
        <v>2280300000</v>
      </c>
      <c r="P68" s="27"/>
    </row>
    <row r="69" spans="4:16" x14ac:dyDescent="0.2">
      <c r="D69" s="31" t="s">
        <v>224</v>
      </c>
      <c r="E69" s="31" t="s">
        <v>820</v>
      </c>
      <c r="F69" s="31">
        <v>2221130000</v>
      </c>
      <c r="G69" s="31" t="s">
        <v>697</v>
      </c>
      <c r="L69" s="27" t="s">
        <v>452</v>
      </c>
      <c r="M69" s="27">
        <v>2220321000</v>
      </c>
      <c r="N69" s="27">
        <v>2270100000</v>
      </c>
      <c r="O69" s="27">
        <v>2280300000</v>
      </c>
      <c r="P69" s="27"/>
    </row>
    <row r="70" spans="4:16" x14ac:dyDescent="0.2">
      <c r="D70" s="31" t="s">
        <v>226</v>
      </c>
      <c r="E70" s="31" t="s">
        <v>821</v>
      </c>
      <c r="F70" s="31">
        <v>2221200000</v>
      </c>
      <c r="G70" s="31" t="s">
        <v>677</v>
      </c>
      <c r="L70" s="27" t="s">
        <v>453</v>
      </c>
      <c r="M70" s="27">
        <v>2220320200</v>
      </c>
      <c r="N70" s="27">
        <v>2270100000</v>
      </c>
      <c r="O70" s="27">
        <v>2280300000</v>
      </c>
      <c r="P70" s="27"/>
    </row>
    <row r="71" spans="4:16" x14ac:dyDescent="0.2">
      <c r="D71" s="31" t="s">
        <v>229</v>
      </c>
      <c r="E71" s="31" t="s">
        <v>822</v>
      </c>
      <c r="F71" s="31">
        <v>2221401000</v>
      </c>
      <c r="G71" s="31" t="s">
        <v>699</v>
      </c>
      <c r="L71" s="27" t="s">
        <v>454</v>
      </c>
      <c r="M71" s="27">
        <v>2220320300</v>
      </c>
      <c r="N71" s="27">
        <v>2270100000</v>
      </c>
      <c r="O71" s="27">
        <v>2280300000</v>
      </c>
      <c r="P71" s="27"/>
    </row>
    <row r="72" spans="4:16" x14ac:dyDescent="0.2">
      <c r="D72" s="31" t="s">
        <v>230</v>
      </c>
      <c r="E72" s="31" t="s">
        <v>823</v>
      </c>
      <c r="F72" s="31">
        <v>2221402000</v>
      </c>
      <c r="G72" s="31" t="s">
        <v>699</v>
      </c>
      <c r="L72" s="27" t="s">
        <v>455</v>
      </c>
      <c r="M72" s="27">
        <v>2220320400</v>
      </c>
      <c r="N72" s="27">
        <v>2270100000</v>
      </c>
      <c r="O72" s="27">
        <v>2280300000</v>
      </c>
      <c r="P72" s="27"/>
    </row>
    <row r="73" spans="4:16" x14ac:dyDescent="0.2">
      <c r="D73" s="31" t="s">
        <v>231</v>
      </c>
      <c r="E73" s="31" t="s">
        <v>824</v>
      </c>
      <c r="F73" s="31">
        <v>2221403000</v>
      </c>
      <c r="G73" s="31" t="s">
        <v>699</v>
      </c>
      <c r="L73" s="27" t="s">
        <v>456</v>
      </c>
      <c r="M73" s="27">
        <v>2220320500</v>
      </c>
      <c r="N73" s="27">
        <v>2270100000</v>
      </c>
      <c r="O73" s="27">
        <v>2280300000</v>
      </c>
      <c r="P73" s="27"/>
    </row>
    <row r="74" spans="4:16" x14ac:dyDescent="0.2">
      <c r="D74" s="31" t="s">
        <v>232</v>
      </c>
      <c r="E74" s="31" t="s">
        <v>825</v>
      </c>
      <c r="F74" s="31">
        <v>2221404000</v>
      </c>
      <c r="G74" s="31" t="s">
        <v>699</v>
      </c>
      <c r="L74" s="27" t="s">
        <v>457</v>
      </c>
      <c r="M74" s="27">
        <v>2220400000</v>
      </c>
      <c r="N74" s="27">
        <v>2270200000</v>
      </c>
      <c r="O74" s="27"/>
      <c r="P74" s="27"/>
    </row>
    <row r="75" spans="4:16" x14ac:dyDescent="0.2">
      <c r="D75" s="31" t="s">
        <v>233</v>
      </c>
      <c r="E75" s="31" t="s">
        <v>826</v>
      </c>
      <c r="F75" s="31">
        <v>2221405000</v>
      </c>
      <c r="G75" s="31" t="s">
        <v>699</v>
      </c>
      <c r="L75" s="27" t="s">
        <v>458</v>
      </c>
      <c r="M75" s="27">
        <v>2220420000</v>
      </c>
      <c r="N75" s="27">
        <v>2270200000</v>
      </c>
      <c r="O75" s="27">
        <v>2280400000</v>
      </c>
      <c r="P75" s="27"/>
    </row>
    <row r="76" spans="4:16" x14ac:dyDescent="0.2">
      <c r="D76" s="31" t="s">
        <v>234</v>
      </c>
      <c r="E76" s="31" t="s">
        <v>827</v>
      </c>
      <c r="F76" s="31">
        <v>2221406000</v>
      </c>
      <c r="G76" s="31" t="s">
        <v>699</v>
      </c>
      <c r="L76" s="27" t="s">
        <v>459</v>
      </c>
      <c r="M76" s="27">
        <v>2220420000</v>
      </c>
      <c r="N76" s="27">
        <v>2270200000</v>
      </c>
      <c r="O76" s="27">
        <v>2280400000</v>
      </c>
      <c r="P76" s="27"/>
    </row>
    <row r="77" spans="4:16" x14ac:dyDescent="0.2">
      <c r="D77" s="31" t="s">
        <v>235</v>
      </c>
      <c r="E77" s="31" t="s">
        <v>828</v>
      </c>
      <c r="F77" s="31">
        <v>2221407000</v>
      </c>
      <c r="G77" s="31" t="s">
        <v>699</v>
      </c>
      <c r="L77" s="27" t="s">
        <v>460</v>
      </c>
      <c r="M77" s="27">
        <v>2220410000</v>
      </c>
      <c r="N77" s="27">
        <v>2270200000</v>
      </c>
      <c r="O77" s="27">
        <v>2280400000</v>
      </c>
      <c r="P77" s="27"/>
    </row>
    <row r="78" spans="4:16" x14ac:dyDescent="0.2">
      <c r="D78" s="31" t="s">
        <v>236</v>
      </c>
      <c r="E78" s="31" t="s">
        <v>829</v>
      </c>
      <c r="F78" s="31">
        <v>2221408000</v>
      </c>
      <c r="G78" s="31" t="s">
        <v>699</v>
      </c>
      <c r="L78" s="27" t="s">
        <v>461</v>
      </c>
      <c r="M78" s="27">
        <v>2220500000</v>
      </c>
      <c r="N78" s="27">
        <v>2270300000</v>
      </c>
      <c r="O78" s="27"/>
      <c r="P78" s="27"/>
    </row>
    <row r="79" spans="4:16" x14ac:dyDescent="0.2">
      <c r="D79" s="31" t="s">
        <v>237</v>
      </c>
      <c r="E79" s="31" t="s">
        <v>830</v>
      </c>
      <c r="F79" s="31">
        <v>2221409000</v>
      </c>
      <c r="G79" s="31" t="s">
        <v>699</v>
      </c>
      <c r="L79" s="27" t="s">
        <v>462</v>
      </c>
      <c r="M79" s="27">
        <v>2220510000</v>
      </c>
      <c r="N79" s="27">
        <v>2270300000</v>
      </c>
      <c r="O79" s="27">
        <v>2280500000</v>
      </c>
      <c r="P79" s="27"/>
    </row>
    <row r="80" spans="4:16" x14ac:dyDescent="0.2">
      <c r="D80" s="31" t="s">
        <v>238</v>
      </c>
      <c r="E80" s="31" t="s">
        <v>831</v>
      </c>
      <c r="F80" s="31">
        <v>2221410000</v>
      </c>
      <c r="G80" s="31" t="s">
        <v>699</v>
      </c>
      <c r="L80" s="27" t="s">
        <v>463</v>
      </c>
      <c r="M80" s="27">
        <v>2220520000</v>
      </c>
      <c r="N80" s="27">
        <v>2270300000</v>
      </c>
      <c r="O80" s="27">
        <v>2280500000</v>
      </c>
      <c r="P80" s="27"/>
    </row>
    <row r="81" spans="4:16" x14ac:dyDescent="0.2">
      <c r="D81" s="31" t="s">
        <v>239</v>
      </c>
      <c r="E81" s="31" t="s">
        <v>832</v>
      </c>
      <c r="F81" s="31">
        <v>2221411000</v>
      </c>
      <c r="G81" s="31" t="s">
        <v>699</v>
      </c>
      <c r="L81" s="27" t="s">
        <v>464</v>
      </c>
      <c r="M81" s="27">
        <v>2220600000</v>
      </c>
      <c r="N81" s="27">
        <v>2271000000</v>
      </c>
      <c r="O81" s="27"/>
      <c r="P81" s="27"/>
    </row>
    <row r="82" spans="4:16" x14ac:dyDescent="0.2">
      <c r="D82" s="31" t="s">
        <v>240</v>
      </c>
      <c r="E82" s="31" t="s">
        <v>833</v>
      </c>
      <c r="F82" s="31">
        <v>2220320900</v>
      </c>
      <c r="G82" s="31" t="s">
        <v>786</v>
      </c>
      <c r="L82" s="27" t="s">
        <v>465</v>
      </c>
      <c r="M82" s="27">
        <v>2220610000</v>
      </c>
      <c r="N82" s="27">
        <v>2271000000</v>
      </c>
      <c r="O82" s="27">
        <v>2280600000</v>
      </c>
      <c r="P82" s="27"/>
    </row>
    <row r="83" spans="4:16" x14ac:dyDescent="0.2">
      <c r="D83" s="31" t="s">
        <v>241</v>
      </c>
      <c r="E83" s="31" t="s">
        <v>834</v>
      </c>
      <c r="F83" s="31">
        <v>2221516000</v>
      </c>
      <c r="G83" s="31" t="s">
        <v>699</v>
      </c>
      <c r="L83" s="27" t="s">
        <v>466</v>
      </c>
      <c r="M83" s="27">
        <v>2220620000</v>
      </c>
      <c r="N83" s="27">
        <v>2271000000</v>
      </c>
      <c r="O83" s="27">
        <v>2280600000</v>
      </c>
      <c r="P83" s="27"/>
    </row>
    <row r="84" spans="4:16" x14ac:dyDescent="0.2">
      <c r="D84" s="31" t="s">
        <v>242</v>
      </c>
      <c r="E84" s="31" t="s">
        <v>835</v>
      </c>
      <c r="F84" s="31">
        <v>2221412000</v>
      </c>
      <c r="G84" s="31" t="s">
        <v>699</v>
      </c>
      <c r="L84" s="27" t="s">
        <v>467</v>
      </c>
      <c r="M84" s="27">
        <v>2220630000</v>
      </c>
      <c r="N84" s="27">
        <v>2271000000</v>
      </c>
      <c r="O84" s="27">
        <v>2280600000</v>
      </c>
      <c r="P84" s="27"/>
    </row>
    <row r="85" spans="4:16" x14ac:dyDescent="0.2">
      <c r="D85" s="31" t="s">
        <v>244</v>
      </c>
      <c r="E85" s="31" t="s">
        <v>836</v>
      </c>
      <c r="F85" s="31">
        <v>2221502000</v>
      </c>
      <c r="G85" s="31" t="s">
        <v>678</v>
      </c>
      <c r="L85" s="27" t="s">
        <v>468</v>
      </c>
      <c r="M85" s="27">
        <v>2220710000</v>
      </c>
      <c r="N85" s="27">
        <v>2271000000</v>
      </c>
      <c r="O85" s="27">
        <v>2280700000</v>
      </c>
      <c r="P85" s="27"/>
    </row>
    <row r="86" spans="4:16" x14ac:dyDescent="0.2">
      <c r="D86" s="31" t="s">
        <v>245</v>
      </c>
      <c r="E86" s="31" t="s">
        <v>837</v>
      </c>
      <c r="F86" s="31">
        <v>2221504000</v>
      </c>
      <c r="G86" s="31" t="s">
        <v>680</v>
      </c>
      <c r="L86" s="27" t="s">
        <v>469</v>
      </c>
      <c r="M86" s="27">
        <v>2220700000</v>
      </c>
      <c r="N86" s="27">
        <v>2271000000</v>
      </c>
      <c r="O86" s="27"/>
      <c r="P86" s="27"/>
    </row>
    <row r="87" spans="4:16" x14ac:dyDescent="0.2">
      <c r="D87" s="31" t="s">
        <v>246</v>
      </c>
      <c r="E87" s="31" t="s">
        <v>838</v>
      </c>
      <c r="F87" s="31">
        <v>2221505000</v>
      </c>
      <c r="G87" s="31" t="s">
        <v>680</v>
      </c>
      <c r="L87" s="27" t="s">
        <v>470</v>
      </c>
      <c r="M87" s="27">
        <v>2220720000</v>
      </c>
      <c r="N87" s="27">
        <v>2271000000</v>
      </c>
      <c r="O87" s="27">
        <v>2280700000</v>
      </c>
      <c r="P87" s="27"/>
    </row>
    <row r="88" spans="4:16" x14ac:dyDescent="0.2">
      <c r="D88" s="31" t="s">
        <v>247</v>
      </c>
      <c r="E88" s="31" t="s">
        <v>839</v>
      </c>
      <c r="F88" s="31">
        <v>2221506000</v>
      </c>
      <c r="G88" s="31" t="s">
        <v>701</v>
      </c>
      <c r="L88" s="27" t="s">
        <v>471</v>
      </c>
      <c r="M88" s="27">
        <v>2220800000</v>
      </c>
      <c r="N88" s="27">
        <v>2270500000</v>
      </c>
      <c r="O88" s="27">
        <v>2280800000</v>
      </c>
      <c r="P88" s="27"/>
    </row>
    <row r="89" spans="4:16" x14ac:dyDescent="0.2">
      <c r="D89" s="31" t="s">
        <v>248</v>
      </c>
      <c r="E89" s="31" t="s">
        <v>840</v>
      </c>
      <c r="F89" s="31">
        <v>2221507000</v>
      </c>
      <c r="G89" s="31" t="s">
        <v>680</v>
      </c>
      <c r="L89" s="27" t="s">
        <v>472</v>
      </c>
      <c r="M89" s="27">
        <v>2220900000</v>
      </c>
      <c r="N89" s="27">
        <v>2270600000</v>
      </c>
      <c r="O89" s="27"/>
      <c r="P89" s="27"/>
    </row>
    <row r="90" spans="4:16" x14ac:dyDescent="0.2">
      <c r="D90" s="31" t="s">
        <v>249</v>
      </c>
      <c r="E90" s="31" t="s">
        <v>841</v>
      </c>
      <c r="F90" s="31">
        <v>2221511000</v>
      </c>
      <c r="G90" s="31" t="s">
        <v>680</v>
      </c>
      <c r="L90" s="27" t="s">
        <v>473</v>
      </c>
      <c r="M90" s="27">
        <v>2220910000</v>
      </c>
      <c r="N90" s="27">
        <v>2270600000</v>
      </c>
      <c r="O90" s="27"/>
      <c r="P90" s="27"/>
    </row>
    <row r="91" spans="4:16" x14ac:dyDescent="0.2">
      <c r="D91" s="31" t="s">
        <v>250</v>
      </c>
      <c r="E91" s="31" t="s">
        <v>842</v>
      </c>
      <c r="F91" s="31">
        <v>2221513000</v>
      </c>
      <c r="G91" s="31" t="s">
        <v>679</v>
      </c>
      <c r="L91" s="27" t="s">
        <v>474</v>
      </c>
      <c r="M91" s="27">
        <v>2220911000</v>
      </c>
      <c r="N91" s="27">
        <v>2270600000</v>
      </c>
      <c r="O91" s="27">
        <v>2280900000</v>
      </c>
      <c r="P91" s="27"/>
    </row>
    <row r="92" spans="4:16" x14ac:dyDescent="0.2">
      <c r="D92" s="31" t="s">
        <v>251</v>
      </c>
      <c r="E92" s="31" t="s">
        <v>843</v>
      </c>
      <c r="F92" s="31">
        <v>2221517010</v>
      </c>
      <c r="G92" s="31" t="s">
        <v>700</v>
      </c>
      <c r="L92" s="27" t="s">
        <v>475</v>
      </c>
      <c r="M92" s="27">
        <v>2220920000</v>
      </c>
      <c r="N92" s="27">
        <v>2270600000</v>
      </c>
      <c r="O92" s="27">
        <v>2280900000</v>
      </c>
      <c r="P92" s="27"/>
    </row>
    <row r="93" spans="4:16" x14ac:dyDescent="0.2">
      <c r="D93" s="31" t="s">
        <v>252</v>
      </c>
      <c r="E93" s="31" t="s">
        <v>844</v>
      </c>
      <c r="F93" s="31">
        <v>2221517020</v>
      </c>
      <c r="G93" s="31" t="s">
        <v>680</v>
      </c>
      <c r="L93" s="27" t="s">
        <v>476</v>
      </c>
      <c r="M93" s="27">
        <v>2220930000</v>
      </c>
      <c r="N93" s="27">
        <v>2270600000</v>
      </c>
      <c r="O93" s="27">
        <v>2280900000</v>
      </c>
      <c r="P93" s="27"/>
    </row>
    <row r="94" spans="4:16" x14ac:dyDescent="0.2">
      <c r="D94" s="31" t="s">
        <v>253</v>
      </c>
      <c r="E94" s="31" t="s">
        <v>845</v>
      </c>
      <c r="F94" s="31">
        <v>2221517030</v>
      </c>
      <c r="G94" s="31" t="s">
        <v>680</v>
      </c>
      <c r="L94" s="27" t="s">
        <v>477</v>
      </c>
      <c r="M94" s="27">
        <v>2220913000</v>
      </c>
      <c r="N94" s="27">
        <v>2270600000</v>
      </c>
      <c r="O94" s="27">
        <v>2280900000</v>
      </c>
      <c r="P94" s="27"/>
    </row>
    <row r="95" spans="4:16" x14ac:dyDescent="0.2">
      <c r="D95" s="31" t="s">
        <v>254</v>
      </c>
      <c r="E95" s="31" t="s">
        <v>846</v>
      </c>
      <c r="F95" s="31">
        <v>2221517040</v>
      </c>
      <c r="G95" s="31" t="s">
        <v>766</v>
      </c>
      <c r="L95" s="27" t="s">
        <v>478</v>
      </c>
      <c r="M95" s="27">
        <v>2220912000</v>
      </c>
      <c r="N95" s="27">
        <v>2270600000</v>
      </c>
      <c r="O95" s="27">
        <v>2280900000</v>
      </c>
      <c r="P95" s="27"/>
    </row>
    <row r="96" spans="4:16" x14ac:dyDescent="0.2">
      <c r="D96" s="31" t="s">
        <v>255</v>
      </c>
      <c r="E96" s="31" t="s">
        <v>847</v>
      </c>
      <c r="F96" s="31">
        <v>2221517050</v>
      </c>
      <c r="G96" s="31" t="s">
        <v>680</v>
      </c>
      <c r="L96" s="27" t="s">
        <v>479</v>
      </c>
      <c r="M96" s="27">
        <v>2220913000</v>
      </c>
      <c r="N96" s="27">
        <v>2270600000</v>
      </c>
      <c r="O96" s="27">
        <v>2280900000</v>
      </c>
      <c r="P96" s="27"/>
    </row>
    <row r="97" spans="4:16" x14ac:dyDescent="0.2">
      <c r="D97" s="31" t="s">
        <v>256</v>
      </c>
      <c r="E97" s="31" t="s">
        <v>848</v>
      </c>
      <c r="F97" s="31">
        <v>2221517060</v>
      </c>
      <c r="G97" s="31" t="s">
        <v>680</v>
      </c>
      <c r="L97" s="27" t="s">
        <v>480</v>
      </c>
      <c r="M97" s="27">
        <v>2221000000</v>
      </c>
      <c r="N97" s="27">
        <v>2270700000</v>
      </c>
      <c r="O97" s="27">
        <v>2281000000</v>
      </c>
      <c r="P97" s="27"/>
    </row>
    <row r="98" spans="4:16" x14ac:dyDescent="0.2">
      <c r="D98" s="31" t="s">
        <v>257</v>
      </c>
      <c r="E98" s="31" t="s">
        <v>849</v>
      </c>
      <c r="F98" s="31">
        <v>2221517070</v>
      </c>
      <c r="G98" s="31" t="s">
        <v>680</v>
      </c>
      <c r="L98" s="27" t="s">
        <v>481</v>
      </c>
      <c r="M98" s="27">
        <v>2221100000</v>
      </c>
      <c r="N98" s="27">
        <v>2270800000</v>
      </c>
      <c r="O98" s="27"/>
      <c r="P98" s="27"/>
    </row>
    <row r="99" spans="4:16" x14ac:dyDescent="0.2">
      <c r="D99" s="31" t="s">
        <v>258</v>
      </c>
      <c r="E99" s="31" t="s">
        <v>850</v>
      </c>
      <c r="F99" s="31">
        <v>2221517080</v>
      </c>
      <c r="G99" s="31" t="s">
        <v>680</v>
      </c>
      <c r="L99" s="27" t="s">
        <v>482</v>
      </c>
      <c r="M99" s="27">
        <v>2221130000</v>
      </c>
      <c r="N99" s="27">
        <v>2270800000</v>
      </c>
      <c r="O99" s="27">
        <v>2281100000</v>
      </c>
      <c r="P99" s="27"/>
    </row>
    <row r="100" spans="4:16" x14ac:dyDescent="0.2">
      <c r="D100" s="31" t="s">
        <v>260</v>
      </c>
      <c r="E100" s="31" t="s">
        <v>851</v>
      </c>
      <c r="F100" s="31">
        <v>2221517090</v>
      </c>
      <c r="G100" s="31" t="s">
        <v>680</v>
      </c>
      <c r="L100" s="27" t="s">
        <v>483</v>
      </c>
      <c r="M100" s="27">
        <v>2221120000</v>
      </c>
      <c r="N100" s="27">
        <v>2270800000</v>
      </c>
      <c r="O100" s="27">
        <v>2281100000</v>
      </c>
      <c r="P100" s="27"/>
    </row>
    <row r="101" spans="4:16" x14ac:dyDescent="0.2">
      <c r="D101" s="31" t="s">
        <v>261</v>
      </c>
      <c r="E101" s="31" t="s">
        <v>852</v>
      </c>
      <c r="F101" s="31">
        <v>2221517100</v>
      </c>
      <c r="G101" s="31" t="s">
        <v>680</v>
      </c>
      <c r="L101" s="27" t="s">
        <v>484</v>
      </c>
      <c r="M101" s="27">
        <v>2221110000</v>
      </c>
      <c r="N101" s="27">
        <v>2270800000</v>
      </c>
      <c r="O101" s="27">
        <v>2281100000</v>
      </c>
      <c r="P101" s="27"/>
    </row>
    <row r="102" spans="4:16" x14ac:dyDescent="0.2">
      <c r="D102" s="31" t="s">
        <v>262</v>
      </c>
      <c r="E102" s="31" t="s">
        <v>853</v>
      </c>
      <c r="F102" s="31">
        <v>2221517120</v>
      </c>
      <c r="G102" s="31" t="s">
        <v>707</v>
      </c>
      <c r="L102" s="27" t="s">
        <v>485</v>
      </c>
      <c r="M102" s="27">
        <v>2221140000</v>
      </c>
      <c r="N102" s="27">
        <v>2270800000</v>
      </c>
      <c r="O102" s="27">
        <v>2281100000</v>
      </c>
      <c r="P102" s="27"/>
    </row>
    <row r="103" spans="4:16" x14ac:dyDescent="0.2">
      <c r="D103" s="31" t="s">
        <v>263</v>
      </c>
      <c r="E103" s="31" t="s">
        <v>854</v>
      </c>
      <c r="F103" s="31">
        <v>2221517130</v>
      </c>
      <c r="G103" s="31" t="s">
        <v>680</v>
      </c>
      <c r="L103" s="27" t="s">
        <v>486</v>
      </c>
      <c r="M103" s="27">
        <v>2221200000</v>
      </c>
      <c r="N103" s="27">
        <v>2271000000</v>
      </c>
      <c r="O103" s="27">
        <v>2281200000</v>
      </c>
      <c r="P103" s="27"/>
    </row>
    <row r="104" spans="4:16" x14ac:dyDescent="0.2">
      <c r="D104" s="31" t="s">
        <v>264</v>
      </c>
      <c r="E104" s="31" t="s">
        <v>855</v>
      </c>
      <c r="F104" s="31">
        <v>2221517140</v>
      </c>
      <c r="G104" s="31" t="s">
        <v>680</v>
      </c>
      <c r="L104" s="27" t="s">
        <v>487</v>
      </c>
      <c r="M104" s="27">
        <v>2221300000</v>
      </c>
      <c r="N104" s="27">
        <v>2271000000</v>
      </c>
      <c r="O104" s="27">
        <v>2281300000</v>
      </c>
      <c r="P104" s="27"/>
    </row>
    <row r="105" spans="4:16" x14ac:dyDescent="0.2">
      <c r="D105" s="31" t="s">
        <v>265</v>
      </c>
      <c r="E105" s="31" t="s">
        <v>856</v>
      </c>
      <c r="F105" s="31">
        <v>2221517150</v>
      </c>
      <c r="G105" s="31" t="s">
        <v>680</v>
      </c>
      <c r="L105" s="27" t="s">
        <v>488</v>
      </c>
      <c r="M105" s="27">
        <v>2221400000</v>
      </c>
      <c r="N105" s="27">
        <v>2270900000</v>
      </c>
      <c r="O105" s="27"/>
      <c r="P105" s="27"/>
    </row>
    <row r="106" spans="4:16" x14ac:dyDescent="0.2">
      <c r="D106" s="31" t="s">
        <v>266</v>
      </c>
      <c r="E106" s="31" t="s">
        <v>857</v>
      </c>
      <c r="F106" s="31">
        <v>2221517160</v>
      </c>
      <c r="G106" s="31" t="s">
        <v>680</v>
      </c>
      <c r="L106" s="27" t="s">
        <v>489</v>
      </c>
      <c r="M106" s="27">
        <v>2221409000</v>
      </c>
      <c r="N106" s="27">
        <v>2270900000</v>
      </c>
      <c r="O106" s="27">
        <v>2281400000</v>
      </c>
      <c r="P106" s="27"/>
    </row>
    <row r="107" spans="4:16" x14ac:dyDescent="0.2">
      <c r="D107" s="31" t="s">
        <v>267</v>
      </c>
      <c r="E107" s="31" t="s">
        <v>858</v>
      </c>
      <c r="F107" s="31">
        <v>2221517170</v>
      </c>
      <c r="G107" s="31" t="s">
        <v>680</v>
      </c>
      <c r="L107" s="27" t="s">
        <v>490</v>
      </c>
      <c r="M107" s="27">
        <v>2221411000</v>
      </c>
      <c r="N107" s="27">
        <v>2270900000</v>
      </c>
      <c r="O107" s="27">
        <v>2281400000</v>
      </c>
      <c r="P107" s="27"/>
    </row>
    <row r="108" spans="4:16" x14ac:dyDescent="0.2">
      <c r="D108" s="31" t="s">
        <v>268</v>
      </c>
      <c r="E108" s="31" t="s">
        <v>859</v>
      </c>
      <c r="F108" s="31">
        <v>2221517180</v>
      </c>
      <c r="G108" s="31" t="s">
        <v>680</v>
      </c>
      <c r="L108" s="27" t="s">
        <v>491</v>
      </c>
      <c r="M108" s="27">
        <v>2221407000</v>
      </c>
      <c r="N108" s="27">
        <v>2270900000</v>
      </c>
      <c r="O108" s="27">
        <v>2281400000</v>
      </c>
      <c r="P108" s="27"/>
    </row>
    <row r="109" spans="4:16" x14ac:dyDescent="0.2">
      <c r="D109" s="31" t="s">
        <v>269</v>
      </c>
      <c r="E109" s="31" t="s">
        <v>860</v>
      </c>
      <c r="F109" s="31">
        <v>2221517190</v>
      </c>
      <c r="G109" s="31" t="s">
        <v>680</v>
      </c>
      <c r="L109" s="27" t="s">
        <v>492</v>
      </c>
      <c r="M109" s="27">
        <v>2221403000</v>
      </c>
      <c r="N109" s="27">
        <v>2270900000</v>
      </c>
      <c r="O109" s="27">
        <v>2281400000</v>
      </c>
      <c r="P109" s="27"/>
    </row>
    <row r="110" spans="4:16" x14ac:dyDescent="0.2">
      <c r="D110" s="31" t="s">
        <v>270</v>
      </c>
      <c r="E110" s="31" t="s">
        <v>861</v>
      </c>
      <c r="F110" s="31">
        <v>2221517110</v>
      </c>
      <c r="G110" s="31" t="s">
        <v>680</v>
      </c>
      <c r="L110" s="27" t="s">
        <v>493</v>
      </c>
      <c r="M110" s="27">
        <v>2221401000</v>
      </c>
      <c r="N110" s="27">
        <v>2270900000</v>
      </c>
      <c r="O110" s="27">
        <v>2281400000</v>
      </c>
      <c r="P110" s="27"/>
    </row>
    <row r="111" spans="4:16" x14ac:dyDescent="0.2">
      <c r="D111" s="31" t="s">
        <v>271</v>
      </c>
      <c r="E111" s="31" t="s">
        <v>862</v>
      </c>
      <c r="F111" s="31">
        <v>2221611000</v>
      </c>
      <c r="G111" s="31" t="s">
        <v>687</v>
      </c>
      <c r="L111" s="27" t="s">
        <v>494</v>
      </c>
      <c r="M111" s="27">
        <v>2221402000</v>
      </c>
      <c r="N111" s="27">
        <v>2270900000</v>
      </c>
      <c r="O111" s="27">
        <v>2281400000</v>
      </c>
      <c r="P111" s="27"/>
    </row>
    <row r="112" spans="4:16" x14ac:dyDescent="0.2">
      <c r="D112" s="31" t="s">
        <v>272</v>
      </c>
      <c r="E112" s="31" t="s">
        <v>863</v>
      </c>
      <c r="F112" s="31">
        <v>2221612100</v>
      </c>
      <c r="G112" s="31" t="s">
        <v>687</v>
      </c>
      <c r="L112" s="27" t="s">
        <v>495</v>
      </c>
      <c r="M112" s="27">
        <v>2221404000</v>
      </c>
      <c r="N112" s="27">
        <v>2270900000</v>
      </c>
      <c r="O112" s="27">
        <v>2281400000</v>
      </c>
      <c r="P112" s="27"/>
    </row>
    <row r="113" spans="4:16" x14ac:dyDescent="0.2">
      <c r="D113" s="31" t="s">
        <v>273</v>
      </c>
      <c r="E113" s="31" t="s">
        <v>864</v>
      </c>
      <c r="F113" s="31">
        <v>2221612200</v>
      </c>
      <c r="G113" s="31" t="s">
        <v>687</v>
      </c>
      <c r="L113" s="27" t="s">
        <v>496</v>
      </c>
      <c r="M113" s="27">
        <v>2221405000</v>
      </c>
      <c r="N113" s="27">
        <v>2270900000</v>
      </c>
      <c r="O113" s="27">
        <v>2281400000</v>
      </c>
      <c r="P113" s="27"/>
    </row>
    <row r="114" spans="4:16" x14ac:dyDescent="0.2">
      <c r="D114" s="31" t="s">
        <v>274</v>
      </c>
      <c r="E114" s="31" t="s">
        <v>865</v>
      </c>
      <c r="F114" s="31">
        <v>2221613100</v>
      </c>
      <c r="G114" s="31" t="s">
        <v>687</v>
      </c>
      <c r="L114" s="27" t="s">
        <v>497</v>
      </c>
      <c r="M114" s="27">
        <v>2221406000</v>
      </c>
      <c r="N114" s="27">
        <v>2270900000</v>
      </c>
      <c r="O114" s="27">
        <v>2281400000</v>
      </c>
      <c r="P114" s="27"/>
    </row>
    <row r="115" spans="4:16" x14ac:dyDescent="0.2">
      <c r="D115" s="31" t="s">
        <v>275</v>
      </c>
      <c r="E115" s="31" t="s">
        <v>866</v>
      </c>
      <c r="F115" s="31">
        <v>2221613200</v>
      </c>
      <c r="G115" s="31" t="s">
        <v>687</v>
      </c>
      <c r="L115" s="27" t="s">
        <v>498</v>
      </c>
      <c r="M115" s="27">
        <v>2221408000</v>
      </c>
      <c r="N115" s="27">
        <v>2270900000</v>
      </c>
      <c r="O115" s="27">
        <v>2281400000</v>
      </c>
      <c r="P115" s="27"/>
    </row>
    <row r="116" spans="4:16" x14ac:dyDescent="0.2">
      <c r="D116" s="31" t="s">
        <v>276</v>
      </c>
      <c r="E116" s="31" t="s">
        <v>867</v>
      </c>
      <c r="F116" s="31">
        <v>2221614000</v>
      </c>
      <c r="G116" s="31" t="s">
        <v>687</v>
      </c>
      <c r="L116" s="27" t="s">
        <v>499</v>
      </c>
      <c r="M116" s="27">
        <v>2221410000</v>
      </c>
      <c r="N116" s="27">
        <v>2270900000</v>
      </c>
      <c r="O116" s="27">
        <v>2281400000</v>
      </c>
      <c r="P116" s="27"/>
    </row>
    <row r="117" spans="4:16" x14ac:dyDescent="0.2">
      <c r="D117" s="31" t="s">
        <v>277</v>
      </c>
      <c r="E117" s="31" t="s">
        <v>868</v>
      </c>
      <c r="F117" s="31">
        <v>2221615100</v>
      </c>
      <c r="G117" s="31" t="s">
        <v>687</v>
      </c>
      <c r="L117" s="27" t="s">
        <v>500</v>
      </c>
      <c r="M117" s="27">
        <v>2221412000</v>
      </c>
      <c r="N117" s="27">
        <v>2270900000</v>
      </c>
      <c r="O117" s="27">
        <v>2281400000</v>
      </c>
      <c r="P117" s="27"/>
    </row>
    <row r="118" spans="4:16" x14ac:dyDescent="0.2">
      <c r="D118" s="31" t="s">
        <v>278</v>
      </c>
      <c r="E118" s="31" t="s">
        <v>869</v>
      </c>
      <c r="F118" s="31">
        <v>2221615200</v>
      </c>
      <c r="G118" s="31" t="s">
        <v>687</v>
      </c>
      <c r="L118" s="27" t="s">
        <v>501</v>
      </c>
      <c r="M118" s="27">
        <v>2221500000</v>
      </c>
      <c r="N118" s="27">
        <v>2271000000</v>
      </c>
      <c r="O118" s="27"/>
      <c r="P118" s="27"/>
    </row>
    <row r="119" spans="4:16" x14ac:dyDescent="0.2">
      <c r="D119" s="31" t="s">
        <v>281</v>
      </c>
      <c r="E119" s="31" t="s">
        <v>870</v>
      </c>
      <c r="F119" s="31">
        <v>2221615300</v>
      </c>
      <c r="G119" s="31" t="s">
        <v>687</v>
      </c>
      <c r="L119" s="27" t="s">
        <v>502</v>
      </c>
      <c r="M119" s="27">
        <v>2221501000</v>
      </c>
      <c r="N119" s="27">
        <v>2271000000</v>
      </c>
      <c r="O119" s="27">
        <v>2281500000</v>
      </c>
      <c r="P119" s="27"/>
    </row>
    <row r="120" spans="4:16" x14ac:dyDescent="0.2">
      <c r="D120" s="31" t="s">
        <v>283</v>
      </c>
      <c r="E120" s="31" t="s">
        <v>871</v>
      </c>
      <c r="F120" s="31">
        <v>2221615400</v>
      </c>
      <c r="G120" s="31" t="s">
        <v>687</v>
      </c>
      <c r="L120" s="27" t="s">
        <v>503</v>
      </c>
      <c r="M120" s="27">
        <v>2221502000</v>
      </c>
      <c r="N120" s="27">
        <v>2271000000</v>
      </c>
      <c r="O120" s="27">
        <v>2281500000</v>
      </c>
      <c r="P120" s="27"/>
    </row>
    <row r="121" spans="4:16" x14ac:dyDescent="0.2">
      <c r="D121" s="31" t="s">
        <v>284</v>
      </c>
      <c r="E121" s="31" t="s">
        <v>872</v>
      </c>
      <c r="F121" s="31">
        <v>2221615500</v>
      </c>
      <c r="G121" s="31" t="s">
        <v>687</v>
      </c>
      <c r="L121" s="27" t="s">
        <v>504</v>
      </c>
      <c r="M121" s="27">
        <v>2221502000</v>
      </c>
      <c r="N121" s="27">
        <v>2271000000</v>
      </c>
      <c r="O121" s="27">
        <v>2281500000</v>
      </c>
      <c r="P121" s="27"/>
    </row>
    <row r="122" spans="4:16" x14ac:dyDescent="0.2">
      <c r="D122" s="31" t="s">
        <v>286</v>
      </c>
      <c r="E122" s="31" t="s">
        <v>873</v>
      </c>
      <c r="F122" s="31">
        <v>2221615600</v>
      </c>
      <c r="G122" s="31" t="s">
        <v>687</v>
      </c>
      <c r="L122" s="27" t="s">
        <v>505</v>
      </c>
      <c r="M122" s="27">
        <v>2221503000</v>
      </c>
      <c r="N122" s="27">
        <v>2271000000</v>
      </c>
      <c r="O122" s="27">
        <v>2281500000</v>
      </c>
      <c r="P122" s="27"/>
    </row>
    <row r="123" spans="4:16" x14ac:dyDescent="0.2">
      <c r="D123" s="31" t="s">
        <v>287</v>
      </c>
      <c r="E123" s="31" t="s">
        <v>874</v>
      </c>
      <c r="F123" s="31">
        <v>2221615700</v>
      </c>
      <c r="G123" s="31" t="s">
        <v>687</v>
      </c>
      <c r="L123" s="27" t="s">
        <v>506</v>
      </c>
      <c r="M123" s="27">
        <v>2221504000</v>
      </c>
      <c r="N123" s="27">
        <v>2271000000</v>
      </c>
      <c r="O123" s="27">
        <v>2281500000</v>
      </c>
      <c r="P123" s="27"/>
    </row>
    <row r="124" spans="4:16" x14ac:dyDescent="0.2">
      <c r="D124" s="31" t="s">
        <v>288</v>
      </c>
      <c r="E124" s="31" t="s">
        <v>875</v>
      </c>
      <c r="F124" s="31">
        <v>2221620000</v>
      </c>
      <c r="G124" s="31" t="s">
        <v>687</v>
      </c>
      <c r="L124" s="27" t="s">
        <v>507</v>
      </c>
      <c r="M124" s="27">
        <v>2221504000</v>
      </c>
      <c r="N124" s="27">
        <v>2271000000</v>
      </c>
      <c r="O124" s="27">
        <v>2281500000</v>
      </c>
      <c r="P124" s="27"/>
    </row>
    <row r="125" spans="4:16" x14ac:dyDescent="0.2">
      <c r="D125" s="31" t="s">
        <v>290</v>
      </c>
      <c r="E125" s="31" t="s">
        <v>876</v>
      </c>
      <c r="F125" s="31">
        <v>2221630000</v>
      </c>
      <c r="G125" s="31" t="s">
        <v>687</v>
      </c>
      <c r="L125" s="27" t="s">
        <v>508</v>
      </c>
      <c r="M125" s="27">
        <v>2221504000</v>
      </c>
      <c r="N125" s="27">
        <v>2271000000</v>
      </c>
      <c r="O125" s="27">
        <v>2281500000</v>
      </c>
      <c r="P125" s="27"/>
    </row>
    <row r="126" spans="4:16" x14ac:dyDescent="0.2">
      <c r="D126" s="31" t="s">
        <v>291</v>
      </c>
      <c r="E126" s="31" t="s">
        <v>877</v>
      </c>
      <c r="F126" s="31">
        <v>2221710000</v>
      </c>
      <c r="G126" s="31" t="s">
        <v>702</v>
      </c>
      <c r="L126" s="27" t="s">
        <v>509</v>
      </c>
      <c r="M126" s="27">
        <v>2221505000</v>
      </c>
      <c r="N126" s="27">
        <v>2271000000</v>
      </c>
      <c r="O126" s="27">
        <v>2281500000</v>
      </c>
      <c r="P126" s="27"/>
    </row>
    <row r="127" spans="4:16" x14ac:dyDescent="0.2">
      <c r="D127" s="31" t="s">
        <v>292</v>
      </c>
      <c r="E127" s="31" t="s">
        <v>878</v>
      </c>
      <c r="F127" s="31">
        <v>2221720000</v>
      </c>
      <c r="G127" s="31" t="s">
        <v>702</v>
      </c>
      <c r="L127" s="27" t="s">
        <v>510</v>
      </c>
      <c r="M127" s="27">
        <v>2221506000</v>
      </c>
      <c r="N127" s="27">
        <v>2271000000</v>
      </c>
      <c r="O127" s="27">
        <v>2281500000</v>
      </c>
      <c r="P127" s="27"/>
    </row>
    <row r="128" spans="4:16" x14ac:dyDescent="0.2">
      <c r="D128" s="31" t="s">
        <v>293</v>
      </c>
      <c r="E128" s="31" t="s">
        <v>879</v>
      </c>
      <c r="F128" s="31">
        <v>2221730000</v>
      </c>
      <c r="G128" s="31" t="s">
        <v>702</v>
      </c>
      <c r="L128" s="27" t="s">
        <v>511</v>
      </c>
      <c r="M128" s="27">
        <v>2221507000</v>
      </c>
      <c r="N128" s="27">
        <v>2271000000</v>
      </c>
      <c r="O128" s="27">
        <v>2281500000</v>
      </c>
      <c r="P128" s="27"/>
    </row>
    <row r="129" spans="4:16" x14ac:dyDescent="0.2">
      <c r="D129" s="31" t="s">
        <v>294</v>
      </c>
      <c r="E129" s="31" t="s">
        <v>880</v>
      </c>
      <c r="F129" s="31">
        <v>2221800000</v>
      </c>
      <c r="G129" s="31" t="s">
        <v>685</v>
      </c>
      <c r="L129" s="27" t="s">
        <v>512</v>
      </c>
      <c r="M129" s="27">
        <v>2221508000</v>
      </c>
      <c r="N129" s="27">
        <v>2271000000</v>
      </c>
      <c r="O129" s="27">
        <v>2281500000</v>
      </c>
      <c r="P129" s="27"/>
    </row>
    <row r="130" spans="4:16" x14ac:dyDescent="0.2">
      <c r="D130" s="31" t="s">
        <v>295</v>
      </c>
      <c r="E130" s="31" t="s">
        <v>881</v>
      </c>
      <c r="F130" s="31">
        <v>2222100000</v>
      </c>
      <c r="G130" s="31" t="s">
        <v>681</v>
      </c>
      <c r="L130" s="27" t="s">
        <v>513</v>
      </c>
      <c r="M130" s="27">
        <v>2221509000</v>
      </c>
      <c r="N130" s="27">
        <v>2271000000</v>
      </c>
      <c r="O130" s="27">
        <v>2281500000</v>
      </c>
      <c r="P130" s="27"/>
    </row>
    <row r="131" spans="4:16" x14ac:dyDescent="0.2">
      <c r="D131" s="31" t="s">
        <v>296</v>
      </c>
      <c r="E131" s="31" t="s">
        <v>882</v>
      </c>
      <c r="F131" s="31">
        <v>2231000000</v>
      </c>
      <c r="G131" s="31" t="s">
        <v>693</v>
      </c>
      <c r="L131" s="27" t="s">
        <v>514</v>
      </c>
      <c r="M131" s="27">
        <v>2221510000</v>
      </c>
      <c r="N131" s="27">
        <v>2271000000</v>
      </c>
      <c r="O131" s="27">
        <v>2281500000</v>
      </c>
      <c r="P131" s="27"/>
    </row>
    <row r="132" spans="4:16" x14ac:dyDescent="0.2">
      <c r="D132" s="31" t="s">
        <v>297</v>
      </c>
      <c r="E132" s="31" t="s">
        <v>883</v>
      </c>
      <c r="F132" s="31">
        <v>2232100000</v>
      </c>
      <c r="G132" s="31" t="s">
        <v>693</v>
      </c>
      <c r="L132" s="27" t="s">
        <v>515</v>
      </c>
      <c r="M132" s="27">
        <v>2221510000</v>
      </c>
      <c r="N132" s="27">
        <v>2271000000</v>
      </c>
      <c r="O132" s="27">
        <v>2281500000</v>
      </c>
      <c r="P132" s="27"/>
    </row>
    <row r="133" spans="4:16" x14ac:dyDescent="0.2">
      <c r="D133" s="31" t="s">
        <v>298</v>
      </c>
      <c r="E133" s="31" t="s">
        <v>884</v>
      </c>
      <c r="F133" s="31">
        <v>2232200000</v>
      </c>
      <c r="G133" s="31" t="s">
        <v>693</v>
      </c>
      <c r="L133" s="27" t="s">
        <v>516</v>
      </c>
      <c r="M133" s="27">
        <v>2221510000</v>
      </c>
      <c r="N133" s="27">
        <v>2271000000</v>
      </c>
      <c r="O133" s="27">
        <v>2281500000</v>
      </c>
      <c r="P133" s="27"/>
    </row>
    <row r="134" spans="4:16" x14ac:dyDescent="0.2">
      <c r="D134" s="31" t="s">
        <v>300</v>
      </c>
      <c r="E134" s="31" t="s">
        <v>885</v>
      </c>
      <c r="F134" s="31">
        <v>2233100000</v>
      </c>
      <c r="G134" s="31" t="s">
        <v>693</v>
      </c>
      <c r="L134" s="27" t="s">
        <v>517</v>
      </c>
      <c r="M134" s="27">
        <v>2221511000</v>
      </c>
      <c r="N134" s="27">
        <v>2271000000</v>
      </c>
      <c r="O134" s="27">
        <v>2281500000</v>
      </c>
      <c r="P134" s="27"/>
    </row>
    <row r="135" spans="4:16" x14ac:dyDescent="0.2">
      <c r="D135" s="31" t="s">
        <v>301</v>
      </c>
      <c r="E135" s="31" t="s">
        <v>886</v>
      </c>
      <c r="F135" s="31">
        <v>2233200000</v>
      </c>
      <c r="G135" s="31" t="s">
        <v>693</v>
      </c>
      <c r="L135" s="27" t="s">
        <v>518</v>
      </c>
      <c r="M135" s="27">
        <v>2221507000</v>
      </c>
      <c r="N135" s="27">
        <v>2271000000</v>
      </c>
      <c r="O135" s="27">
        <v>2281500000</v>
      </c>
      <c r="P135" s="27"/>
    </row>
    <row r="136" spans="4:16" x14ac:dyDescent="0.2">
      <c r="D136" s="31" t="s">
        <v>302</v>
      </c>
      <c r="E136" s="31" t="s">
        <v>887</v>
      </c>
      <c r="F136" s="31">
        <v>2234000000</v>
      </c>
      <c r="G136" s="31" t="s">
        <v>693</v>
      </c>
      <c r="L136" s="27" t="s">
        <v>519</v>
      </c>
      <c r="M136" s="27">
        <v>2221507000</v>
      </c>
      <c r="N136" s="27">
        <v>2271000000</v>
      </c>
      <c r="O136" s="27">
        <v>2281500000</v>
      </c>
      <c r="P136" s="27"/>
    </row>
    <row r="137" spans="4:16" x14ac:dyDescent="0.2">
      <c r="D137" s="31" t="s">
        <v>303</v>
      </c>
      <c r="E137" s="31" t="s">
        <v>888</v>
      </c>
      <c r="F137" s="31">
        <v>2235100000</v>
      </c>
      <c r="G137" s="31" t="s">
        <v>693</v>
      </c>
      <c r="L137" s="27" t="s">
        <v>520</v>
      </c>
      <c r="M137" s="27">
        <v>2221507000</v>
      </c>
      <c r="N137" s="27">
        <v>2271000000</v>
      </c>
      <c r="O137" s="27">
        <v>2281500000</v>
      </c>
      <c r="P137" s="27"/>
    </row>
    <row r="138" spans="4:16" x14ac:dyDescent="0.2">
      <c r="D138" s="31" t="s">
        <v>304</v>
      </c>
      <c r="E138" s="31" t="s">
        <v>889</v>
      </c>
      <c r="F138" s="31">
        <v>2235200000</v>
      </c>
      <c r="G138" s="31" t="s">
        <v>693</v>
      </c>
      <c r="L138" s="27" t="s">
        <v>521</v>
      </c>
      <c r="M138" s="27">
        <v>2221507000</v>
      </c>
      <c r="N138" s="27">
        <v>2271000000</v>
      </c>
      <c r="O138" s="27">
        <v>2281500000</v>
      </c>
      <c r="P138" s="27"/>
    </row>
    <row r="139" spans="4:16" x14ac:dyDescent="0.2">
      <c r="D139" s="31" t="s">
        <v>308</v>
      </c>
      <c r="E139" s="31" t="s">
        <v>890</v>
      </c>
      <c r="F139" s="31">
        <v>2235300000</v>
      </c>
      <c r="G139" s="31" t="s">
        <v>693</v>
      </c>
      <c r="L139" s="27" t="s">
        <v>522</v>
      </c>
      <c r="M139" s="27">
        <v>2221517150</v>
      </c>
      <c r="N139" s="27">
        <v>2271000000</v>
      </c>
      <c r="O139" s="27">
        <v>2281500000</v>
      </c>
      <c r="P139" s="27"/>
    </row>
    <row r="140" spans="4:16" x14ac:dyDescent="0.2">
      <c r="D140" s="31" t="s">
        <v>310</v>
      </c>
      <c r="E140" s="31" t="s">
        <v>891</v>
      </c>
      <c r="F140" s="31">
        <v>2235400000</v>
      </c>
      <c r="G140" s="31" t="s">
        <v>693</v>
      </c>
      <c r="L140" s="27" t="s">
        <v>523</v>
      </c>
      <c r="M140" s="27">
        <v>2221517160</v>
      </c>
      <c r="N140" s="27">
        <v>2271000000</v>
      </c>
      <c r="O140" s="27">
        <v>2281500000</v>
      </c>
      <c r="P140" s="27"/>
    </row>
    <row r="141" spans="4:16" x14ac:dyDescent="0.2">
      <c r="D141" s="31" t="s">
        <v>311</v>
      </c>
      <c r="E141" s="31" t="s">
        <v>892</v>
      </c>
      <c r="F141" s="31">
        <v>2235500000</v>
      </c>
      <c r="G141" s="31" t="s">
        <v>693</v>
      </c>
      <c r="L141" s="27" t="s">
        <v>524</v>
      </c>
      <c r="M141" s="27">
        <v>2221512000</v>
      </c>
      <c r="N141" s="27">
        <v>2271000000</v>
      </c>
      <c r="O141" s="27">
        <v>2281500000</v>
      </c>
      <c r="P141" s="27"/>
    </row>
    <row r="142" spans="4:16" x14ac:dyDescent="0.2">
      <c r="D142" s="31" t="s">
        <v>313</v>
      </c>
      <c r="E142" s="31" t="s">
        <v>893</v>
      </c>
      <c r="F142" s="31">
        <v>2235600000</v>
      </c>
      <c r="G142" s="31" t="s">
        <v>693</v>
      </c>
      <c r="L142" s="27" t="s">
        <v>525</v>
      </c>
      <c r="M142" s="27">
        <v>2221513000</v>
      </c>
      <c r="N142" s="27">
        <v>2271000000</v>
      </c>
      <c r="O142" s="27">
        <v>2281500000</v>
      </c>
      <c r="P142" s="27"/>
    </row>
    <row r="143" spans="4:16" x14ac:dyDescent="0.2">
      <c r="D143" s="31" t="s">
        <v>314</v>
      </c>
      <c r="E143" s="31" t="s">
        <v>894</v>
      </c>
      <c r="F143" s="31">
        <v>2235700000</v>
      </c>
      <c r="G143" s="31" t="s">
        <v>693</v>
      </c>
      <c r="L143" s="27" t="s">
        <v>526</v>
      </c>
      <c r="M143" s="27">
        <v>2221514000</v>
      </c>
      <c r="N143" s="27">
        <v>2271000000</v>
      </c>
      <c r="O143" s="27">
        <v>2281500000</v>
      </c>
      <c r="P143" s="27"/>
    </row>
    <row r="144" spans="4:16" x14ac:dyDescent="0.2">
      <c r="D144" s="31" t="s">
        <v>315</v>
      </c>
      <c r="E144" s="31" t="s">
        <v>895</v>
      </c>
      <c r="F144" s="31">
        <v>2253100000</v>
      </c>
      <c r="G144" s="31" t="s">
        <v>755</v>
      </c>
      <c r="L144" s="27" t="s">
        <v>527</v>
      </c>
      <c r="M144" s="27">
        <v>2221515000</v>
      </c>
      <c r="N144" s="27">
        <v>2271000000</v>
      </c>
      <c r="O144" s="27">
        <v>2281500000</v>
      </c>
      <c r="P144" s="27"/>
    </row>
    <row r="145" spans="4:16" x14ac:dyDescent="0.2">
      <c r="D145" s="31" t="s">
        <v>317</v>
      </c>
      <c r="E145" s="31" t="s">
        <v>896</v>
      </c>
      <c r="F145" s="31">
        <v>2261000000</v>
      </c>
      <c r="G145" s="31" t="s">
        <v>680</v>
      </c>
      <c r="L145" s="27" t="s">
        <v>528</v>
      </c>
      <c r="M145" s="27">
        <v>2221516000</v>
      </c>
      <c r="N145" s="27">
        <v>2271000000</v>
      </c>
      <c r="O145" s="27">
        <v>2281500000</v>
      </c>
      <c r="P145" s="27"/>
    </row>
    <row r="146" spans="4:16" x14ac:dyDescent="0.2">
      <c r="D146" s="31" t="s">
        <v>318</v>
      </c>
      <c r="E146" s="31" t="s">
        <v>897</v>
      </c>
      <c r="F146" s="31">
        <v>2263000000</v>
      </c>
      <c r="G146" s="31" t="s">
        <v>680</v>
      </c>
      <c r="L146" s="27" t="s">
        <v>529</v>
      </c>
      <c r="M146" s="27">
        <v>2221511000</v>
      </c>
      <c r="N146" s="27">
        <v>2271000000</v>
      </c>
      <c r="O146" s="27">
        <v>2281500000</v>
      </c>
      <c r="P146" s="27"/>
    </row>
    <row r="147" spans="4:16" x14ac:dyDescent="0.2">
      <c r="D147" s="31" t="s">
        <v>319</v>
      </c>
      <c r="E147" s="31" t="s">
        <v>898</v>
      </c>
      <c r="F147" s="31">
        <v>2270100000</v>
      </c>
      <c r="G147" s="31" t="s">
        <v>695</v>
      </c>
      <c r="L147" s="27" t="s">
        <v>530</v>
      </c>
      <c r="M147" s="27">
        <v>2221517000</v>
      </c>
      <c r="N147" s="27">
        <v>2271000000</v>
      </c>
      <c r="O147" s="27"/>
      <c r="P147" s="27"/>
    </row>
    <row r="148" spans="4:16" x14ac:dyDescent="0.2">
      <c r="D148" s="31" t="s">
        <v>320</v>
      </c>
      <c r="E148" s="31" t="s">
        <v>899</v>
      </c>
      <c r="F148" s="31">
        <v>2270200000</v>
      </c>
      <c r="G148" s="31" t="s">
        <v>670</v>
      </c>
      <c r="L148" s="27" t="s">
        <v>531</v>
      </c>
      <c r="M148" s="27">
        <v>2221517010</v>
      </c>
      <c r="N148" s="27">
        <v>2271000000</v>
      </c>
      <c r="O148" s="27">
        <v>2281500000</v>
      </c>
      <c r="P148" s="27"/>
    </row>
    <row r="149" spans="4:16" x14ac:dyDescent="0.2">
      <c r="D149" s="31" t="s">
        <v>321</v>
      </c>
      <c r="E149" s="31" t="s">
        <v>900</v>
      </c>
      <c r="F149" s="31">
        <v>2270300000</v>
      </c>
      <c r="G149" s="31" t="s">
        <v>672</v>
      </c>
      <c r="L149" s="27" t="s">
        <v>532</v>
      </c>
      <c r="M149" s="27">
        <v>2221517020</v>
      </c>
      <c r="N149" s="27">
        <v>2271000000</v>
      </c>
      <c r="O149" s="27">
        <v>2281500000</v>
      </c>
      <c r="P149" s="27"/>
    </row>
    <row r="150" spans="4:16" x14ac:dyDescent="0.2">
      <c r="D150" s="31" t="s">
        <v>322</v>
      </c>
      <c r="E150" s="31" t="s">
        <v>901</v>
      </c>
      <c r="F150" s="31">
        <v>2270400000</v>
      </c>
      <c r="G150" s="31" t="s">
        <v>693</v>
      </c>
      <c r="L150" s="27" t="s">
        <v>533</v>
      </c>
      <c r="M150" s="27">
        <v>2221517110</v>
      </c>
      <c r="N150" s="27">
        <v>2271000000</v>
      </c>
      <c r="O150" s="27">
        <v>2281500000</v>
      </c>
      <c r="P150" s="27"/>
    </row>
    <row r="151" spans="4:16" x14ac:dyDescent="0.2">
      <c r="D151" s="31" t="s">
        <v>323</v>
      </c>
      <c r="E151" s="31" t="s">
        <v>902</v>
      </c>
      <c r="F151" s="31">
        <v>2270500000</v>
      </c>
      <c r="G151" s="31" t="s">
        <v>674</v>
      </c>
      <c r="L151" s="27" t="s">
        <v>534</v>
      </c>
      <c r="M151" s="27">
        <v>2221517030</v>
      </c>
      <c r="N151" s="27">
        <v>2271000000</v>
      </c>
      <c r="O151" s="27">
        <v>2281500000</v>
      </c>
      <c r="P151" s="27"/>
    </row>
    <row r="152" spans="4:16" x14ac:dyDescent="0.2">
      <c r="D152" s="31" t="s">
        <v>329</v>
      </c>
      <c r="E152" s="31" t="s">
        <v>903</v>
      </c>
      <c r="F152" s="31">
        <v>2270600000</v>
      </c>
      <c r="G152" s="31" t="s">
        <v>675</v>
      </c>
      <c r="L152" s="27" t="s">
        <v>535</v>
      </c>
      <c r="M152" s="27">
        <v>2221517040</v>
      </c>
      <c r="N152" s="27">
        <v>2271000000</v>
      </c>
      <c r="O152" s="27">
        <v>2281500000</v>
      </c>
      <c r="P152" s="27"/>
    </row>
    <row r="153" spans="4:16" x14ac:dyDescent="0.2">
      <c r="D153" s="31" t="s">
        <v>333</v>
      </c>
      <c r="E153" s="31" t="s">
        <v>904</v>
      </c>
      <c r="F153" s="31">
        <v>2270800000</v>
      </c>
      <c r="G153" s="31" t="s">
        <v>697</v>
      </c>
      <c r="L153" s="27" t="s">
        <v>536</v>
      </c>
      <c r="M153" s="27">
        <v>2221517050</v>
      </c>
      <c r="N153" s="27">
        <v>2271000000</v>
      </c>
      <c r="O153" s="27">
        <v>2281500000</v>
      </c>
      <c r="P153" s="27"/>
    </row>
    <row r="154" spans="4:16" x14ac:dyDescent="0.2">
      <c r="D154" s="31" t="s">
        <v>335</v>
      </c>
      <c r="E154" s="31" t="s">
        <v>905</v>
      </c>
      <c r="F154" s="31">
        <v>2270900000</v>
      </c>
      <c r="G154" s="31" t="s">
        <v>699</v>
      </c>
      <c r="L154" s="27" t="s">
        <v>537</v>
      </c>
      <c r="M154" s="27">
        <v>2221517060</v>
      </c>
      <c r="N154" s="27">
        <v>2271000000</v>
      </c>
      <c r="O154" s="27">
        <v>2281500000</v>
      </c>
      <c r="P154" s="27"/>
    </row>
    <row r="155" spans="4:16" x14ac:dyDescent="0.2">
      <c r="D155" s="31" t="s">
        <v>337</v>
      </c>
      <c r="E155" s="31" t="s">
        <v>906</v>
      </c>
      <c r="F155" s="31">
        <v>2271000000</v>
      </c>
      <c r="G155" s="31" t="s">
        <v>680</v>
      </c>
      <c r="L155" s="27" t="s">
        <v>538</v>
      </c>
      <c r="M155" s="27">
        <v>2221517070</v>
      </c>
      <c r="N155" s="27">
        <v>2271000000</v>
      </c>
      <c r="O155" s="27">
        <v>2281500000</v>
      </c>
      <c r="P155" s="27"/>
    </row>
    <row r="156" spans="4:16" x14ac:dyDescent="0.2">
      <c r="D156" s="31" t="s">
        <v>338</v>
      </c>
      <c r="E156" s="31" t="s">
        <v>907</v>
      </c>
      <c r="F156" s="31">
        <v>2271100000</v>
      </c>
      <c r="G156" s="31" t="s">
        <v>687</v>
      </c>
      <c r="L156" s="27" t="s">
        <v>539</v>
      </c>
      <c r="M156" s="27">
        <v>2221517080</v>
      </c>
      <c r="N156" s="27">
        <v>2271000000</v>
      </c>
      <c r="O156" s="27">
        <v>2281500000</v>
      </c>
      <c r="P156" s="27"/>
    </row>
    <row r="157" spans="4:16" x14ac:dyDescent="0.2">
      <c r="D157" s="31" t="s">
        <v>339</v>
      </c>
      <c r="E157" s="31" t="s">
        <v>908</v>
      </c>
      <c r="F157" s="31">
        <v>2280100000</v>
      </c>
      <c r="G157" s="31" t="s">
        <v>668</v>
      </c>
      <c r="L157" s="27" t="s">
        <v>540</v>
      </c>
      <c r="M157" s="27">
        <v>2221517090</v>
      </c>
      <c r="N157" s="27">
        <v>2271000000</v>
      </c>
      <c r="O157" s="27">
        <v>2281500000</v>
      </c>
      <c r="P157" s="27"/>
    </row>
    <row r="158" spans="4:16" x14ac:dyDescent="0.2">
      <c r="D158" s="31" t="s">
        <v>340</v>
      </c>
      <c r="E158" s="31" t="s">
        <v>909</v>
      </c>
      <c r="F158" s="31">
        <v>2280200000</v>
      </c>
      <c r="G158" s="31" t="s">
        <v>669</v>
      </c>
      <c r="L158" s="27" t="s">
        <v>541</v>
      </c>
      <c r="M158" s="27">
        <v>2221720000</v>
      </c>
      <c r="N158" s="27">
        <v>2271000000</v>
      </c>
      <c r="O158" s="27">
        <v>2281700000</v>
      </c>
      <c r="P158" s="27"/>
    </row>
    <row r="159" spans="4:16" x14ac:dyDescent="0.2">
      <c r="D159" s="31" t="s">
        <v>341</v>
      </c>
      <c r="E159" s="31" t="s">
        <v>910</v>
      </c>
      <c r="F159" s="31">
        <v>2280300000</v>
      </c>
      <c r="G159" s="31" t="s">
        <v>695</v>
      </c>
      <c r="L159" s="27" t="s">
        <v>542</v>
      </c>
      <c r="M159" s="27">
        <v>2221517100</v>
      </c>
      <c r="N159" s="27">
        <v>2271000000</v>
      </c>
      <c r="O159" s="27">
        <v>2281500000</v>
      </c>
      <c r="P159" s="27"/>
    </row>
    <row r="160" spans="4:16" x14ac:dyDescent="0.2">
      <c r="D160" s="31" t="s">
        <v>342</v>
      </c>
      <c r="E160" s="31" t="s">
        <v>911</v>
      </c>
      <c r="F160" s="31">
        <v>2280400000</v>
      </c>
      <c r="G160" s="31" t="s">
        <v>670</v>
      </c>
      <c r="L160" s="27" t="s">
        <v>543</v>
      </c>
      <c r="M160" s="27">
        <v>2221517110</v>
      </c>
      <c r="N160" s="27">
        <v>2271000000</v>
      </c>
      <c r="O160" s="27">
        <v>2281500000</v>
      </c>
      <c r="P160" s="27"/>
    </row>
    <row r="161" spans="4:16" x14ac:dyDescent="0.2">
      <c r="D161" s="31" t="s">
        <v>344</v>
      </c>
      <c r="E161" s="31" t="s">
        <v>912</v>
      </c>
      <c r="F161" s="31">
        <v>2280500000</v>
      </c>
      <c r="G161" s="31" t="s">
        <v>672</v>
      </c>
      <c r="L161" s="27" t="s">
        <v>544</v>
      </c>
      <c r="M161" s="27">
        <v>2221517110</v>
      </c>
      <c r="N161" s="27">
        <v>2271000000</v>
      </c>
      <c r="O161" s="27">
        <v>2281500000</v>
      </c>
      <c r="P161" s="27"/>
    </row>
    <row r="162" spans="4:16" x14ac:dyDescent="0.2">
      <c r="D162" s="31" t="s">
        <v>345</v>
      </c>
      <c r="E162" s="31" t="s">
        <v>913</v>
      </c>
      <c r="F162" s="31">
        <v>2280600000</v>
      </c>
      <c r="G162" s="31" t="s">
        <v>682</v>
      </c>
      <c r="L162" s="27" t="s">
        <v>545</v>
      </c>
      <c r="M162" s="27">
        <v>2221517110</v>
      </c>
      <c r="N162" s="27">
        <v>2271000000</v>
      </c>
      <c r="O162" s="27">
        <v>2281500000</v>
      </c>
      <c r="P162" s="27"/>
    </row>
    <row r="163" spans="4:16" x14ac:dyDescent="0.2">
      <c r="D163" s="31" t="s">
        <v>346</v>
      </c>
      <c r="E163" s="31" t="s">
        <v>914</v>
      </c>
      <c r="F163" s="31">
        <v>2280700000</v>
      </c>
      <c r="G163" s="31" t="s">
        <v>673</v>
      </c>
      <c r="L163" s="27" t="s">
        <v>546</v>
      </c>
      <c r="M163" s="27">
        <v>2221517120</v>
      </c>
      <c r="N163" s="27">
        <v>2271000000</v>
      </c>
      <c r="O163" s="27"/>
      <c r="P163" s="27"/>
    </row>
    <row r="164" spans="4:16" x14ac:dyDescent="0.2">
      <c r="D164" s="31" t="s">
        <v>347</v>
      </c>
      <c r="E164" s="31" t="s">
        <v>915</v>
      </c>
      <c r="F164" s="31">
        <v>2280800000</v>
      </c>
      <c r="G164" s="31" t="s">
        <v>674</v>
      </c>
      <c r="L164" s="27" t="s">
        <v>547</v>
      </c>
      <c r="M164" s="27">
        <v>2221610000</v>
      </c>
      <c r="N164" s="27">
        <v>2271100000</v>
      </c>
      <c r="O164" s="27">
        <v>2281600000</v>
      </c>
      <c r="P164" s="27"/>
    </row>
    <row r="165" spans="4:16" x14ac:dyDescent="0.2">
      <c r="D165" s="31" t="s">
        <v>349</v>
      </c>
      <c r="E165" s="31" t="s">
        <v>916</v>
      </c>
      <c r="F165" s="31">
        <v>2280900000</v>
      </c>
      <c r="G165" s="31" t="s">
        <v>675</v>
      </c>
      <c r="L165" s="27" t="s">
        <v>548</v>
      </c>
      <c r="M165" s="27">
        <v>2221611000</v>
      </c>
      <c r="N165" s="27">
        <v>2271100000</v>
      </c>
      <c r="O165" s="27">
        <v>2281600000</v>
      </c>
      <c r="P165" s="27"/>
    </row>
    <row r="166" spans="4:16" x14ac:dyDescent="0.2">
      <c r="D166" s="31" t="s">
        <v>350</v>
      </c>
      <c r="E166" s="31" t="s">
        <v>917</v>
      </c>
      <c r="F166" s="31">
        <v>2281100000</v>
      </c>
      <c r="G166" s="31" t="s">
        <v>697</v>
      </c>
      <c r="L166" s="27" t="s">
        <v>549</v>
      </c>
      <c r="M166" s="27">
        <v>2221611000</v>
      </c>
      <c r="N166" s="27">
        <v>2271100000</v>
      </c>
      <c r="O166" s="27">
        <v>2281600000</v>
      </c>
      <c r="P166" s="27"/>
    </row>
    <row r="167" spans="4:16" x14ac:dyDescent="0.2">
      <c r="D167" s="31" t="s">
        <v>351</v>
      </c>
      <c r="E167" s="31" t="s">
        <v>918</v>
      </c>
      <c r="F167" s="31">
        <v>2281200000</v>
      </c>
      <c r="G167" s="31" t="s">
        <v>677</v>
      </c>
      <c r="L167" s="27" t="s">
        <v>550</v>
      </c>
      <c r="M167" s="27">
        <v>2221612100</v>
      </c>
      <c r="N167" s="27">
        <v>2271100000</v>
      </c>
      <c r="O167" s="27">
        <v>2281600000</v>
      </c>
      <c r="P167" s="27"/>
    </row>
    <row r="168" spans="4:16" x14ac:dyDescent="0.2">
      <c r="D168" s="31" t="s">
        <v>352</v>
      </c>
      <c r="E168" s="31" t="s">
        <v>919</v>
      </c>
      <c r="F168" s="31">
        <v>2281400000</v>
      </c>
      <c r="G168" s="31" t="s">
        <v>699</v>
      </c>
      <c r="L168" s="27" t="s">
        <v>551</v>
      </c>
      <c r="M168" s="27">
        <v>2221620000</v>
      </c>
      <c r="N168" s="27">
        <v>2271100000</v>
      </c>
      <c r="O168" s="27">
        <v>2281600000</v>
      </c>
      <c r="P168" s="27"/>
    </row>
    <row r="169" spans="4:16" x14ac:dyDescent="0.2">
      <c r="D169" s="31" t="s">
        <v>353</v>
      </c>
      <c r="E169" s="31" t="s">
        <v>920</v>
      </c>
      <c r="F169" s="31">
        <v>2281500000</v>
      </c>
      <c r="G169" s="31" t="s">
        <v>680</v>
      </c>
      <c r="L169" s="27" t="s">
        <v>552</v>
      </c>
      <c r="M169" s="27">
        <v>2221612000</v>
      </c>
      <c r="N169" s="27">
        <v>2271100000</v>
      </c>
      <c r="O169" s="27">
        <v>2281600000</v>
      </c>
      <c r="P169" s="27"/>
    </row>
    <row r="170" spans="4:16" x14ac:dyDescent="0.2">
      <c r="D170" s="31" t="s">
        <v>354</v>
      </c>
      <c r="E170" s="31" t="s">
        <v>921</v>
      </c>
      <c r="F170" s="31">
        <v>2281600000</v>
      </c>
      <c r="G170" s="31" t="s">
        <v>687</v>
      </c>
      <c r="L170" s="27" t="s">
        <v>553</v>
      </c>
      <c r="M170" s="27">
        <v>2221612200</v>
      </c>
      <c r="N170" s="27">
        <v>2271100000</v>
      </c>
      <c r="O170" s="27">
        <v>2281600000</v>
      </c>
      <c r="P170" s="27"/>
    </row>
    <row r="171" spans="4:16" x14ac:dyDescent="0.2">
      <c r="D171" s="31" t="s">
        <v>355</v>
      </c>
      <c r="E171" s="31" t="s">
        <v>922</v>
      </c>
      <c r="F171" s="31">
        <v>2281700000</v>
      </c>
      <c r="G171" s="31" t="s">
        <v>702</v>
      </c>
      <c r="L171" s="27" t="s">
        <v>554</v>
      </c>
      <c r="M171" s="27">
        <v>2221612000</v>
      </c>
      <c r="N171" s="27">
        <v>2271100000</v>
      </c>
      <c r="O171" s="27">
        <v>2281600000</v>
      </c>
      <c r="P171" s="27"/>
    </row>
    <row r="172" spans="4:16" x14ac:dyDescent="0.2">
      <c r="D172" s="31" t="s">
        <v>356</v>
      </c>
      <c r="E172" s="31" t="s">
        <v>923</v>
      </c>
      <c r="F172" s="31">
        <v>2281800000</v>
      </c>
      <c r="G172" s="31" t="s">
        <v>685</v>
      </c>
      <c r="L172" s="27" t="s">
        <v>555</v>
      </c>
      <c r="M172" s="27">
        <v>2221612100</v>
      </c>
      <c r="N172" s="27">
        <v>2271100000</v>
      </c>
      <c r="O172" s="27">
        <v>2281600000</v>
      </c>
      <c r="P172" s="27"/>
    </row>
    <row r="173" spans="4:16" x14ac:dyDescent="0.2">
      <c r="D173" s="31" t="s">
        <v>357</v>
      </c>
      <c r="E173" s="31" t="s">
        <v>924</v>
      </c>
      <c r="F173" s="31">
        <v>2281900000</v>
      </c>
      <c r="G173" s="31" t="s">
        <v>693</v>
      </c>
      <c r="L173" s="27" t="s">
        <v>556</v>
      </c>
      <c r="M173" s="27">
        <v>2221612200</v>
      </c>
      <c r="N173" s="27">
        <v>2271100000</v>
      </c>
      <c r="O173" s="27">
        <v>2281600000</v>
      </c>
      <c r="P173" s="27"/>
    </row>
    <row r="174" spans="4:16" x14ac:dyDescent="0.2">
      <c r="D174" s="31" t="s">
        <v>359</v>
      </c>
      <c r="E174" s="31" t="s">
        <v>925</v>
      </c>
      <c r="F174" s="31">
        <v>2282200000</v>
      </c>
      <c r="G174" s="31" t="s">
        <v>680</v>
      </c>
      <c r="L174" s="27" t="s">
        <v>557</v>
      </c>
      <c r="M174" s="27">
        <v>2221613000</v>
      </c>
      <c r="N174" s="27">
        <v>2271100000</v>
      </c>
      <c r="O174" s="27">
        <v>2281600000</v>
      </c>
      <c r="P174" s="27"/>
    </row>
    <row r="175" spans="4:16" x14ac:dyDescent="0.2">
      <c r="D175" s="31" t="s">
        <v>360</v>
      </c>
      <c r="E175" s="31" t="s">
        <v>926</v>
      </c>
      <c r="F175" s="31">
        <v>2220210000</v>
      </c>
      <c r="G175" s="31" t="s">
        <v>800</v>
      </c>
      <c r="L175" s="27" t="s">
        <v>558</v>
      </c>
      <c r="M175" s="27">
        <v>2221613100</v>
      </c>
      <c r="N175" s="27">
        <v>2271100000</v>
      </c>
      <c r="O175" s="27">
        <v>2281600000</v>
      </c>
      <c r="P175" s="27"/>
    </row>
    <row r="176" spans="4:16" x14ac:dyDescent="0.2">
      <c r="D176" s="31" t="s">
        <v>362</v>
      </c>
      <c r="E176" s="31" t="s">
        <v>927</v>
      </c>
      <c r="F176" s="31">
        <v>2220220000</v>
      </c>
      <c r="G176" s="31" t="s">
        <v>802</v>
      </c>
      <c r="L176" s="27" t="s">
        <v>559</v>
      </c>
      <c r="M176" s="27">
        <v>2221613200</v>
      </c>
      <c r="N176" s="27">
        <v>2271100000</v>
      </c>
      <c r="O176" s="27">
        <v>2281600000</v>
      </c>
      <c r="P176" s="27"/>
    </row>
    <row r="177" spans="4:16" x14ac:dyDescent="0.2">
      <c r="D177" s="31" t="s">
        <v>363</v>
      </c>
      <c r="E177" s="31" t="s">
        <v>928</v>
      </c>
      <c r="F177" s="31"/>
      <c r="G177" s="31"/>
      <c r="L177" s="27" t="s">
        <v>560</v>
      </c>
      <c r="M177" s="27">
        <v>2221614000</v>
      </c>
      <c r="N177" s="27">
        <v>2271100000</v>
      </c>
      <c r="O177" s="27">
        <v>2281600000</v>
      </c>
      <c r="P177" s="27"/>
    </row>
    <row r="178" spans="4:16" x14ac:dyDescent="0.2">
      <c r="D178" s="31" t="s">
        <v>364</v>
      </c>
      <c r="E178" s="31" t="s">
        <v>929</v>
      </c>
      <c r="F178" s="31"/>
      <c r="G178" s="31"/>
      <c r="L178" s="27" t="s">
        <v>561</v>
      </c>
      <c r="M178" s="27">
        <v>2221615000</v>
      </c>
      <c r="N178" s="27">
        <v>2271100000</v>
      </c>
      <c r="O178" s="27">
        <v>2281600000</v>
      </c>
      <c r="P178" s="27"/>
    </row>
    <row r="179" spans="4:16" x14ac:dyDescent="0.2">
      <c r="D179" s="31" t="s">
        <v>365</v>
      </c>
      <c r="E179" s="31" t="s">
        <v>930</v>
      </c>
      <c r="L179" s="27" t="s">
        <v>562</v>
      </c>
      <c r="M179" s="27">
        <v>2221615100</v>
      </c>
      <c r="N179" s="27">
        <v>2271100000</v>
      </c>
      <c r="O179" s="27">
        <v>2281600000</v>
      </c>
      <c r="P179" s="27"/>
    </row>
    <row r="180" spans="4:16" x14ac:dyDescent="0.2">
      <c r="D180" s="31" t="s">
        <v>366</v>
      </c>
      <c r="E180" s="31" t="s">
        <v>931</v>
      </c>
      <c r="L180" s="27" t="s">
        <v>563</v>
      </c>
      <c r="M180" s="27">
        <v>2221615200</v>
      </c>
      <c r="N180" s="27">
        <v>2271100000</v>
      </c>
      <c r="O180" s="27">
        <v>2281600000</v>
      </c>
      <c r="P180" s="27"/>
    </row>
    <row r="181" spans="4:16" x14ac:dyDescent="0.2">
      <c r="D181" s="31" t="s">
        <v>367</v>
      </c>
      <c r="E181" s="31" t="s">
        <v>932</v>
      </c>
      <c r="L181" s="27" t="s">
        <v>564</v>
      </c>
      <c r="M181" s="27">
        <v>2221615300</v>
      </c>
      <c r="N181" s="27">
        <v>2271100000</v>
      </c>
      <c r="O181" s="27">
        <v>2281600000</v>
      </c>
      <c r="P181" s="27"/>
    </row>
    <row r="182" spans="4:16" x14ac:dyDescent="0.2">
      <c r="D182" s="31" t="s">
        <v>370</v>
      </c>
      <c r="E182" s="31" t="s">
        <v>933</v>
      </c>
      <c r="L182" s="27" t="s">
        <v>565</v>
      </c>
      <c r="M182" s="27">
        <v>2221615400</v>
      </c>
      <c r="N182" s="27">
        <v>2271100000</v>
      </c>
      <c r="O182" s="27">
        <v>2281600000</v>
      </c>
      <c r="P182" s="27"/>
    </row>
    <row r="183" spans="4:16" x14ac:dyDescent="0.2">
      <c r="L183" s="27" t="s">
        <v>566</v>
      </c>
      <c r="M183" s="27">
        <v>2221615500</v>
      </c>
      <c r="N183" s="27">
        <v>2271100000</v>
      </c>
      <c r="O183" s="27">
        <v>2281600000</v>
      </c>
      <c r="P183" s="27"/>
    </row>
    <row r="184" spans="4:16" x14ac:dyDescent="0.2">
      <c r="L184" s="27" t="s">
        <v>567</v>
      </c>
      <c r="M184" s="27">
        <v>2221615600</v>
      </c>
      <c r="N184" s="27">
        <v>2271100000</v>
      </c>
      <c r="O184" s="27">
        <v>2281600000</v>
      </c>
      <c r="P184" s="27"/>
    </row>
    <row r="185" spans="4:16" x14ac:dyDescent="0.2">
      <c r="L185" s="27" t="s">
        <v>568</v>
      </c>
      <c r="M185" s="27">
        <v>2221615700</v>
      </c>
      <c r="N185" s="27">
        <v>2271100000</v>
      </c>
      <c r="O185" s="27">
        <v>2281600000</v>
      </c>
      <c r="P185" s="27"/>
    </row>
    <row r="186" spans="4:16" x14ac:dyDescent="0.2">
      <c r="L186" s="27" t="s">
        <v>569</v>
      </c>
      <c r="M186" s="27">
        <v>2221630000</v>
      </c>
      <c r="N186" s="27">
        <v>2271100000</v>
      </c>
      <c r="O186" s="27">
        <v>2281600000</v>
      </c>
      <c r="P186" s="27"/>
    </row>
    <row r="187" spans="4:16" x14ac:dyDescent="0.2">
      <c r="L187" s="27" t="s">
        <v>570</v>
      </c>
      <c r="M187" s="27">
        <v>2250000000</v>
      </c>
      <c r="N187" s="27">
        <v>2271000000</v>
      </c>
      <c r="O187" s="27"/>
      <c r="P187" s="27"/>
    </row>
    <row r="188" spans="4:16" x14ac:dyDescent="0.2">
      <c r="L188" s="27" t="s">
        <v>571</v>
      </c>
      <c r="M188" s="27">
        <v>2251000000</v>
      </c>
      <c r="N188" s="27">
        <v>2271000000</v>
      </c>
      <c r="O188" s="27">
        <v>2282100000</v>
      </c>
      <c r="P188" s="27"/>
    </row>
    <row r="189" spans="4:16" x14ac:dyDescent="0.2">
      <c r="L189" s="27" t="s">
        <v>572</v>
      </c>
      <c r="M189" s="27">
        <v>2252000000</v>
      </c>
      <c r="N189" s="27">
        <v>2271000000</v>
      </c>
      <c r="O189" s="27">
        <v>2253100000</v>
      </c>
      <c r="P189" s="27"/>
    </row>
    <row r="190" spans="4:16" x14ac:dyDescent="0.2">
      <c r="L190" s="27" t="s">
        <v>573</v>
      </c>
      <c r="M190" s="27">
        <v>2240000000</v>
      </c>
      <c r="N190" s="27">
        <v>2271000000</v>
      </c>
      <c r="O190" s="27">
        <v>2282000000</v>
      </c>
      <c r="P190" s="27"/>
    </row>
    <row r="191" spans="4:16" x14ac:dyDescent="0.2">
      <c r="L191" s="27" t="s">
        <v>574</v>
      </c>
      <c r="M191" s="27">
        <v>2260000000</v>
      </c>
      <c r="N191" s="27">
        <v>2271000000</v>
      </c>
      <c r="O191" s="27"/>
      <c r="P191" s="27"/>
    </row>
    <row r="192" spans="4:16" x14ac:dyDescent="0.2">
      <c r="L192" s="27" t="s">
        <v>575</v>
      </c>
      <c r="M192" s="27">
        <v>2261000000</v>
      </c>
      <c r="N192" s="27">
        <v>2271000000</v>
      </c>
      <c r="O192" s="27">
        <v>2282200000</v>
      </c>
      <c r="P192" s="27"/>
    </row>
    <row r="193" spans="12:16" x14ac:dyDescent="0.2">
      <c r="L193" s="27" t="s">
        <v>576</v>
      </c>
      <c r="M193" s="27">
        <v>2262000000</v>
      </c>
      <c r="N193" s="27">
        <v>2271000000</v>
      </c>
      <c r="O193" s="27">
        <v>2282200000</v>
      </c>
      <c r="P193" s="27"/>
    </row>
    <row r="194" spans="12:16" x14ac:dyDescent="0.2">
      <c r="L194" s="27" t="s">
        <v>577</v>
      </c>
      <c r="M194" s="27">
        <v>2221517110</v>
      </c>
      <c r="N194" s="27">
        <v>2271000000</v>
      </c>
      <c r="O194" s="27">
        <v>2282200000</v>
      </c>
      <c r="P194" s="27"/>
    </row>
    <row r="195" spans="12:16" x14ac:dyDescent="0.2">
      <c r="L195" s="27" t="s">
        <v>578</v>
      </c>
      <c r="M195" s="27">
        <v>2221730000</v>
      </c>
      <c r="N195" s="27">
        <v>2271000000</v>
      </c>
      <c r="O195" s="27">
        <v>2281700000</v>
      </c>
      <c r="P195" s="27"/>
    </row>
    <row r="196" spans="12:16" x14ac:dyDescent="0.2">
      <c r="L196" s="27" t="s">
        <v>579</v>
      </c>
      <c r="M196" s="27">
        <v>2221700000</v>
      </c>
      <c r="N196" s="27">
        <v>2271000000</v>
      </c>
      <c r="O196" s="27">
        <v>2281700000</v>
      </c>
      <c r="P196" s="27"/>
    </row>
    <row r="197" spans="12:16" x14ac:dyDescent="0.2">
      <c r="L197" s="27" t="s">
        <v>580</v>
      </c>
      <c r="M197" s="27">
        <v>2221710000</v>
      </c>
      <c r="N197" s="27">
        <v>2271000000</v>
      </c>
      <c r="O197" s="27">
        <v>2281700000</v>
      </c>
      <c r="P197" s="27"/>
    </row>
    <row r="198" spans="12:16" x14ac:dyDescent="0.2">
      <c r="L198" s="27" t="s">
        <v>581</v>
      </c>
      <c r="M198" s="27">
        <v>2221730000</v>
      </c>
      <c r="N198" s="27">
        <v>2271000000</v>
      </c>
      <c r="O198" s="27">
        <v>2281700000</v>
      </c>
      <c r="P198" s="27"/>
    </row>
    <row r="199" spans="12:16" x14ac:dyDescent="0.2">
      <c r="L199" s="27" t="s">
        <v>582</v>
      </c>
      <c r="M199" s="27">
        <v>2221730000</v>
      </c>
      <c r="N199" s="27">
        <v>2271000000</v>
      </c>
      <c r="O199" s="27">
        <v>2281700000</v>
      </c>
      <c r="P199" s="27"/>
    </row>
    <row r="200" spans="12:16" x14ac:dyDescent="0.2">
      <c r="L200" s="27" t="s">
        <v>583</v>
      </c>
      <c r="M200" s="27">
        <v>2221720000</v>
      </c>
      <c r="N200" s="27">
        <v>2271000000</v>
      </c>
      <c r="O200" s="27">
        <v>2281700000</v>
      </c>
      <c r="P200" s="27"/>
    </row>
    <row r="201" spans="12:16" x14ac:dyDescent="0.2">
      <c r="L201" s="27" t="s">
        <v>584</v>
      </c>
      <c r="M201" s="27">
        <v>2235700000</v>
      </c>
      <c r="N201" s="27">
        <v>2270400000</v>
      </c>
      <c r="O201" s="27">
        <v>2281900000</v>
      </c>
      <c r="P201" s="27"/>
    </row>
    <row r="202" spans="12:16" x14ac:dyDescent="0.2">
      <c r="L202" s="27" t="s">
        <v>585</v>
      </c>
      <c r="M202" s="27">
        <v>2221800000</v>
      </c>
      <c r="N202" s="27">
        <v>2271000000</v>
      </c>
      <c r="O202" s="27">
        <v>2281800000</v>
      </c>
      <c r="P202" s="27"/>
    </row>
    <row r="203" spans="12:16" x14ac:dyDescent="0.2">
      <c r="L203" s="27" t="s">
        <v>586</v>
      </c>
      <c r="M203" s="27">
        <v>2231000000</v>
      </c>
      <c r="N203" s="27">
        <v>2270400000</v>
      </c>
      <c r="O203" s="27">
        <v>2281900000</v>
      </c>
      <c r="P203" s="27"/>
    </row>
    <row r="204" spans="12:16" x14ac:dyDescent="0.2">
      <c r="L204" s="27" t="s">
        <v>587</v>
      </c>
      <c r="M204" s="27">
        <v>2232000000</v>
      </c>
      <c r="N204" s="27">
        <v>2270400000</v>
      </c>
      <c r="O204" s="27">
        <v>2281900000</v>
      </c>
      <c r="P204" s="27"/>
    </row>
    <row r="205" spans="12:16" x14ac:dyDescent="0.2">
      <c r="L205" s="27" t="s">
        <v>588</v>
      </c>
      <c r="M205" s="27">
        <v>2232100000</v>
      </c>
      <c r="N205" s="27">
        <v>2270400000</v>
      </c>
      <c r="O205" s="27">
        <v>2281900000</v>
      </c>
      <c r="P205" s="27"/>
    </row>
    <row r="206" spans="12:16" x14ac:dyDescent="0.2">
      <c r="L206" s="27" t="s">
        <v>589</v>
      </c>
      <c r="M206" s="27">
        <v>2232200000</v>
      </c>
      <c r="N206" s="27">
        <v>2270400000</v>
      </c>
      <c r="O206" s="27">
        <v>2281900000</v>
      </c>
      <c r="P206" s="27"/>
    </row>
    <row r="207" spans="12:16" x14ac:dyDescent="0.2">
      <c r="L207" s="27" t="s">
        <v>590</v>
      </c>
      <c r="M207" s="27">
        <v>2233000000</v>
      </c>
      <c r="N207" s="27">
        <v>2270400000</v>
      </c>
      <c r="O207" s="27">
        <v>2281900000</v>
      </c>
      <c r="P207" s="27"/>
    </row>
    <row r="208" spans="12:16" x14ac:dyDescent="0.2">
      <c r="L208" s="27" t="s">
        <v>591</v>
      </c>
      <c r="M208" s="27">
        <v>2233100000</v>
      </c>
      <c r="N208" s="27">
        <v>2270400000</v>
      </c>
      <c r="O208" s="27">
        <v>2281900000</v>
      </c>
      <c r="P208" s="27"/>
    </row>
    <row r="209" spans="12:16" x14ac:dyDescent="0.2">
      <c r="L209" s="27" t="s">
        <v>592</v>
      </c>
      <c r="M209" s="27">
        <v>2233200000</v>
      </c>
      <c r="N209" s="27">
        <v>2270400000</v>
      </c>
      <c r="O209" s="27">
        <v>2281900000</v>
      </c>
      <c r="P209" s="27"/>
    </row>
    <row r="210" spans="12:16" x14ac:dyDescent="0.2">
      <c r="L210" s="27" t="s">
        <v>593</v>
      </c>
      <c r="M210" s="27">
        <v>2233100000</v>
      </c>
      <c r="N210" s="27">
        <v>2270400000</v>
      </c>
      <c r="O210" s="27"/>
      <c r="P210" s="27"/>
    </row>
    <row r="211" spans="12:16" x14ac:dyDescent="0.2">
      <c r="L211" s="27" t="s">
        <v>594</v>
      </c>
      <c r="M211" s="27">
        <v>2233200000</v>
      </c>
      <c r="N211" s="27">
        <v>2270400000</v>
      </c>
      <c r="O211" s="27"/>
      <c r="P211" s="27"/>
    </row>
    <row r="212" spans="12:16" x14ac:dyDescent="0.2">
      <c r="L212" s="27" t="s">
        <v>595</v>
      </c>
      <c r="M212" s="27">
        <v>2234000000</v>
      </c>
      <c r="N212" s="27">
        <v>2270400000</v>
      </c>
      <c r="O212" s="27">
        <v>2281900000</v>
      </c>
      <c r="P212" s="27"/>
    </row>
    <row r="213" spans="12:16" x14ac:dyDescent="0.2">
      <c r="L213" s="27" t="s">
        <v>596</v>
      </c>
      <c r="M213" s="27">
        <v>2235000000</v>
      </c>
      <c r="N213" s="27">
        <v>2270400000</v>
      </c>
      <c r="O213" s="27">
        <v>2281900000</v>
      </c>
      <c r="P213" s="27"/>
    </row>
    <row r="214" spans="12:16" x14ac:dyDescent="0.2">
      <c r="L214" s="27" t="s">
        <v>597</v>
      </c>
      <c r="M214" s="27">
        <v>2235100000</v>
      </c>
      <c r="N214" s="27">
        <v>2270400000</v>
      </c>
      <c r="O214" s="27">
        <v>2281900000</v>
      </c>
      <c r="P214" s="27"/>
    </row>
    <row r="215" spans="12:16" x14ac:dyDescent="0.2">
      <c r="L215" s="27" t="s">
        <v>598</v>
      </c>
      <c r="M215" s="27">
        <v>2235100000</v>
      </c>
      <c r="N215" s="27">
        <v>2270400000</v>
      </c>
      <c r="O215" s="27"/>
      <c r="P215" s="27"/>
    </row>
    <row r="216" spans="12:16" x14ac:dyDescent="0.2">
      <c r="L216" s="27" t="s">
        <v>599</v>
      </c>
      <c r="M216" s="27">
        <v>2235200000</v>
      </c>
      <c r="N216" s="27">
        <v>2270400000</v>
      </c>
      <c r="O216" s="27">
        <v>2281900000</v>
      </c>
      <c r="P216" s="27"/>
    </row>
    <row r="217" spans="12:16" x14ac:dyDescent="0.2">
      <c r="L217" s="27" t="s">
        <v>600</v>
      </c>
      <c r="M217" s="27">
        <v>2235300000</v>
      </c>
      <c r="N217" s="27">
        <v>2270400000</v>
      </c>
      <c r="O217" s="27">
        <v>2281900000</v>
      </c>
      <c r="P217" s="27"/>
    </row>
    <row r="218" spans="12:16" x14ac:dyDescent="0.2">
      <c r="L218" s="27" t="s">
        <v>601</v>
      </c>
      <c r="M218" s="27">
        <v>2235400000</v>
      </c>
      <c r="N218" s="27">
        <v>2270400000</v>
      </c>
      <c r="O218" s="27">
        <v>2281900000</v>
      </c>
      <c r="P218" s="27"/>
    </row>
    <row r="219" spans="12:16" x14ac:dyDescent="0.2">
      <c r="L219" s="27" t="s">
        <v>602</v>
      </c>
      <c r="M219" s="27">
        <v>2235500000</v>
      </c>
      <c r="N219" s="27">
        <v>2270400000</v>
      </c>
      <c r="O219" s="27">
        <v>2281900000</v>
      </c>
      <c r="P219" s="27"/>
    </row>
    <row r="220" spans="12:16" x14ac:dyDescent="0.2">
      <c r="L220" s="27" t="s">
        <v>603</v>
      </c>
      <c r="M220" s="27">
        <v>2235600000</v>
      </c>
      <c r="N220" s="27">
        <v>2270400000</v>
      </c>
      <c r="O220" s="27">
        <v>2281900000</v>
      </c>
      <c r="P220" s="27"/>
    </row>
    <row r="221" spans="12:16" x14ac:dyDescent="0.2">
      <c r="L221" s="27" t="s">
        <v>604</v>
      </c>
      <c r="M221" s="27">
        <v>2235700000</v>
      </c>
      <c r="N221" s="27">
        <v>2270400000</v>
      </c>
      <c r="O221" s="27"/>
      <c r="P221" s="27"/>
    </row>
    <row r="222" spans="12:16" x14ac:dyDescent="0.2">
      <c r="L222" s="27" t="s">
        <v>605</v>
      </c>
      <c r="M222" s="27">
        <v>2235700000</v>
      </c>
      <c r="N222" s="27">
        <v>2270400000</v>
      </c>
      <c r="O222" s="27"/>
      <c r="P222" s="27"/>
    </row>
    <row r="223" spans="12:16" x14ac:dyDescent="0.2">
      <c r="L223" s="27" t="s">
        <v>606</v>
      </c>
      <c r="M223" s="27">
        <v>2235700000</v>
      </c>
      <c r="N223" s="27">
        <v>2270400000</v>
      </c>
      <c r="O223" s="27"/>
      <c r="P223" s="27"/>
    </row>
    <row r="224" spans="12:16" x14ac:dyDescent="0.2">
      <c r="L224" s="27" t="s">
        <v>607</v>
      </c>
      <c r="M224" s="27">
        <v>2222100000</v>
      </c>
      <c r="N224" s="27">
        <v>2271000000</v>
      </c>
      <c r="O224" s="27"/>
      <c r="P224" s="27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Props1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C4CA2DE-ADB2-496A-A837-7F4418F105B6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43a840fa-7669-4b92-8de1-ee501749140f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Лист1</vt:lpstr>
      <vt:lpstr>input</vt:lpstr>
      <vt:lpstr>ref</vt:lpstr>
      <vt:lpstr>lookup_codes</vt:lpstr>
      <vt:lpstr>виды данных</vt:lpstr>
      <vt:lpstr>items_lookup</vt:lpstr>
      <vt:lpstr>input!Область_печати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dcterms:created xsi:type="dcterms:W3CDTF">2019-10-10T12:05:38Z</dcterms:created>
  <dcterms:modified xsi:type="dcterms:W3CDTF">2022-07-11T12:56:32Z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