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V:\Finans\Rep\"/>
    </mc:Choice>
  </mc:AlternateContent>
  <bookViews>
    <workbookView xWindow="9945" yWindow="945" windowWidth="17820" windowHeight="11040"/>
  </bookViews>
  <sheets>
    <sheet name="ОСН" sheetId="12" r:id="rId1"/>
    <sheet name="данные" sheetId="2" r:id="rId2"/>
    <sheet name="справочники" sheetId="3" r:id="rId3"/>
  </sheets>
  <definedNames>
    <definedName name="Query_from_MS_Access_Database" localSheetId="1" hidden="1">данные!#REF!</definedName>
    <definedName name="Год">#REF!</definedName>
    <definedName name="ДОО">#REF!</definedName>
    <definedName name="_xlnm.Print_Titles" localSheetId="0">ОСН!$8:$8</definedName>
    <definedName name="Запрос_из_MS_Access_Database" localSheetId="1" hidden="1">данные!$A$3:$H$90</definedName>
    <definedName name="Запрос_из_MS_Access_Database" localSheetId="2" hidden="1">справочники!$A$1:$B$145</definedName>
    <definedName name="_xlnm.Print_Area" localSheetId="0">ОСН!$A$1:$C$940</definedName>
  </definedNames>
  <calcPr calcId="152511"/>
</workbook>
</file>

<file path=xl/calcChain.xml><?xml version="1.0" encoding="utf-8"?>
<calcChain xmlns="http://schemas.openxmlformats.org/spreadsheetml/2006/main">
  <c r="A1" i="2" l="1"/>
  <c r="AH951" i="12"/>
  <c r="AG951" i="12"/>
  <c r="AF951" i="12"/>
  <c r="AE951" i="12"/>
  <c r="AD951" i="12"/>
  <c r="AC951" i="12"/>
  <c r="AB951" i="12"/>
  <c r="AA951" i="12"/>
  <c r="Z951" i="12"/>
  <c r="Y951" i="12"/>
  <c r="X951" i="12"/>
  <c r="W951" i="12"/>
  <c r="V951" i="12"/>
  <c r="U951" i="12"/>
  <c r="T951" i="12"/>
  <c r="S951" i="12"/>
  <c r="R951" i="12"/>
  <c r="Q951" i="12"/>
  <c r="P951" i="12"/>
  <c r="O951" i="12"/>
  <c r="N951" i="12"/>
  <c r="M951" i="12"/>
  <c r="L951" i="12"/>
  <c r="K951" i="12"/>
  <c r="J951" i="12"/>
  <c r="I951" i="12"/>
  <c r="H951" i="12"/>
  <c r="G951" i="12"/>
  <c r="F951" i="12"/>
  <c r="E951" i="12"/>
  <c r="D951" i="12"/>
  <c r="AH950" i="12"/>
  <c r="AG950" i="12"/>
  <c r="AF950" i="12"/>
  <c r="AE950" i="12"/>
  <c r="AE948" i="12" s="1"/>
  <c r="AD950" i="12"/>
  <c r="AD948" i="12" s="1"/>
  <c r="AC950" i="12"/>
  <c r="AC948" i="12" s="1"/>
  <c r="AB950" i="12"/>
  <c r="AB948" i="12" s="1"/>
  <c r="AA950" i="12"/>
  <c r="AA948" i="12" s="1"/>
  <c r="Z950" i="12"/>
  <c r="Y950" i="12"/>
  <c r="X950" i="12"/>
  <c r="X948" i="12" s="1"/>
  <c r="W950" i="12"/>
  <c r="W948" i="12" s="1"/>
  <c r="V950" i="12"/>
  <c r="V948" i="12" s="1"/>
  <c r="U950" i="12"/>
  <c r="U948" i="12" s="1"/>
  <c r="T950" i="12"/>
  <c r="T948" i="12" s="1"/>
  <c r="S950" i="12"/>
  <c r="R950" i="12"/>
  <c r="Q950" i="12"/>
  <c r="Q948" i="12" s="1"/>
  <c r="P950" i="12"/>
  <c r="P948" i="12" s="1"/>
  <c r="O950" i="12"/>
  <c r="N950" i="12"/>
  <c r="M950" i="12"/>
  <c r="L950" i="12"/>
  <c r="K950" i="12"/>
  <c r="J950" i="12"/>
  <c r="I950" i="12"/>
  <c r="H950" i="12"/>
  <c r="G950" i="12"/>
  <c r="F950" i="12"/>
  <c r="E950" i="12"/>
  <c r="D950" i="12"/>
  <c r="AH949" i="12"/>
  <c r="AG949" i="12"/>
  <c r="AF949" i="12"/>
  <c r="AE949" i="12"/>
  <c r="AD949" i="12"/>
  <c r="AC949" i="12"/>
  <c r="AB949" i="12"/>
  <c r="AA949" i="12"/>
  <c r="Z949" i="12"/>
  <c r="Y949" i="12"/>
  <c r="X949" i="12"/>
  <c r="W949" i="12"/>
  <c r="V949" i="12"/>
  <c r="U949" i="12"/>
  <c r="T949" i="12"/>
  <c r="S949" i="12"/>
  <c r="R949" i="12"/>
  <c r="Q949" i="12"/>
  <c r="P949" i="12"/>
  <c r="O949" i="12"/>
  <c r="N949" i="12"/>
  <c r="M949" i="12"/>
  <c r="L949" i="12"/>
  <c r="K949" i="12"/>
  <c r="AI949" i="12" s="1"/>
  <c r="J949" i="12"/>
  <c r="I949" i="12"/>
  <c r="H949" i="12"/>
  <c r="G949" i="12"/>
  <c r="F949" i="12"/>
  <c r="E949" i="12"/>
  <c r="D949" i="12"/>
  <c r="AG948" i="12"/>
  <c r="AF948" i="12"/>
  <c r="Z948" i="12"/>
  <c r="Y948" i="12"/>
  <c r="S948" i="12"/>
  <c r="R948" i="12"/>
  <c r="O948" i="12"/>
  <c r="N948" i="12"/>
  <c r="M948" i="12"/>
  <c r="L948" i="12"/>
  <c r="K948" i="12"/>
  <c r="J948" i="12"/>
  <c r="I948" i="12"/>
  <c r="H948" i="12"/>
  <c r="G948" i="12"/>
  <c r="F948" i="12"/>
  <c r="E948" i="12"/>
  <c r="D948" i="12"/>
  <c r="AH946" i="12"/>
  <c r="AG946" i="12"/>
  <c r="AF946" i="12"/>
  <c r="AE946" i="12"/>
  <c r="AD946" i="12"/>
  <c r="AC946" i="12"/>
  <c r="AB946" i="12"/>
  <c r="AA946" i="12"/>
  <c r="Z946" i="12"/>
  <c r="Y946" i="12"/>
  <c r="X946" i="12"/>
  <c r="W946" i="12"/>
  <c r="V946" i="12"/>
  <c r="U946" i="12"/>
  <c r="T946" i="12"/>
  <c r="S946" i="12"/>
  <c r="R946" i="12"/>
  <c r="Q946" i="12"/>
  <c r="P946" i="12"/>
  <c r="O946" i="12"/>
  <c r="N946" i="12"/>
  <c r="M946" i="12"/>
  <c r="L946" i="12"/>
  <c r="K946" i="12"/>
  <c r="J946" i="12"/>
  <c r="I946" i="12"/>
  <c r="H946" i="12"/>
  <c r="G946" i="12"/>
  <c r="F946" i="12"/>
  <c r="E946" i="12"/>
  <c r="D946" i="12"/>
  <c r="AH944" i="12"/>
  <c r="AG944" i="12"/>
  <c r="AF944" i="12"/>
  <c r="AE944" i="12"/>
  <c r="AD944" i="12"/>
  <c r="AD941" i="12" s="1"/>
  <c r="AC944" i="12"/>
  <c r="AB944" i="12"/>
  <c r="AA944" i="12"/>
  <c r="AA941" i="12" s="1"/>
  <c r="Z944" i="12"/>
  <c r="Y944" i="12"/>
  <c r="X944" i="12"/>
  <c r="X941" i="12" s="1"/>
  <c r="W944" i="12"/>
  <c r="V944" i="12"/>
  <c r="V941" i="12" s="1"/>
  <c r="U944" i="12"/>
  <c r="U941" i="12" s="1"/>
  <c r="T944" i="12"/>
  <c r="T941" i="12" s="1"/>
  <c r="S944" i="12"/>
  <c r="R944" i="12"/>
  <c r="Q944" i="12"/>
  <c r="P944" i="12"/>
  <c r="P941" i="12" s="1"/>
  <c r="O944" i="12"/>
  <c r="N944" i="12"/>
  <c r="N941" i="12" s="1"/>
  <c r="M944" i="12"/>
  <c r="M941" i="12" s="1"/>
  <c r="L944" i="12"/>
  <c r="K944" i="12"/>
  <c r="J944" i="12"/>
  <c r="I944" i="12"/>
  <c r="I941" i="12" s="1"/>
  <c r="H944" i="12"/>
  <c r="G944" i="12"/>
  <c r="F944" i="12"/>
  <c r="F941" i="12" s="1"/>
  <c r="E944" i="12"/>
  <c r="D944" i="12"/>
  <c r="AH943" i="12"/>
  <c r="AG943" i="12"/>
  <c r="AF943" i="12"/>
  <c r="AE943" i="12"/>
  <c r="AD943" i="12"/>
  <c r="AC943" i="12"/>
  <c r="AB943" i="12"/>
  <c r="AA943" i="12"/>
  <c r="Z943" i="12"/>
  <c r="Y943" i="12"/>
  <c r="X943" i="12"/>
  <c r="W943" i="12"/>
  <c r="V943" i="12"/>
  <c r="U943" i="12"/>
  <c r="T943" i="12"/>
  <c r="S943" i="12"/>
  <c r="R943" i="12"/>
  <c r="Q943" i="12"/>
  <c r="P943" i="12"/>
  <c r="O943" i="12"/>
  <c r="N943" i="12"/>
  <c r="M943" i="12"/>
  <c r="L943" i="12"/>
  <c r="K943" i="12"/>
  <c r="J943" i="12"/>
  <c r="I943" i="12"/>
  <c r="H943" i="12"/>
  <c r="G943" i="12"/>
  <c r="F943" i="12"/>
  <c r="E943" i="12"/>
  <c r="D943" i="12"/>
  <c r="AH942" i="12"/>
  <c r="AG942" i="12"/>
  <c r="AF942" i="12"/>
  <c r="AE942" i="12"/>
  <c r="AD942" i="12"/>
  <c r="AC942" i="12"/>
  <c r="AB942" i="12"/>
  <c r="AA942" i="12"/>
  <c r="Z942" i="12"/>
  <c r="Y942" i="12"/>
  <c r="X942" i="12"/>
  <c r="W942" i="12"/>
  <c r="V942" i="12"/>
  <c r="U942" i="12"/>
  <c r="T942" i="12"/>
  <c r="S942" i="12"/>
  <c r="R942" i="12"/>
  <c r="Q942" i="12"/>
  <c r="P942" i="12"/>
  <c r="O942" i="12"/>
  <c r="N942" i="12"/>
  <c r="M942" i="12"/>
  <c r="L942" i="12"/>
  <c r="K942" i="12"/>
  <c r="AI942" i="12" s="1"/>
  <c r="J942" i="12"/>
  <c r="I942" i="12"/>
  <c r="H942" i="12"/>
  <c r="G942" i="12"/>
  <c r="F942" i="12"/>
  <c r="E942" i="12"/>
  <c r="D942" i="12"/>
  <c r="AH941" i="12"/>
  <c r="AG941" i="12"/>
  <c r="AF941" i="12"/>
  <c r="AE941" i="12"/>
  <c r="AC941" i="12"/>
  <c r="Z941" i="12"/>
  <c r="Y941" i="12"/>
  <c r="S941" i="12"/>
  <c r="R941" i="12"/>
  <c r="L941" i="12"/>
  <c r="K941" i="12"/>
  <c r="J941" i="12"/>
  <c r="H941" i="12"/>
  <c r="G941" i="12"/>
  <c r="E941" i="12"/>
  <c r="D941" i="12"/>
  <c r="AI940" i="12"/>
  <c r="AH939" i="12"/>
  <c r="AG939" i="12"/>
  <c r="AF939" i="12"/>
  <c r="AE939" i="12"/>
  <c r="AD939" i="12"/>
  <c r="AC939" i="12"/>
  <c r="AB939" i="12"/>
  <c r="AA939" i="12"/>
  <c r="Z939" i="12"/>
  <c r="Y939" i="12"/>
  <c r="X939" i="12"/>
  <c r="W939" i="12"/>
  <c r="V939" i="12"/>
  <c r="U939" i="12"/>
  <c r="T939" i="12"/>
  <c r="S939" i="12"/>
  <c r="R939" i="12"/>
  <c r="Q939" i="12"/>
  <c r="P939" i="12"/>
  <c r="O939" i="12"/>
  <c r="N939" i="12"/>
  <c r="M939" i="12"/>
  <c r="L939" i="12"/>
  <c r="K939" i="12"/>
  <c r="J939" i="12"/>
  <c r="I939" i="12"/>
  <c r="H939" i="12"/>
  <c r="G939" i="12"/>
  <c r="F939" i="12"/>
  <c r="E939" i="12"/>
  <c r="D939" i="12"/>
  <c r="AI939" i="12" s="1"/>
  <c r="AI938" i="12"/>
  <c r="AH937" i="12"/>
  <c r="AG937" i="12"/>
  <c r="AF937" i="12"/>
  <c r="AE937" i="12"/>
  <c r="AD937" i="12"/>
  <c r="AC937" i="12"/>
  <c r="AB937" i="12"/>
  <c r="AA937" i="12"/>
  <c r="Z937" i="12"/>
  <c r="Y937" i="12"/>
  <c r="X937" i="12"/>
  <c r="W937" i="12"/>
  <c r="V937" i="12"/>
  <c r="U937" i="12"/>
  <c r="T937" i="12"/>
  <c r="S937" i="12"/>
  <c r="R937" i="12"/>
  <c r="Q937" i="12"/>
  <c r="P937" i="12"/>
  <c r="O937" i="12"/>
  <c r="N937" i="12"/>
  <c r="M937" i="12"/>
  <c r="L937" i="12"/>
  <c r="K937" i="12"/>
  <c r="J937" i="12"/>
  <c r="I937" i="12"/>
  <c r="H937" i="12"/>
  <c r="G937" i="12"/>
  <c r="F937" i="12"/>
  <c r="E937" i="12"/>
  <c r="D937" i="12"/>
  <c r="AI937" i="12" s="1"/>
  <c r="AI935" i="12"/>
  <c r="AI934" i="12"/>
  <c r="AI933" i="12"/>
  <c r="AH932" i="12"/>
  <c r="AG932" i="12"/>
  <c r="AF932" i="12"/>
  <c r="AE932" i="12"/>
  <c r="AD932" i="12"/>
  <c r="AC932" i="12"/>
  <c r="AB932" i="12"/>
  <c r="AA932" i="12"/>
  <c r="Z932" i="12"/>
  <c r="Y932" i="12"/>
  <c r="X932" i="12"/>
  <c r="W932" i="12"/>
  <c r="V932" i="12"/>
  <c r="U932" i="12"/>
  <c r="T932" i="12"/>
  <c r="S932" i="12"/>
  <c r="R932" i="12"/>
  <c r="Q932" i="12"/>
  <c r="P932" i="12"/>
  <c r="O932" i="12"/>
  <c r="N932" i="12"/>
  <c r="M932" i="12"/>
  <c r="L932" i="12"/>
  <c r="K932" i="12"/>
  <c r="J932" i="12"/>
  <c r="I932" i="12"/>
  <c r="H932" i="12"/>
  <c r="G932" i="12"/>
  <c r="F932" i="12"/>
  <c r="E932" i="12"/>
  <c r="D932" i="12"/>
  <c r="AI931" i="12"/>
  <c r="AI930" i="12"/>
  <c r="AI929" i="12"/>
  <c r="AH928" i="12"/>
  <c r="AG928" i="12"/>
  <c r="AF928" i="12"/>
  <c r="AE928" i="12"/>
  <c r="AD928" i="12"/>
  <c r="AC928" i="12"/>
  <c r="AB928" i="12"/>
  <c r="AA928" i="12"/>
  <c r="Z928" i="12"/>
  <c r="Y928" i="12"/>
  <c r="X928" i="12"/>
  <c r="W928" i="12"/>
  <c r="V928" i="12"/>
  <c r="U928" i="12"/>
  <c r="T928" i="12"/>
  <c r="S928" i="12"/>
  <c r="R928" i="12"/>
  <c r="Q928" i="12"/>
  <c r="P928" i="12"/>
  <c r="O928" i="12"/>
  <c r="N928" i="12"/>
  <c r="M928" i="12"/>
  <c r="L928" i="12"/>
  <c r="K928" i="12"/>
  <c r="AI928" i="12" s="1"/>
  <c r="J928" i="12"/>
  <c r="I928" i="12"/>
  <c r="H928" i="12"/>
  <c r="G928" i="12"/>
  <c r="F928" i="12"/>
  <c r="E928" i="12"/>
  <c r="D928" i="12"/>
  <c r="AI927" i="12"/>
  <c r="AI926" i="12"/>
  <c r="AI925" i="12"/>
  <c r="AH924" i="12"/>
  <c r="AG924" i="12"/>
  <c r="AF924" i="12"/>
  <c r="AE924" i="12"/>
  <c r="AD924" i="12"/>
  <c r="AC924" i="12"/>
  <c r="AB924" i="12"/>
  <c r="AA924" i="12"/>
  <c r="Z924" i="12"/>
  <c r="Y924" i="12"/>
  <c r="X924" i="12"/>
  <c r="W924" i="12"/>
  <c r="V924" i="12"/>
  <c r="U924" i="12"/>
  <c r="T924" i="12"/>
  <c r="S924" i="12"/>
  <c r="R924" i="12"/>
  <c r="Q924" i="12"/>
  <c r="P924" i="12"/>
  <c r="O924" i="12"/>
  <c r="N924" i="12"/>
  <c r="M924" i="12"/>
  <c r="L924" i="12"/>
  <c r="K924" i="12"/>
  <c r="J924" i="12"/>
  <c r="I924" i="12"/>
  <c r="H924" i="12"/>
  <c r="G924" i="12"/>
  <c r="F924" i="12"/>
  <c r="E924" i="12"/>
  <c r="D924" i="12"/>
  <c r="AI923" i="12"/>
  <c r="AI922" i="12"/>
  <c r="AI921" i="12"/>
  <c r="AH920" i="12"/>
  <c r="AG920" i="12"/>
  <c r="AF920" i="12"/>
  <c r="AE920" i="12"/>
  <c r="AD920" i="12"/>
  <c r="AC920" i="12"/>
  <c r="AB920" i="12"/>
  <c r="AA920" i="12"/>
  <c r="Z920" i="12"/>
  <c r="Y920" i="12"/>
  <c r="X920" i="12"/>
  <c r="W920" i="12"/>
  <c r="V920" i="12"/>
  <c r="U920" i="12"/>
  <c r="T920" i="12"/>
  <c r="S920" i="12"/>
  <c r="R920" i="12"/>
  <c r="Q920" i="12"/>
  <c r="P920" i="12"/>
  <c r="O920" i="12"/>
  <c r="N920" i="12"/>
  <c r="M920" i="12"/>
  <c r="L920" i="12"/>
  <c r="K920" i="12"/>
  <c r="J920" i="12"/>
  <c r="I920" i="12"/>
  <c r="H920" i="12"/>
  <c r="G920" i="12"/>
  <c r="F920" i="12"/>
  <c r="E920" i="12"/>
  <c r="D920" i="12"/>
  <c r="AI920" i="12" s="1"/>
  <c r="AI919" i="12"/>
  <c r="AI918" i="12"/>
  <c r="AI917" i="12"/>
  <c r="AH916" i="12"/>
  <c r="AG916" i="12"/>
  <c r="AF916" i="12"/>
  <c r="AE916" i="12"/>
  <c r="AD916" i="12"/>
  <c r="AC916" i="12"/>
  <c r="AB916" i="12"/>
  <c r="AA916" i="12"/>
  <c r="Z916" i="12"/>
  <c r="Y916" i="12"/>
  <c r="X916" i="12"/>
  <c r="W916" i="12"/>
  <c r="V916" i="12"/>
  <c r="U916" i="12"/>
  <c r="T916" i="12"/>
  <c r="S916" i="12"/>
  <c r="R916" i="12"/>
  <c r="Q916" i="12"/>
  <c r="P916" i="12"/>
  <c r="O916" i="12"/>
  <c r="N916" i="12"/>
  <c r="M916" i="12"/>
  <c r="L916" i="12"/>
  <c r="K916" i="12"/>
  <c r="J916" i="12"/>
  <c r="I916" i="12"/>
  <c r="H916" i="12"/>
  <c r="G916" i="12"/>
  <c r="F916" i="12"/>
  <c r="E916" i="12"/>
  <c r="D916" i="12"/>
  <c r="AI916" i="12" s="1"/>
  <c r="AI915" i="12"/>
  <c r="AI914" i="12"/>
  <c r="AI913" i="12"/>
  <c r="AH912" i="12"/>
  <c r="AG912" i="12"/>
  <c r="AF912" i="12"/>
  <c r="AE912" i="12"/>
  <c r="AD912" i="12"/>
  <c r="AC912" i="12"/>
  <c r="AB912" i="12"/>
  <c r="AA912" i="12"/>
  <c r="Z912" i="12"/>
  <c r="Y912" i="12"/>
  <c r="X912" i="12"/>
  <c r="W912" i="12"/>
  <c r="V912" i="12"/>
  <c r="U912" i="12"/>
  <c r="T912" i="12"/>
  <c r="S912" i="12"/>
  <c r="R912" i="12"/>
  <c r="Q912" i="12"/>
  <c r="P912" i="12"/>
  <c r="O912" i="12"/>
  <c r="N912" i="12"/>
  <c r="M912" i="12"/>
  <c r="L912" i="12"/>
  <c r="K912" i="12"/>
  <c r="J912" i="12"/>
  <c r="I912" i="12"/>
  <c r="H912" i="12"/>
  <c r="G912" i="12"/>
  <c r="F912" i="12"/>
  <c r="E912" i="12"/>
  <c r="D912" i="12"/>
  <c r="AI912" i="12" s="1"/>
  <c r="AI911" i="12"/>
  <c r="AI910" i="12"/>
  <c r="AI909" i="12"/>
  <c r="AH908" i="12"/>
  <c r="AG908" i="12"/>
  <c r="AF908" i="12"/>
  <c r="AE908" i="12"/>
  <c r="AD908" i="12"/>
  <c r="AC908" i="12"/>
  <c r="AB908" i="12"/>
  <c r="AA908" i="12"/>
  <c r="Z908" i="12"/>
  <c r="Z843" i="12" s="1"/>
  <c r="Y908" i="12"/>
  <c r="X908" i="12"/>
  <c r="W908" i="12"/>
  <c r="V908" i="12"/>
  <c r="U908" i="12"/>
  <c r="T908" i="12"/>
  <c r="S908" i="12"/>
  <c r="R908" i="12"/>
  <c r="Q908" i="12"/>
  <c r="P908" i="12"/>
  <c r="O908" i="12"/>
  <c r="N908" i="12"/>
  <c r="M908" i="12"/>
  <c r="L908" i="12"/>
  <c r="K908" i="12"/>
  <c r="J908" i="12"/>
  <c r="J843" i="12" s="1"/>
  <c r="I908" i="12"/>
  <c r="H908" i="12"/>
  <c r="G908" i="12"/>
  <c r="F908" i="12"/>
  <c r="E908" i="12"/>
  <c r="D908" i="12"/>
  <c r="AI907" i="12"/>
  <c r="AI906" i="12"/>
  <c r="AI905" i="12"/>
  <c r="AH904" i="12"/>
  <c r="AG904" i="12"/>
  <c r="AF904" i="12"/>
  <c r="AE904" i="12"/>
  <c r="AD904" i="12"/>
  <c r="AC904" i="12"/>
  <c r="AB904" i="12"/>
  <c r="AA904" i="12"/>
  <c r="Z904" i="12"/>
  <c r="Y904" i="12"/>
  <c r="X904" i="12"/>
  <c r="W904" i="12"/>
  <c r="V904" i="12"/>
  <c r="U904" i="12"/>
  <c r="T904" i="12"/>
  <c r="S904" i="12"/>
  <c r="R904" i="12"/>
  <c r="Q904" i="12"/>
  <c r="P904" i="12"/>
  <c r="O904" i="12"/>
  <c r="N904" i="12"/>
  <c r="M904" i="12"/>
  <c r="L904" i="12"/>
  <c r="K904" i="12"/>
  <c r="J904" i="12"/>
  <c r="I904" i="12"/>
  <c r="H904" i="12"/>
  <c r="G904" i="12"/>
  <c r="F904" i="12"/>
  <c r="E904" i="12"/>
  <c r="D904" i="12"/>
  <c r="AI904" i="12" s="1"/>
  <c r="AI903" i="12"/>
  <c r="AI902" i="12"/>
  <c r="AI901" i="12"/>
  <c r="AH900" i="12"/>
  <c r="AG900" i="12"/>
  <c r="AF900" i="12"/>
  <c r="AE900" i="12"/>
  <c r="AD900" i="12"/>
  <c r="AC900" i="12"/>
  <c r="AB900" i="12"/>
  <c r="AA900" i="12"/>
  <c r="Z900" i="12"/>
  <c r="Y900" i="12"/>
  <c r="X900" i="12"/>
  <c r="W900" i="12"/>
  <c r="V900" i="12"/>
  <c r="U900" i="12"/>
  <c r="T900" i="12"/>
  <c r="S900" i="12"/>
  <c r="R900" i="12"/>
  <c r="Q900" i="12"/>
  <c r="P900" i="12"/>
  <c r="O900" i="12"/>
  <c r="N900" i="12"/>
  <c r="M900" i="12"/>
  <c r="L900" i="12"/>
  <c r="K900" i="12"/>
  <c r="J900" i="12"/>
  <c r="I900" i="12"/>
  <c r="H900" i="12"/>
  <c r="AI900" i="12" s="1"/>
  <c r="G900" i="12"/>
  <c r="F900" i="12"/>
  <c r="E900" i="12"/>
  <c r="D900" i="12"/>
  <c r="AI899" i="12"/>
  <c r="AI898" i="12"/>
  <c r="AI897" i="12"/>
  <c r="AH896" i="12"/>
  <c r="AG896" i="12"/>
  <c r="AF896" i="12"/>
  <c r="AE896" i="12"/>
  <c r="AD896" i="12"/>
  <c r="AC896" i="12"/>
  <c r="AB896" i="12"/>
  <c r="AA896" i="12"/>
  <c r="Z896" i="12"/>
  <c r="Y896" i="12"/>
  <c r="X896" i="12"/>
  <c r="W896" i="12"/>
  <c r="V896" i="12"/>
  <c r="U896" i="12"/>
  <c r="T896" i="12"/>
  <c r="S896" i="12"/>
  <c r="R896" i="12"/>
  <c r="Q896" i="12"/>
  <c r="P896" i="12"/>
  <c r="O896" i="12"/>
  <c r="N896" i="12"/>
  <c r="M896" i="12"/>
  <c r="L896" i="12"/>
  <c r="K896" i="12"/>
  <c r="AI896" i="12" s="1"/>
  <c r="J896" i="12"/>
  <c r="I896" i="12"/>
  <c r="H896" i="12"/>
  <c r="G896" i="12"/>
  <c r="F896" i="12"/>
  <c r="E896" i="12"/>
  <c r="D896" i="12"/>
  <c r="AI895" i="12"/>
  <c r="AI894" i="12"/>
  <c r="AI893" i="12"/>
  <c r="AH892" i="12"/>
  <c r="AG892" i="12"/>
  <c r="AF892" i="12"/>
  <c r="AE892" i="12"/>
  <c r="AD892" i="12"/>
  <c r="AC892" i="12"/>
  <c r="AB892" i="12"/>
  <c r="AA892" i="12"/>
  <c r="Z892" i="12"/>
  <c r="Y892" i="12"/>
  <c r="X892" i="12"/>
  <c r="W892" i="12"/>
  <c r="V892" i="12"/>
  <c r="U892" i="12"/>
  <c r="T892" i="12"/>
  <c r="S892" i="12"/>
  <c r="R892" i="12"/>
  <c r="Q892" i="12"/>
  <c r="P892" i="12"/>
  <c r="O892" i="12"/>
  <c r="N892" i="12"/>
  <c r="M892" i="12"/>
  <c r="L892" i="12"/>
  <c r="K892" i="12"/>
  <c r="J892" i="12"/>
  <c r="I892" i="12"/>
  <c r="H892" i="12"/>
  <c r="G892" i="12"/>
  <c r="F892" i="12"/>
  <c r="E892" i="12"/>
  <c r="D892" i="12"/>
  <c r="AI892" i="12" s="1"/>
  <c r="AI891" i="12"/>
  <c r="AI890" i="12"/>
  <c r="AI889" i="12"/>
  <c r="AH888" i="12"/>
  <c r="AG888" i="12"/>
  <c r="AF888" i="12"/>
  <c r="AE888" i="12"/>
  <c r="AD888" i="12"/>
  <c r="AC888" i="12"/>
  <c r="AB888" i="12"/>
  <c r="AA888" i="12"/>
  <c r="Z888" i="12"/>
  <c r="Y888" i="12"/>
  <c r="X888" i="12"/>
  <c r="W888" i="12"/>
  <c r="V888" i="12"/>
  <c r="U888" i="12"/>
  <c r="T888" i="12"/>
  <c r="S888" i="12"/>
  <c r="R888" i="12"/>
  <c r="Q888" i="12"/>
  <c r="P888" i="12"/>
  <c r="O888" i="12"/>
  <c r="N888" i="12"/>
  <c r="M888" i="12"/>
  <c r="L888" i="12"/>
  <c r="K888" i="12"/>
  <c r="J888" i="12"/>
  <c r="I888" i="12"/>
  <c r="H888" i="12"/>
  <c r="G888" i="12"/>
  <c r="F888" i="12"/>
  <c r="E888" i="12"/>
  <c r="D888" i="12"/>
  <c r="AI887" i="12"/>
  <c r="AI886" i="12"/>
  <c r="AI885" i="12"/>
  <c r="AH884" i="12"/>
  <c r="AG884" i="12"/>
  <c r="AF884" i="12"/>
  <c r="AE884" i="12"/>
  <c r="AD884" i="12"/>
  <c r="AC884" i="12"/>
  <c r="AB884" i="12"/>
  <c r="AA884" i="12"/>
  <c r="Z884" i="12"/>
  <c r="Y884" i="12"/>
  <c r="X884" i="12"/>
  <c r="W884" i="12"/>
  <c r="V884" i="12"/>
  <c r="U884" i="12"/>
  <c r="T884" i="12"/>
  <c r="S884" i="12"/>
  <c r="R884" i="12"/>
  <c r="Q884" i="12"/>
  <c r="P884" i="12"/>
  <c r="O884" i="12"/>
  <c r="N884" i="12"/>
  <c r="M884" i="12"/>
  <c r="L884" i="12"/>
  <c r="K884" i="12"/>
  <c r="J884" i="12"/>
  <c r="I884" i="12"/>
  <c r="H884" i="12"/>
  <c r="G884" i="12"/>
  <c r="F884" i="12"/>
  <c r="E884" i="12"/>
  <c r="D884" i="12"/>
  <c r="AI884" i="12" s="1"/>
  <c r="AI883" i="12"/>
  <c r="AI882" i="12"/>
  <c r="AI881" i="12"/>
  <c r="AH880" i="12"/>
  <c r="AG880" i="12"/>
  <c r="AF880" i="12"/>
  <c r="AE880" i="12"/>
  <c r="AD880" i="12"/>
  <c r="AC880" i="12"/>
  <c r="AB880" i="12"/>
  <c r="AA880" i="12"/>
  <c r="Z880" i="12"/>
  <c r="Y880" i="12"/>
  <c r="X880" i="12"/>
  <c r="W880" i="12"/>
  <c r="V880" i="12"/>
  <c r="U880" i="12"/>
  <c r="T880" i="12"/>
  <c r="S880" i="12"/>
  <c r="R880" i="12"/>
  <c r="Q880" i="12"/>
  <c r="P880" i="12"/>
  <c r="O880" i="12"/>
  <c r="N880" i="12"/>
  <c r="M880" i="12"/>
  <c r="L880" i="12"/>
  <c r="K880" i="12"/>
  <c r="J880" i="12"/>
  <c r="I880" i="12"/>
  <c r="H880" i="12"/>
  <c r="G880" i="12"/>
  <c r="F880" i="12"/>
  <c r="E880" i="12"/>
  <c r="D880" i="12"/>
  <c r="AI880" i="12" s="1"/>
  <c r="AI879" i="12"/>
  <c r="AI878" i="12"/>
  <c r="AI877" i="12"/>
  <c r="AH876" i="12"/>
  <c r="AG876" i="12"/>
  <c r="AF876" i="12"/>
  <c r="AE876" i="12"/>
  <c r="AD876" i="12"/>
  <c r="AC876" i="12"/>
  <c r="AB876" i="12"/>
  <c r="AA876" i="12"/>
  <c r="Z876" i="12"/>
  <c r="Y876" i="12"/>
  <c r="X876" i="12"/>
  <c r="W876" i="12"/>
  <c r="V876" i="12"/>
  <c r="U876" i="12"/>
  <c r="T876" i="12"/>
  <c r="S876" i="12"/>
  <c r="R876" i="12"/>
  <c r="Q876" i="12"/>
  <c r="P876" i="12"/>
  <c r="O876" i="12"/>
  <c r="N876" i="12"/>
  <c r="M876" i="12"/>
  <c r="L876" i="12"/>
  <c r="K876" i="12"/>
  <c r="J876" i="12"/>
  <c r="I876" i="12"/>
  <c r="H876" i="12"/>
  <c r="G876" i="12"/>
  <c r="F876" i="12"/>
  <c r="E876" i="12"/>
  <c r="D876" i="12"/>
  <c r="AI876" i="12" s="1"/>
  <c r="AI875" i="12"/>
  <c r="AI874" i="12"/>
  <c r="AI873" i="12"/>
  <c r="AH872" i="12"/>
  <c r="AG872" i="12"/>
  <c r="AF872" i="12"/>
  <c r="AE872" i="12"/>
  <c r="AD872" i="12"/>
  <c r="AC872" i="12"/>
  <c r="AC843" i="12" s="1"/>
  <c r="AB872" i="12"/>
  <c r="AA872" i="12"/>
  <c r="Z872" i="12"/>
  <c r="Y872" i="12"/>
  <c r="X872" i="12"/>
  <c r="W872" i="12"/>
  <c r="V872" i="12"/>
  <c r="U872" i="12"/>
  <c r="U843" i="12" s="1"/>
  <c r="T872" i="12"/>
  <c r="S872" i="12"/>
  <c r="R872" i="12"/>
  <c r="Q872" i="12"/>
  <c r="P872" i="12"/>
  <c r="O872" i="12"/>
  <c r="N872" i="12"/>
  <c r="M872" i="12"/>
  <c r="M843" i="12" s="1"/>
  <c r="L872" i="12"/>
  <c r="K872" i="12"/>
  <c r="J872" i="12"/>
  <c r="I872" i="12"/>
  <c r="H872" i="12"/>
  <c r="G872" i="12"/>
  <c r="F872" i="12"/>
  <c r="E872" i="12"/>
  <c r="E843" i="12" s="1"/>
  <c r="D872" i="12"/>
  <c r="AI871" i="12"/>
  <c r="AI870" i="12"/>
  <c r="AI869" i="12"/>
  <c r="AH868" i="12"/>
  <c r="AG868" i="12"/>
  <c r="AF868" i="12"/>
  <c r="AF843" i="12" s="1"/>
  <c r="AE868" i="12"/>
  <c r="AD868" i="12"/>
  <c r="AC868" i="12"/>
  <c r="AB868" i="12"/>
  <c r="AA868" i="12"/>
  <c r="Z868" i="12"/>
  <c r="Y868" i="12"/>
  <c r="X868" i="12"/>
  <c r="X843" i="12" s="1"/>
  <c r="W868" i="12"/>
  <c r="V868" i="12"/>
  <c r="U868" i="12"/>
  <c r="T868" i="12"/>
  <c r="S868" i="12"/>
  <c r="R868" i="12"/>
  <c r="Q868" i="12"/>
  <c r="P868" i="12"/>
  <c r="P843" i="12" s="1"/>
  <c r="O868" i="12"/>
  <c r="N868" i="12"/>
  <c r="M868" i="12"/>
  <c r="L868" i="12"/>
  <c r="K868" i="12"/>
  <c r="J868" i="12"/>
  <c r="I868" i="12"/>
  <c r="H868" i="12"/>
  <c r="G868" i="12"/>
  <c r="F868" i="12"/>
  <c r="E868" i="12"/>
  <c r="D868" i="12"/>
  <c r="AI867" i="12"/>
  <c r="AI866" i="12"/>
  <c r="AI865" i="12"/>
  <c r="AH864" i="12"/>
  <c r="AG864" i="12"/>
  <c r="AF864" i="12"/>
  <c r="AE864" i="12"/>
  <c r="AD864" i="12"/>
  <c r="AC864" i="12"/>
  <c r="AB864" i="12"/>
  <c r="AA864" i="12"/>
  <c r="AA843" i="12" s="1"/>
  <c r="Z864" i="12"/>
  <c r="Y864" i="12"/>
  <c r="X864" i="12"/>
  <c r="W864" i="12"/>
  <c r="V864" i="12"/>
  <c r="U864" i="12"/>
  <c r="T864" i="12"/>
  <c r="S864" i="12"/>
  <c r="S843" i="12" s="1"/>
  <c r="R864" i="12"/>
  <c r="Q864" i="12"/>
  <c r="P864" i="12"/>
  <c r="O864" i="12"/>
  <c r="N864" i="12"/>
  <c r="M864" i="12"/>
  <c r="L864" i="12"/>
  <c r="K864" i="12"/>
  <c r="K843" i="12" s="1"/>
  <c r="J864" i="12"/>
  <c r="I864" i="12"/>
  <c r="H864" i="12"/>
  <c r="G864" i="12"/>
  <c r="F864" i="12"/>
  <c r="E864" i="12"/>
  <c r="D864" i="12"/>
  <c r="AI863" i="12"/>
  <c r="AI862" i="12"/>
  <c r="AI861" i="12"/>
  <c r="AH860" i="12"/>
  <c r="AG860" i="12"/>
  <c r="AF860" i="12"/>
  <c r="AE860" i="12"/>
  <c r="AD860" i="12"/>
  <c r="AC860" i="12"/>
  <c r="AB860" i="12"/>
  <c r="AA860" i="12"/>
  <c r="Z860" i="12"/>
  <c r="Y860" i="12"/>
  <c r="X860" i="12"/>
  <c r="W860" i="12"/>
  <c r="V860" i="12"/>
  <c r="U860" i="12"/>
  <c r="T860" i="12"/>
  <c r="S860" i="12"/>
  <c r="R860" i="12"/>
  <c r="Q860" i="12"/>
  <c r="P860" i="12"/>
  <c r="O860" i="12"/>
  <c r="N860" i="12"/>
  <c r="M860" i="12"/>
  <c r="L860" i="12"/>
  <c r="K860" i="12"/>
  <c r="J860" i="12"/>
  <c r="I860" i="12"/>
  <c r="H860" i="12"/>
  <c r="G860" i="12"/>
  <c r="F860" i="12"/>
  <c r="E860" i="12"/>
  <c r="D860" i="12"/>
  <c r="AI860" i="12" s="1"/>
  <c r="AI859" i="12"/>
  <c r="AI858" i="12"/>
  <c r="AI857" i="12"/>
  <c r="AH856" i="12"/>
  <c r="AG856" i="12"/>
  <c r="AF856" i="12"/>
  <c r="AE856" i="12"/>
  <c r="AD856" i="12"/>
  <c r="AC856" i="12"/>
  <c r="AB856" i="12"/>
  <c r="AA856" i="12"/>
  <c r="Z856" i="12"/>
  <c r="Y856" i="12"/>
  <c r="X856" i="12"/>
  <c r="W856" i="12"/>
  <c r="V856" i="12"/>
  <c r="U856" i="12"/>
  <c r="T856" i="12"/>
  <c r="S856" i="12"/>
  <c r="R856" i="12"/>
  <c r="Q856" i="12"/>
  <c r="P856" i="12"/>
  <c r="O856" i="12"/>
  <c r="N856" i="12"/>
  <c r="M856" i="12"/>
  <c r="L856" i="12"/>
  <c r="K856" i="12"/>
  <c r="J856" i="12"/>
  <c r="I856" i="12"/>
  <c r="H856" i="12"/>
  <c r="G856" i="12"/>
  <c r="F856" i="12"/>
  <c r="E856" i="12"/>
  <c r="D856" i="12"/>
  <c r="AI855" i="12"/>
  <c r="AI854" i="12"/>
  <c r="AI853" i="12"/>
  <c r="AH852" i="12"/>
  <c r="AG852" i="12"/>
  <c r="AF852" i="12"/>
  <c r="AE852" i="12"/>
  <c r="AD852" i="12"/>
  <c r="AC852" i="12"/>
  <c r="AB852" i="12"/>
  <c r="AB843" i="12" s="1"/>
  <c r="AA852" i="12"/>
  <c r="Z852" i="12"/>
  <c r="Y852" i="12"/>
  <c r="X852" i="12"/>
  <c r="W852" i="12"/>
  <c r="V852" i="12"/>
  <c r="U852" i="12"/>
  <c r="T852" i="12"/>
  <c r="T843" i="12" s="1"/>
  <c r="S852" i="12"/>
  <c r="R852" i="12"/>
  <c r="Q852" i="12"/>
  <c r="P852" i="12"/>
  <c r="O852" i="12"/>
  <c r="N852" i="12"/>
  <c r="M852" i="12"/>
  <c r="L852" i="12"/>
  <c r="L843" i="12" s="1"/>
  <c r="K852" i="12"/>
  <c r="J852" i="12"/>
  <c r="I852" i="12"/>
  <c r="H852" i="12"/>
  <c r="G852" i="12"/>
  <c r="F852" i="12"/>
  <c r="E852" i="12"/>
  <c r="D852" i="12"/>
  <c r="AI851" i="12"/>
  <c r="AI850" i="12"/>
  <c r="AI849" i="12"/>
  <c r="AH848" i="12"/>
  <c r="AG848" i="12"/>
  <c r="AF848" i="12"/>
  <c r="AE848" i="12"/>
  <c r="AD848" i="12"/>
  <c r="AC848" i="12"/>
  <c r="AB848" i="12"/>
  <c r="AA848" i="12"/>
  <c r="Z848" i="12"/>
  <c r="Y848" i="12"/>
  <c r="X848" i="12"/>
  <c r="W848" i="12"/>
  <c r="V848" i="12"/>
  <c r="U848" i="12"/>
  <c r="T848" i="12"/>
  <c r="S848" i="12"/>
  <c r="R848" i="12"/>
  <c r="Q848" i="12"/>
  <c r="P848" i="12"/>
  <c r="O848" i="12"/>
  <c r="N848" i="12"/>
  <c r="M848" i="12"/>
  <c r="L848" i="12"/>
  <c r="K848" i="12"/>
  <c r="J848" i="12"/>
  <c r="I848" i="12"/>
  <c r="H848" i="12"/>
  <c r="G848" i="12"/>
  <c r="F848" i="12"/>
  <c r="E848" i="12"/>
  <c r="D848" i="12"/>
  <c r="AI848" i="12" s="1"/>
  <c r="AI847" i="12"/>
  <c r="AI846" i="12"/>
  <c r="AI845" i="12"/>
  <c r="AH844" i="12"/>
  <c r="AH843" i="12" s="1"/>
  <c r="AG844" i="12"/>
  <c r="AF844" i="12"/>
  <c r="AE844" i="12"/>
  <c r="AD844" i="12"/>
  <c r="AC844" i="12"/>
  <c r="AB844" i="12"/>
  <c r="AA844" i="12"/>
  <c r="Z844" i="12"/>
  <c r="Y844" i="12"/>
  <c r="X844" i="12"/>
  <c r="W844" i="12"/>
  <c r="V844" i="12"/>
  <c r="U844" i="12"/>
  <c r="T844" i="12"/>
  <c r="S844" i="12"/>
  <c r="R844" i="12"/>
  <c r="R843" i="12" s="1"/>
  <c r="Q844" i="12"/>
  <c r="P844" i="12"/>
  <c r="O844" i="12"/>
  <c r="N844" i="12"/>
  <c r="M844" i="12"/>
  <c r="L844" i="12"/>
  <c r="K844" i="12"/>
  <c r="J844" i="12"/>
  <c r="I844" i="12"/>
  <c r="H844" i="12"/>
  <c r="G844" i="12"/>
  <c r="F844" i="12"/>
  <c r="E844" i="12"/>
  <c r="D844" i="12"/>
  <c r="AI844" i="12" s="1"/>
  <c r="AI842" i="12"/>
  <c r="AI841" i="12"/>
  <c r="AI840" i="12"/>
  <c r="AH839" i="12"/>
  <c r="AG839" i="12"/>
  <c r="AF839" i="12"/>
  <c r="AE839" i="12"/>
  <c r="AD839" i="12"/>
  <c r="AC839" i="12"/>
  <c r="AB839" i="12"/>
  <c r="AA839" i="12"/>
  <c r="Z839" i="12"/>
  <c r="Y839" i="12"/>
  <c r="X839" i="12"/>
  <c r="W839" i="12"/>
  <c r="V839" i="12"/>
  <c r="U839" i="12"/>
  <c r="T839" i="12"/>
  <c r="S839" i="12"/>
  <c r="R839" i="12"/>
  <c r="Q839" i="12"/>
  <c r="P839" i="12"/>
  <c r="O839" i="12"/>
  <c r="N839" i="12"/>
  <c r="M839" i="12"/>
  <c r="L839" i="12"/>
  <c r="K839" i="12"/>
  <c r="J839" i="12"/>
  <c r="I839" i="12"/>
  <c r="H839" i="12"/>
  <c r="G839" i="12"/>
  <c r="F839" i="12"/>
  <c r="E839" i="12"/>
  <c r="AI839" i="12" s="1"/>
  <c r="D839" i="12"/>
  <c r="AI838" i="12"/>
  <c r="AI837" i="12"/>
  <c r="AI836" i="12"/>
  <c r="AH835" i="12"/>
  <c r="AG835" i="12"/>
  <c r="AF835" i="12"/>
  <c r="AE835" i="12"/>
  <c r="AD835" i="12"/>
  <c r="AC835" i="12"/>
  <c r="AB835" i="12"/>
  <c r="AA835" i="12"/>
  <c r="Z835" i="12"/>
  <c r="Y835" i="12"/>
  <c r="X835" i="12"/>
  <c r="W835" i="12"/>
  <c r="V835" i="12"/>
  <c r="U835" i="12"/>
  <c r="T835" i="12"/>
  <c r="S835" i="12"/>
  <c r="R835" i="12"/>
  <c r="Q835" i="12"/>
  <c r="P835" i="12"/>
  <c r="O835" i="12"/>
  <c r="N835" i="12"/>
  <c r="M835" i="12"/>
  <c r="L835" i="12"/>
  <c r="K835" i="12"/>
  <c r="J835" i="12"/>
  <c r="I835" i="12"/>
  <c r="H835" i="12"/>
  <c r="AI835" i="12" s="1"/>
  <c r="G835" i="12"/>
  <c r="F835" i="12"/>
  <c r="E835" i="12"/>
  <c r="D835" i="12"/>
  <c r="AI834" i="12"/>
  <c r="AI833" i="12"/>
  <c r="AI832" i="12"/>
  <c r="AH831" i="12"/>
  <c r="AG831" i="12"/>
  <c r="AF831" i="12"/>
  <c r="AE831" i="12"/>
  <c r="AD831" i="12"/>
  <c r="AC831" i="12"/>
  <c r="AB831" i="12"/>
  <c r="AA831" i="12"/>
  <c r="Z831" i="12"/>
  <c r="Y831" i="12"/>
  <c r="X831" i="12"/>
  <c r="W831" i="12"/>
  <c r="V831" i="12"/>
  <c r="U831" i="12"/>
  <c r="T831" i="12"/>
  <c r="S831" i="12"/>
  <c r="R831" i="12"/>
  <c r="Q831" i="12"/>
  <c r="P831" i="12"/>
  <c r="O831" i="12"/>
  <c r="N831" i="12"/>
  <c r="M831" i="12"/>
  <c r="L831" i="12"/>
  <c r="K831" i="12"/>
  <c r="AI831" i="12" s="1"/>
  <c r="J831" i="12"/>
  <c r="I831" i="12"/>
  <c r="H831" i="12"/>
  <c r="G831" i="12"/>
  <c r="F831" i="12"/>
  <c r="E831" i="12"/>
  <c r="D831" i="12"/>
  <c r="AI830" i="12"/>
  <c r="AI829" i="12"/>
  <c r="AI828" i="12"/>
  <c r="AH827" i="12"/>
  <c r="AG827" i="12"/>
  <c r="AF827" i="12"/>
  <c r="AE827" i="12"/>
  <c r="AD827" i="12"/>
  <c r="AC827" i="12"/>
  <c r="AB827" i="12"/>
  <c r="AA827" i="12"/>
  <c r="Z827" i="12"/>
  <c r="Y827" i="12"/>
  <c r="X827" i="12"/>
  <c r="W827" i="12"/>
  <c r="V827" i="12"/>
  <c r="U827" i="12"/>
  <c r="T827" i="12"/>
  <c r="S827" i="12"/>
  <c r="R827" i="12"/>
  <c r="Q827" i="12"/>
  <c r="P827" i="12"/>
  <c r="O827" i="12"/>
  <c r="N827" i="12"/>
  <c r="M827" i="12"/>
  <c r="L827" i="12"/>
  <c r="K827" i="12"/>
  <c r="J827" i="12"/>
  <c r="I827" i="12"/>
  <c r="H827" i="12"/>
  <c r="G827" i="12"/>
  <c r="F827" i="12"/>
  <c r="E827" i="12"/>
  <c r="D827" i="12"/>
  <c r="AI827" i="12" s="1"/>
  <c r="AI826" i="12"/>
  <c r="AI825" i="12"/>
  <c r="AI824" i="12"/>
  <c r="AH823" i="12"/>
  <c r="AG823" i="12"/>
  <c r="AG794" i="12" s="1"/>
  <c r="AF823" i="12"/>
  <c r="AE823" i="12"/>
  <c r="AD823" i="12"/>
  <c r="AC823" i="12"/>
  <c r="AB823" i="12"/>
  <c r="AA823" i="12"/>
  <c r="Z823" i="12"/>
  <c r="Y823" i="12"/>
  <c r="Y794" i="12" s="1"/>
  <c r="X823" i="12"/>
  <c r="W823" i="12"/>
  <c r="V823" i="12"/>
  <c r="U823" i="12"/>
  <c r="T823" i="12"/>
  <c r="S823" i="12"/>
  <c r="R823" i="12"/>
  <c r="Q823" i="12"/>
  <c r="Q794" i="12" s="1"/>
  <c r="P823" i="12"/>
  <c r="O823" i="12"/>
  <c r="N823" i="12"/>
  <c r="M823" i="12"/>
  <c r="L823" i="12"/>
  <c r="K823" i="12"/>
  <c r="J823" i="12"/>
  <c r="I823" i="12"/>
  <c r="I794" i="12" s="1"/>
  <c r="H823" i="12"/>
  <c r="G823" i="12"/>
  <c r="F823" i="12"/>
  <c r="E823" i="12"/>
  <c r="D823" i="12"/>
  <c r="AI823" i="12" s="1"/>
  <c r="AI822" i="12"/>
  <c r="AI821" i="12"/>
  <c r="AI820" i="12"/>
  <c r="AH819" i="12"/>
  <c r="AG819" i="12"/>
  <c r="AF819" i="12"/>
  <c r="AE819" i="12"/>
  <c r="AD819" i="12"/>
  <c r="AC819" i="12"/>
  <c r="AB819" i="12"/>
  <c r="AB794" i="12" s="1"/>
  <c r="AA819" i="12"/>
  <c r="Z819" i="12"/>
  <c r="Y819" i="12"/>
  <c r="X819" i="12"/>
  <c r="W819" i="12"/>
  <c r="V819" i="12"/>
  <c r="U819" i="12"/>
  <c r="T819" i="12"/>
  <c r="T794" i="12" s="1"/>
  <c r="S819" i="12"/>
  <c r="R819" i="12"/>
  <c r="Q819" i="12"/>
  <c r="P819" i="12"/>
  <c r="O819" i="12"/>
  <c r="N819" i="12"/>
  <c r="M819" i="12"/>
  <c r="L819" i="12"/>
  <c r="L794" i="12" s="1"/>
  <c r="K819" i="12"/>
  <c r="J819" i="12"/>
  <c r="I819" i="12"/>
  <c r="H819" i="12"/>
  <c r="G819" i="12"/>
  <c r="F819" i="12"/>
  <c r="E819" i="12"/>
  <c r="D819" i="12"/>
  <c r="AI818" i="12"/>
  <c r="AI817" i="12"/>
  <c r="AI816" i="12"/>
  <c r="AH815" i="12"/>
  <c r="AG815" i="12"/>
  <c r="AF815" i="12"/>
  <c r="AE815" i="12"/>
  <c r="AE794" i="12" s="1"/>
  <c r="AD815" i="12"/>
  <c r="AC815" i="12"/>
  <c r="AB815" i="12"/>
  <c r="AA815" i="12"/>
  <c r="Z815" i="12"/>
  <c r="Y815" i="12"/>
  <c r="X815" i="12"/>
  <c r="W815" i="12"/>
  <c r="W794" i="12" s="1"/>
  <c r="V815" i="12"/>
  <c r="U815" i="12"/>
  <c r="T815" i="12"/>
  <c r="S815" i="12"/>
  <c r="R815" i="12"/>
  <c r="Q815" i="12"/>
  <c r="P815" i="12"/>
  <c r="O815" i="12"/>
  <c r="O794" i="12" s="1"/>
  <c r="N815" i="12"/>
  <c r="M815" i="12"/>
  <c r="L815" i="12"/>
  <c r="K815" i="12"/>
  <c r="J815" i="12"/>
  <c r="I815" i="12"/>
  <c r="H815" i="12"/>
  <c r="G815" i="12"/>
  <c r="G794" i="12" s="1"/>
  <c r="F815" i="12"/>
  <c r="E815" i="12"/>
  <c r="D815" i="12"/>
  <c r="AI814" i="12"/>
  <c r="AI813" i="12"/>
  <c r="AI812" i="12"/>
  <c r="AH811" i="12"/>
  <c r="AG811" i="12"/>
  <c r="AF811" i="12"/>
  <c r="AE811" i="12"/>
  <c r="AD811" i="12"/>
  <c r="AC811" i="12"/>
  <c r="AB811" i="12"/>
  <c r="AA811" i="12"/>
  <c r="Z811" i="12"/>
  <c r="Y811" i="12"/>
  <c r="X811" i="12"/>
  <c r="W811" i="12"/>
  <c r="V811" i="12"/>
  <c r="U811" i="12"/>
  <c r="T811" i="12"/>
  <c r="S811" i="12"/>
  <c r="R811" i="12"/>
  <c r="Q811" i="12"/>
  <c r="P811" i="12"/>
  <c r="O811" i="12"/>
  <c r="N811" i="12"/>
  <c r="M811" i="12"/>
  <c r="L811" i="12"/>
  <c r="K811" i="12"/>
  <c r="J811" i="12"/>
  <c r="I811" i="12"/>
  <c r="H811" i="12"/>
  <c r="G811" i="12"/>
  <c r="F811" i="12"/>
  <c r="E811" i="12"/>
  <c r="D811" i="12"/>
  <c r="AI810" i="12"/>
  <c r="AI809" i="12"/>
  <c r="AI808" i="12"/>
  <c r="AH807" i="12"/>
  <c r="AG807" i="12"/>
  <c r="AF807" i="12"/>
  <c r="AE807" i="12"/>
  <c r="AD807" i="12"/>
  <c r="AC807" i="12"/>
  <c r="AB807" i="12"/>
  <c r="AA807" i="12"/>
  <c r="Z807" i="12"/>
  <c r="Y807" i="12"/>
  <c r="X807" i="12"/>
  <c r="W807" i="12"/>
  <c r="V807" i="12"/>
  <c r="U807" i="12"/>
  <c r="T807" i="12"/>
  <c r="S807" i="12"/>
  <c r="R807" i="12"/>
  <c r="Q807" i="12"/>
  <c r="P807" i="12"/>
  <c r="O807" i="12"/>
  <c r="N807" i="12"/>
  <c r="M807" i="12"/>
  <c r="L807" i="12"/>
  <c r="K807" i="12"/>
  <c r="J807" i="12"/>
  <c r="I807" i="12"/>
  <c r="H807" i="12"/>
  <c r="G807" i="12"/>
  <c r="F807" i="12"/>
  <c r="E807" i="12"/>
  <c r="D807" i="12"/>
  <c r="AI807" i="12" s="1"/>
  <c r="AI806" i="12"/>
  <c r="AI805" i="12"/>
  <c r="AI804" i="12"/>
  <c r="AH803" i="12"/>
  <c r="AG803" i="12"/>
  <c r="AF803" i="12"/>
  <c r="AE803" i="12"/>
  <c r="AD803" i="12"/>
  <c r="AC803" i="12"/>
  <c r="AB803" i="12"/>
  <c r="AA803" i="12"/>
  <c r="Z803" i="12"/>
  <c r="Y803" i="12"/>
  <c r="X803" i="12"/>
  <c r="W803" i="12"/>
  <c r="V803" i="12"/>
  <c r="U803" i="12"/>
  <c r="T803" i="12"/>
  <c r="S803" i="12"/>
  <c r="R803" i="12"/>
  <c r="Q803" i="12"/>
  <c r="P803" i="12"/>
  <c r="O803" i="12"/>
  <c r="N803" i="12"/>
  <c r="M803" i="12"/>
  <c r="L803" i="12"/>
  <c r="K803" i="12"/>
  <c r="J803" i="12"/>
  <c r="I803" i="12"/>
  <c r="H803" i="12"/>
  <c r="G803" i="12"/>
  <c r="F803" i="12"/>
  <c r="E803" i="12"/>
  <c r="D803" i="12"/>
  <c r="AI802" i="12"/>
  <c r="AI801" i="12"/>
  <c r="AI800" i="12"/>
  <c r="AH799" i="12"/>
  <c r="AG799" i="12"/>
  <c r="AF799" i="12"/>
  <c r="AE799" i="12"/>
  <c r="AD799" i="12"/>
  <c r="AC799" i="12"/>
  <c r="AB799" i="12"/>
  <c r="AA799" i="12"/>
  <c r="Z799" i="12"/>
  <c r="Y799" i="12"/>
  <c r="X799" i="12"/>
  <c r="W799" i="12"/>
  <c r="V799" i="12"/>
  <c r="U799" i="12"/>
  <c r="T799" i="12"/>
  <c r="S799" i="12"/>
  <c r="R799" i="12"/>
  <c r="Q799" i="12"/>
  <c r="P799" i="12"/>
  <c r="O799" i="12"/>
  <c r="N799" i="12"/>
  <c r="M799" i="12"/>
  <c r="L799" i="12"/>
  <c r="K799" i="12"/>
  <c r="J799" i="12"/>
  <c r="I799" i="12"/>
  <c r="H799" i="12"/>
  <c r="G799" i="12"/>
  <c r="F799" i="12"/>
  <c r="E799" i="12"/>
  <c r="D799" i="12"/>
  <c r="AI798" i="12"/>
  <c r="AI797" i="12"/>
  <c r="AI796" i="12"/>
  <c r="AH795" i="12"/>
  <c r="AG795" i="12"/>
  <c r="AF795" i="12"/>
  <c r="AE795" i="12"/>
  <c r="AD795" i="12"/>
  <c r="AD794" i="12" s="1"/>
  <c r="AC795" i="12"/>
  <c r="AB795" i="12"/>
  <c r="AA795" i="12"/>
  <c r="Z795" i="12"/>
  <c r="Y795" i="12"/>
  <c r="X795" i="12"/>
  <c r="W795" i="12"/>
  <c r="V795" i="12"/>
  <c r="U795" i="12"/>
  <c r="T795" i="12"/>
  <c r="S795" i="12"/>
  <c r="R795" i="12"/>
  <c r="Q795" i="12"/>
  <c r="P795" i="12"/>
  <c r="O795" i="12"/>
  <c r="N795" i="12"/>
  <c r="N794" i="12" s="1"/>
  <c r="M795" i="12"/>
  <c r="L795" i="12"/>
  <c r="K795" i="12"/>
  <c r="J795" i="12"/>
  <c r="I795" i="12"/>
  <c r="H795" i="12"/>
  <c r="G795" i="12"/>
  <c r="F795" i="12"/>
  <c r="F794" i="12" s="1"/>
  <c r="E795" i="12"/>
  <c r="D795" i="12"/>
  <c r="V794" i="12"/>
  <c r="AI793" i="12"/>
  <c r="AI792" i="12"/>
  <c r="AI791" i="12"/>
  <c r="AH790" i="12"/>
  <c r="AG790" i="12"/>
  <c r="AG781" i="12" s="1"/>
  <c r="AF790" i="12"/>
  <c r="AE790" i="12"/>
  <c r="AD790" i="12"/>
  <c r="AC790" i="12"/>
  <c r="AB790" i="12"/>
  <c r="AA790" i="12"/>
  <c r="AA781" i="12" s="1"/>
  <c r="Z790" i="12"/>
  <c r="Y790" i="12"/>
  <c r="Y781" i="12" s="1"/>
  <c r="X790" i="12"/>
  <c r="W790" i="12"/>
  <c r="V790" i="12"/>
  <c r="U790" i="12"/>
  <c r="T790" i="12"/>
  <c r="S790" i="12"/>
  <c r="S781" i="12" s="1"/>
  <c r="R790" i="12"/>
  <c r="Q790" i="12"/>
  <c r="Q781" i="12" s="1"/>
  <c r="P790" i="12"/>
  <c r="O790" i="12"/>
  <c r="N790" i="12"/>
  <c r="M790" i="12"/>
  <c r="L790" i="12"/>
  <c r="K790" i="12"/>
  <c r="K781" i="12" s="1"/>
  <c r="J790" i="12"/>
  <c r="I790" i="12"/>
  <c r="I781" i="12" s="1"/>
  <c r="H790" i="12"/>
  <c r="G790" i="12"/>
  <c r="F790" i="12"/>
  <c r="E790" i="12"/>
  <c r="D790" i="12"/>
  <c r="AI790" i="12" s="1"/>
  <c r="AI789" i="12"/>
  <c r="AI788" i="12"/>
  <c r="AI787" i="12"/>
  <c r="AH786" i="12"/>
  <c r="AG786" i="12"/>
  <c r="AF786" i="12"/>
  <c r="AE786" i="12"/>
  <c r="AD786" i="12"/>
  <c r="AD781" i="12" s="1"/>
  <c r="AC786" i="12"/>
  <c r="AB786" i="12"/>
  <c r="AB781" i="12" s="1"/>
  <c r="AA786" i="12"/>
  <c r="Z786" i="12"/>
  <c r="Y786" i="12"/>
  <c r="X786" i="12"/>
  <c r="W786" i="12"/>
  <c r="V786" i="12"/>
  <c r="V781" i="12" s="1"/>
  <c r="U786" i="12"/>
  <c r="T786" i="12"/>
  <c r="T781" i="12" s="1"/>
  <c r="S786" i="12"/>
  <c r="R786" i="12"/>
  <c r="Q786" i="12"/>
  <c r="P786" i="12"/>
  <c r="O786" i="12"/>
  <c r="N786" i="12"/>
  <c r="N781" i="12" s="1"/>
  <c r="M786" i="12"/>
  <c r="L786" i="12"/>
  <c r="L781" i="12" s="1"/>
  <c r="K786" i="12"/>
  <c r="J786" i="12"/>
  <c r="I786" i="12"/>
  <c r="H786" i="12"/>
  <c r="G786" i="12"/>
  <c r="F786" i="12"/>
  <c r="F781" i="12" s="1"/>
  <c r="E786" i="12"/>
  <c r="D786" i="12"/>
  <c r="AI785" i="12"/>
  <c r="AI784" i="12"/>
  <c r="AI783" i="12"/>
  <c r="AH782" i="12"/>
  <c r="AG782" i="12"/>
  <c r="AF782" i="12"/>
  <c r="AE782" i="12"/>
  <c r="AE781" i="12" s="1"/>
  <c r="AD782" i="12"/>
  <c r="AC782" i="12"/>
  <c r="AB782" i="12"/>
  <c r="AA782" i="12"/>
  <c r="Z782" i="12"/>
  <c r="Y782" i="12"/>
  <c r="X782" i="12"/>
  <c r="W782" i="12"/>
  <c r="V782" i="12"/>
  <c r="U782" i="12"/>
  <c r="T782" i="12"/>
  <c r="S782" i="12"/>
  <c r="R782" i="12"/>
  <c r="Q782" i="12"/>
  <c r="P782" i="12"/>
  <c r="O782" i="12"/>
  <c r="O781" i="12" s="1"/>
  <c r="N782" i="12"/>
  <c r="M782" i="12"/>
  <c r="L782" i="12"/>
  <c r="K782" i="12"/>
  <c r="J782" i="12"/>
  <c r="I782" i="12"/>
  <c r="H782" i="12"/>
  <c r="G782" i="12"/>
  <c r="F782" i="12"/>
  <c r="E782" i="12"/>
  <c r="D782" i="12"/>
  <c r="AI782" i="12" s="1"/>
  <c r="AH781" i="12"/>
  <c r="AF781" i="12"/>
  <c r="AC781" i="12"/>
  <c r="Z781" i="12"/>
  <c r="X781" i="12"/>
  <c r="W781" i="12"/>
  <c r="U781" i="12"/>
  <c r="R781" i="12"/>
  <c r="P781" i="12"/>
  <c r="M781" i="12"/>
  <c r="J781" i="12"/>
  <c r="H781" i="12"/>
  <c r="G781" i="12"/>
  <c r="E781" i="12"/>
  <c r="AI780" i="12"/>
  <c r="AI779" i="12"/>
  <c r="AI778" i="12"/>
  <c r="AH777" i="12"/>
  <c r="AH772" i="12" s="1"/>
  <c r="AH763" i="12" s="1"/>
  <c r="AG777" i="12"/>
  <c r="AF777" i="12"/>
  <c r="AE777" i="12"/>
  <c r="AD777" i="12"/>
  <c r="AC777" i="12"/>
  <c r="AC772" i="12" s="1"/>
  <c r="AC763" i="12" s="1"/>
  <c r="AB777" i="12"/>
  <c r="AA777" i="12"/>
  <c r="Z777" i="12"/>
  <c r="Z772" i="12" s="1"/>
  <c r="Y777" i="12"/>
  <c r="X777" i="12"/>
  <c r="W777" i="12"/>
  <c r="V777" i="12"/>
  <c r="U777" i="12"/>
  <c r="U772" i="12" s="1"/>
  <c r="U763" i="12" s="1"/>
  <c r="T777" i="12"/>
  <c r="S777" i="12"/>
  <c r="R777" i="12"/>
  <c r="R772" i="12" s="1"/>
  <c r="R763" i="12" s="1"/>
  <c r="Q777" i="12"/>
  <c r="P777" i="12"/>
  <c r="O777" i="12"/>
  <c r="N777" i="12"/>
  <c r="M777" i="12"/>
  <c r="M772" i="12" s="1"/>
  <c r="M763" i="12" s="1"/>
  <c r="L777" i="12"/>
  <c r="K777" i="12"/>
  <c r="J777" i="12"/>
  <c r="J772" i="12" s="1"/>
  <c r="J763" i="12" s="1"/>
  <c r="I777" i="12"/>
  <c r="H777" i="12"/>
  <c r="G777" i="12"/>
  <c r="F777" i="12"/>
  <c r="E777" i="12"/>
  <c r="E772" i="12" s="1"/>
  <c r="E763" i="12" s="1"/>
  <c r="D777" i="12"/>
  <c r="AI776" i="12"/>
  <c r="AI775" i="12"/>
  <c r="AG772" i="12"/>
  <c r="AF772" i="12"/>
  <c r="AE772" i="12"/>
  <c r="AD772" i="12"/>
  <c r="AD763" i="12" s="1"/>
  <c r="AB772" i="12"/>
  <c r="AB763" i="12" s="1"/>
  <c r="AA772" i="12"/>
  <c r="Y772" i="12"/>
  <c r="X772" i="12"/>
  <c r="W772" i="12"/>
  <c r="V772" i="12"/>
  <c r="V763" i="12" s="1"/>
  <c r="T772" i="12"/>
  <c r="T763" i="12" s="1"/>
  <c r="S772" i="12"/>
  <c r="Q772" i="12"/>
  <c r="P772" i="12"/>
  <c r="O772" i="12"/>
  <c r="N772" i="12"/>
  <c r="N763" i="12" s="1"/>
  <c r="L772" i="12"/>
  <c r="L763" i="12" s="1"/>
  <c r="K772" i="12"/>
  <c r="I772" i="12"/>
  <c r="H772" i="12"/>
  <c r="G772" i="12"/>
  <c r="F772" i="12"/>
  <c r="F763" i="12" s="1"/>
  <c r="D772" i="12"/>
  <c r="AI771" i="12"/>
  <c r="AI770" i="12"/>
  <c r="AI769" i="12"/>
  <c r="AH768" i="12"/>
  <c r="AG768" i="12"/>
  <c r="AG763" i="12" s="1"/>
  <c r="AF768" i="12"/>
  <c r="AE768" i="12"/>
  <c r="AE763" i="12" s="1"/>
  <c r="AD768" i="12"/>
  <c r="AC768" i="12"/>
  <c r="AB768" i="12"/>
  <c r="AA768" i="12"/>
  <c r="Z768" i="12"/>
  <c r="Y768" i="12"/>
  <c r="Y763" i="12" s="1"/>
  <c r="X768" i="12"/>
  <c r="W768" i="12"/>
  <c r="W763" i="12" s="1"/>
  <c r="V768" i="12"/>
  <c r="U768" i="12"/>
  <c r="T768" i="12"/>
  <c r="S768" i="12"/>
  <c r="R768" i="12"/>
  <c r="Q768" i="12"/>
  <c r="Q763" i="12" s="1"/>
  <c r="P768" i="12"/>
  <c r="O768" i="12"/>
  <c r="O763" i="12" s="1"/>
  <c r="N768" i="12"/>
  <c r="M768" i="12"/>
  <c r="L768" i="12"/>
  <c r="K768" i="12"/>
  <c r="J768" i="12"/>
  <c r="I768" i="12"/>
  <c r="I763" i="12" s="1"/>
  <c r="H768" i="12"/>
  <c r="G768" i="12"/>
  <c r="G763" i="12" s="1"/>
  <c r="F768" i="12"/>
  <c r="E768" i="12"/>
  <c r="AI768" i="12" s="1"/>
  <c r="D768" i="12"/>
  <c r="AI767" i="12"/>
  <c r="AI766" i="12"/>
  <c r="AI765" i="12"/>
  <c r="AH764" i="12"/>
  <c r="AG764" i="12"/>
  <c r="AF764" i="12"/>
  <c r="AE764" i="12"/>
  <c r="AD764" i="12"/>
  <c r="AC764" i="12"/>
  <c r="AB764" i="12"/>
  <c r="AA764" i="12"/>
  <c r="Z764" i="12"/>
  <c r="Z763" i="12" s="1"/>
  <c r="Y764" i="12"/>
  <c r="X764" i="12"/>
  <c r="W764" i="12"/>
  <c r="V764" i="12"/>
  <c r="U764" i="12"/>
  <c r="T764" i="12"/>
  <c r="S764" i="12"/>
  <c r="R764" i="12"/>
  <c r="Q764" i="12"/>
  <c r="P764" i="12"/>
  <c r="O764" i="12"/>
  <c r="N764" i="12"/>
  <c r="M764" i="12"/>
  <c r="L764" i="12"/>
  <c r="K764" i="12"/>
  <c r="J764" i="12"/>
  <c r="I764" i="12"/>
  <c r="H764" i="12"/>
  <c r="G764" i="12"/>
  <c r="F764" i="12"/>
  <c r="E764" i="12"/>
  <c r="D764" i="12"/>
  <c r="AI764" i="12" s="1"/>
  <c r="AF763" i="12"/>
  <c r="AA763" i="12"/>
  <c r="X763" i="12"/>
  <c r="S763" i="12"/>
  <c r="P763" i="12"/>
  <c r="K763" i="12"/>
  <c r="H763" i="12"/>
  <c r="AI762" i="12"/>
  <c r="AI761" i="12"/>
  <c r="AI760" i="12"/>
  <c r="AH759" i="12"/>
  <c r="AG759" i="12"/>
  <c r="AF759" i="12"/>
  <c r="AE759" i="12"/>
  <c r="AD759" i="12"/>
  <c r="AC759" i="12"/>
  <c r="AB759" i="12"/>
  <c r="AA759" i="12"/>
  <c r="Z759" i="12"/>
  <c r="Y759" i="12"/>
  <c r="X759" i="12"/>
  <c r="W759" i="12"/>
  <c r="V759" i="12"/>
  <c r="U759" i="12"/>
  <c r="T759" i="12"/>
  <c r="S759" i="12"/>
  <c r="R759" i="12"/>
  <c r="Q759" i="12"/>
  <c r="P759" i="12"/>
  <c r="O759" i="12"/>
  <c r="N759" i="12"/>
  <c r="M759" i="12"/>
  <c r="L759" i="12"/>
  <c r="K759" i="12"/>
  <c r="J759" i="12"/>
  <c r="I759" i="12"/>
  <c r="H759" i="12"/>
  <c r="G759" i="12"/>
  <c r="F759" i="12"/>
  <c r="E759" i="12"/>
  <c r="AI759" i="12" s="1"/>
  <c r="D759" i="12"/>
  <c r="AI758" i="12"/>
  <c r="AI757" i="12"/>
  <c r="AI756" i="12"/>
  <c r="AH755" i="12"/>
  <c r="AG755" i="12"/>
  <c r="AF755" i="12"/>
  <c r="AF730" i="12" s="1"/>
  <c r="AE755" i="12"/>
  <c r="AD755" i="12"/>
  <c r="AC755" i="12"/>
  <c r="AB755" i="12"/>
  <c r="AA755" i="12"/>
  <c r="Z755" i="12"/>
  <c r="Y755" i="12"/>
  <c r="X755" i="12"/>
  <c r="X730" i="12" s="1"/>
  <c r="W755" i="12"/>
  <c r="V755" i="12"/>
  <c r="U755" i="12"/>
  <c r="T755" i="12"/>
  <c r="S755" i="12"/>
  <c r="R755" i="12"/>
  <c r="Q755" i="12"/>
  <c r="P755" i="12"/>
  <c r="P730" i="12" s="1"/>
  <c r="O755" i="12"/>
  <c r="N755" i="12"/>
  <c r="M755" i="12"/>
  <c r="L755" i="12"/>
  <c r="K755" i="12"/>
  <c r="J755" i="12"/>
  <c r="I755" i="12"/>
  <c r="H755" i="12"/>
  <c r="G755" i="12"/>
  <c r="F755" i="12"/>
  <c r="E755" i="12"/>
  <c r="D755" i="12"/>
  <c r="AI754" i="12"/>
  <c r="AI753" i="12"/>
  <c r="AI752" i="12"/>
  <c r="AH751" i="12"/>
  <c r="AG751" i="12"/>
  <c r="AF751" i="12"/>
  <c r="AE751" i="12"/>
  <c r="AD751" i="12"/>
  <c r="AC751" i="12"/>
  <c r="AB751" i="12"/>
  <c r="AA751" i="12"/>
  <c r="AA730" i="12" s="1"/>
  <c r="Z751" i="12"/>
  <c r="Y751" i="12"/>
  <c r="X751" i="12"/>
  <c r="W751" i="12"/>
  <c r="V751" i="12"/>
  <c r="U751" i="12"/>
  <c r="T751" i="12"/>
  <c r="S751" i="12"/>
  <c r="S730" i="12" s="1"/>
  <c r="R751" i="12"/>
  <c r="Q751" i="12"/>
  <c r="P751" i="12"/>
  <c r="O751" i="12"/>
  <c r="N751" i="12"/>
  <c r="M751" i="12"/>
  <c r="L751" i="12"/>
  <c r="K751" i="12"/>
  <c r="K730" i="12" s="1"/>
  <c r="J751" i="12"/>
  <c r="I751" i="12"/>
  <c r="H751" i="12"/>
  <c r="G751" i="12"/>
  <c r="F751" i="12"/>
  <c r="E751" i="12"/>
  <c r="D751" i="12"/>
  <c r="AI750" i="12"/>
  <c r="AI749" i="12"/>
  <c r="AI748" i="12"/>
  <c r="AH747" i="12"/>
  <c r="AG747" i="12"/>
  <c r="AF747" i="12"/>
  <c r="AE747" i="12"/>
  <c r="AD747" i="12"/>
  <c r="AC747" i="12"/>
  <c r="AB747" i="12"/>
  <c r="AA747" i="12"/>
  <c r="Z747" i="12"/>
  <c r="Y747" i="12"/>
  <c r="X747" i="12"/>
  <c r="W747" i="12"/>
  <c r="V747" i="12"/>
  <c r="U747" i="12"/>
  <c r="T747" i="12"/>
  <c r="S747" i="12"/>
  <c r="R747" i="12"/>
  <c r="Q747" i="12"/>
  <c r="P747" i="12"/>
  <c r="O747" i="12"/>
  <c r="N747" i="12"/>
  <c r="M747" i="12"/>
  <c r="L747" i="12"/>
  <c r="K747" i="12"/>
  <c r="J747" i="12"/>
  <c r="I747" i="12"/>
  <c r="H747" i="12"/>
  <c r="G747" i="12"/>
  <c r="F747" i="12"/>
  <c r="E747" i="12"/>
  <c r="D747" i="12"/>
  <c r="AI746" i="12"/>
  <c r="AI745" i="12"/>
  <c r="AI744" i="12"/>
  <c r="AH743" i="12"/>
  <c r="AG743" i="12"/>
  <c r="AF743" i="12"/>
  <c r="AE743" i="12"/>
  <c r="AD743" i="12"/>
  <c r="AC743" i="12"/>
  <c r="AB743" i="12"/>
  <c r="AA743" i="12"/>
  <c r="Z743" i="12"/>
  <c r="Y743" i="12"/>
  <c r="X743" i="12"/>
  <c r="W743" i="12"/>
  <c r="V743" i="12"/>
  <c r="U743" i="12"/>
  <c r="T743" i="12"/>
  <c r="S743" i="12"/>
  <c r="R743" i="12"/>
  <c r="Q743" i="12"/>
  <c r="P743" i="12"/>
  <c r="O743" i="12"/>
  <c r="N743" i="12"/>
  <c r="M743" i="12"/>
  <c r="L743" i="12"/>
  <c r="K743" i="12"/>
  <c r="J743" i="12"/>
  <c r="I743" i="12"/>
  <c r="H743" i="12"/>
  <c r="G743" i="12"/>
  <c r="F743" i="12"/>
  <c r="E743" i="12"/>
  <c r="D743" i="12"/>
  <c r="AI742" i="12"/>
  <c r="AI741" i="12"/>
  <c r="AI740" i="12"/>
  <c r="AH739" i="12"/>
  <c r="AG739" i="12"/>
  <c r="AF739" i="12"/>
  <c r="AE739" i="12"/>
  <c r="AD739" i="12"/>
  <c r="AD730" i="12" s="1"/>
  <c r="AC739" i="12"/>
  <c r="AB739" i="12"/>
  <c r="AB730" i="12" s="1"/>
  <c r="AA739" i="12"/>
  <c r="Z739" i="12"/>
  <c r="Y739" i="12"/>
  <c r="X739" i="12"/>
  <c r="W739" i="12"/>
  <c r="V739" i="12"/>
  <c r="V730" i="12" s="1"/>
  <c r="U739" i="12"/>
  <c r="T739" i="12"/>
  <c r="T730" i="12" s="1"/>
  <c r="S739" i="12"/>
  <c r="R739" i="12"/>
  <c r="Q739" i="12"/>
  <c r="P739" i="12"/>
  <c r="O739" i="12"/>
  <c r="N739" i="12"/>
  <c r="N730" i="12" s="1"/>
  <c r="M739" i="12"/>
  <c r="L739" i="12"/>
  <c r="L730" i="12" s="1"/>
  <c r="K739" i="12"/>
  <c r="J739" i="12"/>
  <c r="I739" i="12"/>
  <c r="H739" i="12"/>
  <c r="G739" i="12"/>
  <c r="F739" i="12"/>
  <c r="F730" i="12" s="1"/>
  <c r="E739" i="12"/>
  <c r="D739" i="12"/>
  <c r="AI738" i="12"/>
  <c r="AI737" i="12"/>
  <c r="AI736" i="12"/>
  <c r="AH735" i="12"/>
  <c r="AG735" i="12"/>
  <c r="AG730" i="12" s="1"/>
  <c r="AF735" i="12"/>
  <c r="AE735" i="12"/>
  <c r="AE730" i="12" s="1"/>
  <c r="AE703" i="12" s="1"/>
  <c r="AD735" i="12"/>
  <c r="AC735" i="12"/>
  <c r="AB735" i="12"/>
  <c r="AA735" i="12"/>
  <c r="Z735" i="12"/>
  <c r="Y735" i="12"/>
  <c r="Y730" i="12" s="1"/>
  <c r="X735" i="12"/>
  <c r="W735" i="12"/>
  <c r="W730" i="12" s="1"/>
  <c r="W703" i="12" s="1"/>
  <c r="V735" i="12"/>
  <c r="U735" i="12"/>
  <c r="T735" i="12"/>
  <c r="S735" i="12"/>
  <c r="R735" i="12"/>
  <c r="Q735" i="12"/>
  <c r="Q730" i="12" s="1"/>
  <c r="P735" i="12"/>
  <c r="O735" i="12"/>
  <c r="O730" i="12" s="1"/>
  <c r="O703" i="12" s="1"/>
  <c r="N735" i="12"/>
  <c r="M735" i="12"/>
  <c r="L735" i="12"/>
  <c r="K735" i="12"/>
  <c r="J735" i="12"/>
  <c r="I735" i="12"/>
  <c r="I730" i="12" s="1"/>
  <c r="H735" i="12"/>
  <c r="G735" i="12"/>
  <c r="G730" i="12" s="1"/>
  <c r="G703" i="12" s="1"/>
  <c r="F735" i="12"/>
  <c r="E735" i="12"/>
  <c r="AI735" i="12" s="1"/>
  <c r="D735" i="12"/>
  <c r="AI734" i="12"/>
  <c r="AI733" i="12"/>
  <c r="AI732" i="12"/>
  <c r="AH731" i="12"/>
  <c r="AG731" i="12"/>
  <c r="AF731" i="12"/>
  <c r="AE731" i="12"/>
  <c r="AD731" i="12"/>
  <c r="AC731" i="12"/>
  <c r="AB731" i="12"/>
  <c r="AA731" i="12"/>
  <c r="Z731" i="12"/>
  <c r="Z730" i="12" s="1"/>
  <c r="Y731" i="12"/>
  <c r="X731" i="12"/>
  <c r="W731" i="12"/>
  <c r="V731" i="12"/>
  <c r="U731" i="12"/>
  <c r="T731" i="12"/>
  <c r="S731" i="12"/>
  <c r="R731" i="12"/>
  <c r="Q731" i="12"/>
  <c r="P731" i="12"/>
  <c r="O731" i="12"/>
  <c r="N731" i="12"/>
  <c r="M731" i="12"/>
  <c r="L731" i="12"/>
  <c r="K731" i="12"/>
  <c r="J731" i="12"/>
  <c r="J730" i="12" s="1"/>
  <c r="I731" i="12"/>
  <c r="H731" i="12"/>
  <c r="G731" i="12"/>
  <c r="F731" i="12"/>
  <c r="E731" i="12"/>
  <c r="D731" i="12"/>
  <c r="AH730" i="12"/>
  <c r="AC730" i="12"/>
  <c r="U730" i="12"/>
  <c r="R730" i="12"/>
  <c r="M730" i="12"/>
  <c r="E730" i="12"/>
  <c r="AI729" i="12"/>
  <c r="AI728" i="12"/>
  <c r="AI727" i="12"/>
  <c r="AH726" i="12"/>
  <c r="AG726" i="12"/>
  <c r="AF726" i="12"/>
  <c r="AE726" i="12"/>
  <c r="AD726" i="12"/>
  <c r="AC726" i="12"/>
  <c r="AC703" i="12" s="1"/>
  <c r="AB726" i="12"/>
  <c r="AA726" i="12"/>
  <c r="Z726" i="12"/>
  <c r="Y726" i="12"/>
  <c r="X726" i="12"/>
  <c r="W726" i="12"/>
  <c r="V726" i="12"/>
  <c r="U726" i="12"/>
  <c r="U703" i="12" s="1"/>
  <c r="T726" i="12"/>
  <c r="S726" i="12"/>
  <c r="R726" i="12"/>
  <c r="Q726" i="12"/>
  <c r="P726" i="12"/>
  <c r="O726" i="12"/>
  <c r="N726" i="12"/>
  <c r="M726" i="12"/>
  <c r="M703" i="12" s="1"/>
  <c r="L726" i="12"/>
  <c r="K726" i="12"/>
  <c r="J726" i="12"/>
  <c r="I726" i="12"/>
  <c r="H726" i="12"/>
  <c r="G726" i="12"/>
  <c r="F726" i="12"/>
  <c r="E726" i="12"/>
  <c r="D726" i="12"/>
  <c r="AI725" i="12"/>
  <c r="AI724" i="12"/>
  <c r="AI723" i="12"/>
  <c r="AH722" i="12"/>
  <c r="AH717" i="12" s="1"/>
  <c r="AG722" i="12"/>
  <c r="AF722" i="12"/>
  <c r="AF717" i="12" s="1"/>
  <c r="AE722" i="12"/>
  <c r="AD722" i="12"/>
  <c r="AC722" i="12"/>
  <c r="AB722" i="12"/>
  <c r="AA722" i="12"/>
  <c r="Z722" i="12"/>
  <c r="Z717" i="12" s="1"/>
  <c r="Y722" i="12"/>
  <c r="X722" i="12"/>
  <c r="X717" i="12" s="1"/>
  <c r="W722" i="12"/>
  <c r="V722" i="12"/>
  <c r="U722" i="12"/>
  <c r="T722" i="12"/>
  <c r="S722" i="12"/>
  <c r="R722" i="12"/>
  <c r="R717" i="12" s="1"/>
  <c r="Q722" i="12"/>
  <c r="P722" i="12"/>
  <c r="P717" i="12" s="1"/>
  <c r="O722" i="12"/>
  <c r="N722" i="12"/>
  <c r="M722" i="12"/>
  <c r="L722" i="12"/>
  <c r="K722" i="12"/>
  <c r="J722" i="12"/>
  <c r="J717" i="12" s="1"/>
  <c r="I722" i="12"/>
  <c r="H722" i="12"/>
  <c r="G722" i="12"/>
  <c r="F722" i="12"/>
  <c r="E722" i="12"/>
  <c r="D722" i="12"/>
  <c r="AI721" i="12"/>
  <c r="AI720" i="12"/>
  <c r="AI719" i="12"/>
  <c r="AH718" i="12"/>
  <c r="AG718" i="12"/>
  <c r="AF718" i="12"/>
  <c r="AE718" i="12"/>
  <c r="AD718" i="12"/>
  <c r="AC718" i="12"/>
  <c r="AB718" i="12"/>
  <c r="AA718" i="12"/>
  <c r="Z718" i="12"/>
  <c r="Y718" i="12"/>
  <c r="X718" i="12"/>
  <c r="W718" i="12"/>
  <c r="V718" i="12"/>
  <c r="U718" i="12"/>
  <c r="T718" i="12"/>
  <c r="S718" i="12"/>
  <c r="R718" i="12"/>
  <c r="Q718" i="12"/>
  <c r="P718" i="12"/>
  <c r="O718" i="12"/>
  <c r="N718" i="12"/>
  <c r="M718" i="12"/>
  <c r="L718" i="12"/>
  <c r="K718" i="12"/>
  <c r="AI718" i="12" s="1"/>
  <c r="J718" i="12"/>
  <c r="I718" i="12"/>
  <c r="H718" i="12"/>
  <c r="G718" i="12"/>
  <c r="F718" i="12"/>
  <c r="E718" i="12"/>
  <c r="D718" i="12"/>
  <c r="AG717" i="12"/>
  <c r="AE717" i="12"/>
  <c r="AD717" i="12"/>
  <c r="AC717" i="12"/>
  <c r="AB717" i="12"/>
  <c r="AA717" i="12"/>
  <c r="Y717" i="12"/>
  <c r="W717" i="12"/>
  <c r="V717" i="12"/>
  <c r="U717" i="12"/>
  <c r="T717" i="12"/>
  <c r="S717" i="12"/>
  <c r="Q717" i="12"/>
  <c r="O717" i="12"/>
  <c r="N717" i="12"/>
  <c r="M717" i="12"/>
  <c r="L717" i="12"/>
  <c r="K717" i="12"/>
  <c r="I717" i="12"/>
  <c r="G717" i="12"/>
  <c r="F717" i="12"/>
  <c r="E717" i="12"/>
  <c r="D717" i="12"/>
  <c r="AI716" i="12"/>
  <c r="AI715" i="12"/>
  <c r="AI714" i="12"/>
  <c r="AH713" i="12"/>
  <c r="AG713" i="12"/>
  <c r="AF713" i="12"/>
  <c r="AF708" i="12" s="1"/>
  <c r="AF703" i="12" s="1"/>
  <c r="AE713" i="12"/>
  <c r="AD713" i="12"/>
  <c r="AD708" i="12" s="1"/>
  <c r="AD703" i="12" s="1"/>
  <c r="AC713" i="12"/>
  <c r="AB713" i="12"/>
  <c r="AA713" i="12"/>
  <c r="Z713" i="12"/>
  <c r="Y713" i="12"/>
  <c r="X713" i="12"/>
  <c r="X708" i="12" s="1"/>
  <c r="X703" i="12" s="1"/>
  <c r="W713" i="12"/>
  <c r="V713" i="12"/>
  <c r="V708" i="12" s="1"/>
  <c r="V703" i="12" s="1"/>
  <c r="U713" i="12"/>
  <c r="T713" i="12"/>
  <c r="S713" i="12"/>
  <c r="R713" i="12"/>
  <c r="Q713" i="12"/>
  <c r="P713" i="12"/>
  <c r="P708" i="12" s="1"/>
  <c r="P703" i="12" s="1"/>
  <c r="O713" i="12"/>
  <c r="N713" i="12"/>
  <c r="N708" i="12" s="1"/>
  <c r="N703" i="12" s="1"/>
  <c r="M713" i="12"/>
  <c r="L713" i="12"/>
  <c r="K713" i="12"/>
  <c r="J713" i="12"/>
  <c r="I713" i="12"/>
  <c r="H713" i="12"/>
  <c r="H708" i="12" s="1"/>
  <c r="G713" i="12"/>
  <c r="F713" i="12"/>
  <c r="F708" i="12" s="1"/>
  <c r="F703" i="12" s="1"/>
  <c r="E713" i="12"/>
  <c r="D713" i="12"/>
  <c r="AI713" i="12" s="1"/>
  <c r="AI712" i="12"/>
  <c r="AI711" i="12"/>
  <c r="AI710" i="12"/>
  <c r="AH709" i="12"/>
  <c r="AG709" i="12"/>
  <c r="AF709" i="12"/>
  <c r="AE709" i="12"/>
  <c r="AD709" i="12"/>
  <c r="AC709" i="12"/>
  <c r="AB709" i="12"/>
  <c r="AA709" i="12"/>
  <c r="Z709" i="12"/>
  <c r="Y709" i="12"/>
  <c r="X709" i="12"/>
  <c r="W709" i="12"/>
  <c r="V709" i="12"/>
  <c r="U709" i="12"/>
  <c r="T709" i="12"/>
  <c r="S709" i="12"/>
  <c r="R709" i="12"/>
  <c r="Q709" i="12"/>
  <c r="P709" i="12"/>
  <c r="O709" i="12"/>
  <c r="N709" i="12"/>
  <c r="M709" i="12"/>
  <c r="L709" i="12"/>
  <c r="K709" i="12"/>
  <c r="J709" i="12"/>
  <c r="I709" i="12"/>
  <c r="H709" i="12"/>
  <c r="G709" i="12"/>
  <c r="F709" i="12"/>
  <c r="E709" i="12"/>
  <c r="D709" i="12"/>
  <c r="AI709" i="12" s="1"/>
  <c r="AH708" i="12"/>
  <c r="AG708" i="12"/>
  <c r="AG703" i="12" s="1"/>
  <c r="AE708" i="12"/>
  <c r="AC708" i="12"/>
  <c r="AB708" i="12"/>
  <c r="AA708" i="12"/>
  <c r="AA703" i="12" s="1"/>
  <c r="Z708" i="12"/>
  <c r="Y708" i="12"/>
  <c r="W708" i="12"/>
  <c r="U708" i="12"/>
  <c r="T708" i="12"/>
  <c r="S708" i="12"/>
  <c r="R708" i="12"/>
  <c r="Q708" i="12"/>
  <c r="Q703" i="12" s="1"/>
  <c r="O708" i="12"/>
  <c r="M708" i="12"/>
  <c r="L708" i="12"/>
  <c r="K708" i="12"/>
  <c r="K703" i="12" s="1"/>
  <c r="J708" i="12"/>
  <c r="I708" i="12"/>
  <c r="G708" i="12"/>
  <c r="E708" i="12"/>
  <c r="D708" i="12"/>
  <c r="AI707" i="12"/>
  <c r="AI706" i="12"/>
  <c r="AI705" i="12"/>
  <c r="AH704" i="12"/>
  <c r="AG704" i="12"/>
  <c r="AF704" i="12"/>
  <c r="AE704" i="12"/>
  <c r="AD704" i="12"/>
  <c r="AC704" i="12"/>
  <c r="AB704" i="12"/>
  <c r="AA704" i="12"/>
  <c r="Z704" i="12"/>
  <c r="Y704" i="12"/>
  <c r="X704" i="12"/>
  <c r="W704" i="12"/>
  <c r="V704" i="12"/>
  <c r="U704" i="12"/>
  <c r="T704" i="12"/>
  <c r="T703" i="12" s="1"/>
  <c r="S704" i="12"/>
  <c r="R704" i="12"/>
  <c r="Q704" i="12"/>
  <c r="P704" i="12"/>
  <c r="O704" i="12"/>
  <c r="N704" i="12"/>
  <c r="M704" i="12"/>
  <c r="L704" i="12"/>
  <c r="L703" i="12" s="1"/>
  <c r="K704" i="12"/>
  <c r="J704" i="12"/>
  <c r="I704" i="12"/>
  <c r="H704" i="12"/>
  <c r="G704" i="12"/>
  <c r="F704" i="12"/>
  <c r="E704" i="12"/>
  <c r="D704" i="12"/>
  <c r="AI704" i="12" s="1"/>
  <c r="AB703" i="12"/>
  <c r="AI702" i="12"/>
  <c r="AI701" i="12"/>
  <c r="AI700" i="12"/>
  <c r="AH699" i="12"/>
  <c r="AG699" i="12"/>
  <c r="AF699" i="12"/>
  <c r="AE699" i="12"/>
  <c r="AD699" i="12"/>
  <c r="AC699" i="12"/>
  <c r="AB699" i="12"/>
  <c r="AA699" i="12"/>
  <c r="Z699" i="12"/>
  <c r="Y699" i="12"/>
  <c r="X699" i="12"/>
  <c r="W699" i="12"/>
  <c r="V699" i="12"/>
  <c r="U699" i="12"/>
  <c r="T699" i="12"/>
  <c r="S699" i="12"/>
  <c r="R699" i="12"/>
  <c r="Q699" i="12"/>
  <c r="P699" i="12"/>
  <c r="O699" i="12"/>
  <c r="N699" i="12"/>
  <c r="M699" i="12"/>
  <c r="L699" i="12"/>
  <c r="K699" i="12"/>
  <c r="J699" i="12"/>
  <c r="I699" i="12"/>
  <c r="H699" i="12"/>
  <c r="G699" i="12"/>
  <c r="F699" i="12"/>
  <c r="E699" i="12"/>
  <c r="AI699" i="12" s="1"/>
  <c r="D699" i="12"/>
  <c r="AI698" i="12"/>
  <c r="AI697" i="12"/>
  <c r="AI696" i="12"/>
  <c r="AH695" i="12"/>
  <c r="AG695" i="12"/>
  <c r="AF695" i="12"/>
  <c r="AE695" i="12"/>
  <c r="AD695" i="12"/>
  <c r="AC695" i="12"/>
  <c r="AB695" i="12"/>
  <c r="AA695" i="12"/>
  <c r="Z695" i="12"/>
  <c r="Y695" i="12"/>
  <c r="X695" i="12"/>
  <c r="W695" i="12"/>
  <c r="V695" i="12"/>
  <c r="U695" i="12"/>
  <c r="T695" i="12"/>
  <c r="S695" i="12"/>
  <c r="R695" i="12"/>
  <c r="Q695" i="12"/>
  <c r="P695" i="12"/>
  <c r="O695" i="12"/>
  <c r="N695" i="12"/>
  <c r="M695" i="12"/>
  <c r="L695" i="12"/>
  <c r="K695" i="12"/>
  <c r="J695" i="12"/>
  <c r="I695" i="12"/>
  <c r="H695" i="12"/>
  <c r="G695" i="12"/>
  <c r="F695" i="12"/>
  <c r="E695" i="12"/>
  <c r="D695" i="12"/>
  <c r="AI695" i="12" s="1"/>
  <c r="AI694" i="12"/>
  <c r="AI693" i="12"/>
  <c r="AI692" i="12"/>
  <c r="AH691" i="12"/>
  <c r="AG691" i="12"/>
  <c r="AF691" i="12"/>
  <c r="AE691" i="12"/>
  <c r="AD691" i="12"/>
  <c r="AC691" i="12"/>
  <c r="AB691" i="12"/>
  <c r="AA691" i="12"/>
  <c r="Z691" i="12"/>
  <c r="Y691" i="12"/>
  <c r="X691" i="12"/>
  <c r="W691" i="12"/>
  <c r="V691" i="12"/>
  <c r="U691" i="12"/>
  <c r="T691" i="12"/>
  <c r="S691" i="12"/>
  <c r="R691" i="12"/>
  <c r="Q691" i="12"/>
  <c r="P691" i="12"/>
  <c r="O691" i="12"/>
  <c r="N691" i="12"/>
  <c r="M691" i="12"/>
  <c r="L691" i="12"/>
  <c r="K691" i="12"/>
  <c r="J691" i="12"/>
  <c r="I691" i="12"/>
  <c r="H691" i="12"/>
  <c r="G691" i="12"/>
  <c r="F691" i="12"/>
  <c r="E691" i="12"/>
  <c r="AI691" i="12" s="1"/>
  <c r="D691" i="12"/>
  <c r="AI690" i="12"/>
  <c r="AI689" i="12"/>
  <c r="AI688" i="12"/>
  <c r="AH687" i="12"/>
  <c r="AG687" i="12"/>
  <c r="AF687" i="12"/>
  <c r="AE687" i="12"/>
  <c r="AD687" i="12"/>
  <c r="AC687" i="12"/>
  <c r="AB687" i="12"/>
  <c r="AA687" i="12"/>
  <c r="Z687" i="12"/>
  <c r="Y687" i="12"/>
  <c r="X687" i="12"/>
  <c r="W687" i="12"/>
  <c r="V687" i="12"/>
  <c r="U687" i="12"/>
  <c r="T687" i="12"/>
  <c r="S687" i="12"/>
  <c r="R687" i="12"/>
  <c r="Q687" i="12"/>
  <c r="P687" i="12"/>
  <c r="O687" i="12"/>
  <c r="N687" i="12"/>
  <c r="M687" i="12"/>
  <c r="L687" i="12"/>
  <c r="K687" i="12"/>
  <c r="J687" i="12"/>
  <c r="I687" i="12"/>
  <c r="H687" i="12"/>
  <c r="AI687" i="12" s="1"/>
  <c r="G687" i="12"/>
  <c r="F687" i="12"/>
  <c r="E687" i="12"/>
  <c r="D687" i="12"/>
  <c r="AI686" i="12"/>
  <c r="AI685" i="12"/>
  <c r="AI684" i="12"/>
  <c r="AH683" i="12"/>
  <c r="AG683" i="12"/>
  <c r="AF683" i="12"/>
  <c r="AE683" i="12"/>
  <c r="AD683" i="12"/>
  <c r="AC683" i="12"/>
  <c r="AC674" i="12" s="1"/>
  <c r="AB683" i="12"/>
  <c r="AA683" i="12"/>
  <c r="AA674" i="12" s="1"/>
  <c r="Z683" i="12"/>
  <c r="Y683" i="12"/>
  <c r="X683" i="12"/>
  <c r="W683" i="12"/>
  <c r="V683" i="12"/>
  <c r="U683" i="12"/>
  <c r="U674" i="12" s="1"/>
  <c r="T683" i="12"/>
  <c r="S683" i="12"/>
  <c r="S674" i="12" s="1"/>
  <c r="R683" i="12"/>
  <c r="Q683" i="12"/>
  <c r="P683" i="12"/>
  <c r="O683" i="12"/>
  <c r="N683" i="12"/>
  <c r="M683" i="12"/>
  <c r="M674" i="12" s="1"/>
  <c r="L683" i="12"/>
  <c r="K683" i="12"/>
  <c r="K674" i="12" s="1"/>
  <c r="J683" i="12"/>
  <c r="I683" i="12"/>
  <c r="H683" i="12"/>
  <c r="G683" i="12"/>
  <c r="F683" i="12"/>
  <c r="E683" i="12"/>
  <c r="E674" i="12" s="1"/>
  <c r="D683" i="12"/>
  <c r="AI682" i="12"/>
  <c r="AI681" i="12"/>
  <c r="AI680" i="12"/>
  <c r="AH679" i="12"/>
  <c r="AG679" i="12"/>
  <c r="AF679" i="12"/>
  <c r="AF674" i="12" s="1"/>
  <c r="AE679" i="12"/>
  <c r="AD679" i="12"/>
  <c r="AD674" i="12" s="1"/>
  <c r="AC679" i="12"/>
  <c r="AB679" i="12"/>
  <c r="AA679" i="12"/>
  <c r="Z679" i="12"/>
  <c r="Y679" i="12"/>
  <c r="X679" i="12"/>
  <c r="X674" i="12" s="1"/>
  <c r="W679" i="12"/>
  <c r="V679" i="12"/>
  <c r="V674" i="12" s="1"/>
  <c r="U679" i="12"/>
  <c r="T679" i="12"/>
  <c r="S679" i="12"/>
  <c r="R679" i="12"/>
  <c r="Q679" i="12"/>
  <c r="P679" i="12"/>
  <c r="P674" i="12" s="1"/>
  <c r="O679" i="12"/>
  <c r="N679" i="12"/>
  <c r="N674" i="12" s="1"/>
  <c r="M679" i="12"/>
  <c r="L679" i="12"/>
  <c r="K679" i="12"/>
  <c r="J679" i="12"/>
  <c r="I679" i="12"/>
  <c r="H679" i="12"/>
  <c r="H674" i="12" s="1"/>
  <c r="G679" i="12"/>
  <c r="F679" i="12"/>
  <c r="F674" i="12" s="1"/>
  <c r="E679" i="12"/>
  <c r="D679" i="12"/>
  <c r="AI679" i="12" s="1"/>
  <c r="AI678" i="12"/>
  <c r="AI677" i="12"/>
  <c r="AI676" i="12"/>
  <c r="AH675" i="12"/>
  <c r="AG675" i="12"/>
  <c r="AF675" i="12"/>
  <c r="AE675" i="12"/>
  <c r="AD675" i="12"/>
  <c r="AC675" i="12"/>
  <c r="AB675" i="12"/>
  <c r="AA675" i="12"/>
  <c r="Z675" i="12"/>
  <c r="Y675" i="12"/>
  <c r="X675" i="12"/>
  <c r="W675" i="12"/>
  <c r="V675" i="12"/>
  <c r="U675" i="12"/>
  <c r="T675" i="12"/>
  <c r="S675" i="12"/>
  <c r="R675" i="12"/>
  <c r="Q675" i="12"/>
  <c r="P675" i="12"/>
  <c r="O675" i="12"/>
  <c r="N675" i="12"/>
  <c r="M675" i="12"/>
  <c r="L675" i="12"/>
  <c r="K675" i="12"/>
  <c r="J675" i="12"/>
  <c r="I675" i="12"/>
  <c r="H675" i="12"/>
  <c r="G675" i="12"/>
  <c r="F675" i="12"/>
  <c r="E675" i="12"/>
  <c r="D675" i="12"/>
  <c r="AI675" i="12" s="1"/>
  <c r="AH674" i="12"/>
  <c r="AG674" i="12"/>
  <c r="AE674" i="12"/>
  <c r="AB674" i="12"/>
  <c r="Z674" i="12"/>
  <c r="Y674" i="12"/>
  <c r="W674" i="12"/>
  <c r="T674" i="12"/>
  <c r="R674" i="12"/>
  <c r="Q674" i="12"/>
  <c r="O674" i="12"/>
  <c r="L674" i="12"/>
  <c r="J674" i="12"/>
  <c r="I674" i="12"/>
  <c r="G674" i="12"/>
  <c r="D674" i="12"/>
  <c r="AI673" i="12"/>
  <c r="AI672" i="12"/>
  <c r="AI671" i="12"/>
  <c r="AH670" i="12"/>
  <c r="AG670" i="12"/>
  <c r="AF670" i="12"/>
  <c r="AE670" i="12"/>
  <c r="AD670" i="12"/>
  <c r="AC670" i="12"/>
  <c r="AB670" i="12"/>
  <c r="AA670" i="12"/>
  <c r="Z670" i="12"/>
  <c r="Y670" i="12"/>
  <c r="X670" i="12"/>
  <c r="W670" i="12"/>
  <c r="V670" i="12"/>
  <c r="U670" i="12"/>
  <c r="T670" i="12"/>
  <c r="S670" i="12"/>
  <c r="R670" i="12"/>
  <c r="Q670" i="12"/>
  <c r="P670" i="12"/>
  <c r="O670" i="12"/>
  <c r="N670" i="12"/>
  <c r="M670" i="12"/>
  <c r="L670" i="12"/>
  <c r="K670" i="12"/>
  <c r="J670" i="12"/>
  <c r="I670" i="12"/>
  <c r="H670" i="12"/>
  <c r="G670" i="12"/>
  <c r="F670" i="12"/>
  <c r="E670" i="12"/>
  <c r="D670" i="12"/>
  <c r="AI670" i="12" s="1"/>
  <c r="AI669" i="12"/>
  <c r="AI668" i="12"/>
  <c r="AI667" i="12"/>
  <c r="AH666" i="12"/>
  <c r="AG666" i="12"/>
  <c r="AF666" i="12"/>
  <c r="AE666" i="12"/>
  <c r="AD666" i="12"/>
  <c r="AC666" i="12"/>
  <c r="AB666" i="12"/>
  <c r="AA666" i="12"/>
  <c r="Z666" i="12"/>
  <c r="Y666" i="12"/>
  <c r="X666" i="12"/>
  <c r="W666" i="12"/>
  <c r="V666" i="12"/>
  <c r="U666" i="12"/>
  <c r="T666" i="12"/>
  <c r="S666" i="12"/>
  <c r="R666" i="12"/>
  <c r="Q666" i="12"/>
  <c r="P666" i="12"/>
  <c r="O666" i="12"/>
  <c r="N666" i="12"/>
  <c r="M666" i="12"/>
  <c r="L666" i="12"/>
  <c r="K666" i="12"/>
  <c r="J666" i="12"/>
  <c r="I666" i="12"/>
  <c r="H666" i="12"/>
  <c r="G666" i="12"/>
  <c r="F666" i="12"/>
  <c r="E666" i="12"/>
  <c r="D666" i="12"/>
  <c r="AI665" i="12"/>
  <c r="AI664" i="12"/>
  <c r="AI663" i="12"/>
  <c r="AH662" i="12"/>
  <c r="AH637" i="12" s="1"/>
  <c r="AG662" i="12"/>
  <c r="AF662" i="12"/>
  <c r="AE662" i="12"/>
  <c r="AD662" i="12"/>
  <c r="AC662" i="12"/>
  <c r="AB662" i="12"/>
  <c r="AA662" i="12"/>
  <c r="Z662" i="12"/>
  <c r="Z637" i="12" s="1"/>
  <c r="Y662" i="12"/>
  <c r="X662" i="12"/>
  <c r="W662" i="12"/>
  <c r="V662" i="12"/>
  <c r="U662" i="12"/>
  <c r="T662" i="12"/>
  <c r="S662" i="12"/>
  <c r="R662" i="12"/>
  <c r="R637" i="12" s="1"/>
  <c r="Q662" i="12"/>
  <c r="P662" i="12"/>
  <c r="O662" i="12"/>
  <c r="N662" i="12"/>
  <c r="M662" i="12"/>
  <c r="L662" i="12"/>
  <c r="K662" i="12"/>
  <c r="J662" i="12"/>
  <c r="J637" i="12" s="1"/>
  <c r="I662" i="12"/>
  <c r="H662" i="12"/>
  <c r="G662" i="12"/>
  <c r="F662" i="12"/>
  <c r="E662" i="12"/>
  <c r="D662" i="12"/>
  <c r="AI662" i="12" s="1"/>
  <c r="AI661" i="12"/>
  <c r="AI660" i="12"/>
  <c r="AI659" i="12"/>
  <c r="AH658" i="12"/>
  <c r="AG658" i="12"/>
  <c r="AF658" i="12"/>
  <c r="AE658" i="12"/>
  <c r="AD658" i="12"/>
  <c r="AC658" i="12"/>
  <c r="AB658" i="12"/>
  <c r="AA658" i="12"/>
  <c r="Z658" i="12"/>
  <c r="Y658" i="12"/>
  <c r="X658" i="12"/>
  <c r="W658" i="12"/>
  <c r="V658" i="12"/>
  <c r="U658" i="12"/>
  <c r="T658" i="12"/>
  <c r="S658" i="12"/>
  <c r="R658" i="12"/>
  <c r="Q658" i="12"/>
  <c r="P658" i="12"/>
  <c r="O658" i="12"/>
  <c r="N658" i="12"/>
  <c r="M658" i="12"/>
  <c r="L658" i="12"/>
  <c r="K658" i="12"/>
  <c r="J658" i="12"/>
  <c r="I658" i="12"/>
  <c r="H658" i="12"/>
  <c r="G658" i="12"/>
  <c r="F658" i="12"/>
  <c r="E658" i="12"/>
  <c r="D658" i="12"/>
  <c r="AI657" i="12"/>
  <c r="AI656" i="12"/>
  <c r="AI655" i="12"/>
  <c r="AH654" i="12"/>
  <c r="AG654" i="12"/>
  <c r="AF654" i="12"/>
  <c r="AE654" i="12"/>
  <c r="AD654" i="12"/>
  <c r="AC654" i="12"/>
  <c r="AB654" i="12"/>
  <c r="AA654" i="12"/>
  <c r="Z654" i="12"/>
  <c r="Y654" i="12"/>
  <c r="X654" i="12"/>
  <c r="W654" i="12"/>
  <c r="V654" i="12"/>
  <c r="U654" i="12"/>
  <c r="T654" i="12"/>
  <c r="S654" i="12"/>
  <c r="R654" i="12"/>
  <c r="Q654" i="12"/>
  <c r="P654" i="12"/>
  <c r="O654" i="12"/>
  <c r="N654" i="12"/>
  <c r="M654" i="12"/>
  <c r="L654" i="12"/>
  <c r="K654" i="12"/>
  <c r="AI654" i="12" s="1"/>
  <c r="J654" i="12"/>
  <c r="I654" i="12"/>
  <c r="H654" i="12"/>
  <c r="G654" i="12"/>
  <c r="F654" i="12"/>
  <c r="E654" i="12"/>
  <c r="D654" i="12"/>
  <c r="AI653" i="12"/>
  <c r="AI652" i="12"/>
  <c r="AI651" i="12"/>
  <c r="AH650" i="12"/>
  <c r="AG650" i="12"/>
  <c r="AF650" i="12"/>
  <c r="AE650" i="12"/>
  <c r="AD650" i="12"/>
  <c r="AC650" i="12"/>
  <c r="AC637" i="12" s="1"/>
  <c r="AB650" i="12"/>
  <c r="AA650" i="12"/>
  <c r="Z650" i="12"/>
  <c r="Y650" i="12"/>
  <c r="X650" i="12"/>
  <c r="W650" i="12"/>
  <c r="V650" i="12"/>
  <c r="U650" i="12"/>
  <c r="U637" i="12" s="1"/>
  <c r="T650" i="12"/>
  <c r="S650" i="12"/>
  <c r="R650" i="12"/>
  <c r="Q650" i="12"/>
  <c r="P650" i="12"/>
  <c r="O650" i="12"/>
  <c r="N650" i="12"/>
  <c r="M650" i="12"/>
  <c r="M637" i="12" s="1"/>
  <c r="L650" i="12"/>
  <c r="K650" i="12"/>
  <c r="J650" i="12"/>
  <c r="I650" i="12"/>
  <c r="H650" i="12"/>
  <c r="G650" i="12"/>
  <c r="F650" i="12"/>
  <c r="AI650" i="12" s="1"/>
  <c r="E650" i="12"/>
  <c r="E637" i="12" s="1"/>
  <c r="D650" i="12"/>
  <c r="AI649" i="12"/>
  <c r="AI648" i="12"/>
  <c r="AI647" i="12"/>
  <c r="AH646" i="12"/>
  <c r="AG646" i="12"/>
  <c r="AF646" i="12"/>
  <c r="AF637" i="12" s="1"/>
  <c r="AE646" i="12"/>
  <c r="AD646" i="12"/>
  <c r="AC646" i="12"/>
  <c r="AB646" i="12"/>
  <c r="AA646" i="12"/>
  <c r="Z646" i="12"/>
  <c r="Y646" i="12"/>
  <c r="X646" i="12"/>
  <c r="X637" i="12" s="1"/>
  <c r="W646" i="12"/>
  <c r="V646" i="12"/>
  <c r="V637" i="12" s="1"/>
  <c r="U646" i="12"/>
  <c r="T646" i="12"/>
  <c r="S646" i="12"/>
  <c r="R646" i="12"/>
  <c r="Q646" i="12"/>
  <c r="P646" i="12"/>
  <c r="P637" i="12" s="1"/>
  <c r="O646" i="12"/>
  <c r="N646" i="12"/>
  <c r="N637" i="12" s="1"/>
  <c r="M646" i="12"/>
  <c r="L646" i="12"/>
  <c r="K646" i="12"/>
  <c r="J646" i="12"/>
  <c r="I646" i="12"/>
  <c r="H646" i="12"/>
  <c r="H637" i="12" s="1"/>
  <c r="G646" i="12"/>
  <c r="F646" i="12"/>
  <c r="F637" i="12" s="1"/>
  <c r="E646" i="12"/>
  <c r="D646" i="12"/>
  <c r="AI645" i="12"/>
  <c r="AI644" i="12"/>
  <c r="AI643" i="12"/>
  <c r="AH642" i="12"/>
  <c r="AG642" i="12"/>
  <c r="AG637" i="12" s="1"/>
  <c r="AF642" i="12"/>
  <c r="AE642" i="12"/>
  <c r="AD642" i="12"/>
  <c r="AC642" i="12"/>
  <c r="AB642" i="12"/>
  <c r="AA642" i="12"/>
  <c r="AA637" i="12" s="1"/>
  <c r="Z642" i="12"/>
  <c r="Y642" i="12"/>
  <c r="Y637" i="12" s="1"/>
  <c r="X642" i="12"/>
  <c r="W642" i="12"/>
  <c r="V642" i="12"/>
  <c r="U642" i="12"/>
  <c r="T642" i="12"/>
  <c r="S642" i="12"/>
  <c r="S637" i="12" s="1"/>
  <c r="R642" i="12"/>
  <c r="Q642" i="12"/>
  <c r="Q637" i="12" s="1"/>
  <c r="P642" i="12"/>
  <c r="O642" i="12"/>
  <c r="N642" i="12"/>
  <c r="M642" i="12"/>
  <c r="L642" i="12"/>
  <c r="K642" i="12"/>
  <c r="K637" i="12" s="1"/>
  <c r="J642" i="12"/>
  <c r="I642" i="12"/>
  <c r="I637" i="12" s="1"/>
  <c r="H642" i="12"/>
  <c r="G642" i="12"/>
  <c r="F642" i="12"/>
  <c r="E642" i="12"/>
  <c r="D642" i="12"/>
  <c r="AI641" i="12"/>
  <c r="AI640" i="12"/>
  <c r="AI639" i="12"/>
  <c r="AH638" i="12"/>
  <c r="AG638" i="12"/>
  <c r="AF638" i="12"/>
  <c r="AE638" i="12"/>
  <c r="AD638" i="12"/>
  <c r="AC638" i="12"/>
  <c r="AB638" i="12"/>
  <c r="AA638" i="12"/>
  <c r="Z638" i="12"/>
  <c r="Y638" i="12"/>
  <c r="X638" i="12"/>
  <c r="W638" i="12"/>
  <c r="W637" i="12" s="1"/>
  <c r="V638" i="12"/>
  <c r="U638" i="12"/>
  <c r="T638" i="12"/>
  <c r="T637" i="12" s="1"/>
  <c r="S638" i="12"/>
  <c r="R638" i="12"/>
  <c r="Q638" i="12"/>
  <c r="P638" i="12"/>
  <c r="O638" i="12"/>
  <c r="O637" i="12" s="1"/>
  <c r="N638" i="12"/>
  <c r="M638" i="12"/>
  <c r="L638" i="12"/>
  <c r="K638" i="12"/>
  <c r="J638" i="12"/>
  <c r="I638" i="12"/>
  <c r="H638" i="12"/>
  <c r="G638" i="12"/>
  <c r="G637" i="12" s="1"/>
  <c r="F638" i="12"/>
  <c r="E638" i="12"/>
  <c r="D638" i="12"/>
  <c r="D637" i="12" s="1"/>
  <c r="AE637" i="12"/>
  <c r="AE610" i="12" s="1"/>
  <c r="AE609" i="12" s="1"/>
  <c r="AB637" i="12"/>
  <c r="L637" i="12"/>
  <c r="AI636" i="12"/>
  <c r="AI635" i="12"/>
  <c r="AI634" i="12"/>
  <c r="AH633" i="12"/>
  <c r="AG633" i="12"/>
  <c r="AF633" i="12"/>
  <c r="AE633" i="12"/>
  <c r="AD633" i="12"/>
  <c r="AC633" i="12"/>
  <c r="AB633" i="12"/>
  <c r="AA633" i="12"/>
  <c r="Z633" i="12"/>
  <c r="Y633" i="12"/>
  <c r="X633" i="12"/>
  <c r="W633" i="12"/>
  <c r="V633" i="12"/>
  <c r="U633" i="12"/>
  <c r="T633" i="12"/>
  <c r="S633" i="12"/>
  <c r="R633" i="12"/>
  <c r="Q633" i="12"/>
  <c r="P633" i="12"/>
  <c r="O633" i="12"/>
  <c r="N633" i="12"/>
  <c r="M633" i="12"/>
  <c r="L633" i="12"/>
  <c r="K633" i="12"/>
  <c r="J633" i="12"/>
  <c r="I633" i="12"/>
  <c r="H633" i="12"/>
  <c r="G633" i="12"/>
  <c r="F633" i="12"/>
  <c r="E633" i="12"/>
  <c r="D633" i="12"/>
  <c r="AI632" i="12"/>
  <c r="AI631" i="12"/>
  <c r="AI630" i="12"/>
  <c r="AH629" i="12"/>
  <c r="AH624" i="12" s="1"/>
  <c r="AG629" i="12"/>
  <c r="AF629" i="12"/>
  <c r="AE629" i="12"/>
  <c r="AD629" i="12"/>
  <c r="AC629" i="12"/>
  <c r="AB629" i="12"/>
  <c r="AB624" i="12" s="1"/>
  <c r="AB610" i="12" s="1"/>
  <c r="AB609" i="12" s="1"/>
  <c r="AA629" i="12"/>
  <c r="Z629" i="12"/>
  <c r="Z624" i="12" s="1"/>
  <c r="Y629" i="12"/>
  <c r="X629" i="12"/>
  <c r="W629" i="12"/>
  <c r="V629" i="12"/>
  <c r="U629" i="12"/>
  <c r="T629" i="12"/>
  <c r="T624" i="12" s="1"/>
  <c r="T610" i="12" s="1"/>
  <c r="T609" i="12" s="1"/>
  <c r="S629" i="12"/>
  <c r="R629" i="12"/>
  <c r="R624" i="12" s="1"/>
  <c r="Q629" i="12"/>
  <c r="P629" i="12"/>
  <c r="P624" i="12" s="1"/>
  <c r="O629" i="12"/>
  <c r="N629" i="12"/>
  <c r="M629" i="12"/>
  <c r="L629" i="12"/>
  <c r="L624" i="12" s="1"/>
  <c r="K629" i="12"/>
  <c r="J629" i="12"/>
  <c r="J624" i="12" s="1"/>
  <c r="I629" i="12"/>
  <c r="H629" i="12"/>
  <c r="G629" i="12"/>
  <c r="F629" i="12"/>
  <c r="E629" i="12"/>
  <c r="D629" i="12"/>
  <c r="AI628" i="12"/>
  <c r="AI627" i="12"/>
  <c r="AI626" i="12"/>
  <c r="AH625" i="12"/>
  <c r="AG625" i="12"/>
  <c r="AF625" i="12"/>
  <c r="AE625" i="12"/>
  <c r="AE624" i="12" s="1"/>
  <c r="AD625" i="12"/>
  <c r="AC625" i="12"/>
  <c r="AC624" i="12" s="1"/>
  <c r="AB625" i="12"/>
  <c r="AA625" i="12"/>
  <c r="AA624" i="12" s="1"/>
  <c r="Z625" i="12"/>
  <c r="Y625" i="12"/>
  <c r="X625" i="12"/>
  <c r="W625" i="12"/>
  <c r="W624" i="12" s="1"/>
  <c r="W610" i="12" s="1"/>
  <c r="W609" i="12" s="1"/>
  <c r="V625" i="12"/>
  <c r="U625" i="12"/>
  <c r="U624" i="12" s="1"/>
  <c r="T625" i="12"/>
  <c r="S625" i="12"/>
  <c r="S624" i="12" s="1"/>
  <c r="R625" i="12"/>
  <c r="Q625" i="12"/>
  <c r="P625" i="12"/>
  <c r="O625" i="12"/>
  <c r="O624" i="12" s="1"/>
  <c r="N625" i="12"/>
  <c r="M625" i="12"/>
  <c r="M624" i="12" s="1"/>
  <c r="L625" i="12"/>
  <c r="K625" i="12"/>
  <c r="K624" i="12" s="1"/>
  <c r="J625" i="12"/>
  <c r="I625" i="12"/>
  <c r="H625" i="12"/>
  <c r="G625" i="12"/>
  <c r="G624" i="12" s="1"/>
  <c r="F625" i="12"/>
  <c r="E625" i="12"/>
  <c r="D625" i="12"/>
  <c r="AG624" i="12"/>
  <c r="AD624" i="12"/>
  <c r="Y624" i="12"/>
  <c r="X624" i="12"/>
  <c r="V624" i="12"/>
  <c r="Q624" i="12"/>
  <c r="N624" i="12"/>
  <c r="I624" i="12"/>
  <c r="H624" i="12"/>
  <c r="F624" i="12"/>
  <c r="AI623" i="12"/>
  <c r="AI622" i="12"/>
  <c r="AI621" i="12"/>
  <c r="AH620" i="12"/>
  <c r="AH615" i="12" s="1"/>
  <c r="AH610" i="12" s="1"/>
  <c r="AH609" i="12" s="1"/>
  <c r="AG620" i="12"/>
  <c r="AF620" i="12"/>
  <c r="AF615" i="12" s="1"/>
  <c r="AE620" i="12"/>
  <c r="AD620" i="12"/>
  <c r="AC620" i="12"/>
  <c r="AB620" i="12"/>
  <c r="AA620" i="12"/>
  <c r="Z620" i="12"/>
  <c r="Z615" i="12" s="1"/>
  <c r="Z610" i="12" s="1"/>
  <c r="Z609" i="12" s="1"/>
  <c r="Y620" i="12"/>
  <c r="X620" i="12"/>
  <c r="X615" i="12" s="1"/>
  <c r="W620" i="12"/>
  <c r="V620" i="12"/>
  <c r="U620" i="12"/>
  <c r="T620" i="12"/>
  <c r="S620" i="12"/>
  <c r="R620" i="12"/>
  <c r="R615" i="12" s="1"/>
  <c r="R610" i="12" s="1"/>
  <c r="Q620" i="12"/>
  <c r="P620" i="12"/>
  <c r="P615" i="12" s="1"/>
  <c r="O620" i="12"/>
  <c r="N620" i="12"/>
  <c r="N615" i="12" s="1"/>
  <c r="M620" i="12"/>
  <c r="L620" i="12"/>
  <c r="K620" i="12"/>
  <c r="J620" i="12"/>
  <c r="J615" i="12" s="1"/>
  <c r="I620" i="12"/>
  <c r="H620" i="12"/>
  <c r="G620" i="12"/>
  <c r="F620" i="12"/>
  <c r="AI620" i="12" s="1"/>
  <c r="E620" i="12"/>
  <c r="D620" i="12"/>
  <c r="AI619" i="12"/>
  <c r="AI618" i="12"/>
  <c r="AI617" i="12"/>
  <c r="AH616" i="12"/>
  <c r="AG616" i="12"/>
  <c r="AG615" i="12" s="1"/>
  <c r="AF616" i="12"/>
  <c r="AE616" i="12"/>
  <c r="AD616" i="12"/>
  <c r="AC616" i="12"/>
  <c r="AC615" i="12" s="1"/>
  <c r="AB616" i="12"/>
  <c r="AA616" i="12"/>
  <c r="Z616" i="12"/>
  <c r="Y616" i="12"/>
  <c r="Y615" i="12" s="1"/>
  <c r="X616" i="12"/>
  <c r="W616" i="12"/>
  <c r="V616" i="12"/>
  <c r="U616" i="12"/>
  <c r="T616" i="12"/>
  <c r="S616" i="12"/>
  <c r="S615" i="12" s="1"/>
  <c r="R616" i="12"/>
  <c r="Q616" i="12"/>
  <c r="Q615" i="12" s="1"/>
  <c r="P616" i="12"/>
  <c r="O616" i="12"/>
  <c r="O615" i="12" s="1"/>
  <c r="N616" i="12"/>
  <c r="M616" i="12"/>
  <c r="M615" i="12" s="1"/>
  <c r="L616" i="12"/>
  <c r="K616" i="12"/>
  <c r="K615" i="12" s="1"/>
  <c r="J616" i="12"/>
  <c r="I616" i="12"/>
  <c r="I615" i="12" s="1"/>
  <c r="I610" i="12" s="1"/>
  <c r="I609" i="12" s="1"/>
  <c r="H616" i="12"/>
  <c r="G616" i="12"/>
  <c r="G615" i="12" s="1"/>
  <c r="F616" i="12"/>
  <c r="E616" i="12"/>
  <c r="E615" i="12" s="1"/>
  <c r="D616" i="12"/>
  <c r="AE615" i="12"/>
  <c r="AB615" i="12"/>
  <c r="AA615" i="12"/>
  <c r="AA610" i="12" s="1"/>
  <c r="AA609" i="12" s="1"/>
  <c r="W615" i="12"/>
  <c r="U615" i="12"/>
  <c r="T615" i="12"/>
  <c r="L615" i="12"/>
  <c r="L610" i="12" s="1"/>
  <c r="L609" i="12" s="1"/>
  <c r="H615" i="12"/>
  <c r="H610" i="12" s="1"/>
  <c r="H609" i="12" s="1"/>
  <c r="F615" i="12"/>
  <c r="D615" i="12"/>
  <c r="AI614" i="12"/>
  <c r="AI613" i="12"/>
  <c r="AI612" i="12"/>
  <c r="AH611" i="12"/>
  <c r="AG611" i="12"/>
  <c r="AF611" i="12"/>
  <c r="AE611" i="12"/>
  <c r="AD611" i="12"/>
  <c r="AC611" i="12"/>
  <c r="AB611" i="12"/>
  <c r="AA611" i="12"/>
  <c r="Z611" i="12"/>
  <c r="Y611" i="12"/>
  <c r="X611" i="12"/>
  <c r="W611" i="12"/>
  <c r="V611" i="12"/>
  <c r="U611" i="12"/>
  <c r="T611" i="12"/>
  <c r="S611" i="12"/>
  <c r="R611" i="12"/>
  <c r="Q611" i="12"/>
  <c r="P611" i="12"/>
  <c r="O611" i="12"/>
  <c r="O610" i="12" s="1"/>
  <c r="O609" i="12" s="1"/>
  <c r="N611" i="12"/>
  <c r="M611" i="12"/>
  <c r="L611" i="12"/>
  <c r="K611" i="12"/>
  <c r="J611" i="12"/>
  <c r="I611" i="12"/>
  <c r="H611" i="12"/>
  <c r="G611" i="12"/>
  <c r="AI611" i="12" s="1"/>
  <c r="F611" i="12"/>
  <c r="E611" i="12"/>
  <c r="D611" i="12"/>
  <c r="K610" i="12"/>
  <c r="K609" i="12" s="1"/>
  <c r="G610" i="12"/>
  <c r="G609" i="12" s="1"/>
  <c r="AI608" i="12"/>
  <c r="AI607" i="12"/>
  <c r="AI606" i="12"/>
  <c r="AH605" i="12"/>
  <c r="AG605" i="12"/>
  <c r="AF605" i="12"/>
  <c r="AE605" i="12"/>
  <c r="AD605" i="12"/>
  <c r="AC605" i="12"/>
  <c r="AB605" i="12"/>
  <c r="AA605" i="12"/>
  <c r="Z605" i="12"/>
  <c r="Y605" i="12"/>
  <c r="X605" i="12"/>
  <c r="W605" i="12"/>
  <c r="V605" i="12"/>
  <c r="U605" i="12"/>
  <c r="T605" i="12"/>
  <c r="S605" i="12"/>
  <c r="R605" i="12"/>
  <c r="Q605" i="12"/>
  <c r="P605" i="12"/>
  <c r="O605" i="12"/>
  <c r="N605" i="12"/>
  <c r="M605" i="12"/>
  <c r="L605" i="12"/>
  <c r="K605" i="12"/>
  <c r="J605" i="12"/>
  <c r="I605" i="12"/>
  <c r="H605" i="12"/>
  <c r="G605" i="12"/>
  <c r="F605" i="12"/>
  <c r="E605" i="12"/>
  <c r="D605" i="12"/>
  <c r="AI604" i="12"/>
  <c r="AI603" i="12"/>
  <c r="AI602" i="12"/>
  <c r="AH601" i="12"/>
  <c r="AG601" i="12"/>
  <c r="AF601" i="12"/>
  <c r="AE601" i="12"/>
  <c r="AD601" i="12"/>
  <c r="AC601" i="12"/>
  <c r="AB601" i="12"/>
  <c r="AA601" i="12"/>
  <c r="Z601" i="12"/>
  <c r="Y601" i="12"/>
  <c r="X601" i="12"/>
  <c r="W601" i="12"/>
  <c r="V601" i="12"/>
  <c r="U601" i="12"/>
  <c r="T601" i="12"/>
  <c r="S601" i="12"/>
  <c r="R601" i="12"/>
  <c r="Q601" i="12"/>
  <c r="P601" i="12"/>
  <c r="O601" i="12"/>
  <c r="N601" i="12"/>
  <c r="M601" i="12"/>
  <c r="L601" i="12"/>
  <c r="K601" i="12"/>
  <c r="J601" i="12"/>
  <c r="I601" i="12"/>
  <c r="H601" i="12"/>
  <c r="G601" i="12"/>
  <c r="F601" i="12"/>
  <c r="E601" i="12"/>
  <c r="D601" i="12"/>
  <c r="AI601" i="12" s="1"/>
  <c r="AI600" i="12"/>
  <c r="AI599" i="12"/>
  <c r="AI598" i="12"/>
  <c r="AH597" i="12"/>
  <c r="AG597" i="12"/>
  <c r="AF597" i="12"/>
  <c r="AE597" i="12"/>
  <c r="AD597" i="12"/>
  <c r="AC597" i="12"/>
  <c r="AB597" i="12"/>
  <c r="AA597" i="12"/>
  <c r="Z597" i="12"/>
  <c r="Y597" i="12"/>
  <c r="X597" i="12"/>
  <c r="W597" i="12"/>
  <c r="V597" i="12"/>
  <c r="U597" i="12"/>
  <c r="T597" i="12"/>
  <c r="S597" i="12"/>
  <c r="R597" i="12"/>
  <c r="Q597" i="12"/>
  <c r="P597" i="12"/>
  <c r="O597" i="12"/>
  <c r="N597" i="12"/>
  <c r="M597" i="12"/>
  <c r="L597" i="12"/>
  <c r="K597" i="12"/>
  <c r="J597" i="12"/>
  <c r="I597" i="12"/>
  <c r="H597" i="12"/>
  <c r="G597" i="12"/>
  <c r="F597" i="12"/>
  <c r="E597" i="12"/>
  <c r="D597" i="12"/>
  <c r="AI596" i="12"/>
  <c r="AI595" i="12"/>
  <c r="AI594" i="12"/>
  <c r="AH593" i="12"/>
  <c r="AG593" i="12"/>
  <c r="AF593" i="12"/>
  <c r="AE593" i="12"/>
  <c r="AD593" i="12"/>
  <c r="AC593" i="12"/>
  <c r="AB593" i="12"/>
  <c r="AA593" i="12"/>
  <c r="Z593" i="12"/>
  <c r="Y593" i="12"/>
  <c r="X593" i="12"/>
  <c r="W593" i="12"/>
  <c r="V593" i="12"/>
  <c r="U593" i="12"/>
  <c r="T593" i="12"/>
  <c r="S593" i="12"/>
  <c r="R593" i="12"/>
  <c r="Q593" i="12"/>
  <c r="P593" i="12"/>
  <c r="O593" i="12"/>
  <c r="N593" i="12"/>
  <c r="M593" i="12"/>
  <c r="L593" i="12"/>
  <c r="K593" i="12"/>
  <c r="AI593" i="12" s="1"/>
  <c r="J593" i="12"/>
  <c r="I593" i="12"/>
  <c r="H593" i="12"/>
  <c r="G593" i="12"/>
  <c r="F593" i="12"/>
  <c r="E593" i="12"/>
  <c r="D593" i="12"/>
  <c r="AI592" i="12"/>
  <c r="AI591" i="12"/>
  <c r="AI590" i="12"/>
  <c r="AH589" i="12"/>
  <c r="AG589" i="12"/>
  <c r="AF589" i="12"/>
  <c r="AE589" i="12"/>
  <c r="AD589" i="12"/>
  <c r="AC589" i="12"/>
  <c r="AB589" i="12"/>
  <c r="AA589" i="12"/>
  <c r="Z589" i="12"/>
  <c r="Y589" i="12"/>
  <c r="X589" i="12"/>
  <c r="W589" i="12"/>
  <c r="V589" i="12"/>
  <c r="U589" i="12"/>
  <c r="T589" i="12"/>
  <c r="S589" i="12"/>
  <c r="R589" i="12"/>
  <c r="Q589" i="12"/>
  <c r="P589" i="12"/>
  <c r="O589" i="12"/>
  <c r="N589" i="12"/>
  <c r="M589" i="12"/>
  <c r="L589" i="12"/>
  <c r="K589" i="12"/>
  <c r="J589" i="12"/>
  <c r="I589" i="12"/>
  <c r="H589" i="12"/>
  <c r="G589" i="12"/>
  <c r="F589" i="12"/>
  <c r="E589" i="12"/>
  <c r="D589" i="12"/>
  <c r="AI588" i="12"/>
  <c r="AI587" i="12"/>
  <c r="AI586" i="12"/>
  <c r="AH585" i="12"/>
  <c r="AG585" i="12"/>
  <c r="AF585" i="12"/>
  <c r="AE585" i="12"/>
  <c r="AD585" i="12"/>
  <c r="AC585" i="12"/>
  <c r="AB585" i="12"/>
  <c r="AA585" i="12"/>
  <c r="Z585" i="12"/>
  <c r="Y585" i="12"/>
  <c r="X585" i="12"/>
  <c r="W585" i="12"/>
  <c r="V585" i="12"/>
  <c r="U585" i="12"/>
  <c r="T585" i="12"/>
  <c r="S585" i="12"/>
  <c r="R585" i="12"/>
  <c r="Q585" i="12"/>
  <c r="P585" i="12"/>
  <c r="O585" i="12"/>
  <c r="N585" i="12"/>
  <c r="M585" i="12"/>
  <c r="L585" i="12"/>
  <c r="K585" i="12"/>
  <c r="J585" i="12"/>
  <c r="I585" i="12"/>
  <c r="H585" i="12"/>
  <c r="G585" i="12"/>
  <c r="F585" i="12"/>
  <c r="E585" i="12"/>
  <c r="D585" i="12"/>
  <c r="AI585" i="12" s="1"/>
  <c r="AI584" i="12"/>
  <c r="AI583" i="12"/>
  <c r="AI582" i="12"/>
  <c r="AH581" i="12"/>
  <c r="AG581" i="12"/>
  <c r="AF581" i="12"/>
  <c r="AE581" i="12"/>
  <c r="AD581" i="12"/>
  <c r="AC581" i="12"/>
  <c r="AB581" i="12"/>
  <c r="AA581" i="12"/>
  <c r="Z581" i="12"/>
  <c r="Y581" i="12"/>
  <c r="X581" i="12"/>
  <c r="W581" i="12"/>
  <c r="V581" i="12"/>
  <c r="U581" i="12"/>
  <c r="T581" i="12"/>
  <c r="S581" i="12"/>
  <c r="R581" i="12"/>
  <c r="Q581" i="12"/>
  <c r="P581" i="12"/>
  <c r="O581" i="12"/>
  <c r="N581" i="12"/>
  <c r="M581" i="12"/>
  <c r="L581" i="12"/>
  <c r="K581" i="12"/>
  <c r="J581" i="12"/>
  <c r="I581" i="12"/>
  <c r="H581" i="12"/>
  <c r="G581" i="12"/>
  <c r="F581" i="12"/>
  <c r="E581" i="12"/>
  <c r="D581" i="12"/>
  <c r="AI580" i="12"/>
  <c r="AI579" i="12"/>
  <c r="AI578" i="12"/>
  <c r="AH577" i="12"/>
  <c r="AG577" i="12"/>
  <c r="AF577" i="12"/>
  <c r="AE577" i="12"/>
  <c r="AD577" i="12"/>
  <c r="AC577" i="12"/>
  <c r="AB577" i="12"/>
  <c r="AA577" i="12"/>
  <c r="Z577" i="12"/>
  <c r="Y577" i="12"/>
  <c r="X577" i="12"/>
  <c r="W577" i="12"/>
  <c r="V577" i="12"/>
  <c r="U577" i="12"/>
  <c r="T577" i="12"/>
  <c r="S577" i="12"/>
  <c r="R577" i="12"/>
  <c r="Q577" i="12"/>
  <c r="P577" i="12"/>
  <c r="O577" i="12"/>
  <c r="N577" i="12"/>
  <c r="M577" i="12"/>
  <c r="L577" i="12"/>
  <c r="K577" i="12"/>
  <c r="J577" i="12"/>
  <c r="I577" i="12"/>
  <c r="H577" i="12"/>
  <c r="G577" i="12"/>
  <c r="F577" i="12"/>
  <c r="E577" i="12"/>
  <c r="D577" i="12"/>
  <c r="AI576" i="12"/>
  <c r="AI575" i="12"/>
  <c r="AI574" i="12"/>
  <c r="AH573" i="12"/>
  <c r="AG573" i="12"/>
  <c r="AF573" i="12"/>
  <c r="AE573" i="12"/>
  <c r="AD573" i="12"/>
  <c r="AC573" i="12"/>
  <c r="AB573" i="12"/>
  <c r="AA573" i="12"/>
  <c r="Z573" i="12"/>
  <c r="Y573" i="12"/>
  <c r="X573" i="12"/>
  <c r="W573" i="12"/>
  <c r="V573" i="12"/>
  <c r="U573" i="12"/>
  <c r="T573" i="12"/>
  <c r="S573" i="12"/>
  <c r="R573" i="12"/>
  <c r="Q573" i="12"/>
  <c r="P573" i="12"/>
  <c r="O573" i="12"/>
  <c r="N573" i="12"/>
  <c r="M573" i="12"/>
  <c r="L573" i="12"/>
  <c r="K573" i="12"/>
  <c r="J573" i="12"/>
  <c r="I573" i="12"/>
  <c r="H573" i="12"/>
  <c r="G573" i="12"/>
  <c r="F573" i="12"/>
  <c r="E573" i="12"/>
  <c r="D573" i="12"/>
  <c r="AI572" i="12"/>
  <c r="AI571" i="12"/>
  <c r="AI570" i="12"/>
  <c r="AH569" i="12"/>
  <c r="AG569" i="12"/>
  <c r="AF569" i="12"/>
  <c r="AE569" i="12"/>
  <c r="AD569" i="12"/>
  <c r="AC569" i="12"/>
  <c r="AB569" i="12"/>
  <c r="AA569" i="12"/>
  <c r="Z569" i="12"/>
  <c r="Y569" i="12"/>
  <c r="X569" i="12"/>
  <c r="W569" i="12"/>
  <c r="V569" i="12"/>
  <c r="U569" i="12"/>
  <c r="T569" i="12"/>
  <c r="S569" i="12"/>
  <c r="R569" i="12"/>
  <c r="Q569" i="12"/>
  <c r="P569" i="12"/>
  <c r="O569" i="12"/>
  <c r="N569" i="12"/>
  <c r="M569" i="12"/>
  <c r="L569" i="12"/>
  <c r="K569" i="12"/>
  <c r="J569" i="12"/>
  <c r="I569" i="12"/>
  <c r="H569" i="12"/>
  <c r="G569" i="12"/>
  <c r="F569" i="12"/>
  <c r="E569" i="12"/>
  <c r="D569" i="12"/>
  <c r="AI568" i="12"/>
  <c r="AI567" i="12"/>
  <c r="AI566" i="12"/>
  <c r="AH565" i="12"/>
  <c r="AG565" i="12"/>
  <c r="AF565" i="12"/>
  <c r="AE565" i="12"/>
  <c r="AD565" i="12"/>
  <c r="AC565" i="12"/>
  <c r="AB565" i="12"/>
  <c r="AA565" i="12"/>
  <c r="Z565" i="12"/>
  <c r="Y565" i="12"/>
  <c r="X565" i="12"/>
  <c r="W565" i="12"/>
  <c r="V565" i="12"/>
  <c r="U565" i="12"/>
  <c r="T565" i="12"/>
  <c r="S565" i="12"/>
  <c r="S532" i="12" s="1"/>
  <c r="R565" i="12"/>
  <c r="Q565" i="12"/>
  <c r="P565" i="12"/>
  <c r="O565" i="12"/>
  <c r="N565" i="12"/>
  <c r="M565" i="12"/>
  <c r="L565" i="12"/>
  <c r="K565" i="12"/>
  <c r="AI565" i="12" s="1"/>
  <c r="J565" i="12"/>
  <c r="I565" i="12"/>
  <c r="H565" i="12"/>
  <c r="G565" i="12"/>
  <c r="F565" i="12"/>
  <c r="E565" i="12"/>
  <c r="D565" i="12"/>
  <c r="AI564" i="12"/>
  <c r="AI563" i="12"/>
  <c r="AI562" i="12"/>
  <c r="AH561" i="12"/>
  <c r="AG561" i="12"/>
  <c r="AF561" i="12"/>
  <c r="AE561" i="12"/>
  <c r="AD561" i="12"/>
  <c r="AC561" i="12"/>
  <c r="AB561" i="12"/>
  <c r="AA561" i="12"/>
  <c r="Z561" i="12"/>
  <c r="Y561" i="12"/>
  <c r="X561" i="12"/>
  <c r="W561" i="12"/>
  <c r="V561" i="12"/>
  <c r="U561" i="12"/>
  <c r="T561" i="12"/>
  <c r="S561" i="12"/>
  <c r="R561" i="12"/>
  <c r="Q561" i="12"/>
  <c r="P561" i="12"/>
  <c r="O561" i="12"/>
  <c r="N561" i="12"/>
  <c r="M561" i="12"/>
  <c r="L561" i="12"/>
  <c r="K561" i="12"/>
  <c r="J561" i="12"/>
  <c r="I561" i="12"/>
  <c r="H561" i="12"/>
  <c r="G561" i="12"/>
  <c r="F561" i="12"/>
  <c r="E561" i="12"/>
  <c r="D561" i="12"/>
  <c r="AI560" i="12"/>
  <c r="AI559" i="12"/>
  <c r="AI558" i="12"/>
  <c r="AH557" i="12"/>
  <c r="AG557" i="12"/>
  <c r="AF557" i="12"/>
  <c r="AE557" i="12"/>
  <c r="AD557" i="12"/>
  <c r="AC557" i="12"/>
  <c r="AB557" i="12"/>
  <c r="AA557" i="12"/>
  <c r="Z557" i="12"/>
  <c r="Y557" i="12"/>
  <c r="X557" i="12"/>
  <c r="W557" i="12"/>
  <c r="V557" i="12"/>
  <c r="U557" i="12"/>
  <c r="T557" i="12"/>
  <c r="S557" i="12"/>
  <c r="R557" i="12"/>
  <c r="R532" i="12" s="1"/>
  <c r="Q557" i="12"/>
  <c r="P557" i="12"/>
  <c r="O557" i="12"/>
  <c r="N557" i="12"/>
  <c r="M557" i="12"/>
  <c r="L557" i="12"/>
  <c r="K557" i="12"/>
  <c r="J557" i="12"/>
  <c r="I557" i="12"/>
  <c r="AI557" i="12" s="1"/>
  <c r="H557" i="12"/>
  <c r="G557" i="12"/>
  <c r="F557" i="12"/>
  <c r="E557" i="12"/>
  <c r="D557" i="12"/>
  <c r="AI556" i="12"/>
  <c r="AI555" i="12"/>
  <c r="AI554" i="12"/>
  <c r="AH553" i="12"/>
  <c r="AG553" i="12"/>
  <c r="AF553" i="12"/>
  <c r="AE553" i="12"/>
  <c r="AD553" i="12"/>
  <c r="AC553" i="12"/>
  <c r="AB553" i="12"/>
  <c r="AA553" i="12"/>
  <c r="Z553" i="12"/>
  <c r="Y553" i="12"/>
  <c r="X553" i="12"/>
  <c r="W553" i="12"/>
  <c r="V553" i="12"/>
  <c r="U553" i="12"/>
  <c r="T553" i="12"/>
  <c r="S553" i="12"/>
  <c r="R553" i="12"/>
  <c r="Q553" i="12"/>
  <c r="P553" i="12"/>
  <c r="O553" i="12"/>
  <c r="N553" i="12"/>
  <c r="M553" i="12"/>
  <c r="L553" i="12"/>
  <c r="K553" i="12"/>
  <c r="J553" i="12"/>
  <c r="I553" i="12"/>
  <c r="H553" i="12"/>
  <c r="G553" i="12"/>
  <c r="F553" i="12"/>
  <c r="E553" i="12"/>
  <c r="D553" i="12"/>
  <c r="AI553" i="12" s="1"/>
  <c r="AI552" i="12"/>
  <c r="AI551" i="12"/>
  <c r="AI550" i="12"/>
  <c r="AH549" i="12"/>
  <c r="AG549" i="12"/>
  <c r="AF549" i="12"/>
  <c r="AE549" i="12"/>
  <c r="AD549" i="12"/>
  <c r="AC549" i="12"/>
  <c r="AB549" i="12"/>
  <c r="AA549" i="12"/>
  <c r="Z549" i="12"/>
  <c r="Y549" i="12"/>
  <c r="X549" i="12"/>
  <c r="W549" i="12"/>
  <c r="V549" i="12"/>
  <c r="U549" i="12"/>
  <c r="T549" i="12"/>
  <c r="S549" i="12"/>
  <c r="R549" i="12"/>
  <c r="Q549" i="12"/>
  <c r="P549" i="12"/>
  <c r="O549" i="12"/>
  <c r="N549" i="12"/>
  <c r="M549" i="12"/>
  <c r="L549" i="12"/>
  <c r="K549" i="12"/>
  <c r="J549" i="12"/>
  <c r="I549" i="12"/>
  <c r="H549" i="12"/>
  <c r="G549" i="12"/>
  <c r="F549" i="12"/>
  <c r="E549" i="12"/>
  <c r="D549" i="12"/>
  <c r="AI548" i="12"/>
  <c r="AI547" i="12"/>
  <c r="AI546" i="12"/>
  <c r="AH545" i="12"/>
  <c r="AG545" i="12"/>
  <c r="AF545" i="12"/>
  <c r="AE545" i="12"/>
  <c r="AD545" i="12"/>
  <c r="AC545" i="12"/>
  <c r="AB545" i="12"/>
  <c r="AA545" i="12"/>
  <c r="Z545" i="12"/>
  <c r="Y545" i="12"/>
  <c r="X545" i="12"/>
  <c r="W545" i="12"/>
  <c r="V545" i="12"/>
  <c r="U545" i="12"/>
  <c r="T545" i="12"/>
  <c r="S545" i="12"/>
  <c r="R545" i="12"/>
  <c r="Q545" i="12"/>
  <c r="P545" i="12"/>
  <c r="O545" i="12"/>
  <c r="N545" i="12"/>
  <c r="M545" i="12"/>
  <c r="L545" i="12"/>
  <c r="K545" i="12"/>
  <c r="J545" i="12"/>
  <c r="I545" i="12"/>
  <c r="AI545" i="12" s="1"/>
  <c r="H545" i="12"/>
  <c r="G545" i="12"/>
  <c r="F545" i="12"/>
  <c r="E545" i="12"/>
  <c r="D545" i="12"/>
  <c r="AI544" i="12"/>
  <c r="AI543" i="12"/>
  <c r="AI542" i="12"/>
  <c r="AH541" i="12"/>
  <c r="AG541" i="12"/>
  <c r="AF541" i="12"/>
  <c r="AE541" i="12"/>
  <c r="AD541" i="12"/>
  <c r="AC541" i="12"/>
  <c r="AB541" i="12"/>
  <c r="AA541" i="12"/>
  <c r="Z541" i="12"/>
  <c r="Y541" i="12"/>
  <c r="X541" i="12"/>
  <c r="W541" i="12"/>
  <c r="V541" i="12"/>
  <c r="U541" i="12"/>
  <c r="T541" i="12"/>
  <c r="S541" i="12"/>
  <c r="R541" i="12"/>
  <c r="Q541" i="12"/>
  <c r="P541" i="12"/>
  <c r="O541" i="12"/>
  <c r="N541" i="12"/>
  <c r="M541" i="12"/>
  <c r="L541" i="12"/>
  <c r="K541" i="12"/>
  <c r="J541" i="12"/>
  <c r="I541" i="12"/>
  <c r="H541" i="12"/>
  <c r="G541" i="12"/>
  <c r="F541" i="12"/>
  <c r="E541" i="12"/>
  <c r="D541" i="12"/>
  <c r="AI541" i="12" s="1"/>
  <c r="AI540" i="12"/>
  <c r="AI539" i="12"/>
  <c r="AI538" i="12"/>
  <c r="AH537" i="12"/>
  <c r="AG537" i="12"/>
  <c r="AF537" i="12"/>
  <c r="AE537" i="12"/>
  <c r="AD537" i="12"/>
  <c r="AC537" i="12"/>
  <c r="AB537" i="12"/>
  <c r="AA537" i="12"/>
  <c r="Z537" i="12"/>
  <c r="Y537" i="12"/>
  <c r="X537" i="12"/>
  <c r="W537" i="12"/>
  <c r="V537" i="12"/>
  <c r="U537" i="12"/>
  <c r="U532" i="12" s="1"/>
  <c r="U471" i="12" s="1"/>
  <c r="T537" i="12"/>
  <c r="S537" i="12"/>
  <c r="R537" i="12"/>
  <c r="Q537" i="12"/>
  <c r="P537" i="12"/>
  <c r="O537" i="12"/>
  <c r="N537" i="12"/>
  <c r="M537" i="12"/>
  <c r="M532" i="12" s="1"/>
  <c r="L537" i="12"/>
  <c r="K537" i="12"/>
  <c r="J537" i="12"/>
  <c r="I537" i="12"/>
  <c r="H537" i="12"/>
  <c r="G537" i="12"/>
  <c r="F537" i="12"/>
  <c r="E537" i="12"/>
  <c r="AI537" i="12" s="1"/>
  <c r="D537" i="12"/>
  <c r="AI536" i="12"/>
  <c r="AI535" i="12"/>
  <c r="AI534" i="12"/>
  <c r="AH533" i="12"/>
  <c r="AG533" i="12"/>
  <c r="AF533" i="12"/>
  <c r="AE533" i="12"/>
  <c r="AD533" i="12"/>
  <c r="AC533" i="12"/>
  <c r="AB533" i="12"/>
  <c r="AA533" i="12"/>
  <c r="Z533" i="12"/>
  <c r="Y533" i="12"/>
  <c r="X533" i="12"/>
  <c r="W533" i="12"/>
  <c r="V533" i="12"/>
  <c r="U533" i="12"/>
  <c r="T533" i="12"/>
  <c r="S533" i="12"/>
  <c r="R533" i="12"/>
  <c r="Q533" i="12"/>
  <c r="P533" i="12"/>
  <c r="O533" i="12"/>
  <c r="N533" i="12"/>
  <c r="M533" i="12"/>
  <c r="L533" i="12"/>
  <c r="K533" i="12"/>
  <c r="K532" i="12" s="1"/>
  <c r="J533" i="12"/>
  <c r="I533" i="12"/>
  <c r="H533" i="12"/>
  <c r="G533" i="12"/>
  <c r="F533" i="12"/>
  <c r="E533" i="12"/>
  <c r="D533" i="12"/>
  <c r="AF532" i="12"/>
  <c r="E532" i="12"/>
  <c r="AI531" i="12"/>
  <c r="AI530" i="12"/>
  <c r="AI529" i="12"/>
  <c r="AH528" i="12"/>
  <c r="AG528" i="12"/>
  <c r="AF528" i="12"/>
  <c r="AE528" i="12"/>
  <c r="AD528" i="12"/>
  <c r="AC528" i="12"/>
  <c r="AB528" i="12"/>
  <c r="AA528" i="12"/>
  <c r="Z528" i="12"/>
  <c r="Y528" i="12"/>
  <c r="X528" i="12"/>
  <c r="W528" i="12"/>
  <c r="V528" i="12"/>
  <c r="U528" i="12"/>
  <c r="T528" i="12"/>
  <c r="S528" i="12"/>
  <c r="R528" i="12"/>
  <c r="Q528" i="12"/>
  <c r="P528" i="12"/>
  <c r="O528" i="12"/>
  <c r="N528" i="12"/>
  <c r="M528" i="12"/>
  <c r="L528" i="12"/>
  <c r="K528" i="12"/>
  <c r="J528" i="12"/>
  <c r="I528" i="12"/>
  <c r="H528" i="12"/>
  <c r="G528" i="12"/>
  <c r="F528" i="12"/>
  <c r="E528" i="12"/>
  <c r="AI528" i="12" s="1"/>
  <c r="D528" i="12"/>
  <c r="AI527" i="12"/>
  <c r="AI526" i="12"/>
  <c r="AI525" i="12"/>
  <c r="AH524" i="12"/>
  <c r="AG524" i="12"/>
  <c r="AF524" i="12"/>
  <c r="AE524" i="12"/>
  <c r="AD524" i="12"/>
  <c r="AC524" i="12"/>
  <c r="AB524" i="12"/>
  <c r="AA524" i="12"/>
  <c r="Z524" i="12"/>
  <c r="Y524" i="12"/>
  <c r="X524" i="12"/>
  <c r="W524" i="12"/>
  <c r="V524" i="12"/>
  <c r="U524" i="12"/>
  <c r="T524" i="12"/>
  <c r="S524" i="12"/>
  <c r="R524" i="12"/>
  <c r="Q524" i="12"/>
  <c r="P524" i="12"/>
  <c r="O524" i="12"/>
  <c r="N524" i="12"/>
  <c r="M524" i="12"/>
  <c r="L524" i="12"/>
  <c r="K524" i="12"/>
  <c r="J524" i="12"/>
  <c r="AI524" i="12" s="1"/>
  <c r="I524" i="12"/>
  <c r="H524" i="12"/>
  <c r="G524" i="12"/>
  <c r="F524" i="12"/>
  <c r="E524" i="12"/>
  <c r="D524" i="12"/>
  <c r="AI523" i="12"/>
  <c r="AI522" i="12"/>
  <c r="AI521" i="12"/>
  <c r="AH520" i="12"/>
  <c r="AG520" i="12"/>
  <c r="AF520" i="12"/>
  <c r="AE520" i="12"/>
  <c r="AD520" i="12"/>
  <c r="AC520" i="12"/>
  <c r="AB520" i="12"/>
  <c r="AA520" i="12"/>
  <c r="Z520" i="12"/>
  <c r="Y520" i="12"/>
  <c r="X520" i="12"/>
  <c r="W520" i="12"/>
  <c r="V520" i="12"/>
  <c r="U520" i="12"/>
  <c r="T520" i="12"/>
  <c r="S520" i="12"/>
  <c r="R520" i="12"/>
  <c r="Q520" i="12"/>
  <c r="P520" i="12"/>
  <c r="O520" i="12"/>
  <c r="N520" i="12"/>
  <c r="M520" i="12"/>
  <c r="L520" i="12"/>
  <c r="K520" i="12"/>
  <c r="J520" i="12"/>
  <c r="I520" i="12"/>
  <c r="H520" i="12"/>
  <c r="G520" i="12"/>
  <c r="F520" i="12"/>
  <c r="E520" i="12"/>
  <c r="D520" i="12"/>
  <c r="AI519" i="12"/>
  <c r="AI518" i="12"/>
  <c r="AI517" i="12"/>
  <c r="AH516" i="12"/>
  <c r="AG516" i="12"/>
  <c r="AF516" i="12"/>
  <c r="AE516" i="12"/>
  <c r="AD516" i="12"/>
  <c r="AC516" i="12"/>
  <c r="AB516" i="12"/>
  <c r="AA516" i="12"/>
  <c r="Z516" i="12"/>
  <c r="Y516" i="12"/>
  <c r="X516" i="12"/>
  <c r="W516" i="12"/>
  <c r="V516" i="12"/>
  <c r="U516" i="12"/>
  <c r="T516" i="12"/>
  <c r="S516" i="12"/>
  <c r="R516" i="12"/>
  <c r="Q516" i="12"/>
  <c r="P516" i="12"/>
  <c r="O516" i="12"/>
  <c r="N516" i="12"/>
  <c r="M516" i="12"/>
  <c r="L516" i="12"/>
  <c r="K516" i="12"/>
  <c r="J516" i="12"/>
  <c r="I516" i="12"/>
  <c r="H516" i="12"/>
  <c r="G516" i="12"/>
  <c r="F516" i="12"/>
  <c r="E516" i="12"/>
  <c r="D516" i="12"/>
  <c r="AI515" i="12"/>
  <c r="AI514" i="12"/>
  <c r="AI513" i="12"/>
  <c r="AH512" i="12"/>
  <c r="AG512" i="12"/>
  <c r="AF512" i="12"/>
  <c r="AE512" i="12"/>
  <c r="AD512" i="12"/>
  <c r="AC512" i="12"/>
  <c r="AB512" i="12"/>
  <c r="AA512" i="12"/>
  <c r="Z512" i="12"/>
  <c r="Y512" i="12"/>
  <c r="X512" i="12"/>
  <c r="W512" i="12"/>
  <c r="V512" i="12"/>
  <c r="U512" i="12"/>
  <c r="T512" i="12"/>
  <c r="S512" i="12"/>
  <c r="R512" i="12"/>
  <c r="Q512" i="12"/>
  <c r="P512" i="12"/>
  <c r="O512" i="12"/>
  <c r="N512" i="12"/>
  <c r="M512" i="12"/>
  <c r="L512" i="12"/>
  <c r="K512" i="12"/>
  <c r="J512" i="12"/>
  <c r="I512" i="12"/>
  <c r="H512" i="12"/>
  <c r="G512" i="12"/>
  <c r="F512" i="12"/>
  <c r="E512" i="12"/>
  <c r="D512" i="12"/>
  <c r="AI511" i="12"/>
  <c r="AI510" i="12"/>
  <c r="AI509" i="12"/>
  <c r="AH508" i="12"/>
  <c r="AG508" i="12"/>
  <c r="AF508" i="12"/>
  <c r="AE508" i="12"/>
  <c r="AD508" i="12"/>
  <c r="AC508" i="12"/>
  <c r="AB508" i="12"/>
  <c r="AA508" i="12"/>
  <c r="Z508" i="12"/>
  <c r="Y508" i="12"/>
  <c r="X508" i="12"/>
  <c r="W508" i="12"/>
  <c r="V508" i="12"/>
  <c r="U508" i="12"/>
  <c r="T508" i="12"/>
  <c r="S508" i="12"/>
  <c r="R508" i="12"/>
  <c r="Q508" i="12"/>
  <c r="P508" i="12"/>
  <c r="O508" i="12"/>
  <c r="N508" i="12"/>
  <c r="M508" i="12"/>
  <c r="L508" i="12"/>
  <c r="K508" i="12"/>
  <c r="J508" i="12"/>
  <c r="I508" i="12"/>
  <c r="H508" i="12"/>
  <c r="G508" i="12"/>
  <c r="F508" i="12"/>
  <c r="E508" i="12"/>
  <c r="D508" i="12"/>
  <c r="AI508" i="12" s="1"/>
  <c r="AI507" i="12"/>
  <c r="AI506" i="12"/>
  <c r="AI505" i="12"/>
  <c r="AH504" i="12"/>
  <c r="AG504" i="12"/>
  <c r="AF504" i="12"/>
  <c r="AE504" i="12"/>
  <c r="AD504" i="12"/>
  <c r="AC504" i="12"/>
  <c r="AB504" i="12"/>
  <c r="AA504" i="12"/>
  <c r="Z504" i="12"/>
  <c r="Y504" i="12"/>
  <c r="X504" i="12"/>
  <c r="W504" i="12"/>
  <c r="V504" i="12"/>
  <c r="U504" i="12"/>
  <c r="T504" i="12"/>
  <c r="S504" i="12"/>
  <c r="R504" i="12"/>
  <c r="Q504" i="12"/>
  <c r="P504" i="12"/>
  <c r="O504" i="12"/>
  <c r="N504" i="12"/>
  <c r="M504" i="12"/>
  <c r="L504" i="12"/>
  <c r="K504" i="12"/>
  <c r="J504" i="12"/>
  <c r="I504" i="12"/>
  <c r="H504" i="12"/>
  <c r="G504" i="12"/>
  <c r="F504" i="12"/>
  <c r="E504" i="12"/>
  <c r="AI504" i="12" s="1"/>
  <c r="D504" i="12"/>
  <c r="AI503" i="12"/>
  <c r="AI502" i="12"/>
  <c r="AI501" i="12"/>
  <c r="AH500" i="12"/>
  <c r="AG500" i="12"/>
  <c r="AF500" i="12"/>
  <c r="AE500" i="12"/>
  <c r="AD500" i="12"/>
  <c r="AC500" i="12"/>
  <c r="AB500" i="12"/>
  <c r="AA500" i="12"/>
  <c r="Z500" i="12"/>
  <c r="Y500" i="12"/>
  <c r="X500" i="12"/>
  <c r="W500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AI500" i="12" s="1"/>
  <c r="I500" i="12"/>
  <c r="H500" i="12"/>
  <c r="G500" i="12"/>
  <c r="F500" i="12"/>
  <c r="E500" i="12"/>
  <c r="D500" i="12"/>
  <c r="AI499" i="12"/>
  <c r="AI498" i="12"/>
  <c r="AI497" i="12"/>
  <c r="AH496" i="12"/>
  <c r="AG496" i="12"/>
  <c r="AF496" i="12"/>
  <c r="AE496" i="12"/>
  <c r="AD496" i="12"/>
  <c r="AC496" i="12"/>
  <c r="AB496" i="12"/>
  <c r="AA496" i="12"/>
  <c r="Z496" i="12"/>
  <c r="Y496" i="12"/>
  <c r="X496" i="12"/>
  <c r="W496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I496" i="12"/>
  <c r="H496" i="12"/>
  <c r="G496" i="12"/>
  <c r="F496" i="12"/>
  <c r="E496" i="12"/>
  <c r="D496" i="12"/>
  <c r="AI495" i="12"/>
  <c r="AI494" i="12"/>
  <c r="AI493" i="12"/>
  <c r="AH492" i="12"/>
  <c r="AG492" i="12"/>
  <c r="AF492" i="12"/>
  <c r="AE492" i="12"/>
  <c r="AD492" i="12"/>
  <c r="AC492" i="12"/>
  <c r="AB492" i="12"/>
  <c r="AA492" i="12"/>
  <c r="Z492" i="12"/>
  <c r="Y492" i="12"/>
  <c r="X492" i="12"/>
  <c r="W492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I492" i="12"/>
  <c r="H492" i="12"/>
  <c r="G492" i="12"/>
  <c r="F492" i="12"/>
  <c r="E492" i="12"/>
  <c r="D492" i="12"/>
  <c r="AI491" i="12"/>
  <c r="AI490" i="12"/>
  <c r="AI489" i="12"/>
  <c r="AH488" i="12"/>
  <c r="AG488" i="12"/>
  <c r="AF488" i="12"/>
  <c r="AE488" i="12"/>
  <c r="AD488" i="12"/>
  <c r="AC488" i="12"/>
  <c r="AB488" i="12"/>
  <c r="AA488" i="12"/>
  <c r="Z488" i="12"/>
  <c r="Y488" i="12"/>
  <c r="X488" i="12"/>
  <c r="W488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I488" i="12"/>
  <c r="H488" i="12"/>
  <c r="G488" i="12"/>
  <c r="F488" i="12"/>
  <c r="E488" i="12"/>
  <c r="D488" i="12"/>
  <c r="AI487" i="12"/>
  <c r="AI486" i="12"/>
  <c r="AI485" i="12"/>
  <c r="AH484" i="12"/>
  <c r="AG484" i="12"/>
  <c r="AF484" i="12"/>
  <c r="AE484" i="12"/>
  <c r="AD484" i="12"/>
  <c r="AC484" i="12"/>
  <c r="AB484" i="12"/>
  <c r="AA484" i="12"/>
  <c r="Z484" i="12"/>
  <c r="Y484" i="12"/>
  <c r="X484" i="12"/>
  <c r="W484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I484" i="12"/>
  <c r="H484" i="12"/>
  <c r="G484" i="12"/>
  <c r="F484" i="12"/>
  <c r="E484" i="12"/>
  <c r="D484" i="12"/>
  <c r="AI483" i="12"/>
  <c r="AI482" i="12"/>
  <c r="AI481" i="12"/>
  <c r="AH480" i="12"/>
  <c r="AG480" i="12"/>
  <c r="AF480" i="12"/>
  <c r="AE480" i="12"/>
  <c r="AD480" i="12"/>
  <c r="AC480" i="12"/>
  <c r="AB480" i="12"/>
  <c r="AA480" i="12"/>
  <c r="Z480" i="12"/>
  <c r="Y480" i="12"/>
  <c r="X480" i="12"/>
  <c r="W480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I480" i="12"/>
  <c r="H480" i="12"/>
  <c r="G480" i="12"/>
  <c r="F480" i="12"/>
  <c r="E480" i="12"/>
  <c r="D480" i="12"/>
  <c r="AI479" i="12"/>
  <c r="AI478" i="12"/>
  <c r="AI477" i="12"/>
  <c r="AH476" i="12"/>
  <c r="AG476" i="12"/>
  <c r="AF476" i="12"/>
  <c r="AE476" i="12"/>
  <c r="AD476" i="12"/>
  <c r="AC476" i="12"/>
  <c r="AB476" i="12"/>
  <c r="AA476" i="12"/>
  <c r="Z476" i="12"/>
  <c r="Y476" i="12"/>
  <c r="X476" i="12"/>
  <c r="W476" i="12"/>
  <c r="V476" i="12"/>
  <c r="U476" i="12"/>
  <c r="T476" i="12"/>
  <c r="S476" i="12"/>
  <c r="R476" i="12"/>
  <c r="Q476" i="12"/>
  <c r="P476" i="12"/>
  <c r="O476" i="12"/>
  <c r="N476" i="12"/>
  <c r="M476" i="12"/>
  <c r="L476" i="12"/>
  <c r="K476" i="12"/>
  <c r="J476" i="12"/>
  <c r="I476" i="12"/>
  <c r="H476" i="12"/>
  <c r="G476" i="12"/>
  <c r="F476" i="12"/>
  <c r="E476" i="12"/>
  <c r="E471" i="12" s="1"/>
  <c r="D476" i="12"/>
  <c r="AI475" i="12"/>
  <c r="AI474" i="12"/>
  <c r="AI473" i="12"/>
  <c r="AH472" i="12"/>
  <c r="AG472" i="12"/>
  <c r="AF472" i="12"/>
  <c r="AE472" i="12"/>
  <c r="AD472" i="12"/>
  <c r="AC472" i="12"/>
  <c r="AB472" i="12"/>
  <c r="AA472" i="12"/>
  <c r="Z472" i="12"/>
  <c r="Y472" i="12"/>
  <c r="X472" i="12"/>
  <c r="W472" i="12"/>
  <c r="V472" i="12"/>
  <c r="U472" i="12"/>
  <c r="T472" i="12"/>
  <c r="S472" i="12"/>
  <c r="R472" i="12"/>
  <c r="Q472" i="12"/>
  <c r="P472" i="12"/>
  <c r="O472" i="12"/>
  <c r="N472" i="12"/>
  <c r="M472" i="12"/>
  <c r="L472" i="12"/>
  <c r="K472" i="12"/>
  <c r="J472" i="12"/>
  <c r="I472" i="12"/>
  <c r="H472" i="12"/>
  <c r="G472" i="12"/>
  <c r="F472" i="12"/>
  <c r="E472" i="12"/>
  <c r="D472" i="12"/>
  <c r="AI472" i="12" s="1"/>
  <c r="AI470" i="12"/>
  <c r="AI469" i="12"/>
  <c r="AI468" i="12"/>
  <c r="AH467" i="12"/>
  <c r="AG467" i="12"/>
  <c r="AF467" i="12"/>
  <c r="AE467" i="12"/>
  <c r="AD467" i="12"/>
  <c r="AC467" i="12"/>
  <c r="AB467" i="12"/>
  <c r="AA467" i="12"/>
  <c r="Z467" i="12"/>
  <c r="Y467" i="12"/>
  <c r="X467" i="12"/>
  <c r="W467" i="12"/>
  <c r="V467" i="12"/>
  <c r="U467" i="12"/>
  <c r="T467" i="12"/>
  <c r="S467" i="12"/>
  <c r="R467" i="12"/>
  <c r="Q467" i="12"/>
  <c r="P467" i="12"/>
  <c r="O467" i="12"/>
  <c r="N467" i="12"/>
  <c r="M467" i="12"/>
  <c r="L467" i="12"/>
  <c r="K467" i="12"/>
  <c r="J467" i="12"/>
  <c r="I467" i="12"/>
  <c r="H467" i="12"/>
  <c r="G467" i="12"/>
  <c r="F467" i="12"/>
  <c r="E467" i="12"/>
  <c r="AI467" i="12" s="1"/>
  <c r="D467" i="12"/>
  <c r="AI466" i="12"/>
  <c r="AI465" i="12"/>
  <c r="AI464" i="12"/>
  <c r="AH463" i="12"/>
  <c r="AG463" i="12"/>
  <c r="AF463" i="12"/>
  <c r="AE463" i="12"/>
  <c r="AD463" i="12"/>
  <c r="AC463" i="12"/>
  <c r="AB463" i="12"/>
  <c r="AA463" i="12"/>
  <c r="Z463" i="12"/>
  <c r="Y463" i="12"/>
  <c r="X463" i="12"/>
  <c r="W463" i="12"/>
  <c r="V463" i="12"/>
  <c r="U463" i="12"/>
  <c r="T463" i="12"/>
  <c r="S463" i="12"/>
  <c r="R463" i="12"/>
  <c r="Q463" i="12"/>
  <c r="P463" i="12"/>
  <c r="O463" i="12"/>
  <c r="N463" i="12"/>
  <c r="M463" i="12"/>
  <c r="L463" i="12"/>
  <c r="K463" i="12"/>
  <c r="J463" i="12"/>
  <c r="I463" i="12"/>
  <c r="H463" i="12"/>
  <c r="G463" i="12"/>
  <c r="F463" i="12"/>
  <c r="E463" i="12"/>
  <c r="D463" i="12"/>
  <c r="AI462" i="12"/>
  <c r="AI461" i="12"/>
  <c r="AI460" i="12"/>
  <c r="AH459" i="12"/>
  <c r="AG459" i="12"/>
  <c r="AF459" i="12"/>
  <c r="AE459" i="12"/>
  <c r="AD459" i="12"/>
  <c r="AC459" i="12"/>
  <c r="AB459" i="12"/>
  <c r="AA459" i="12"/>
  <c r="Z459" i="12"/>
  <c r="Y459" i="12"/>
  <c r="X459" i="12"/>
  <c r="W459" i="12"/>
  <c r="V459" i="12"/>
  <c r="U459" i="12"/>
  <c r="T459" i="12"/>
  <c r="S459" i="12"/>
  <c r="R459" i="12"/>
  <c r="Q459" i="12"/>
  <c r="P459" i="12"/>
  <c r="O459" i="12"/>
  <c r="N459" i="12"/>
  <c r="M459" i="12"/>
  <c r="L459" i="12"/>
  <c r="K459" i="12"/>
  <c r="AI459" i="12" s="1"/>
  <c r="J459" i="12"/>
  <c r="I459" i="12"/>
  <c r="H459" i="12"/>
  <c r="G459" i="12"/>
  <c r="F459" i="12"/>
  <c r="E459" i="12"/>
  <c r="D459" i="12"/>
  <c r="AI458" i="12"/>
  <c r="AI457" i="12"/>
  <c r="AI456" i="12"/>
  <c r="AH455" i="12"/>
  <c r="AG455" i="12"/>
  <c r="AF455" i="12"/>
  <c r="AE455" i="12"/>
  <c r="AD455" i="12"/>
  <c r="AC455" i="12"/>
  <c r="AB455" i="12"/>
  <c r="AA455" i="12"/>
  <c r="Z455" i="12"/>
  <c r="Y455" i="12"/>
  <c r="X455" i="12"/>
  <c r="W455" i="12"/>
  <c r="V455" i="12"/>
  <c r="U455" i="12"/>
  <c r="T455" i="12"/>
  <c r="S455" i="12"/>
  <c r="R455" i="12"/>
  <c r="Q455" i="12"/>
  <c r="P455" i="12"/>
  <c r="O455" i="12"/>
  <c r="N455" i="12"/>
  <c r="M455" i="12"/>
  <c r="L455" i="12"/>
  <c r="K455" i="12"/>
  <c r="J455" i="12"/>
  <c r="I455" i="12"/>
  <c r="H455" i="12"/>
  <c r="G455" i="12"/>
  <c r="F455" i="12"/>
  <c r="E455" i="12"/>
  <c r="D455" i="12"/>
  <c r="AI455" i="12" s="1"/>
  <c r="AI454" i="12"/>
  <c r="AI453" i="12"/>
  <c r="AI452" i="12"/>
  <c r="AH451" i="12"/>
  <c r="AG451" i="12"/>
  <c r="AF451" i="12"/>
  <c r="AE451" i="12"/>
  <c r="AD451" i="12"/>
  <c r="AC451" i="12"/>
  <c r="AB451" i="12"/>
  <c r="AA451" i="12"/>
  <c r="Z451" i="12"/>
  <c r="Y451" i="12"/>
  <c r="X451" i="12"/>
  <c r="W451" i="12"/>
  <c r="V451" i="12"/>
  <c r="U451" i="12"/>
  <c r="T451" i="12"/>
  <c r="S451" i="12"/>
  <c r="R451" i="12"/>
  <c r="Q451" i="12"/>
  <c r="P451" i="12"/>
  <c r="O451" i="12"/>
  <c r="N451" i="12"/>
  <c r="M451" i="12"/>
  <c r="L451" i="12"/>
  <c r="K451" i="12"/>
  <c r="J451" i="12"/>
  <c r="I451" i="12"/>
  <c r="AI451" i="12" s="1"/>
  <c r="H451" i="12"/>
  <c r="G451" i="12"/>
  <c r="F451" i="12"/>
  <c r="E451" i="12"/>
  <c r="D451" i="12"/>
  <c r="AI450" i="12"/>
  <c r="AI449" i="12"/>
  <c r="AI448" i="12"/>
  <c r="AH447" i="12"/>
  <c r="AG447" i="12"/>
  <c r="AF447" i="12"/>
  <c r="AE447" i="12"/>
  <c r="AD447" i="12"/>
  <c r="AC447" i="12"/>
  <c r="AB447" i="12"/>
  <c r="AA447" i="12"/>
  <c r="Z447" i="12"/>
  <c r="Y447" i="12"/>
  <c r="X447" i="12"/>
  <c r="W447" i="12"/>
  <c r="V447" i="12"/>
  <c r="U447" i="12"/>
  <c r="T447" i="12"/>
  <c r="S447" i="12"/>
  <c r="R447" i="12"/>
  <c r="Q447" i="12"/>
  <c r="P447" i="12"/>
  <c r="O447" i="12"/>
  <c r="N447" i="12"/>
  <c r="M447" i="12"/>
  <c r="L447" i="12"/>
  <c r="K447" i="12"/>
  <c r="J447" i="12"/>
  <c r="I447" i="12"/>
  <c r="H447" i="12"/>
  <c r="G447" i="12"/>
  <c r="F447" i="12"/>
  <c r="E447" i="12"/>
  <c r="D447" i="12"/>
  <c r="AI447" i="12" s="1"/>
  <c r="AI446" i="12"/>
  <c r="AI445" i="12"/>
  <c r="AI444" i="12"/>
  <c r="AH443" i="12"/>
  <c r="AG443" i="12"/>
  <c r="AF443" i="12"/>
  <c r="AE443" i="12"/>
  <c r="AD443" i="12"/>
  <c r="AC443" i="12"/>
  <c r="AB443" i="12"/>
  <c r="AA443" i="12"/>
  <c r="Z443" i="12"/>
  <c r="Y443" i="12"/>
  <c r="X443" i="12"/>
  <c r="W443" i="12"/>
  <c r="V443" i="12"/>
  <c r="U443" i="12"/>
  <c r="T443" i="12"/>
  <c r="S443" i="12"/>
  <c r="R443" i="12"/>
  <c r="Q443" i="12"/>
  <c r="P443" i="12"/>
  <c r="O443" i="12"/>
  <c r="N443" i="12"/>
  <c r="M443" i="12"/>
  <c r="L443" i="12"/>
  <c r="K443" i="12"/>
  <c r="J443" i="12"/>
  <c r="I443" i="12"/>
  <c r="H443" i="12"/>
  <c r="G443" i="12"/>
  <c r="F443" i="12"/>
  <c r="E443" i="12"/>
  <c r="D443" i="12"/>
  <c r="AI442" i="12"/>
  <c r="AI441" i="12"/>
  <c r="AI440" i="12"/>
  <c r="AH439" i="12"/>
  <c r="AG439" i="12"/>
  <c r="AF439" i="12"/>
  <c r="AE439" i="12"/>
  <c r="AD439" i="12"/>
  <c r="AC439" i="12"/>
  <c r="AB439" i="12"/>
  <c r="AA439" i="12"/>
  <c r="Z439" i="12"/>
  <c r="Y439" i="12"/>
  <c r="X439" i="12"/>
  <c r="W439" i="12"/>
  <c r="V439" i="12"/>
  <c r="U439" i="12"/>
  <c r="T439" i="12"/>
  <c r="S439" i="12"/>
  <c r="R439" i="12"/>
  <c r="Q439" i="12"/>
  <c r="P439" i="12"/>
  <c r="O439" i="12"/>
  <c r="N439" i="12"/>
  <c r="M439" i="12"/>
  <c r="L439" i="12"/>
  <c r="K439" i="12"/>
  <c r="J439" i="12"/>
  <c r="I439" i="12"/>
  <c r="H439" i="12"/>
  <c r="G439" i="12"/>
  <c r="F439" i="12"/>
  <c r="E439" i="12"/>
  <c r="D439" i="12"/>
  <c r="AI438" i="12"/>
  <c r="AI437" i="12"/>
  <c r="AI436" i="12"/>
  <c r="AH435" i="12"/>
  <c r="AG435" i="12"/>
  <c r="AF435" i="12"/>
  <c r="AE435" i="12"/>
  <c r="AD435" i="12"/>
  <c r="AC435" i="12"/>
  <c r="AB435" i="12"/>
  <c r="AA435" i="12"/>
  <c r="Z435" i="12"/>
  <c r="Y435" i="12"/>
  <c r="X435" i="12"/>
  <c r="W435" i="12"/>
  <c r="V435" i="12"/>
  <c r="U435" i="12"/>
  <c r="T435" i="12"/>
  <c r="S435" i="12"/>
  <c r="R435" i="12"/>
  <c r="Q435" i="12"/>
  <c r="P435" i="12"/>
  <c r="O435" i="12"/>
  <c r="N435" i="12"/>
  <c r="M435" i="12"/>
  <c r="L435" i="12"/>
  <c r="K435" i="12"/>
  <c r="J435" i="12"/>
  <c r="I435" i="12"/>
  <c r="H435" i="12"/>
  <c r="G435" i="12"/>
  <c r="F435" i="12"/>
  <c r="E435" i="12"/>
  <c r="D435" i="12"/>
  <c r="AI434" i="12"/>
  <c r="AI433" i="12"/>
  <c r="AI432" i="12"/>
  <c r="AH431" i="12"/>
  <c r="AG431" i="12"/>
  <c r="AF431" i="12"/>
  <c r="AE431" i="12"/>
  <c r="AD431" i="12"/>
  <c r="AC431" i="12"/>
  <c r="AB431" i="12"/>
  <c r="AA431" i="12"/>
  <c r="Z431" i="12"/>
  <c r="Y431" i="12"/>
  <c r="X431" i="12"/>
  <c r="W431" i="12"/>
  <c r="V431" i="12"/>
  <c r="U431" i="12"/>
  <c r="T431" i="12"/>
  <c r="S431" i="12"/>
  <c r="R431" i="12"/>
  <c r="Q431" i="12"/>
  <c r="P431" i="12"/>
  <c r="O431" i="12"/>
  <c r="N431" i="12"/>
  <c r="M431" i="12"/>
  <c r="L431" i="12"/>
  <c r="K431" i="12"/>
  <c r="J431" i="12"/>
  <c r="I431" i="12"/>
  <c r="H431" i="12"/>
  <c r="G431" i="12"/>
  <c r="G418" i="12" s="1"/>
  <c r="F431" i="12"/>
  <c r="E431" i="12"/>
  <c r="D431" i="12"/>
  <c r="AI430" i="12"/>
  <c r="AI429" i="12"/>
  <c r="AI428" i="12"/>
  <c r="AH427" i="12"/>
  <c r="AG427" i="12"/>
  <c r="AF427" i="12"/>
  <c r="AE427" i="12"/>
  <c r="AD427" i="12"/>
  <c r="AC427" i="12"/>
  <c r="AB427" i="12"/>
  <c r="AA427" i="12"/>
  <c r="Z427" i="12"/>
  <c r="Y427" i="12"/>
  <c r="X427" i="12"/>
  <c r="W427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K418" i="12" s="1"/>
  <c r="J427" i="12"/>
  <c r="I427" i="12"/>
  <c r="H427" i="12"/>
  <c r="G427" i="12"/>
  <c r="F427" i="12"/>
  <c r="E427" i="12"/>
  <c r="D427" i="12"/>
  <c r="AI426" i="12"/>
  <c r="AI425" i="12"/>
  <c r="AI424" i="12"/>
  <c r="AH423" i="12"/>
  <c r="AG423" i="12"/>
  <c r="AF423" i="12"/>
  <c r="AE423" i="12"/>
  <c r="AD423" i="12"/>
  <c r="AD418" i="12" s="1"/>
  <c r="AC423" i="12"/>
  <c r="AC418" i="12" s="1"/>
  <c r="AB423" i="12"/>
  <c r="AA423" i="12"/>
  <c r="Z423" i="12"/>
  <c r="Y423" i="12"/>
  <c r="X423" i="12"/>
  <c r="W423" i="12"/>
  <c r="V423" i="12"/>
  <c r="U423" i="12"/>
  <c r="U418" i="12" s="1"/>
  <c r="T423" i="12"/>
  <c r="S423" i="12"/>
  <c r="R423" i="12"/>
  <c r="Q423" i="12"/>
  <c r="P423" i="12"/>
  <c r="O423" i="12"/>
  <c r="N423" i="12"/>
  <c r="N418" i="12" s="1"/>
  <c r="M423" i="12"/>
  <c r="M418" i="12" s="1"/>
  <c r="L423" i="12"/>
  <c r="K423" i="12"/>
  <c r="J423" i="12"/>
  <c r="I423" i="12"/>
  <c r="H423" i="12"/>
  <c r="G423" i="12"/>
  <c r="F423" i="12"/>
  <c r="E423" i="12"/>
  <c r="D423" i="12"/>
  <c r="AI422" i="12"/>
  <c r="AI421" i="12"/>
  <c r="AI420" i="12"/>
  <c r="AH419" i="12"/>
  <c r="AG419" i="12"/>
  <c r="AG418" i="12" s="1"/>
  <c r="AF419" i="12"/>
  <c r="AF418" i="12" s="1"/>
  <c r="AE419" i="12"/>
  <c r="AD419" i="12"/>
  <c r="AC419" i="12"/>
  <c r="AB419" i="12"/>
  <c r="AA419" i="12"/>
  <c r="Z419" i="12"/>
  <c r="Y419" i="12"/>
  <c r="Y418" i="12" s="1"/>
  <c r="X419" i="12"/>
  <c r="X418" i="12" s="1"/>
  <c r="W419" i="12"/>
  <c r="V419" i="12"/>
  <c r="U419" i="12"/>
  <c r="T419" i="12"/>
  <c r="S419" i="12"/>
  <c r="R419" i="12"/>
  <c r="Q419" i="12"/>
  <c r="Q418" i="12" s="1"/>
  <c r="P419" i="12"/>
  <c r="O419" i="12"/>
  <c r="N419" i="12"/>
  <c r="M419" i="12"/>
  <c r="L419" i="12"/>
  <c r="K419" i="12"/>
  <c r="J419" i="12"/>
  <c r="I419" i="12"/>
  <c r="I418" i="12" s="1"/>
  <c r="H419" i="12"/>
  <c r="G419" i="12"/>
  <c r="F419" i="12"/>
  <c r="E419" i="12"/>
  <c r="D419" i="12"/>
  <c r="W418" i="12"/>
  <c r="O418" i="12"/>
  <c r="F418" i="12"/>
  <c r="AI417" i="12"/>
  <c r="AI416" i="12"/>
  <c r="AI415" i="12"/>
  <c r="AH414" i="12"/>
  <c r="AG414" i="12"/>
  <c r="AF414" i="12"/>
  <c r="AE414" i="12"/>
  <c r="AD414" i="12"/>
  <c r="AC414" i="12"/>
  <c r="AB414" i="12"/>
  <c r="AA414" i="12"/>
  <c r="Z414" i="12"/>
  <c r="Y414" i="12"/>
  <c r="X414" i="12"/>
  <c r="W414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I414" i="12"/>
  <c r="H414" i="12"/>
  <c r="G414" i="12"/>
  <c r="F414" i="12"/>
  <c r="E414" i="12"/>
  <c r="D414" i="12"/>
  <c r="AI413" i="12"/>
  <c r="AI412" i="12"/>
  <c r="AI411" i="12"/>
  <c r="AH410" i="12"/>
  <c r="AG410" i="12"/>
  <c r="AF410" i="12"/>
  <c r="AE410" i="12"/>
  <c r="AD410" i="12"/>
  <c r="AC410" i="12"/>
  <c r="AB410" i="12"/>
  <c r="AA410" i="12"/>
  <c r="Z410" i="12"/>
  <c r="Y410" i="12"/>
  <c r="X410" i="12"/>
  <c r="W410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I410" i="12"/>
  <c r="H410" i="12"/>
  <c r="G410" i="12"/>
  <c r="F410" i="12"/>
  <c r="E410" i="12"/>
  <c r="D410" i="12"/>
  <c r="AI409" i="12"/>
  <c r="AI408" i="12"/>
  <c r="AI407" i="12"/>
  <c r="AH406" i="12"/>
  <c r="AG406" i="12"/>
  <c r="AF406" i="12"/>
  <c r="AE406" i="12"/>
  <c r="AD406" i="12"/>
  <c r="AC406" i="12"/>
  <c r="AB406" i="12"/>
  <c r="AA406" i="12"/>
  <c r="Z406" i="12"/>
  <c r="Y406" i="12"/>
  <c r="X406" i="12"/>
  <c r="W406" i="12"/>
  <c r="V406" i="12"/>
  <c r="U406" i="12"/>
  <c r="T406" i="12"/>
  <c r="T393" i="12" s="1"/>
  <c r="S406" i="12"/>
  <c r="R406" i="12"/>
  <c r="Q406" i="12"/>
  <c r="P406" i="12"/>
  <c r="O406" i="12"/>
  <c r="N406" i="12"/>
  <c r="M406" i="12"/>
  <c r="L406" i="12"/>
  <c r="L393" i="12" s="1"/>
  <c r="K406" i="12"/>
  <c r="J406" i="12"/>
  <c r="I406" i="12"/>
  <c r="H406" i="12"/>
  <c r="G406" i="12"/>
  <c r="F406" i="12"/>
  <c r="E406" i="12"/>
  <c r="D406" i="12"/>
  <c r="AI405" i="12"/>
  <c r="AI404" i="12"/>
  <c r="AI403" i="12"/>
  <c r="AH402" i="12"/>
  <c r="AG402" i="12"/>
  <c r="AF402" i="12"/>
  <c r="AE402" i="12"/>
  <c r="AD402" i="12"/>
  <c r="AC402" i="12"/>
  <c r="AB402" i="12"/>
  <c r="AA402" i="12"/>
  <c r="Z402" i="12"/>
  <c r="Y402" i="12"/>
  <c r="X402" i="12"/>
  <c r="W402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I402" i="12"/>
  <c r="H402" i="12"/>
  <c r="H393" i="12" s="1"/>
  <c r="G402" i="12"/>
  <c r="F402" i="12"/>
  <c r="E402" i="12"/>
  <c r="AI402" i="12" s="1"/>
  <c r="D402" i="12"/>
  <c r="AI401" i="12"/>
  <c r="AI400" i="12"/>
  <c r="AI399" i="12"/>
  <c r="AH398" i="12"/>
  <c r="AH393" i="12" s="1"/>
  <c r="AG398" i="12"/>
  <c r="AG393" i="12" s="1"/>
  <c r="AF398" i="12"/>
  <c r="AF393" i="12" s="1"/>
  <c r="AE398" i="12"/>
  <c r="AD398" i="12"/>
  <c r="AC398" i="12"/>
  <c r="AB398" i="12"/>
  <c r="AA398" i="12"/>
  <c r="Z398" i="12"/>
  <c r="Z393" i="12" s="1"/>
  <c r="Y398" i="12"/>
  <c r="X398" i="12"/>
  <c r="W398" i="12"/>
  <c r="V398" i="12"/>
  <c r="U398" i="12"/>
  <c r="T398" i="12"/>
  <c r="S398" i="12"/>
  <c r="S393" i="12" s="1"/>
  <c r="R398" i="12"/>
  <c r="R393" i="12" s="1"/>
  <c r="Q398" i="12"/>
  <c r="P398" i="12"/>
  <c r="O398" i="12"/>
  <c r="N398" i="12"/>
  <c r="M398" i="12"/>
  <c r="L398" i="12"/>
  <c r="K398" i="12"/>
  <c r="K393" i="12" s="1"/>
  <c r="J398" i="12"/>
  <c r="I398" i="12"/>
  <c r="H398" i="12"/>
  <c r="G398" i="12"/>
  <c r="F398" i="12"/>
  <c r="E398" i="12"/>
  <c r="D398" i="12"/>
  <c r="AI397" i="12"/>
  <c r="AI396" i="12"/>
  <c r="AI395" i="12"/>
  <c r="AH394" i="12"/>
  <c r="AG394" i="12"/>
  <c r="AF394" i="12"/>
  <c r="AE394" i="12"/>
  <c r="AD394" i="12"/>
  <c r="AD393" i="12" s="1"/>
  <c r="AC394" i="12"/>
  <c r="AB394" i="12"/>
  <c r="AA394" i="12"/>
  <c r="Z394" i="12"/>
  <c r="Y394" i="12"/>
  <c r="Y393" i="12" s="1"/>
  <c r="X394" i="12"/>
  <c r="W394" i="12"/>
  <c r="V394" i="12"/>
  <c r="V393" i="12" s="1"/>
  <c r="U394" i="12"/>
  <c r="T394" i="12"/>
  <c r="S394" i="12"/>
  <c r="R394" i="12"/>
  <c r="Q394" i="12"/>
  <c r="P394" i="12"/>
  <c r="O394" i="12"/>
  <c r="N394" i="12"/>
  <c r="N393" i="12" s="1"/>
  <c r="M394" i="12"/>
  <c r="L394" i="12"/>
  <c r="K394" i="12"/>
  <c r="J394" i="12"/>
  <c r="I394" i="12"/>
  <c r="H394" i="12"/>
  <c r="G394" i="12"/>
  <c r="F394" i="12"/>
  <c r="F393" i="12" s="1"/>
  <c r="E394" i="12"/>
  <c r="D394" i="12"/>
  <c r="AB393" i="12"/>
  <c r="Q393" i="12"/>
  <c r="I393" i="12"/>
  <c r="AI392" i="12"/>
  <c r="AI391" i="12"/>
  <c r="AI390" i="12"/>
  <c r="AH389" i="12"/>
  <c r="AG389" i="12"/>
  <c r="AF389" i="12"/>
  <c r="AE389" i="12"/>
  <c r="AD389" i="12"/>
  <c r="AC389" i="12"/>
  <c r="AB389" i="12"/>
  <c r="AA389" i="12"/>
  <c r="Z389" i="12"/>
  <c r="Y389" i="12"/>
  <c r="X389" i="12"/>
  <c r="W389" i="12"/>
  <c r="V389" i="12"/>
  <c r="U389" i="12"/>
  <c r="T389" i="12"/>
  <c r="S389" i="12"/>
  <c r="R389" i="12"/>
  <c r="Q389" i="12"/>
  <c r="P389" i="12"/>
  <c r="O389" i="12"/>
  <c r="N389" i="12"/>
  <c r="M389" i="12"/>
  <c r="L389" i="12"/>
  <c r="K389" i="12"/>
  <c r="J389" i="12"/>
  <c r="I389" i="12"/>
  <c r="H389" i="12"/>
  <c r="G389" i="12"/>
  <c r="F389" i="12"/>
  <c r="E389" i="12"/>
  <c r="D389" i="12"/>
  <c r="AI389" i="12" s="1"/>
  <c r="AI388" i="12"/>
  <c r="AI387" i="12"/>
  <c r="AI386" i="12"/>
  <c r="AH385" i="12"/>
  <c r="AG385" i="12"/>
  <c r="AF385" i="12"/>
  <c r="AE385" i="12"/>
  <c r="AD385" i="12"/>
  <c r="AC385" i="12"/>
  <c r="AB385" i="12"/>
  <c r="AA385" i="12"/>
  <c r="Z385" i="12"/>
  <c r="Y385" i="12"/>
  <c r="X385" i="12"/>
  <c r="W385" i="12"/>
  <c r="V385" i="12"/>
  <c r="U385" i="12"/>
  <c r="T385" i="12"/>
  <c r="S385" i="12"/>
  <c r="R385" i="12"/>
  <c r="Q385" i="12"/>
  <c r="P385" i="12"/>
  <c r="O385" i="12"/>
  <c r="N385" i="12"/>
  <c r="M385" i="12"/>
  <c r="L385" i="12"/>
  <c r="K385" i="12"/>
  <c r="J385" i="12"/>
  <c r="I385" i="12"/>
  <c r="H385" i="12"/>
  <c r="G385" i="12"/>
  <c r="F385" i="12"/>
  <c r="E385" i="12"/>
  <c r="D385" i="12"/>
  <c r="AI384" i="12"/>
  <c r="AI383" i="12"/>
  <c r="AI382" i="12"/>
  <c r="AI381" i="12"/>
  <c r="AH381" i="12"/>
  <c r="AG381" i="12"/>
  <c r="AF381" i="12"/>
  <c r="AE381" i="12"/>
  <c r="AD381" i="12"/>
  <c r="AC381" i="12"/>
  <c r="AB381" i="12"/>
  <c r="AA381" i="12"/>
  <c r="Z381" i="12"/>
  <c r="Y381" i="12"/>
  <c r="X381" i="12"/>
  <c r="W381" i="12"/>
  <c r="V381" i="12"/>
  <c r="U381" i="12"/>
  <c r="T381" i="12"/>
  <c r="S381" i="12"/>
  <c r="R381" i="12"/>
  <c r="Q381" i="12"/>
  <c r="P381" i="12"/>
  <c r="O381" i="12"/>
  <c r="N381" i="12"/>
  <c r="M381" i="12"/>
  <c r="L381" i="12"/>
  <c r="K381" i="12"/>
  <c r="J381" i="12"/>
  <c r="I381" i="12"/>
  <c r="H381" i="12"/>
  <c r="G381" i="12"/>
  <c r="F381" i="12"/>
  <c r="E381" i="12"/>
  <c r="D381" i="12"/>
  <c r="AI380" i="12"/>
  <c r="AI379" i="12"/>
  <c r="AI378" i="12"/>
  <c r="AH377" i="12"/>
  <c r="AG377" i="12"/>
  <c r="AF377" i="12"/>
  <c r="AE377" i="12"/>
  <c r="AD377" i="12"/>
  <c r="AC377" i="12"/>
  <c r="AB377" i="12"/>
  <c r="AA377" i="12"/>
  <c r="Z377" i="12"/>
  <c r="Y377" i="12"/>
  <c r="X377" i="12"/>
  <c r="W377" i="12"/>
  <c r="V377" i="12"/>
  <c r="U377" i="12"/>
  <c r="T377" i="12"/>
  <c r="S377" i="12"/>
  <c r="R377" i="12"/>
  <c r="Q377" i="12"/>
  <c r="P377" i="12"/>
  <c r="O377" i="12"/>
  <c r="N377" i="12"/>
  <c r="M377" i="12"/>
  <c r="L377" i="12"/>
  <c r="K377" i="12"/>
  <c r="J377" i="12"/>
  <c r="I377" i="12"/>
  <c r="H377" i="12"/>
  <c r="G377" i="12"/>
  <c r="F377" i="12"/>
  <c r="E377" i="12"/>
  <c r="D377" i="12"/>
  <c r="AI376" i="12"/>
  <c r="AI375" i="12"/>
  <c r="AI374" i="12"/>
  <c r="AH373" i="12"/>
  <c r="AG373" i="12"/>
  <c r="AG364" i="12" s="1"/>
  <c r="AF373" i="12"/>
  <c r="AE373" i="12"/>
  <c r="AE364" i="12" s="1"/>
  <c r="AE363" i="12" s="1"/>
  <c r="AD373" i="12"/>
  <c r="AC373" i="12"/>
  <c r="AB373" i="12"/>
  <c r="AA373" i="12"/>
  <c r="Z373" i="12"/>
  <c r="Y373" i="12"/>
  <c r="X373" i="12"/>
  <c r="W373" i="12"/>
  <c r="V373" i="12"/>
  <c r="U373" i="12"/>
  <c r="T373" i="12"/>
  <c r="S373" i="12"/>
  <c r="R373" i="12"/>
  <c r="Q373" i="12"/>
  <c r="Q364" i="12" s="1"/>
  <c r="Q363" i="12" s="1"/>
  <c r="P373" i="12"/>
  <c r="O373" i="12"/>
  <c r="N373" i="12"/>
  <c r="M373" i="12"/>
  <c r="L373" i="12"/>
  <c r="K373" i="12"/>
  <c r="J373" i="12"/>
  <c r="I373" i="12"/>
  <c r="I364" i="12" s="1"/>
  <c r="I363" i="12" s="1"/>
  <c r="H373" i="12"/>
  <c r="H364" i="12" s="1"/>
  <c r="G373" i="12"/>
  <c r="F373" i="12"/>
  <c r="E373" i="12"/>
  <c r="D373" i="12"/>
  <c r="AI372" i="12"/>
  <c r="AI371" i="12"/>
  <c r="AI370" i="12"/>
  <c r="AH369" i="12"/>
  <c r="AH364" i="12" s="1"/>
  <c r="AH363" i="12" s="1"/>
  <c r="AG369" i="12"/>
  <c r="AF369" i="12"/>
  <c r="AF364" i="12" s="1"/>
  <c r="AF363" i="12" s="1"/>
  <c r="AE369" i="12"/>
  <c r="AD369" i="12"/>
  <c r="AC369" i="12"/>
  <c r="AB369" i="12"/>
  <c r="AA369" i="12"/>
  <c r="Z369" i="12"/>
  <c r="Z364" i="12" s="1"/>
  <c r="Z363" i="12" s="1"/>
  <c r="Y369" i="12"/>
  <c r="X369" i="12"/>
  <c r="W369" i="12"/>
  <c r="V369" i="12"/>
  <c r="U369" i="12"/>
  <c r="T369" i="12"/>
  <c r="S369" i="12"/>
  <c r="S364" i="12" s="1"/>
  <c r="R369" i="12"/>
  <c r="R364" i="12" s="1"/>
  <c r="R363" i="12" s="1"/>
  <c r="Q369" i="12"/>
  <c r="P369" i="12"/>
  <c r="O369" i="12"/>
  <c r="N369" i="12"/>
  <c r="M369" i="12"/>
  <c r="L369" i="12"/>
  <c r="K369" i="12"/>
  <c r="K364" i="12" s="1"/>
  <c r="J369" i="12"/>
  <c r="I369" i="12"/>
  <c r="H369" i="12"/>
  <c r="G369" i="12"/>
  <c r="F369" i="12"/>
  <c r="E369" i="12"/>
  <c r="D369" i="12"/>
  <c r="AI368" i="12"/>
  <c r="AI367" i="12"/>
  <c r="AI366" i="12"/>
  <c r="AH365" i="12"/>
  <c r="AG365" i="12"/>
  <c r="AF365" i="12"/>
  <c r="AE365" i="12"/>
  <c r="AD365" i="12"/>
  <c r="AC365" i="12"/>
  <c r="AB365" i="12"/>
  <c r="AA365" i="12"/>
  <c r="Z365" i="12"/>
  <c r="Y365" i="12"/>
  <c r="Y364" i="12" s="1"/>
  <c r="X365" i="12"/>
  <c r="W365" i="12"/>
  <c r="V365" i="12"/>
  <c r="V364" i="12" s="1"/>
  <c r="V363" i="12" s="1"/>
  <c r="U365" i="12"/>
  <c r="T365" i="12"/>
  <c r="S365" i="12"/>
  <c r="R365" i="12"/>
  <c r="Q365" i="12"/>
  <c r="P365" i="12"/>
  <c r="O365" i="12"/>
  <c r="N365" i="12"/>
  <c r="N364" i="12" s="1"/>
  <c r="N363" i="12" s="1"/>
  <c r="M365" i="12"/>
  <c r="L365" i="12"/>
  <c r="K365" i="12"/>
  <c r="J365" i="12"/>
  <c r="I365" i="12"/>
  <c r="H365" i="12"/>
  <c r="G365" i="12"/>
  <c r="F365" i="12"/>
  <c r="F364" i="12" s="1"/>
  <c r="E365" i="12"/>
  <c r="D365" i="12"/>
  <c r="AD364" i="12"/>
  <c r="AD363" i="12" s="1"/>
  <c r="AC364" i="12"/>
  <c r="AC363" i="12" s="1"/>
  <c r="AG363" i="12"/>
  <c r="Y363" i="12"/>
  <c r="F363" i="12"/>
  <c r="AI362" i="12"/>
  <c r="AI361" i="12"/>
  <c r="AI360" i="12"/>
  <c r="AH359" i="12"/>
  <c r="AG359" i="12"/>
  <c r="AF359" i="12"/>
  <c r="AE359" i="12"/>
  <c r="AD359" i="12"/>
  <c r="AC359" i="12"/>
  <c r="AB359" i="12"/>
  <c r="AA359" i="12"/>
  <c r="Z359" i="12"/>
  <c r="Y359" i="12"/>
  <c r="X359" i="12"/>
  <c r="W359" i="12"/>
  <c r="V359" i="12"/>
  <c r="U359" i="12"/>
  <c r="T359" i="12"/>
  <c r="S359" i="12"/>
  <c r="R359" i="12"/>
  <c r="Q359" i="12"/>
  <c r="P359" i="12"/>
  <c r="O359" i="12"/>
  <c r="N359" i="12"/>
  <c r="M359" i="12"/>
  <c r="L359" i="12"/>
  <c r="K359" i="12"/>
  <c r="J359" i="12"/>
  <c r="I359" i="12"/>
  <c r="H359" i="12"/>
  <c r="G359" i="12"/>
  <c r="F359" i="12"/>
  <c r="AI359" i="12" s="1"/>
  <c r="E359" i="12"/>
  <c r="D359" i="12"/>
  <c r="AI358" i="12"/>
  <c r="AI357" i="12"/>
  <c r="AI356" i="12"/>
  <c r="AH355" i="12"/>
  <c r="AG355" i="12"/>
  <c r="AG350" i="12" s="1"/>
  <c r="AF355" i="12"/>
  <c r="AE355" i="12"/>
  <c r="AD355" i="12"/>
  <c r="AC355" i="12"/>
  <c r="AC350" i="12" s="1"/>
  <c r="AB355" i="12"/>
  <c r="AA355" i="12"/>
  <c r="AA350" i="12" s="1"/>
  <c r="Z355" i="12"/>
  <c r="Y355" i="12"/>
  <c r="X355" i="12"/>
  <c r="W355" i="12"/>
  <c r="V355" i="12"/>
  <c r="U355" i="12"/>
  <c r="U350" i="12" s="1"/>
  <c r="T355" i="12"/>
  <c r="S355" i="12"/>
  <c r="S350" i="12" s="1"/>
  <c r="R355" i="12"/>
  <c r="Q355" i="12"/>
  <c r="P355" i="12"/>
  <c r="O355" i="12"/>
  <c r="N355" i="12"/>
  <c r="M355" i="12"/>
  <c r="M350" i="12" s="1"/>
  <c r="L355" i="12"/>
  <c r="K355" i="12"/>
  <c r="AI355" i="12" s="1"/>
  <c r="J355" i="12"/>
  <c r="I355" i="12"/>
  <c r="H355" i="12"/>
  <c r="G355" i="12"/>
  <c r="F355" i="12"/>
  <c r="E355" i="12"/>
  <c r="E350" i="12" s="1"/>
  <c r="D355" i="12"/>
  <c r="D350" i="12" s="1"/>
  <c r="AI354" i="12"/>
  <c r="AI353" i="12"/>
  <c r="AI352" i="12"/>
  <c r="AH351" i="12"/>
  <c r="AG351" i="12"/>
  <c r="AF351" i="12"/>
  <c r="AE351" i="12"/>
  <c r="AE350" i="12" s="1"/>
  <c r="AD351" i="12"/>
  <c r="AC351" i="12"/>
  <c r="AB351" i="12"/>
  <c r="AB350" i="12" s="1"/>
  <c r="AA351" i="12"/>
  <c r="Z351" i="12"/>
  <c r="Z350" i="12" s="1"/>
  <c r="Y351" i="12"/>
  <c r="Y350" i="12" s="1"/>
  <c r="X351" i="12"/>
  <c r="X350" i="12" s="1"/>
  <c r="W351" i="12"/>
  <c r="W350" i="12" s="1"/>
  <c r="V351" i="12"/>
  <c r="U351" i="12"/>
  <c r="T351" i="12"/>
  <c r="S351" i="12"/>
  <c r="R351" i="12"/>
  <c r="Q351" i="12"/>
  <c r="Q350" i="12" s="1"/>
  <c r="P351" i="12"/>
  <c r="P350" i="12" s="1"/>
  <c r="O351" i="12"/>
  <c r="O350" i="12" s="1"/>
  <c r="N351" i="12"/>
  <c r="N350" i="12" s="1"/>
  <c r="M351" i="12"/>
  <c r="L351" i="12"/>
  <c r="K351" i="12"/>
  <c r="J351" i="12"/>
  <c r="I351" i="12"/>
  <c r="H351" i="12"/>
  <c r="H350" i="12" s="1"/>
  <c r="G351" i="12"/>
  <c r="G350" i="12" s="1"/>
  <c r="F351" i="12"/>
  <c r="F350" i="12" s="1"/>
  <c r="E351" i="12"/>
  <c r="D351" i="12"/>
  <c r="AH350" i="12"/>
  <c r="AF350" i="12"/>
  <c r="AD350" i="12"/>
  <c r="V350" i="12"/>
  <c r="T350" i="12"/>
  <c r="R350" i="12"/>
  <c r="L350" i="12"/>
  <c r="K350" i="12"/>
  <c r="J350" i="12"/>
  <c r="I350" i="12"/>
  <c r="AI349" i="12"/>
  <c r="AI348" i="12"/>
  <c r="AI347" i="12"/>
  <c r="AH346" i="12"/>
  <c r="AG346" i="12"/>
  <c r="AF346" i="12"/>
  <c r="AE346" i="12"/>
  <c r="AD346" i="12"/>
  <c r="AC346" i="12"/>
  <c r="AB346" i="12"/>
  <c r="AA346" i="12"/>
  <c r="Z346" i="12"/>
  <c r="Y346" i="12"/>
  <c r="X346" i="12"/>
  <c r="W346" i="12"/>
  <c r="V346" i="12"/>
  <c r="U346" i="12"/>
  <c r="T346" i="12"/>
  <c r="S346" i="12"/>
  <c r="R346" i="12"/>
  <c r="Q346" i="12"/>
  <c r="P346" i="12"/>
  <c r="O346" i="12"/>
  <c r="N346" i="12"/>
  <c r="M346" i="12"/>
  <c r="M337" i="12" s="1"/>
  <c r="L346" i="12"/>
  <c r="K346" i="12"/>
  <c r="J346" i="12"/>
  <c r="I346" i="12"/>
  <c r="H346" i="12"/>
  <c r="G346" i="12"/>
  <c r="F346" i="12"/>
  <c r="E346" i="12"/>
  <c r="D346" i="12"/>
  <c r="AI345" i="12"/>
  <c r="AI344" i="12"/>
  <c r="AI343" i="12"/>
  <c r="AH342" i="12"/>
  <c r="AG342" i="12"/>
  <c r="AG337" i="12" s="1"/>
  <c r="AF342" i="12"/>
  <c r="AF337" i="12" s="1"/>
  <c r="AE342" i="12"/>
  <c r="AE337" i="12" s="1"/>
  <c r="AD342" i="12"/>
  <c r="AC342" i="12"/>
  <c r="AB342" i="12"/>
  <c r="AA342" i="12"/>
  <c r="Z342" i="12"/>
  <c r="Y342" i="12"/>
  <c r="X342" i="12"/>
  <c r="W342" i="12"/>
  <c r="W337" i="12" s="1"/>
  <c r="V342" i="12"/>
  <c r="U342" i="12"/>
  <c r="T342" i="12"/>
  <c r="S342" i="12"/>
  <c r="R342" i="12"/>
  <c r="Q342" i="12"/>
  <c r="P342" i="12"/>
  <c r="P337" i="12" s="1"/>
  <c r="O342" i="12"/>
  <c r="O337" i="12" s="1"/>
  <c r="N342" i="12"/>
  <c r="M342" i="12"/>
  <c r="L342" i="12"/>
  <c r="K342" i="12"/>
  <c r="J342" i="12"/>
  <c r="I342" i="12"/>
  <c r="H342" i="12"/>
  <c r="H337" i="12" s="1"/>
  <c r="G342" i="12"/>
  <c r="F342" i="12"/>
  <c r="E342" i="12"/>
  <c r="D342" i="12"/>
  <c r="AI341" i="12"/>
  <c r="AI340" i="12"/>
  <c r="AI339" i="12"/>
  <c r="AH338" i="12"/>
  <c r="AG338" i="12"/>
  <c r="AF338" i="12"/>
  <c r="AE338" i="12"/>
  <c r="AD338" i="12"/>
  <c r="AC338" i="12"/>
  <c r="AB338" i="12"/>
  <c r="AB337" i="12" s="1"/>
  <c r="AA338" i="12"/>
  <c r="AA337" i="12" s="1"/>
  <c r="Z338" i="12"/>
  <c r="Y338" i="12"/>
  <c r="X338" i="12"/>
  <c r="W338" i="12"/>
  <c r="V338" i="12"/>
  <c r="U338" i="12"/>
  <c r="T338" i="12"/>
  <c r="T337" i="12" s="1"/>
  <c r="S338" i="12"/>
  <c r="S337" i="12" s="1"/>
  <c r="R338" i="12"/>
  <c r="R337" i="12" s="1"/>
  <c r="Q338" i="12"/>
  <c r="P338" i="12"/>
  <c r="O338" i="12"/>
  <c r="N338" i="12"/>
  <c r="M338" i="12"/>
  <c r="L338" i="12"/>
  <c r="L337" i="12" s="1"/>
  <c r="K338" i="12"/>
  <c r="K337" i="12" s="1"/>
  <c r="J338" i="12"/>
  <c r="J337" i="12" s="1"/>
  <c r="I338" i="12"/>
  <c r="H338" i="12"/>
  <c r="G338" i="12"/>
  <c r="F338" i="12"/>
  <c r="E338" i="12"/>
  <c r="D338" i="12"/>
  <c r="D337" i="12" s="1"/>
  <c r="AH337" i="12"/>
  <c r="Z337" i="12"/>
  <c r="Y337" i="12"/>
  <c r="Q337" i="12"/>
  <c r="I337" i="12"/>
  <c r="G337" i="12"/>
  <c r="AI336" i="12"/>
  <c r="AI335" i="12"/>
  <c r="AI334" i="12"/>
  <c r="AH333" i="12"/>
  <c r="AH328" i="12" s="1"/>
  <c r="AG333" i="12"/>
  <c r="AF333" i="12"/>
  <c r="AF328" i="12" s="1"/>
  <c r="AE333" i="12"/>
  <c r="AE328" i="12" s="1"/>
  <c r="AD333" i="12"/>
  <c r="AC333" i="12"/>
  <c r="AB333" i="12"/>
  <c r="AB328" i="12" s="1"/>
  <c r="AA333" i="12"/>
  <c r="Z333" i="12"/>
  <c r="Y333" i="12"/>
  <c r="X333" i="12"/>
  <c r="W333" i="12"/>
  <c r="V333" i="12"/>
  <c r="U333" i="12"/>
  <c r="T333" i="12"/>
  <c r="T328" i="12" s="1"/>
  <c r="S333" i="12"/>
  <c r="R333" i="12"/>
  <c r="Q333" i="12"/>
  <c r="P333" i="12"/>
  <c r="O333" i="12"/>
  <c r="N333" i="12"/>
  <c r="M333" i="12"/>
  <c r="L333" i="12"/>
  <c r="K333" i="12"/>
  <c r="J333" i="12"/>
  <c r="AI333" i="12" s="1"/>
  <c r="I333" i="12"/>
  <c r="H333" i="12"/>
  <c r="G333" i="12"/>
  <c r="F333" i="12"/>
  <c r="E333" i="12"/>
  <c r="D333" i="12"/>
  <c r="AI332" i="12"/>
  <c r="AI331" i="12"/>
  <c r="AI330" i="12"/>
  <c r="AH329" i="12"/>
  <c r="AG329" i="12"/>
  <c r="AF329" i="12"/>
  <c r="AE329" i="12"/>
  <c r="AD329" i="12"/>
  <c r="AD328" i="12" s="1"/>
  <c r="AC329" i="12"/>
  <c r="AB329" i="12"/>
  <c r="AA329" i="12"/>
  <c r="Z329" i="12"/>
  <c r="Z328" i="12" s="1"/>
  <c r="Y329" i="12"/>
  <c r="X329" i="12"/>
  <c r="X328" i="12" s="1"/>
  <c r="W329" i="12"/>
  <c r="W328" i="12" s="1"/>
  <c r="V329" i="12"/>
  <c r="V328" i="12" s="1"/>
  <c r="U329" i="12"/>
  <c r="T329" i="12"/>
  <c r="S329" i="12"/>
  <c r="R329" i="12"/>
  <c r="Q329" i="12"/>
  <c r="P329" i="12"/>
  <c r="O329" i="12"/>
  <c r="O328" i="12" s="1"/>
  <c r="N329" i="12"/>
  <c r="N328" i="12" s="1"/>
  <c r="M329" i="12"/>
  <c r="M328" i="12" s="1"/>
  <c r="L329" i="12"/>
  <c r="K329" i="12"/>
  <c r="J329" i="12"/>
  <c r="I329" i="12"/>
  <c r="H329" i="12"/>
  <c r="G329" i="12"/>
  <c r="G328" i="12" s="1"/>
  <c r="F329" i="12"/>
  <c r="F328" i="12" s="1"/>
  <c r="E329" i="12"/>
  <c r="D329" i="12"/>
  <c r="AG328" i="12"/>
  <c r="AC328" i="12"/>
  <c r="AA328" i="12"/>
  <c r="Y328" i="12"/>
  <c r="U328" i="12"/>
  <c r="S328" i="12"/>
  <c r="R328" i="12"/>
  <c r="Q328" i="12"/>
  <c r="P328" i="12"/>
  <c r="L328" i="12"/>
  <c r="K328" i="12"/>
  <c r="J328" i="12"/>
  <c r="I328" i="12"/>
  <c r="H328" i="12"/>
  <c r="D328" i="12"/>
  <c r="AI327" i="12"/>
  <c r="AI326" i="12"/>
  <c r="AI325" i="12"/>
  <c r="AH324" i="12"/>
  <c r="AG324" i="12"/>
  <c r="AF324" i="12"/>
  <c r="AE324" i="12"/>
  <c r="AD324" i="12"/>
  <c r="AC324" i="12"/>
  <c r="AB324" i="12"/>
  <c r="AA324" i="12"/>
  <c r="Z324" i="12"/>
  <c r="Y324" i="12"/>
  <c r="X324" i="12"/>
  <c r="W324" i="12"/>
  <c r="V324" i="12"/>
  <c r="U324" i="12"/>
  <c r="T324" i="12"/>
  <c r="S324" i="12"/>
  <c r="R324" i="12"/>
  <c r="Q324" i="12"/>
  <c r="P324" i="12"/>
  <c r="O324" i="12"/>
  <c r="N324" i="12"/>
  <c r="M324" i="12"/>
  <c r="L324" i="12"/>
  <c r="K324" i="12"/>
  <c r="J324" i="12"/>
  <c r="I324" i="12"/>
  <c r="H324" i="12"/>
  <c r="G324" i="12"/>
  <c r="F324" i="12"/>
  <c r="E324" i="12"/>
  <c r="D324" i="12"/>
  <c r="AI323" i="12"/>
  <c r="AI322" i="12"/>
  <c r="AI321" i="12"/>
  <c r="AH320" i="12"/>
  <c r="AH315" i="12" s="1"/>
  <c r="AG320" i="12"/>
  <c r="AG315" i="12" s="1"/>
  <c r="AF320" i="12"/>
  <c r="AF315" i="12" s="1"/>
  <c r="AE320" i="12"/>
  <c r="AE315" i="12" s="1"/>
  <c r="AD320" i="12"/>
  <c r="AD315" i="12" s="1"/>
  <c r="AC320" i="12"/>
  <c r="AB320" i="12"/>
  <c r="AA320" i="12"/>
  <c r="Z320" i="12"/>
  <c r="Z315" i="12" s="1"/>
  <c r="Y320" i="12"/>
  <c r="Y315" i="12" s="1"/>
  <c r="X320" i="12"/>
  <c r="X315" i="12" s="1"/>
  <c r="W320" i="12"/>
  <c r="W315" i="12" s="1"/>
  <c r="V320" i="12"/>
  <c r="V315" i="12" s="1"/>
  <c r="U320" i="12"/>
  <c r="T320" i="12"/>
  <c r="S320" i="12"/>
  <c r="R320" i="12"/>
  <c r="R315" i="12" s="1"/>
  <c r="Q320" i="12"/>
  <c r="Q315" i="12" s="1"/>
  <c r="P320" i="12"/>
  <c r="P315" i="12" s="1"/>
  <c r="O320" i="12"/>
  <c r="O315" i="12" s="1"/>
  <c r="N320" i="12"/>
  <c r="N315" i="12" s="1"/>
  <c r="M320" i="12"/>
  <c r="L320" i="12"/>
  <c r="K320" i="12"/>
  <c r="J320" i="12"/>
  <c r="J315" i="12" s="1"/>
  <c r="I320" i="12"/>
  <c r="I315" i="12" s="1"/>
  <c r="H320" i="12"/>
  <c r="H315" i="12" s="1"/>
  <c r="G320" i="12"/>
  <c r="G315" i="12" s="1"/>
  <c r="F320" i="12"/>
  <c r="E320" i="12"/>
  <c r="D320" i="12"/>
  <c r="AI319" i="12"/>
  <c r="AI318" i="12"/>
  <c r="AI317" i="12"/>
  <c r="AH316" i="12"/>
  <c r="AG316" i="12"/>
  <c r="AF316" i="12"/>
  <c r="AE316" i="12"/>
  <c r="AD316" i="12"/>
  <c r="AC316" i="12"/>
  <c r="AC315" i="12" s="1"/>
  <c r="AB316" i="12"/>
  <c r="AA316" i="12"/>
  <c r="Z316" i="12"/>
  <c r="Y316" i="12"/>
  <c r="X316" i="12"/>
  <c r="W316" i="12"/>
  <c r="V316" i="12"/>
  <c r="U316" i="12"/>
  <c r="T316" i="12"/>
  <c r="S316" i="12"/>
  <c r="R316" i="12"/>
  <c r="Q316" i="12"/>
  <c r="P316" i="12"/>
  <c r="O316" i="12"/>
  <c r="N316" i="12"/>
  <c r="M316" i="12"/>
  <c r="M315" i="12" s="1"/>
  <c r="L316" i="12"/>
  <c r="K316" i="12"/>
  <c r="K315" i="12" s="1"/>
  <c r="J316" i="12"/>
  <c r="I316" i="12"/>
  <c r="H316" i="12"/>
  <c r="G316" i="12"/>
  <c r="F316" i="12"/>
  <c r="E316" i="12"/>
  <c r="D316" i="12"/>
  <c r="AB315" i="12"/>
  <c r="AA315" i="12"/>
  <c r="U315" i="12"/>
  <c r="T315" i="12"/>
  <c r="S315" i="12"/>
  <c r="L315" i="12"/>
  <c r="D315" i="12"/>
  <c r="AI314" i="12"/>
  <c r="AI313" i="12"/>
  <c r="AI312" i="12"/>
  <c r="AH311" i="12"/>
  <c r="AG311" i="12"/>
  <c r="AF311" i="12"/>
  <c r="AE311" i="12"/>
  <c r="AD311" i="12"/>
  <c r="AC311" i="12"/>
  <c r="AB311" i="12"/>
  <c r="AA311" i="12"/>
  <c r="Z311" i="12"/>
  <c r="Y311" i="12"/>
  <c r="X311" i="12"/>
  <c r="W311" i="12"/>
  <c r="V311" i="12"/>
  <c r="U311" i="12"/>
  <c r="T311" i="12"/>
  <c r="S311" i="12"/>
  <c r="R311" i="12"/>
  <c r="Q311" i="12"/>
  <c r="P311" i="12"/>
  <c r="O311" i="12"/>
  <c r="N311" i="12"/>
  <c r="M311" i="12"/>
  <c r="L311" i="12"/>
  <c r="K311" i="12"/>
  <c r="J311" i="12"/>
  <c r="I311" i="12"/>
  <c r="H311" i="12"/>
  <c r="G311" i="12"/>
  <c r="F311" i="12"/>
  <c r="E311" i="12"/>
  <c r="D311" i="12"/>
  <c r="AI310" i="12"/>
  <c r="AI309" i="12"/>
  <c r="AI308" i="12"/>
  <c r="AH307" i="12"/>
  <c r="AG307" i="12"/>
  <c r="AF307" i="12"/>
  <c r="AE307" i="12"/>
  <c r="AD307" i="12"/>
  <c r="AC307" i="12"/>
  <c r="AB307" i="12"/>
  <c r="AA307" i="12"/>
  <c r="Z307" i="12"/>
  <c r="Y307" i="12"/>
  <c r="X307" i="12"/>
  <c r="W307" i="12"/>
  <c r="V307" i="12"/>
  <c r="U307" i="12"/>
  <c r="T307" i="12"/>
  <c r="S307" i="12"/>
  <c r="R307" i="12"/>
  <c r="Q307" i="12"/>
  <c r="P307" i="12"/>
  <c r="O307" i="12"/>
  <c r="N307" i="12"/>
  <c r="M307" i="12"/>
  <c r="L307" i="12"/>
  <c r="K307" i="12"/>
  <c r="J307" i="12"/>
  <c r="I307" i="12"/>
  <c r="AI307" i="12" s="1"/>
  <c r="H307" i="12"/>
  <c r="G307" i="12"/>
  <c r="F307" i="12"/>
  <c r="E307" i="12"/>
  <c r="D307" i="12"/>
  <c r="AI306" i="12"/>
  <c r="AI305" i="12"/>
  <c r="AI304" i="12"/>
  <c r="AH303" i="12"/>
  <c r="AG303" i="12"/>
  <c r="AF303" i="12"/>
  <c r="AE303" i="12"/>
  <c r="AD303" i="12"/>
  <c r="AC303" i="12"/>
  <c r="AB303" i="12"/>
  <c r="AA303" i="12"/>
  <c r="Z303" i="12"/>
  <c r="Y303" i="12"/>
  <c r="X303" i="12"/>
  <c r="W303" i="12"/>
  <c r="V303" i="12"/>
  <c r="U303" i="12"/>
  <c r="T303" i="12"/>
  <c r="S303" i="12"/>
  <c r="R303" i="12"/>
  <c r="Q303" i="12"/>
  <c r="P303" i="12"/>
  <c r="O303" i="12"/>
  <c r="N303" i="12"/>
  <c r="M303" i="12"/>
  <c r="L303" i="12"/>
  <c r="K303" i="12"/>
  <c r="J303" i="12"/>
  <c r="I303" i="12"/>
  <c r="H303" i="12"/>
  <c r="G303" i="12"/>
  <c r="F303" i="12"/>
  <c r="E303" i="12"/>
  <c r="D303" i="12"/>
  <c r="AI303" i="12" s="1"/>
  <c r="AI302" i="12"/>
  <c r="AI301" i="12"/>
  <c r="AI300" i="12"/>
  <c r="AH299" i="12"/>
  <c r="AG299" i="12"/>
  <c r="AF299" i="12"/>
  <c r="AE299" i="12"/>
  <c r="AD299" i="12"/>
  <c r="AC299" i="12"/>
  <c r="AB299" i="12"/>
  <c r="AA299" i="12"/>
  <c r="Z299" i="12"/>
  <c r="Y299" i="12"/>
  <c r="X299" i="12"/>
  <c r="W299" i="12"/>
  <c r="V299" i="12"/>
  <c r="U299" i="12"/>
  <c r="T299" i="12"/>
  <c r="S299" i="12"/>
  <c r="R299" i="12"/>
  <c r="Q299" i="12"/>
  <c r="P299" i="12"/>
  <c r="O299" i="12"/>
  <c r="N299" i="12"/>
  <c r="M299" i="12"/>
  <c r="L299" i="12"/>
  <c r="K299" i="12"/>
  <c r="J299" i="12"/>
  <c r="I299" i="12"/>
  <c r="H299" i="12"/>
  <c r="G299" i="12"/>
  <c r="F299" i="12"/>
  <c r="E299" i="12"/>
  <c r="D299" i="12"/>
  <c r="AI299" i="12" s="1"/>
  <c r="AI298" i="12"/>
  <c r="AI297" i="12"/>
  <c r="AI296" i="12"/>
  <c r="AH295" i="12"/>
  <c r="AG295" i="12"/>
  <c r="AF295" i="12"/>
  <c r="AE295" i="12"/>
  <c r="AD295" i="12"/>
  <c r="AC295" i="12"/>
  <c r="AB295" i="12"/>
  <c r="AA295" i="12"/>
  <c r="Z295" i="12"/>
  <c r="Y295" i="12"/>
  <c r="X295" i="12"/>
  <c r="W295" i="12"/>
  <c r="V295" i="12"/>
  <c r="U295" i="12"/>
  <c r="T295" i="12"/>
  <c r="S295" i="12"/>
  <c r="R295" i="12"/>
  <c r="Q295" i="12"/>
  <c r="P295" i="12"/>
  <c r="O295" i="12"/>
  <c r="N295" i="12"/>
  <c r="M295" i="12"/>
  <c r="L295" i="12"/>
  <c r="K295" i="12"/>
  <c r="AI295" i="12" s="1"/>
  <c r="J295" i="12"/>
  <c r="I295" i="12"/>
  <c r="H295" i="12"/>
  <c r="G295" i="12"/>
  <c r="F295" i="12"/>
  <c r="E295" i="12"/>
  <c r="D295" i="12"/>
  <c r="AI294" i="12"/>
  <c r="AI293" i="12"/>
  <c r="AI292" i="12"/>
  <c r="AH291" i="12"/>
  <c r="AG291" i="12"/>
  <c r="AF291" i="12"/>
  <c r="AE291" i="12"/>
  <c r="AD291" i="12"/>
  <c r="AC291" i="12"/>
  <c r="AB291" i="12"/>
  <c r="AA291" i="12"/>
  <c r="Z291" i="12"/>
  <c r="Y291" i="12"/>
  <c r="X291" i="12"/>
  <c r="W291" i="12"/>
  <c r="W278" i="12" s="1"/>
  <c r="V291" i="12"/>
  <c r="U291" i="12"/>
  <c r="T291" i="12"/>
  <c r="S291" i="12"/>
  <c r="R291" i="12"/>
  <c r="Q291" i="12"/>
  <c r="P291" i="12"/>
  <c r="O291" i="12"/>
  <c r="N291" i="12"/>
  <c r="M291" i="12"/>
  <c r="L291" i="12"/>
  <c r="K291" i="12"/>
  <c r="J291" i="12"/>
  <c r="I291" i="12"/>
  <c r="H291" i="12"/>
  <c r="G291" i="12"/>
  <c r="G278" i="12" s="1"/>
  <c r="F291" i="12"/>
  <c r="E291" i="12"/>
  <c r="D291" i="12"/>
  <c r="AI290" i="12"/>
  <c r="AI289" i="12"/>
  <c r="AI288" i="12"/>
  <c r="AH287" i="12"/>
  <c r="AH278" i="12" s="1"/>
  <c r="AG287" i="12"/>
  <c r="AF287" i="12"/>
  <c r="AE287" i="12"/>
  <c r="AD287" i="12"/>
  <c r="AC287" i="12"/>
  <c r="AB287" i="12"/>
  <c r="AA287" i="12"/>
  <c r="Z287" i="12"/>
  <c r="Z278" i="12" s="1"/>
  <c r="Y287" i="12"/>
  <c r="X287" i="12"/>
  <c r="W287" i="12"/>
  <c r="V287" i="12"/>
  <c r="U287" i="12"/>
  <c r="T287" i="12"/>
  <c r="S287" i="12"/>
  <c r="R287" i="12"/>
  <c r="R278" i="12" s="1"/>
  <c r="Q287" i="12"/>
  <c r="P287" i="12"/>
  <c r="O287" i="12"/>
  <c r="N287" i="12"/>
  <c r="M287" i="12"/>
  <c r="L287" i="12"/>
  <c r="K287" i="12"/>
  <c r="J287" i="12"/>
  <c r="J278" i="12" s="1"/>
  <c r="I287" i="12"/>
  <c r="H287" i="12"/>
  <c r="G287" i="12"/>
  <c r="F287" i="12"/>
  <c r="E287" i="12"/>
  <c r="D287" i="12"/>
  <c r="AI286" i="12"/>
  <c r="AI285" i="12"/>
  <c r="AI284" i="12"/>
  <c r="AH283" i="12"/>
  <c r="AG283" i="12"/>
  <c r="AF283" i="12"/>
  <c r="AE283" i="12"/>
  <c r="AD283" i="12"/>
  <c r="AC283" i="12"/>
  <c r="AC278" i="12" s="1"/>
  <c r="AB283" i="12"/>
  <c r="AB278" i="12" s="1"/>
  <c r="AA283" i="12"/>
  <c r="Z283" i="12"/>
  <c r="Y283" i="12"/>
  <c r="X283" i="12"/>
  <c r="W283" i="12"/>
  <c r="V283" i="12"/>
  <c r="U283" i="12"/>
  <c r="U278" i="12" s="1"/>
  <c r="T283" i="12"/>
  <c r="T278" i="12" s="1"/>
  <c r="S283" i="12"/>
  <c r="R283" i="12"/>
  <c r="Q283" i="12"/>
  <c r="P283" i="12"/>
  <c r="O283" i="12"/>
  <c r="N283" i="12"/>
  <c r="M283" i="12"/>
  <c r="M278" i="12" s="1"/>
  <c r="L283" i="12"/>
  <c r="L278" i="12" s="1"/>
  <c r="K283" i="12"/>
  <c r="J283" i="12"/>
  <c r="I283" i="12"/>
  <c r="H283" i="12"/>
  <c r="G283" i="12"/>
  <c r="F283" i="12"/>
  <c r="E283" i="12"/>
  <c r="E278" i="12" s="1"/>
  <c r="D283" i="12"/>
  <c r="AI282" i="12"/>
  <c r="AI281" i="12"/>
  <c r="AI280" i="12"/>
  <c r="AH279" i="12"/>
  <c r="AG279" i="12"/>
  <c r="AF279" i="12"/>
  <c r="AF278" i="12" s="1"/>
  <c r="AE279" i="12"/>
  <c r="AE278" i="12" s="1"/>
  <c r="AD279" i="12"/>
  <c r="AD278" i="12" s="1"/>
  <c r="AC279" i="12"/>
  <c r="AB279" i="12"/>
  <c r="AA279" i="12"/>
  <c r="Z279" i="12"/>
  <c r="Y279" i="12"/>
  <c r="X279" i="12"/>
  <c r="X278" i="12" s="1"/>
  <c r="W279" i="12"/>
  <c r="V279" i="12"/>
  <c r="U279" i="12"/>
  <c r="T279" i="12"/>
  <c r="S279" i="12"/>
  <c r="R279" i="12"/>
  <c r="Q279" i="12"/>
  <c r="P279" i="12"/>
  <c r="P278" i="12" s="1"/>
  <c r="O279" i="12"/>
  <c r="O278" i="12" s="1"/>
  <c r="N279" i="12"/>
  <c r="N278" i="12" s="1"/>
  <c r="M279" i="12"/>
  <c r="L279" i="12"/>
  <c r="K279" i="12"/>
  <c r="J279" i="12"/>
  <c r="I279" i="12"/>
  <c r="H279" i="12"/>
  <c r="H278" i="12" s="1"/>
  <c r="G279" i="12"/>
  <c r="F279" i="12"/>
  <c r="E279" i="12"/>
  <c r="D279" i="12"/>
  <c r="V278" i="12"/>
  <c r="F278" i="12"/>
  <c r="AI277" i="12"/>
  <c r="AI276" i="12"/>
  <c r="AI275" i="12"/>
  <c r="AH274" i="12"/>
  <c r="AG274" i="12"/>
  <c r="AF274" i="12"/>
  <c r="AE274" i="12"/>
  <c r="AD274" i="12"/>
  <c r="AC274" i="12"/>
  <c r="AB274" i="12"/>
  <c r="AA274" i="12"/>
  <c r="Z274" i="12"/>
  <c r="Y274" i="12"/>
  <c r="X274" i="12"/>
  <c r="W274" i="12"/>
  <c r="V274" i="12"/>
  <c r="U274" i="12"/>
  <c r="T274" i="12"/>
  <c r="S274" i="12"/>
  <c r="R274" i="12"/>
  <c r="Q274" i="12"/>
  <c r="P274" i="12"/>
  <c r="O274" i="12"/>
  <c r="N274" i="12"/>
  <c r="M274" i="12"/>
  <c r="L274" i="12"/>
  <c r="K274" i="12"/>
  <c r="J274" i="12"/>
  <c r="I274" i="12"/>
  <c r="AI274" i="12" s="1"/>
  <c r="H274" i="12"/>
  <c r="G274" i="12"/>
  <c r="F274" i="12"/>
  <c r="E274" i="12"/>
  <c r="D274" i="12"/>
  <c r="AI273" i="12"/>
  <c r="AI272" i="12"/>
  <c r="AI271" i="12"/>
  <c r="AH270" i="12"/>
  <c r="AG270" i="12"/>
  <c r="AF270" i="12"/>
  <c r="AE270" i="12"/>
  <c r="AD270" i="12"/>
  <c r="AC270" i="12"/>
  <c r="AB270" i="12"/>
  <c r="AA270" i="12"/>
  <c r="Z270" i="12"/>
  <c r="Y270" i="12"/>
  <c r="X270" i="12"/>
  <c r="W270" i="12"/>
  <c r="V270" i="12"/>
  <c r="U270" i="12"/>
  <c r="T270" i="12"/>
  <c r="S270" i="12"/>
  <c r="R270" i="12"/>
  <c r="Q270" i="12"/>
  <c r="P270" i="12"/>
  <c r="O270" i="12"/>
  <c r="N270" i="12"/>
  <c r="M270" i="12"/>
  <c r="L270" i="12"/>
  <c r="K270" i="12"/>
  <c r="J270" i="12"/>
  <c r="I270" i="12"/>
  <c r="H270" i="12"/>
  <c r="G270" i="12"/>
  <c r="F270" i="12"/>
  <c r="E270" i="12"/>
  <c r="D270" i="12"/>
  <c r="AI269" i="12"/>
  <c r="AI268" i="12"/>
  <c r="AI267" i="12"/>
  <c r="AH266" i="12"/>
  <c r="AG266" i="12"/>
  <c r="AF266" i="12"/>
  <c r="AE266" i="12"/>
  <c r="AD266" i="12"/>
  <c r="AC266" i="12"/>
  <c r="AB266" i="12"/>
  <c r="AA266" i="12"/>
  <c r="Z266" i="12"/>
  <c r="Y266" i="12"/>
  <c r="X266" i="12"/>
  <c r="W266" i="12"/>
  <c r="V266" i="12"/>
  <c r="U266" i="12"/>
  <c r="T266" i="12"/>
  <c r="S266" i="12"/>
  <c r="R266" i="12"/>
  <c r="Q266" i="12"/>
  <c r="Q233" i="12" s="1"/>
  <c r="P266" i="12"/>
  <c r="O266" i="12"/>
  <c r="N266" i="12"/>
  <c r="M266" i="12"/>
  <c r="L266" i="12"/>
  <c r="K266" i="12"/>
  <c r="J266" i="12"/>
  <c r="I266" i="12"/>
  <c r="H266" i="12"/>
  <c r="G266" i="12"/>
  <c r="F266" i="12"/>
  <c r="E266" i="12"/>
  <c r="D266" i="12"/>
  <c r="AI265" i="12"/>
  <c r="AI264" i="12"/>
  <c r="AI263" i="12"/>
  <c r="AH262" i="12"/>
  <c r="AG262" i="12"/>
  <c r="AF262" i="12"/>
  <c r="AE262" i="12"/>
  <c r="AD262" i="12"/>
  <c r="AC262" i="12"/>
  <c r="AB262" i="12"/>
  <c r="AA262" i="12"/>
  <c r="Z262" i="12"/>
  <c r="Y262" i="12"/>
  <c r="X262" i="12"/>
  <c r="W262" i="12"/>
  <c r="V262" i="12"/>
  <c r="U262" i="12"/>
  <c r="T262" i="12"/>
  <c r="S262" i="12"/>
  <c r="R262" i="12"/>
  <c r="Q262" i="12"/>
  <c r="P262" i="12"/>
  <c r="O262" i="12"/>
  <c r="N262" i="12"/>
  <c r="M262" i="12"/>
  <c r="L262" i="12"/>
  <c r="K262" i="12"/>
  <c r="J262" i="12"/>
  <c r="I262" i="12"/>
  <c r="H262" i="12"/>
  <c r="G262" i="12"/>
  <c r="F262" i="12"/>
  <c r="E262" i="12"/>
  <c r="D262" i="12"/>
  <c r="AI262" i="12" s="1"/>
  <c r="AI261" i="12"/>
  <c r="AI260" i="12"/>
  <c r="AI259" i="12"/>
  <c r="AH258" i="12"/>
  <c r="AG258" i="12"/>
  <c r="AF258" i="12"/>
  <c r="AE258" i="12"/>
  <c r="AD258" i="12"/>
  <c r="AC258" i="12"/>
  <c r="AB258" i="12"/>
  <c r="AA258" i="12"/>
  <c r="Z258" i="12"/>
  <c r="Y258" i="12"/>
  <c r="X258" i="12"/>
  <c r="W258" i="12"/>
  <c r="V258" i="12"/>
  <c r="U258" i="12"/>
  <c r="T258" i="12"/>
  <c r="S258" i="12"/>
  <c r="R258" i="12"/>
  <c r="Q258" i="12"/>
  <c r="P258" i="12"/>
  <c r="O258" i="12"/>
  <c r="N258" i="12"/>
  <c r="M258" i="12"/>
  <c r="L258" i="12"/>
  <c r="K258" i="12"/>
  <c r="J258" i="12"/>
  <c r="I258" i="12"/>
  <c r="H258" i="12"/>
  <c r="G258" i="12"/>
  <c r="F258" i="12"/>
  <c r="E258" i="12"/>
  <c r="D258" i="12"/>
  <c r="AI257" i="12"/>
  <c r="AI256" i="12"/>
  <c r="AI255" i="12"/>
  <c r="AH254" i="12"/>
  <c r="AG254" i="12"/>
  <c r="AF254" i="12"/>
  <c r="AE254" i="12"/>
  <c r="AD254" i="12"/>
  <c r="AC254" i="12"/>
  <c r="AB254" i="12"/>
  <c r="AA254" i="12"/>
  <c r="Z254" i="12"/>
  <c r="Y254" i="12"/>
  <c r="X254" i="12"/>
  <c r="X233" i="12" s="1"/>
  <c r="W254" i="12"/>
  <c r="V254" i="12"/>
  <c r="U254" i="12"/>
  <c r="T254" i="12"/>
  <c r="S254" i="12"/>
  <c r="R254" i="12"/>
  <c r="Q254" i="12"/>
  <c r="P254" i="12"/>
  <c r="P233" i="12" s="1"/>
  <c r="P232" i="12" s="1"/>
  <c r="O254" i="12"/>
  <c r="N254" i="12"/>
  <c r="M254" i="12"/>
  <c r="L254" i="12"/>
  <c r="K254" i="12"/>
  <c r="J254" i="12"/>
  <c r="I254" i="12"/>
  <c r="H254" i="12"/>
  <c r="G254" i="12"/>
  <c r="F254" i="12"/>
  <c r="E254" i="12"/>
  <c r="D254" i="12"/>
  <c r="AI253" i="12"/>
  <c r="AI252" i="12"/>
  <c r="AI251" i="12"/>
  <c r="AH250" i="12"/>
  <c r="AG250" i="12"/>
  <c r="AF250" i="12"/>
  <c r="AE250" i="12"/>
  <c r="AD250" i="12"/>
  <c r="AC250" i="12"/>
  <c r="AB250" i="12"/>
  <c r="AA250" i="12"/>
  <c r="Z250" i="12"/>
  <c r="Y250" i="12"/>
  <c r="X250" i="12"/>
  <c r="W250" i="12"/>
  <c r="V250" i="12"/>
  <c r="U250" i="12"/>
  <c r="T250" i="12"/>
  <c r="S250" i="12"/>
  <c r="R250" i="12"/>
  <c r="Q250" i="12"/>
  <c r="P250" i="12"/>
  <c r="O250" i="12"/>
  <c r="N250" i="12"/>
  <c r="M250" i="12"/>
  <c r="L250" i="12"/>
  <c r="K250" i="12"/>
  <c r="AI250" i="12" s="1"/>
  <c r="J250" i="12"/>
  <c r="I250" i="12"/>
  <c r="H250" i="12"/>
  <c r="G250" i="12"/>
  <c r="F250" i="12"/>
  <c r="E250" i="12"/>
  <c r="D250" i="12"/>
  <c r="AI249" i="12"/>
  <c r="AI248" i="12"/>
  <c r="AI247" i="12"/>
  <c r="AH246" i="12"/>
  <c r="AG246" i="12"/>
  <c r="AF246" i="12"/>
  <c r="AE246" i="12"/>
  <c r="AD246" i="12"/>
  <c r="AC246" i="12"/>
  <c r="AB246" i="12"/>
  <c r="AA246" i="12"/>
  <c r="Z246" i="12"/>
  <c r="Y246" i="12"/>
  <c r="X246" i="12"/>
  <c r="W246" i="12"/>
  <c r="V246" i="12"/>
  <c r="U246" i="12"/>
  <c r="T246" i="12"/>
  <c r="S246" i="12"/>
  <c r="R246" i="12"/>
  <c r="Q246" i="12"/>
  <c r="P246" i="12"/>
  <c r="O246" i="12"/>
  <c r="N246" i="12"/>
  <c r="M246" i="12"/>
  <c r="L246" i="12"/>
  <c r="K246" i="12"/>
  <c r="J246" i="12"/>
  <c r="I246" i="12"/>
  <c r="H246" i="12"/>
  <c r="G246" i="12"/>
  <c r="F246" i="12"/>
  <c r="E246" i="12"/>
  <c r="D246" i="12"/>
  <c r="AI245" i="12"/>
  <c r="AI244" i="12"/>
  <c r="AI243" i="12"/>
  <c r="AH242" i="12"/>
  <c r="AG242" i="12"/>
  <c r="AF242" i="12"/>
  <c r="AE242" i="12"/>
  <c r="AD242" i="12"/>
  <c r="AC242" i="12"/>
  <c r="AB242" i="12"/>
  <c r="AA242" i="12"/>
  <c r="Z242" i="12"/>
  <c r="Y242" i="12"/>
  <c r="X242" i="12"/>
  <c r="W242" i="12"/>
  <c r="V242" i="12"/>
  <c r="U242" i="12"/>
  <c r="T242" i="12"/>
  <c r="S242" i="12"/>
  <c r="R242" i="12"/>
  <c r="Q242" i="12"/>
  <c r="P242" i="12"/>
  <c r="O242" i="12"/>
  <c r="N242" i="12"/>
  <c r="M242" i="12"/>
  <c r="L242" i="12"/>
  <c r="K242" i="12"/>
  <c r="J242" i="12"/>
  <c r="AI242" i="12" s="1"/>
  <c r="I242" i="12"/>
  <c r="H242" i="12"/>
  <c r="G242" i="12"/>
  <c r="F242" i="12"/>
  <c r="E242" i="12"/>
  <c r="D242" i="12"/>
  <c r="AI241" i="12"/>
  <c r="AI240" i="12"/>
  <c r="AI239" i="12"/>
  <c r="AH238" i="12"/>
  <c r="AH233" i="12" s="1"/>
  <c r="AH232" i="12" s="1"/>
  <c r="AG238" i="12"/>
  <c r="AF238" i="12"/>
  <c r="AE238" i="12"/>
  <c r="AD238" i="12"/>
  <c r="AC238" i="12"/>
  <c r="AB238" i="12"/>
  <c r="AA238" i="12"/>
  <c r="Z238" i="12"/>
  <c r="Z233" i="12" s="1"/>
  <c r="Z232" i="12" s="1"/>
  <c r="Y238" i="12"/>
  <c r="X238" i="12"/>
  <c r="W238" i="12"/>
  <c r="V238" i="12"/>
  <c r="U238" i="12"/>
  <c r="T238" i="12"/>
  <c r="S238" i="12"/>
  <c r="R238" i="12"/>
  <c r="R233" i="12" s="1"/>
  <c r="R232" i="12" s="1"/>
  <c r="Q238" i="12"/>
  <c r="P238" i="12"/>
  <c r="O238" i="12"/>
  <c r="N238" i="12"/>
  <c r="M238" i="12"/>
  <c r="L238" i="12"/>
  <c r="K238" i="12"/>
  <c r="J238" i="12"/>
  <c r="J233" i="12" s="1"/>
  <c r="J232" i="12" s="1"/>
  <c r="I238" i="12"/>
  <c r="H238" i="12"/>
  <c r="G238" i="12"/>
  <c r="F238" i="12"/>
  <c r="E238" i="12"/>
  <c r="D238" i="12"/>
  <c r="AI237" i="12"/>
  <c r="AI236" i="12"/>
  <c r="AI235" i="12"/>
  <c r="AH234" i="12"/>
  <c r="AG234" i="12"/>
  <c r="AF234" i="12"/>
  <c r="AE234" i="12"/>
  <c r="AE233" i="12" s="1"/>
  <c r="AD234" i="12"/>
  <c r="AC234" i="12"/>
  <c r="AB234" i="12"/>
  <c r="AA234" i="12"/>
  <c r="Z234" i="12"/>
  <c r="Y234" i="12"/>
  <c r="X234" i="12"/>
  <c r="W234" i="12"/>
  <c r="V234" i="12"/>
  <c r="U234" i="12"/>
  <c r="T234" i="12"/>
  <c r="S234" i="12"/>
  <c r="R234" i="12"/>
  <c r="Q234" i="12"/>
  <c r="P234" i="12"/>
  <c r="O234" i="12"/>
  <c r="O233" i="12" s="1"/>
  <c r="N234" i="12"/>
  <c r="M234" i="12"/>
  <c r="L234" i="12"/>
  <c r="K234" i="12"/>
  <c r="J234" i="12"/>
  <c r="I234" i="12"/>
  <c r="H234" i="12"/>
  <c r="G234" i="12"/>
  <c r="G233" i="12" s="1"/>
  <c r="F234" i="12"/>
  <c r="E234" i="12"/>
  <c r="D234" i="12"/>
  <c r="AI234" i="12" s="1"/>
  <c r="W233" i="12"/>
  <c r="W232" i="12" s="1"/>
  <c r="G232" i="12"/>
  <c r="AH228" i="12"/>
  <c r="AG228" i="12"/>
  <c r="AF228" i="12"/>
  <c r="AE228" i="12"/>
  <c r="AD228" i="12"/>
  <c r="AD223" i="12" s="1"/>
  <c r="AC228" i="12"/>
  <c r="AB228" i="12"/>
  <c r="AB223" i="12" s="1"/>
  <c r="AA228" i="12"/>
  <c r="AA223" i="12" s="1"/>
  <c r="Z228" i="12"/>
  <c r="Y228" i="12"/>
  <c r="X228" i="12"/>
  <c r="W228" i="12"/>
  <c r="V228" i="12"/>
  <c r="V223" i="12" s="1"/>
  <c r="U228" i="12"/>
  <c r="T228" i="12"/>
  <c r="T223" i="12" s="1"/>
  <c r="S228" i="12"/>
  <c r="S223" i="12" s="1"/>
  <c r="R228" i="12"/>
  <c r="Q228" i="12"/>
  <c r="P228" i="12"/>
  <c r="O228" i="12"/>
  <c r="N228" i="12"/>
  <c r="N223" i="12" s="1"/>
  <c r="M228" i="12"/>
  <c r="L228" i="12"/>
  <c r="L223" i="12" s="1"/>
  <c r="K228" i="12"/>
  <c r="K223" i="12" s="1"/>
  <c r="J228" i="12"/>
  <c r="I228" i="12"/>
  <c r="H228" i="12"/>
  <c r="G228" i="12"/>
  <c r="F228" i="12"/>
  <c r="F223" i="12" s="1"/>
  <c r="E228" i="12"/>
  <c r="D228" i="12"/>
  <c r="D223" i="12" s="1"/>
  <c r="AI225" i="12"/>
  <c r="AH224" i="12"/>
  <c r="AG224" i="12"/>
  <c r="AG223" i="12" s="1"/>
  <c r="AF224" i="12"/>
  <c r="AE224" i="12"/>
  <c r="AE223" i="12" s="1"/>
  <c r="AD224" i="12"/>
  <c r="AC224" i="12"/>
  <c r="AB224" i="12"/>
  <c r="AA224" i="12"/>
  <c r="Z224" i="12"/>
  <c r="Y224" i="12"/>
  <c r="X224" i="12"/>
  <c r="W224" i="12"/>
  <c r="V224" i="12"/>
  <c r="U224" i="12"/>
  <c r="T224" i="12"/>
  <c r="S224" i="12"/>
  <c r="R224" i="12"/>
  <c r="Q224" i="12"/>
  <c r="Q223" i="12" s="1"/>
  <c r="P224" i="12"/>
  <c r="O224" i="12"/>
  <c r="N224" i="12"/>
  <c r="M224" i="12"/>
  <c r="L224" i="12"/>
  <c r="K224" i="12"/>
  <c r="J224" i="12"/>
  <c r="I224" i="12"/>
  <c r="H224" i="12"/>
  <c r="H223" i="12" s="1"/>
  <c r="G224" i="12"/>
  <c r="G223" i="12" s="1"/>
  <c r="F224" i="12"/>
  <c r="E224" i="12"/>
  <c r="D224" i="12"/>
  <c r="AH223" i="12"/>
  <c r="AF223" i="12"/>
  <c r="AC223" i="12"/>
  <c r="Z223" i="12"/>
  <c r="Y223" i="12"/>
  <c r="X223" i="12"/>
  <c r="W223" i="12"/>
  <c r="U223" i="12"/>
  <c r="R223" i="12"/>
  <c r="P223" i="12"/>
  <c r="O223" i="12"/>
  <c r="M223" i="12"/>
  <c r="J223" i="12"/>
  <c r="I223" i="12"/>
  <c r="E223" i="12"/>
  <c r="AI222" i="12"/>
  <c r="AI221" i="12"/>
  <c r="AI220" i="12"/>
  <c r="AH219" i="12"/>
  <c r="AH214" i="12" s="1"/>
  <c r="AG219" i="12"/>
  <c r="AF219" i="12"/>
  <c r="AF214" i="12" s="1"/>
  <c r="AE219" i="12"/>
  <c r="AD219" i="12"/>
  <c r="AC219" i="12"/>
  <c r="AB219" i="12"/>
  <c r="AB214" i="12" s="1"/>
  <c r="AA219" i="12"/>
  <c r="Z219" i="12"/>
  <c r="Z214" i="12" s="1"/>
  <c r="Y219" i="12"/>
  <c r="X219" i="12"/>
  <c r="X214" i="12" s="1"/>
  <c r="W219" i="12"/>
  <c r="V219" i="12"/>
  <c r="U219" i="12"/>
  <c r="T219" i="12"/>
  <c r="T214" i="12" s="1"/>
  <c r="T201" i="12" s="1"/>
  <c r="S219" i="12"/>
  <c r="S214" i="12" s="1"/>
  <c r="R219" i="12"/>
  <c r="R214" i="12" s="1"/>
  <c r="Q219" i="12"/>
  <c r="P219" i="12"/>
  <c r="P214" i="12" s="1"/>
  <c r="O219" i="12"/>
  <c r="N219" i="12"/>
  <c r="M219" i="12"/>
  <c r="L219" i="12"/>
  <c r="L214" i="12" s="1"/>
  <c r="L201" i="12" s="1"/>
  <c r="K219" i="12"/>
  <c r="J219" i="12"/>
  <c r="J214" i="12" s="1"/>
  <c r="I219" i="12"/>
  <c r="H219" i="12"/>
  <c r="H214" i="12" s="1"/>
  <c r="G219" i="12"/>
  <c r="F219" i="12"/>
  <c r="E219" i="12"/>
  <c r="D219" i="12"/>
  <c r="AI218" i="12"/>
  <c r="AI217" i="12"/>
  <c r="AI216" i="12"/>
  <c r="AH215" i="12"/>
  <c r="AG215" i="12"/>
  <c r="AF215" i="12"/>
  <c r="AE215" i="12"/>
  <c r="AE214" i="12" s="1"/>
  <c r="AD215" i="12"/>
  <c r="AC215" i="12"/>
  <c r="AB215" i="12"/>
  <c r="AA215" i="12"/>
  <c r="Z215" i="12"/>
  <c r="Y215" i="12"/>
  <c r="X215" i="12"/>
  <c r="W215" i="12"/>
  <c r="W214" i="12" s="1"/>
  <c r="W201" i="12" s="1"/>
  <c r="V215" i="12"/>
  <c r="V214" i="12" s="1"/>
  <c r="U215" i="12"/>
  <c r="U214" i="12" s="1"/>
  <c r="T215" i="12"/>
  <c r="S215" i="12"/>
  <c r="R215" i="12"/>
  <c r="Q215" i="12"/>
  <c r="P215" i="12"/>
  <c r="O215" i="12"/>
  <c r="O214" i="12" s="1"/>
  <c r="O201" i="12" s="1"/>
  <c r="N215" i="12"/>
  <c r="M215" i="12"/>
  <c r="L215" i="12"/>
  <c r="K215" i="12"/>
  <c r="K214" i="12" s="1"/>
  <c r="J215" i="12"/>
  <c r="I215" i="12"/>
  <c r="H215" i="12"/>
  <c r="G215" i="12"/>
  <c r="G214" i="12" s="1"/>
  <c r="G201" i="12" s="1"/>
  <c r="F215" i="12"/>
  <c r="F214" i="12" s="1"/>
  <c r="E215" i="12"/>
  <c r="D215" i="12"/>
  <c r="AG214" i="12"/>
  <c r="AD214" i="12"/>
  <c r="AC214" i="12"/>
  <c r="AA214" i="12"/>
  <c r="Y214" i="12"/>
  <c r="Q214" i="12"/>
  <c r="N214" i="12"/>
  <c r="M214" i="12"/>
  <c r="I214" i="12"/>
  <c r="AI213" i="12"/>
  <c r="AI212" i="12"/>
  <c r="AI211" i="12"/>
  <c r="AH210" i="12"/>
  <c r="AG210" i="12"/>
  <c r="AF210" i="12"/>
  <c r="AE210" i="12"/>
  <c r="AD210" i="12"/>
  <c r="AC210" i="12"/>
  <c r="AB210" i="12"/>
  <c r="AA210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K210" i="12"/>
  <c r="J210" i="12"/>
  <c r="I210" i="12"/>
  <c r="H210" i="12"/>
  <c r="G210" i="12"/>
  <c r="F210" i="12"/>
  <c r="E210" i="12"/>
  <c r="D210" i="12"/>
  <c r="AI209" i="12"/>
  <c r="AI208" i="12"/>
  <c r="AI207" i="12"/>
  <c r="AH206" i="12"/>
  <c r="AG206" i="12"/>
  <c r="AG201" i="12" s="1"/>
  <c r="AF206" i="12"/>
  <c r="AF201" i="12" s="1"/>
  <c r="AE206" i="12"/>
  <c r="AD206" i="12"/>
  <c r="AC206" i="12"/>
  <c r="AB206" i="12"/>
  <c r="AA206" i="12"/>
  <c r="Z206" i="12"/>
  <c r="Y206" i="12"/>
  <c r="Y201" i="12" s="1"/>
  <c r="X206" i="12"/>
  <c r="X201" i="12" s="1"/>
  <c r="W206" i="12"/>
  <c r="V206" i="12"/>
  <c r="U206" i="12"/>
  <c r="T206" i="12"/>
  <c r="S206" i="12"/>
  <c r="R206" i="12"/>
  <c r="Q206" i="12"/>
  <c r="Q201" i="12" s="1"/>
  <c r="P206" i="12"/>
  <c r="P201" i="12" s="1"/>
  <c r="O206" i="12"/>
  <c r="N206" i="12"/>
  <c r="M206" i="12"/>
  <c r="L206" i="12"/>
  <c r="K206" i="12"/>
  <c r="J206" i="12"/>
  <c r="I206" i="12"/>
  <c r="H206" i="12"/>
  <c r="H201" i="12" s="1"/>
  <c r="G206" i="12"/>
  <c r="F206" i="12"/>
  <c r="E206" i="12"/>
  <c r="D206" i="12"/>
  <c r="AI205" i="12"/>
  <c r="AI204" i="12"/>
  <c r="AI203" i="12"/>
  <c r="AH202" i="12"/>
  <c r="AG202" i="12"/>
  <c r="AF202" i="12"/>
  <c r="AE202" i="12"/>
  <c r="AD202" i="12"/>
  <c r="AC202" i="12"/>
  <c r="AB202" i="12"/>
  <c r="AA202" i="12"/>
  <c r="Z202" i="12"/>
  <c r="Y202" i="12"/>
  <c r="X202" i="12"/>
  <c r="W202" i="12"/>
  <c r="V202" i="12"/>
  <c r="U202" i="12"/>
  <c r="T202" i="12"/>
  <c r="S202" i="12"/>
  <c r="S201" i="12" s="1"/>
  <c r="R202" i="12"/>
  <c r="Q202" i="12"/>
  <c r="P202" i="12"/>
  <c r="O202" i="12"/>
  <c r="N202" i="12"/>
  <c r="M202" i="12"/>
  <c r="L202" i="12"/>
  <c r="K202" i="12"/>
  <c r="J202" i="12"/>
  <c r="I202" i="12"/>
  <c r="H202" i="12"/>
  <c r="G202" i="12"/>
  <c r="F202" i="12"/>
  <c r="E202" i="12"/>
  <c r="D202" i="12"/>
  <c r="N201" i="12"/>
  <c r="I201" i="12"/>
  <c r="AI199" i="12"/>
  <c r="AI198" i="12"/>
  <c r="AI197" i="12"/>
  <c r="AH196" i="12"/>
  <c r="AG196" i="12"/>
  <c r="AF196" i="12"/>
  <c r="AE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K196" i="12"/>
  <c r="J196" i="12"/>
  <c r="I196" i="12"/>
  <c r="H196" i="12"/>
  <c r="G196" i="12"/>
  <c r="F196" i="12"/>
  <c r="E196" i="12"/>
  <c r="D196" i="12"/>
  <c r="AI196" i="12" s="1"/>
  <c r="AI195" i="12"/>
  <c r="AI194" i="12"/>
  <c r="AI193" i="12"/>
  <c r="AH192" i="12"/>
  <c r="AG192" i="12"/>
  <c r="AF192" i="12"/>
  <c r="AE192" i="12"/>
  <c r="AD192" i="12"/>
  <c r="AC192" i="12"/>
  <c r="AB192" i="12"/>
  <c r="AA192" i="12"/>
  <c r="Z192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K192" i="12"/>
  <c r="J192" i="12"/>
  <c r="I192" i="12"/>
  <c r="H192" i="12"/>
  <c r="G192" i="12"/>
  <c r="F192" i="12"/>
  <c r="E192" i="12"/>
  <c r="D192" i="12"/>
  <c r="AI191" i="12"/>
  <c r="AI190" i="12"/>
  <c r="AI189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K188" i="12"/>
  <c r="J188" i="12"/>
  <c r="I188" i="12"/>
  <c r="H188" i="12"/>
  <c r="G188" i="12"/>
  <c r="F188" i="12"/>
  <c r="E188" i="12"/>
  <c r="AI188" i="12" s="1"/>
  <c r="D188" i="12"/>
  <c r="AI187" i="12"/>
  <c r="AI186" i="12"/>
  <c r="AI185" i="12"/>
  <c r="AH184" i="12"/>
  <c r="AG184" i="12"/>
  <c r="AF184" i="12"/>
  <c r="AE184" i="12"/>
  <c r="AD184" i="12"/>
  <c r="AD155" i="12" s="1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K184" i="12"/>
  <c r="J184" i="12"/>
  <c r="I184" i="12"/>
  <c r="H184" i="12"/>
  <c r="G184" i="12"/>
  <c r="F184" i="12"/>
  <c r="E184" i="12"/>
  <c r="D184" i="12"/>
  <c r="AI184" i="12" s="1"/>
  <c r="AI183" i="12"/>
  <c r="AI182" i="12"/>
  <c r="AI181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K180" i="12"/>
  <c r="J180" i="12"/>
  <c r="I180" i="12"/>
  <c r="AI180" i="12" s="1"/>
  <c r="H180" i="12"/>
  <c r="G180" i="12"/>
  <c r="F180" i="12"/>
  <c r="E180" i="12"/>
  <c r="D180" i="12"/>
  <c r="AI179" i="12"/>
  <c r="AI178" i="12"/>
  <c r="AI177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K176" i="12"/>
  <c r="J176" i="12"/>
  <c r="I176" i="12"/>
  <c r="H176" i="12"/>
  <c r="G176" i="12"/>
  <c r="F176" i="12"/>
  <c r="E176" i="12"/>
  <c r="D176" i="12"/>
  <c r="AI175" i="12"/>
  <c r="AI174" i="12"/>
  <c r="AI173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K172" i="12"/>
  <c r="J172" i="12"/>
  <c r="I172" i="12"/>
  <c r="H172" i="12"/>
  <c r="G172" i="12"/>
  <c r="F172" i="12"/>
  <c r="E172" i="12"/>
  <c r="D172" i="12"/>
  <c r="AI171" i="12"/>
  <c r="AI170" i="12"/>
  <c r="AI169" i="12"/>
  <c r="AH168" i="12"/>
  <c r="AG168" i="12"/>
  <c r="AF168" i="12"/>
  <c r="AE168" i="12"/>
  <c r="AD168" i="12"/>
  <c r="AC168" i="12"/>
  <c r="AB168" i="12"/>
  <c r="AB155" i="12" s="1"/>
  <c r="AA168" i="12"/>
  <c r="Z168" i="12"/>
  <c r="Y168" i="12"/>
  <c r="X168" i="12"/>
  <c r="W168" i="12"/>
  <c r="V168" i="12"/>
  <c r="U168" i="12"/>
  <c r="T168" i="12"/>
  <c r="T155" i="12" s="1"/>
  <c r="S168" i="12"/>
  <c r="R168" i="12"/>
  <c r="Q168" i="12"/>
  <c r="P168" i="12"/>
  <c r="O168" i="12"/>
  <c r="N168" i="12"/>
  <c r="M168" i="12"/>
  <c r="L168" i="12"/>
  <c r="L155" i="12" s="1"/>
  <c r="K168" i="12"/>
  <c r="J168" i="12"/>
  <c r="I168" i="12"/>
  <c r="H168" i="12"/>
  <c r="G168" i="12"/>
  <c r="F168" i="12"/>
  <c r="E168" i="12"/>
  <c r="D168" i="12"/>
  <c r="AI167" i="12"/>
  <c r="AI166" i="12"/>
  <c r="AI165" i="12"/>
  <c r="AH164" i="12"/>
  <c r="AG164" i="12"/>
  <c r="AF164" i="12"/>
  <c r="AE164" i="12"/>
  <c r="AE155" i="12" s="1"/>
  <c r="AD164" i="12"/>
  <c r="AC164" i="12"/>
  <c r="AB164" i="12"/>
  <c r="AA164" i="12"/>
  <c r="Z164" i="12"/>
  <c r="Y164" i="12"/>
  <c r="X164" i="12"/>
  <c r="W164" i="12"/>
  <c r="W155" i="12" s="1"/>
  <c r="V164" i="12"/>
  <c r="U164" i="12"/>
  <c r="T164" i="12"/>
  <c r="S164" i="12"/>
  <c r="R164" i="12"/>
  <c r="Q164" i="12"/>
  <c r="P164" i="12"/>
  <c r="O164" i="12"/>
  <c r="O155" i="12" s="1"/>
  <c r="N164" i="12"/>
  <c r="M164" i="12"/>
  <c r="L164" i="12"/>
  <c r="K164" i="12"/>
  <c r="J164" i="12"/>
  <c r="I164" i="12"/>
  <c r="H164" i="12"/>
  <c r="G164" i="12"/>
  <c r="G155" i="12" s="1"/>
  <c r="F164" i="12"/>
  <c r="E164" i="12"/>
  <c r="D164" i="12"/>
  <c r="AI163" i="12"/>
  <c r="AI162" i="12"/>
  <c r="AI161" i="12"/>
  <c r="AH160" i="12"/>
  <c r="AG160" i="12"/>
  <c r="AG155" i="12" s="1"/>
  <c r="AF160" i="12"/>
  <c r="AF155" i="12" s="1"/>
  <c r="AE160" i="12"/>
  <c r="AD160" i="12"/>
  <c r="AC160" i="12"/>
  <c r="AB160" i="12"/>
  <c r="AA160" i="12"/>
  <c r="Z160" i="12"/>
  <c r="Y160" i="12"/>
  <c r="Y155" i="12" s="1"/>
  <c r="X160" i="12"/>
  <c r="X155" i="12" s="1"/>
  <c r="W160" i="12"/>
  <c r="V160" i="12"/>
  <c r="U160" i="12"/>
  <c r="T160" i="12"/>
  <c r="S160" i="12"/>
  <c r="R160" i="12"/>
  <c r="Q160" i="12"/>
  <c r="Q155" i="12" s="1"/>
  <c r="P160" i="12"/>
  <c r="P155" i="12" s="1"/>
  <c r="O160" i="12"/>
  <c r="N160" i="12"/>
  <c r="M160" i="12"/>
  <c r="L160" i="12"/>
  <c r="K160" i="12"/>
  <c r="J160" i="12"/>
  <c r="I160" i="12"/>
  <c r="I155" i="12" s="1"/>
  <c r="H160" i="12"/>
  <c r="H155" i="12" s="1"/>
  <c r="G160" i="12"/>
  <c r="F160" i="12"/>
  <c r="E160" i="12"/>
  <c r="D160" i="12"/>
  <c r="AI159" i="12"/>
  <c r="AI158" i="12"/>
  <c r="AI157" i="12"/>
  <c r="AH156" i="12"/>
  <c r="AG156" i="12"/>
  <c r="AF156" i="12"/>
  <c r="AE156" i="12"/>
  <c r="AD156" i="12"/>
  <c r="AC156" i="12"/>
  <c r="AC155" i="12" s="1"/>
  <c r="AB156" i="12"/>
  <c r="AA156" i="12"/>
  <c r="AA155" i="12" s="1"/>
  <c r="Z156" i="12"/>
  <c r="Y156" i="12"/>
  <c r="X156" i="12"/>
  <c r="W156" i="12"/>
  <c r="V156" i="12"/>
  <c r="U156" i="12"/>
  <c r="U155" i="12" s="1"/>
  <c r="T156" i="12"/>
  <c r="S156" i="12"/>
  <c r="R156" i="12"/>
  <c r="Q156" i="12"/>
  <c r="P156" i="12"/>
  <c r="O156" i="12"/>
  <c r="N156" i="12"/>
  <c r="M156" i="12"/>
  <c r="M155" i="12" s="1"/>
  <c r="L156" i="12"/>
  <c r="K156" i="12"/>
  <c r="K155" i="12" s="1"/>
  <c r="J156" i="12"/>
  <c r="I156" i="12"/>
  <c r="H156" i="12"/>
  <c r="G156" i="12"/>
  <c r="F156" i="12"/>
  <c r="F155" i="12" s="1"/>
  <c r="E156" i="12"/>
  <c r="E155" i="12" s="1"/>
  <c r="D156" i="12"/>
  <c r="V155" i="12"/>
  <c r="S155" i="12"/>
  <c r="N155" i="12"/>
  <c r="AI154" i="12"/>
  <c r="AI153" i="12"/>
  <c r="AI152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K151" i="12"/>
  <c r="J151" i="12"/>
  <c r="I151" i="12"/>
  <c r="H151" i="12"/>
  <c r="G151" i="12"/>
  <c r="F151" i="12"/>
  <c r="E151" i="12"/>
  <c r="D151" i="12"/>
  <c r="AI150" i="12"/>
  <c r="AI149" i="12"/>
  <c r="AI148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K147" i="12"/>
  <c r="J147" i="12"/>
  <c r="I147" i="12"/>
  <c r="H147" i="12"/>
  <c r="G147" i="12"/>
  <c r="F147" i="12"/>
  <c r="E147" i="12"/>
  <c r="D147" i="12"/>
  <c r="AI146" i="12"/>
  <c r="AI145" i="12"/>
  <c r="AI144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K143" i="12"/>
  <c r="J143" i="12"/>
  <c r="I143" i="12"/>
  <c r="H143" i="12"/>
  <c r="G143" i="12"/>
  <c r="F143" i="12"/>
  <c r="E143" i="12"/>
  <c r="D143" i="12"/>
  <c r="AI142" i="12"/>
  <c r="AI141" i="12"/>
  <c r="AI140" i="12"/>
  <c r="AH139" i="12"/>
  <c r="AG139" i="12"/>
  <c r="AG111" i="12" s="1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AI138" i="12"/>
  <c r="AI137" i="12"/>
  <c r="AI136" i="12"/>
  <c r="AH135" i="12"/>
  <c r="AG135" i="12"/>
  <c r="AF135" i="12"/>
  <c r="AE135" i="12"/>
  <c r="AD135" i="12"/>
  <c r="AC135" i="12"/>
  <c r="AB135" i="12"/>
  <c r="AA135" i="12"/>
  <c r="Z135" i="12"/>
  <c r="Z111" i="12" s="1"/>
  <c r="Y135" i="12"/>
  <c r="X135" i="12"/>
  <c r="W135" i="12"/>
  <c r="V135" i="12"/>
  <c r="U135" i="12"/>
  <c r="T135" i="12"/>
  <c r="S135" i="12"/>
  <c r="R135" i="12"/>
  <c r="R111" i="12" s="1"/>
  <c r="Q135" i="12"/>
  <c r="P135" i="12"/>
  <c r="O135" i="12"/>
  <c r="N135" i="12"/>
  <c r="M135" i="12"/>
  <c r="L135" i="12"/>
  <c r="K135" i="12"/>
  <c r="J135" i="12"/>
  <c r="J111" i="12" s="1"/>
  <c r="I135" i="12"/>
  <c r="H135" i="12"/>
  <c r="G135" i="12"/>
  <c r="F135" i="12"/>
  <c r="E135" i="12"/>
  <c r="D135" i="12"/>
  <c r="AI135" i="12" s="1"/>
  <c r="AI134" i="12"/>
  <c r="AI133" i="12"/>
  <c r="AI132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AI131" i="12" s="1"/>
  <c r="D131" i="12"/>
  <c r="AI130" i="12"/>
  <c r="AI129" i="12"/>
  <c r="AI128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AI127" i="12" s="1"/>
  <c r="G127" i="12"/>
  <c r="F127" i="12"/>
  <c r="E127" i="12"/>
  <c r="D127" i="12"/>
  <c r="AI126" i="12"/>
  <c r="AI125" i="12"/>
  <c r="AI124" i="12"/>
  <c r="AH123" i="12"/>
  <c r="AG123" i="12"/>
  <c r="AF123" i="12"/>
  <c r="AE123" i="12"/>
  <c r="AD123" i="12"/>
  <c r="AC123" i="12"/>
  <c r="AC112" i="12" s="1"/>
  <c r="AB123" i="12"/>
  <c r="AA123" i="12"/>
  <c r="AA112" i="12" s="1"/>
  <c r="AA111" i="12" s="1"/>
  <c r="Z123" i="12"/>
  <c r="Y123" i="12"/>
  <c r="X123" i="12"/>
  <c r="W123" i="12"/>
  <c r="V123" i="12"/>
  <c r="U123" i="12"/>
  <c r="U112" i="12" s="1"/>
  <c r="T123" i="12"/>
  <c r="S123" i="12"/>
  <c r="S112" i="12" s="1"/>
  <c r="S111" i="12" s="1"/>
  <c r="R123" i="12"/>
  <c r="Q123" i="12"/>
  <c r="P123" i="12"/>
  <c r="O123" i="12"/>
  <c r="N123" i="12"/>
  <c r="M123" i="12"/>
  <c r="M112" i="12" s="1"/>
  <c r="L123" i="12"/>
  <c r="K123" i="12"/>
  <c r="K112" i="12" s="1"/>
  <c r="K111" i="12" s="1"/>
  <c r="J123" i="12"/>
  <c r="I123" i="12"/>
  <c r="H123" i="12"/>
  <c r="G123" i="12"/>
  <c r="F123" i="12"/>
  <c r="E123" i="12"/>
  <c r="E112" i="12" s="1"/>
  <c r="D123" i="12"/>
  <c r="AI122" i="12"/>
  <c r="AI121" i="12"/>
  <c r="AI120" i="12"/>
  <c r="AH119" i="12"/>
  <c r="AG119" i="12"/>
  <c r="AF119" i="12"/>
  <c r="AF112" i="12" s="1"/>
  <c r="AE119" i="12"/>
  <c r="AE112" i="12" s="1"/>
  <c r="AD119" i="12"/>
  <c r="AD112" i="12" s="1"/>
  <c r="AD111" i="12" s="1"/>
  <c r="AC119" i="12"/>
  <c r="AB119" i="12"/>
  <c r="AA119" i="12"/>
  <c r="Z119" i="12"/>
  <c r="Y119" i="12"/>
  <c r="Y112" i="12" s="1"/>
  <c r="Y111" i="12" s="1"/>
  <c r="X119" i="12"/>
  <c r="X112" i="12" s="1"/>
  <c r="W119" i="12"/>
  <c r="W112" i="12" s="1"/>
  <c r="V119" i="12"/>
  <c r="V112" i="12" s="1"/>
  <c r="V111" i="12" s="1"/>
  <c r="U119" i="12"/>
  <c r="T119" i="12"/>
  <c r="S119" i="12"/>
  <c r="R119" i="12"/>
  <c r="Q119" i="12"/>
  <c r="P119" i="12"/>
  <c r="P112" i="12" s="1"/>
  <c r="O119" i="12"/>
  <c r="O112" i="12" s="1"/>
  <c r="N119" i="12"/>
  <c r="N112" i="12" s="1"/>
  <c r="N111" i="12" s="1"/>
  <c r="M119" i="12"/>
  <c r="L119" i="12"/>
  <c r="K119" i="12"/>
  <c r="J119" i="12"/>
  <c r="I119" i="12"/>
  <c r="I112" i="12" s="1"/>
  <c r="I111" i="12" s="1"/>
  <c r="H119" i="12"/>
  <c r="H112" i="12" s="1"/>
  <c r="G119" i="12"/>
  <c r="G112" i="12" s="1"/>
  <c r="F119" i="12"/>
  <c r="F112" i="12" s="1"/>
  <c r="F111" i="12" s="1"/>
  <c r="E119" i="12"/>
  <c r="D119" i="12"/>
  <c r="AI118" i="12"/>
  <c r="AI117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AI116" i="12" s="1"/>
  <c r="G116" i="12"/>
  <c r="F116" i="12"/>
  <c r="E116" i="12"/>
  <c r="D116" i="12"/>
  <c r="AH115" i="12"/>
  <c r="AH947" i="12" s="1"/>
  <c r="AH945" i="12" s="1"/>
  <c r="AG115" i="12"/>
  <c r="AG947" i="12" s="1"/>
  <c r="AG945" i="12" s="1"/>
  <c r="AG774" i="12" s="1"/>
  <c r="AF115" i="12"/>
  <c r="AE115" i="12"/>
  <c r="AE947" i="12" s="1"/>
  <c r="AE945" i="12" s="1"/>
  <c r="AD115" i="12"/>
  <c r="AD947" i="12" s="1"/>
  <c r="AD945" i="12" s="1"/>
  <c r="AC115" i="12"/>
  <c r="AC947" i="12" s="1"/>
  <c r="AC945" i="12" s="1"/>
  <c r="AA115" i="12"/>
  <c r="AA947" i="12" s="1"/>
  <c r="Z115" i="12"/>
  <c r="Z947" i="12" s="1"/>
  <c r="Z945" i="12" s="1"/>
  <c r="Z774" i="12" s="1"/>
  <c r="Y115" i="12"/>
  <c r="Y947" i="12" s="1"/>
  <c r="Y945" i="12" s="1"/>
  <c r="Y774" i="12" s="1"/>
  <c r="X115" i="12"/>
  <c r="W115" i="12"/>
  <c r="W947" i="12" s="1"/>
  <c r="W945" i="12" s="1"/>
  <c r="V115" i="12"/>
  <c r="V947" i="12" s="1"/>
  <c r="V945" i="12" s="1"/>
  <c r="U115" i="12"/>
  <c r="U947" i="12" s="1"/>
  <c r="U945" i="12" s="1"/>
  <c r="T115" i="12"/>
  <c r="T947" i="12" s="1"/>
  <c r="T945" i="12" s="1"/>
  <c r="S115" i="12"/>
  <c r="S947" i="12" s="1"/>
  <c r="R115" i="12"/>
  <c r="R947" i="12" s="1"/>
  <c r="R945" i="12" s="1"/>
  <c r="R774" i="12" s="1"/>
  <c r="Q115" i="12"/>
  <c r="Q947" i="12" s="1"/>
  <c r="Q945" i="12" s="1"/>
  <c r="P115" i="12"/>
  <c r="O115" i="12"/>
  <c r="O947" i="12" s="1"/>
  <c r="O945" i="12" s="1"/>
  <c r="N115" i="12"/>
  <c r="N947" i="12" s="1"/>
  <c r="N945" i="12" s="1"/>
  <c r="M115" i="12"/>
  <c r="M947" i="12" s="1"/>
  <c r="M945" i="12" s="1"/>
  <c r="L115" i="12"/>
  <c r="L947" i="12" s="1"/>
  <c r="L945" i="12" s="1"/>
  <c r="L774" i="12" s="1"/>
  <c r="K115" i="12"/>
  <c r="K947" i="12" s="1"/>
  <c r="J115" i="12"/>
  <c r="J947" i="12" s="1"/>
  <c r="J945" i="12" s="1"/>
  <c r="J774" i="12" s="1"/>
  <c r="I115" i="12"/>
  <c r="I947" i="12" s="1"/>
  <c r="I945" i="12" s="1"/>
  <c r="H115" i="12"/>
  <c r="G115" i="12"/>
  <c r="G947" i="12" s="1"/>
  <c r="G945" i="12" s="1"/>
  <c r="G774" i="12" s="1"/>
  <c r="F115" i="12"/>
  <c r="F947" i="12" s="1"/>
  <c r="F945" i="12" s="1"/>
  <c r="E115" i="12"/>
  <c r="E947" i="12" s="1"/>
  <c r="E945" i="12" s="1"/>
  <c r="E774" i="12" s="1"/>
  <c r="D115" i="12"/>
  <c r="D947" i="12" s="1"/>
  <c r="AI114" i="12"/>
  <c r="AG113" i="12"/>
  <c r="Y113" i="12"/>
  <c r="W113" i="12"/>
  <c r="S113" i="12"/>
  <c r="Q113" i="12"/>
  <c r="O113" i="12"/>
  <c r="M113" i="12"/>
  <c r="L113" i="12"/>
  <c r="K113" i="12"/>
  <c r="J113" i="12"/>
  <c r="I113" i="12"/>
  <c r="G113" i="12"/>
  <c r="E113" i="12"/>
  <c r="D113" i="12"/>
  <c r="AH112" i="12"/>
  <c r="AG112" i="12"/>
  <c r="AB112" i="12"/>
  <c r="Z112" i="12"/>
  <c r="T112" i="12"/>
  <c r="R112" i="12"/>
  <c r="Q112" i="12"/>
  <c r="Q111" i="12" s="1"/>
  <c r="L112" i="12"/>
  <c r="J112" i="12"/>
  <c r="D112" i="12"/>
  <c r="AB111" i="12"/>
  <c r="L111" i="12"/>
  <c r="AI110" i="12"/>
  <c r="AI109" i="12"/>
  <c r="AI108" i="12"/>
  <c r="AH107" i="12"/>
  <c r="AG107" i="12"/>
  <c r="AF107" i="12"/>
  <c r="AE107" i="12"/>
  <c r="AD107" i="12"/>
  <c r="AD102" i="12" s="1"/>
  <c r="AC107" i="12"/>
  <c r="AC102" i="12" s="1"/>
  <c r="AB107" i="12"/>
  <c r="AB102" i="12" s="1"/>
  <c r="AA107" i="12"/>
  <c r="Z107" i="12"/>
  <c r="Y107" i="12"/>
  <c r="X107" i="12"/>
  <c r="W107" i="12"/>
  <c r="V107" i="12"/>
  <c r="V102" i="12" s="1"/>
  <c r="U107" i="12"/>
  <c r="U102" i="12" s="1"/>
  <c r="T107" i="12"/>
  <c r="T102" i="12" s="1"/>
  <c r="S107" i="12"/>
  <c r="R107" i="12"/>
  <c r="Q107" i="12"/>
  <c r="P107" i="12"/>
  <c r="O107" i="12"/>
  <c r="N107" i="12"/>
  <c r="N102" i="12" s="1"/>
  <c r="M107" i="12"/>
  <c r="M102" i="12" s="1"/>
  <c r="L107" i="12"/>
  <c r="L102" i="12" s="1"/>
  <c r="K107" i="12"/>
  <c r="J107" i="12"/>
  <c r="I107" i="12"/>
  <c r="H107" i="12"/>
  <c r="G107" i="12"/>
  <c r="F107" i="12"/>
  <c r="F102" i="12" s="1"/>
  <c r="E107" i="12"/>
  <c r="E102" i="12" s="1"/>
  <c r="D107" i="12"/>
  <c r="AI106" i="12"/>
  <c r="AI105" i="12"/>
  <c r="AI104" i="12"/>
  <c r="AH103" i="12"/>
  <c r="AG103" i="12"/>
  <c r="AF103" i="12"/>
  <c r="AF102" i="12" s="1"/>
  <c r="AE103" i="12"/>
  <c r="AE102" i="12" s="1"/>
  <c r="AD103" i="12"/>
  <c r="AC103" i="12"/>
  <c r="AB103" i="12"/>
  <c r="AA103" i="12"/>
  <c r="Z103" i="12"/>
  <c r="Y103" i="12"/>
  <c r="X103" i="12"/>
  <c r="W103" i="12"/>
  <c r="W102" i="12" s="1"/>
  <c r="V103" i="12"/>
  <c r="U103" i="12"/>
  <c r="T103" i="12"/>
  <c r="S103" i="12"/>
  <c r="R103" i="12"/>
  <c r="R102" i="12" s="1"/>
  <c r="Q103" i="12"/>
  <c r="P103" i="12"/>
  <c r="O103" i="12"/>
  <c r="O102" i="12" s="1"/>
  <c r="N103" i="12"/>
  <c r="M103" i="12"/>
  <c r="L103" i="12"/>
  <c r="K103" i="12"/>
  <c r="J103" i="12"/>
  <c r="I103" i="12"/>
  <c r="H103" i="12"/>
  <c r="H102" i="12" s="1"/>
  <c r="G103" i="12"/>
  <c r="AI103" i="12" s="1"/>
  <c r="F103" i="12"/>
  <c r="E103" i="12"/>
  <c r="D103" i="12"/>
  <c r="AH102" i="12"/>
  <c r="AG102" i="12"/>
  <c r="AA102" i="12"/>
  <c r="Z102" i="12"/>
  <c r="Y102" i="12"/>
  <c r="X102" i="12"/>
  <c r="S102" i="12"/>
  <c r="Q102" i="12"/>
  <c r="P102" i="12"/>
  <c r="K102" i="12"/>
  <c r="J102" i="12"/>
  <c r="I102" i="12"/>
  <c r="AI101" i="12"/>
  <c r="AI100" i="12"/>
  <c r="AI99" i="12"/>
  <c r="AH98" i="12"/>
  <c r="AH93" i="12" s="1"/>
  <c r="AG98" i="12"/>
  <c r="AF98" i="12"/>
  <c r="AE98" i="12"/>
  <c r="AD98" i="12"/>
  <c r="AC98" i="12"/>
  <c r="AB98" i="12"/>
  <c r="AB93" i="12" s="1"/>
  <c r="AA98" i="12"/>
  <c r="AA93" i="12" s="1"/>
  <c r="Z98" i="12"/>
  <c r="Z93" i="12" s="1"/>
  <c r="Y98" i="12"/>
  <c r="X98" i="12"/>
  <c r="W98" i="12"/>
  <c r="V98" i="12"/>
  <c r="U98" i="12"/>
  <c r="T98" i="12"/>
  <c r="T93" i="12" s="1"/>
  <c r="S98" i="12"/>
  <c r="S93" i="12" s="1"/>
  <c r="R98" i="12"/>
  <c r="R93" i="12" s="1"/>
  <c r="Q98" i="12"/>
  <c r="P98" i="12"/>
  <c r="O98" i="12"/>
  <c r="N98" i="12"/>
  <c r="M98" i="12"/>
  <c r="L98" i="12"/>
  <c r="L93" i="12" s="1"/>
  <c r="K98" i="12"/>
  <c r="K93" i="12" s="1"/>
  <c r="J98" i="12"/>
  <c r="J93" i="12" s="1"/>
  <c r="I98" i="12"/>
  <c r="H98" i="12"/>
  <c r="G98" i="12"/>
  <c r="F98" i="12"/>
  <c r="E98" i="12"/>
  <c r="D98" i="12"/>
  <c r="D93" i="12" s="1"/>
  <c r="AI97" i="12"/>
  <c r="AI96" i="12"/>
  <c r="AI95" i="12"/>
  <c r="AH94" i="12"/>
  <c r="AG94" i="12"/>
  <c r="AF94" i="12"/>
  <c r="AF93" i="12" s="1"/>
  <c r="AE94" i="12"/>
  <c r="AE93" i="12" s="1"/>
  <c r="AD94" i="12"/>
  <c r="AD93" i="12" s="1"/>
  <c r="AC94" i="12"/>
  <c r="AC93" i="12" s="1"/>
  <c r="AB94" i="12"/>
  <c r="AA94" i="12"/>
  <c r="Z94" i="12"/>
  <c r="Y94" i="12"/>
  <c r="X94" i="12"/>
  <c r="W94" i="12"/>
  <c r="V94" i="12"/>
  <c r="U94" i="12"/>
  <c r="U93" i="12" s="1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G93" i="12" s="1"/>
  <c r="F94" i="12"/>
  <c r="F93" i="12" s="1"/>
  <c r="E94" i="12"/>
  <c r="AI94" i="12" s="1"/>
  <c r="D94" i="12"/>
  <c r="AG93" i="12"/>
  <c r="Y93" i="12"/>
  <c r="X93" i="12"/>
  <c r="W93" i="12"/>
  <c r="V93" i="12"/>
  <c r="Q93" i="12"/>
  <c r="P93" i="12"/>
  <c r="O93" i="12"/>
  <c r="N93" i="12"/>
  <c r="M93" i="12"/>
  <c r="I93" i="12"/>
  <c r="H93" i="12"/>
  <c r="AI92" i="12"/>
  <c r="AI91" i="12"/>
  <c r="AI90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AI88" i="12"/>
  <c r="AI87" i="12"/>
  <c r="AI86" i="12"/>
  <c r="AH85" i="12"/>
  <c r="AH80" i="12" s="1"/>
  <c r="AH55" i="12" s="1"/>
  <c r="AG85" i="12"/>
  <c r="AF85" i="12"/>
  <c r="AE85" i="12"/>
  <c r="AE80" i="12" s="1"/>
  <c r="AD85" i="12"/>
  <c r="AD80" i="12" s="1"/>
  <c r="AC85" i="12"/>
  <c r="AC80" i="12" s="1"/>
  <c r="AB85" i="12"/>
  <c r="AB80" i="12" s="1"/>
  <c r="AA85" i="12"/>
  <c r="AA80" i="12" s="1"/>
  <c r="Z85" i="12"/>
  <c r="Y85" i="12"/>
  <c r="X85" i="12"/>
  <c r="W85" i="12"/>
  <c r="V85" i="12"/>
  <c r="V80" i="12" s="1"/>
  <c r="U85" i="12"/>
  <c r="U80" i="12" s="1"/>
  <c r="T85" i="12"/>
  <c r="T80" i="12" s="1"/>
  <c r="S85" i="12"/>
  <c r="S80" i="12" s="1"/>
  <c r="R85" i="12"/>
  <c r="Q85" i="12"/>
  <c r="Q80" i="12" s="1"/>
  <c r="P85" i="12"/>
  <c r="O85" i="12"/>
  <c r="N85" i="12"/>
  <c r="M85" i="12"/>
  <c r="M80" i="12" s="1"/>
  <c r="L85" i="12"/>
  <c r="L80" i="12" s="1"/>
  <c r="K85" i="12"/>
  <c r="K80" i="12" s="1"/>
  <c r="J85" i="12"/>
  <c r="I85" i="12"/>
  <c r="H85" i="12"/>
  <c r="G85" i="12"/>
  <c r="F85" i="12"/>
  <c r="E85" i="12"/>
  <c r="E80" i="12" s="1"/>
  <c r="D85" i="12"/>
  <c r="D80" i="12" s="1"/>
  <c r="AI84" i="12"/>
  <c r="AI83" i="12"/>
  <c r="AI82" i="12"/>
  <c r="AH81" i="12"/>
  <c r="AG81" i="12"/>
  <c r="AG80" i="12" s="1"/>
  <c r="AF81" i="12"/>
  <c r="AF80" i="12" s="1"/>
  <c r="AE81" i="12"/>
  <c r="AD81" i="12"/>
  <c r="AC81" i="12"/>
  <c r="AB81" i="12"/>
  <c r="AA81" i="12"/>
  <c r="Z81" i="12"/>
  <c r="Y81" i="12"/>
  <c r="Y80" i="12" s="1"/>
  <c r="Y55" i="12" s="1"/>
  <c r="X81" i="12"/>
  <c r="X80" i="12" s="1"/>
  <c r="X55" i="12" s="1"/>
  <c r="W81" i="12"/>
  <c r="V81" i="12"/>
  <c r="U81" i="12"/>
  <c r="T81" i="12"/>
  <c r="S81" i="12"/>
  <c r="R81" i="12"/>
  <c r="Q81" i="12"/>
  <c r="P81" i="12"/>
  <c r="O81" i="12"/>
  <c r="O80" i="12" s="1"/>
  <c r="N81" i="12"/>
  <c r="N80" i="12" s="1"/>
  <c r="M81" i="12"/>
  <c r="L81" i="12"/>
  <c r="K81" i="12"/>
  <c r="J81" i="12"/>
  <c r="I81" i="12"/>
  <c r="I80" i="12" s="1"/>
  <c r="H81" i="12"/>
  <c r="H80" i="12" s="1"/>
  <c r="G81" i="12"/>
  <c r="F81" i="12"/>
  <c r="E81" i="12"/>
  <c r="D81" i="12"/>
  <c r="Z80" i="12"/>
  <c r="W80" i="12"/>
  <c r="R80" i="12"/>
  <c r="J80" i="12"/>
  <c r="G80" i="12"/>
  <c r="F80" i="12"/>
  <c r="AI79" i="12"/>
  <c r="AI78" i="12"/>
  <c r="AI77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K76" i="12"/>
  <c r="J76" i="12"/>
  <c r="I76" i="12"/>
  <c r="AI76" i="12" s="1"/>
  <c r="H76" i="12"/>
  <c r="G76" i="12"/>
  <c r="F76" i="12"/>
  <c r="E76" i="12"/>
  <c r="D76" i="12"/>
  <c r="AI75" i="12"/>
  <c r="AI74" i="12"/>
  <c r="AI73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K72" i="12"/>
  <c r="J72" i="12"/>
  <c r="I72" i="12"/>
  <c r="H72" i="12"/>
  <c r="G72" i="12"/>
  <c r="F72" i="12"/>
  <c r="E72" i="12"/>
  <c r="D72" i="12"/>
  <c r="AI72" i="12" s="1"/>
  <c r="AI71" i="12"/>
  <c r="AI70" i="12"/>
  <c r="AI69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AI67" i="12"/>
  <c r="AI66" i="12"/>
  <c r="AI65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AI64" i="12" s="1"/>
  <c r="AI63" i="12"/>
  <c r="AI62" i="12"/>
  <c r="AI61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W55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AI59" i="12"/>
  <c r="AI58" i="12"/>
  <c r="AI57" i="12"/>
  <c r="AH56" i="12"/>
  <c r="AG56" i="12"/>
  <c r="AF56" i="12"/>
  <c r="AE56" i="12"/>
  <c r="AD56" i="12"/>
  <c r="AC56" i="12"/>
  <c r="AB56" i="12"/>
  <c r="AB55" i="12" s="1"/>
  <c r="AA56" i="12"/>
  <c r="AA55" i="12" s="1"/>
  <c r="Z56" i="12"/>
  <c r="Z55" i="12" s="1"/>
  <c r="Y56" i="12"/>
  <c r="X56" i="12"/>
  <c r="W56" i="12"/>
  <c r="V56" i="12"/>
  <c r="U56" i="12"/>
  <c r="T56" i="12"/>
  <c r="T55" i="12" s="1"/>
  <c r="S56" i="12"/>
  <c r="S55" i="12" s="1"/>
  <c r="R56" i="12"/>
  <c r="R55" i="12" s="1"/>
  <c r="Q56" i="12"/>
  <c r="P56" i="12"/>
  <c r="O56" i="12"/>
  <c r="N56" i="12"/>
  <c r="M56" i="12"/>
  <c r="L56" i="12"/>
  <c r="L55" i="12" s="1"/>
  <c r="K56" i="12"/>
  <c r="AI56" i="12" s="1"/>
  <c r="J56" i="12"/>
  <c r="I56" i="12"/>
  <c r="H56" i="12"/>
  <c r="G56" i="12"/>
  <c r="F56" i="12"/>
  <c r="E56" i="12"/>
  <c r="D56" i="12"/>
  <c r="D55" i="12" s="1"/>
  <c r="J55" i="12"/>
  <c r="AI54" i="12"/>
  <c r="AI53" i="12"/>
  <c r="AI52" i="12"/>
  <c r="AH51" i="12"/>
  <c r="AG51" i="12"/>
  <c r="AF51" i="12"/>
  <c r="AE51" i="12"/>
  <c r="AD51" i="12"/>
  <c r="AC51" i="12"/>
  <c r="AB51" i="12"/>
  <c r="AA51" i="12"/>
  <c r="AA42" i="12" s="1"/>
  <c r="Z51" i="12"/>
  <c r="Y51" i="12"/>
  <c r="X51" i="12"/>
  <c r="W51" i="12"/>
  <c r="V51" i="12"/>
  <c r="U51" i="12"/>
  <c r="T51" i="12"/>
  <c r="S51" i="12"/>
  <c r="S42" i="12" s="1"/>
  <c r="R51" i="12"/>
  <c r="Q51" i="12"/>
  <c r="P51" i="12"/>
  <c r="O51" i="12"/>
  <c r="N51" i="12"/>
  <c r="M51" i="12"/>
  <c r="L51" i="12"/>
  <c r="L42" i="12" s="1"/>
  <c r="K51" i="12"/>
  <c r="AI51" i="12" s="1"/>
  <c r="J51" i="12"/>
  <c r="I51" i="12"/>
  <c r="H51" i="12"/>
  <c r="G51" i="12"/>
  <c r="F51" i="12"/>
  <c r="E51" i="12"/>
  <c r="E42" i="12" s="1"/>
  <c r="D51" i="12"/>
  <c r="AI50" i="12"/>
  <c r="AI49" i="12"/>
  <c r="AI48" i="12"/>
  <c r="AH47" i="12"/>
  <c r="AG47" i="12"/>
  <c r="AF47" i="12"/>
  <c r="AF42" i="12" s="1"/>
  <c r="AE47" i="12"/>
  <c r="AE42" i="12" s="1"/>
  <c r="AD47" i="12"/>
  <c r="AD42" i="12" s="1"/>
  <c r="AC47" i="12"/>
  <c r="AB47" i="12"/>
  <c r="AA47" i="12"/>
  <c r="Z47" i="12"/>
  <c r="Y47" i="12"/>
  <c r="X47" i="12"/>
  <c r="X42" i="12" s="1"/>
  <c r="W47" i="12"/>
  <c r="W42" i="12" s="1"/>
  <c r="V47" i="12"/>
  <c r="V42" i="12" s="1"/>
  <c r="U47" i="12"/>
  <c r="T47" i="12"/>
  <c r="S47" i="12"/>
  <c r="R47" i="12"/>
  <c r="Q47" i="12"/>
  <c r="P47" i="12"/>
  <c r="P42" i="12" s="1"/>
  <c r="O47" i="12"/>
  <c r="O42" i="12" s="1"/>
  <c r="N47" i="12"/>
  <c r="N42" i="12" s="1"/>
  <c r="M47" i="12"/>
  <c r="L47" i="12"/>
  <c r="K47" i="12"/>
  <c r="J47" i="12"/>
  <c r="I47" i="12"/>
  <c r="H47" i="12"/>
  <c r="H42" i="12" s="1"/>
  <c r="G47" i="12"/>
  <c r="G42" i="12" s="1"/>
  <c r="F47" i="12"/>
  <c r="F42" i="12" s="1"/>
  <c r="E47" i="12"/>
  <c r="D47" i="12"/>
  <c r="AI47" i="12" s="1"/>
  <c r="AI46" i="12"/>
  <c r="AI45" i="12"/>
  <c r="AI44" i="12"/>
  <c r="AH43" i="12"/>
  <c r="AG43" i="12"/>
  <c r="AF43" i="12"/>
  <c r="AE43" i="12"/>
  <c r="AD43" i="12"/>
  <c r="AC43" i="12"/>
  <c r="AB43" i="12"/>
  <c r="AB42" i="12" s="1"/>
  <c r="AA43" i="12"/>
  <c r="Z43" i="12"/>
  <c r="Z42" i="12" s="1"/>
  <c r="Y43" i="12"/>
  <c r="Y42" i="12" s="1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K42" i="12" s="1"/>
  <c r="J43" i="12"/>
  <c r="J42" i="12" s="1"/>
  <c r="I43" i="12"/>
  <c r="H43" i="12"/>
  <c r="G43" i="12"/>
  <c r="F43" i="12"/>
  <c r="E43" i="12"/>
  <c r="D43" i="12"/>
  <c r="AH42" i="12"/>
  <c r="AG42" i="12"/>
  <c r="AC42" i="12"/>
  <c r="T42" i="12"/>
  <c r="R42" i="12"/>
  <c r="Q42" i="12"/>
  <c r="M42" i="12"/>
  <c r="I42" i="12"/>
  <c r="D42" i="12"/>
  <c r="AI41" i="12"/>
  <c r="AI40" i="12"/>
  <c r="AI39" i="12"/>
  <c r="AH38" i="12"/>
  <c r="AG38" i="12"/>
  <c r="AF38" i="12"/>
  <c r="AE38" i="12"/>
  <c r="AD38" i="12"/>
  <c r="AD33" i="12" s="1"/>
  <c r="AC38" i="12"/>
  <c r="AC33" i="12" s="1"/>
  <c r="AB38" i="12"/>
  <c r="AB33" i="12" s="1"/>
  <c r="AA38" i="12"/>
  <c r="Z38" i="12"/>
  <c r="Y38" i="12"/>
  <c r="X38" i="12"/>
  <c r="W38" i="12"/>
  <c r="V38" i="12"/>
  <c r="V33" i="12" s="1"/>
  <c r="U38" i="12"/>
  <c r="U33" i="12" s="1"/>
  <c r="T38" i="12"/>
  <c r="T33" i="12" s="1"/>
  <c r="S38" i="12"/>
  <c r="R38" i="12"/>
  <c r="Q38" i="12"/>
  <c r="P38" i="12"/>
  <c r="O38" i="12"/>
  <c r="N38" i="12"/>
  <c r="N33" i="12" s="1"/>
  <c r="M38" i="12"/>
  <c r="M33" i="12" s="1"/>
  <c r="L38" i="12"/>
  <c r="L33" i="12" s="1"/>
  <c r="K38" i="12"/>
  <c r="J38" i="12"/>
  <c r="I38" i="12"/>
  <c r="H38" i="12"/>
  <c r="G38" i="12"/>
  <c r="F38" i="12"/>
  <c r="F33" i="12" s="1"/>
  <c r="E38" i="12"/>
  <c r="E33" i="12" s="1"/>
  <c r="D38" i="12"/>
  <c r="AI37" i="12"/>
  <c r="AI36" i="12"/>
  <c r="AI35" i="12"/>
  <c r="AH34" i="12"/>
  <c r="AG34" i="12"/>
  <c r="AF34" i="12"/>
  <c r="AE34" i="12"/>
  <c r="AD34" i="12"/>
  <c r="AC34" i="12"/>
  <c r="AB34" i="12"/>
  <c r="AA34" i="12"/>
  <c r="AA33" i="12" s="1"/>
  <c r="Z34" i="12"/>
  <c r="Z33" i="12" s="1"/>
  <c r="Y34" i="12"/>
  <c r="Y33" i="12" s="1"/>
  <c r="X34" i="12"/>
  <c r="X33" i="12" s="1"/>
  <c r="W34" i="12"/>
  <c r="W33" i="12" s="1"/>
  <c r="V34" i="12"/>
  <c r="U34" i="12"/>
  <c r="T34" i="12"/>
  <c r="S34" i="12"/>
  <c r="R34" i="12"/>
  <c r="Q34" i="12"/>
  <c r="Q33" i="12" s="1"/>
  <c r="P34" i="12"/>
  <c r="P33" i="12" s="1"/>
  <c r="O34" i="12"/>
  <c r="O33" i="12" s="1"/>
  <c r="N34" i="12"/>
  <c r="M34" i="12"/>
  <c r="L34" i="12"/>
  <c r="K34" i="12"/>
  <c r="K33" i="12" s="1"/>
  <c r="J34" i="12"/>
  <c r="I34" i="12"/>
  <c r="I33" i="12" s="1"/>
  <c r="H34" i="12"/>
  <c r="H33" i="12" s="1"/>
  <c r="G34" i="12"/>
  <c r="AI34" i="12" s="1"/>
  <c r="F34" i="12"/>
  <c r="E34" i="12"/>
  <c r="D34" i="12"/>
  <c r="AH33" i="12"/>
  <c r="AG33" i="12"/>
  <c r="AF33" i="12"/>
  <c r="AE33" i="12"/>
  <c r="S33" i="12"/>
  <c r="R33" i="12"/>
  <c r="J33" i="12"/>
  <c r="G33" i="12"/>
  <c r="AI32" i="12"/>
  <c r="AI31" i="12"/>
  <c r="AI30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AI29" i="12" s="1"/>
  <c r="D29" i="12"/>
  <c r="AI28" i="12"/>
  <c r="AI27" i="12"/>
  <c r="AI26" i="12"/>
  <c r="AH25" i="12"/>
  <c r="AG25" i="12"/>
  <c r="AG20" i="12" s="1"/>
  <c r="AF25" i="12"/>
  <c r="AF20" i="12" s="1"/>
  <c r="AE25" i="12"/>
  <c r="AE20" i="12" s="1"/>
  <c r="AD25" i="12"/>
  <c r="AC25" i="12"/>
  <c r="AB25" i="12"/>
  <c r="AA25" i="12"/>
  <c r="Z25" i="12"/>
  <c r="Y25" i="12"/>
  <c r="Y20" i="12" s="1"/>
  <c r="X25" i="12"/>
  <c r="X20" i="12" s="1"/>
  <c r="W25" i="12"/>
  <c r="V25" i="12"/>
  <c r="U25" i="12"/>
  <c r="U20" i="12" s="1"/>
  <c r="T25" i="12"/>
  <c r="S25" i="12"/>
  <c r="R25" i="12"/>
  <c r="Q25" i="12"/>
  <c r="P25" i="12"/>
  <c r="O25" i="12"/>
  <c r="N25" i="12"/>
  <c r="M25" i="12"/>
  <c r="M20" i="12" s="1"/>
  <c r="L25" i="12"/>
  <c r="K25" i="12"/>
  <c r="J25" i="12"/>
  <c r="I25" i="12"/>
  <c r="I20" i="12" s="1"/>
  <c r="H25" i="12"/>
  <c r="H20" i="12" s="1"/>
  <c r="G25" i="12"/>
  <c r="G20" i="12" s="1"/>
  <c r="F25" i="12"/>
  <c r="E25" i="12"/>
  <c r="D25" i="12"/>
  <c r="AI24" i="12"/>
  <c r="AI23" i="12"/>
  <c r="AI22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V20" i="12" s="1"/>
  <c r="U21" i="12"/>
  <c r="T21" i="12"/>
  <c r="T20" i="12" s="1"/>
  <c r="S21" i="12"/>
  <c r="S20" i="12" s="1"/>
  <c r="S10" i="12" s="1"/>
  <c r="R21" i="12"/>
  <c r="Q21" i="12"/>
  <c r="P21" i="12"/>
  <c r="O21" i="12"/>
  <c r="N21" i="12"/>
  <c r="M21" i="12"/>
  <c r="L21" i="12"/>
  <c r="L20" i="12" s="1"/>
  <c r="L10" i="12" s="1"/>
  <c r="K21" i="12"/>
  <c r="K20" i="12" s="1"/>
  <c r="J21" i="12"/>
  <c r="J20" i="12" s="1"/>
  <c r="I21" i="12"/>
  <c r="H21" i="12"/>
  <c r="G21" i="12"/>
  <c r="F21" i="12"/>
  <c r="E21" i="12"/>
  <c r="D21" i="12"/>
  <c r="AH20" i="12"/>
  <c r="AD20" i="12"/>
  <c r="AA20" i="12"/>
  <c r="Z20" i="12"/>
  <c r="R20" i="12"/>
  <c r="P20" i="12"/>
  <c r="N20" i="12"/>
  <c r="F20" i="12"/>
  <c r="D20" i="12"/>
  <c r="AI19" i="12"/>
  <c r="AI18" i="12"/>
  <c r="AI17" i="12"/>
  <c r="AH16" i="12"/>
  <c r="AG16" i="12"/>
  <c r="AF16" i="12"/>
  <c r="AE16" i="12"/>
  <c r="AE11" i="12" s="1"/>
  <c r="AD16" i="12"/>
  <c r="AD11" i="12" s="1"/>
  <c r="AC16" i="12"/>
  <c r="AC11" i="12" s="1"/>
  <c r="AB16" i="12"/>
  <c r="AA16" i="12"/>
  <c r="Z16" i="12"/>
  <c r="Y16" i="12"/>
  <c r="X16" i="12"/>
  <c r="W16" i="12"/>
  <c r="W11" i="12" s="1"/>
  <c r="V16" i="12"/>
  <c r="V11" i="12" s="1"/>
  <c r="U16" i="12"/>
  <c r="U11" i="12" s="1"/>
  <c r="T16" i="12"/>
  <c r="S16" i="12"/>
  <c r="R16" i="12"/>
  <c r="Q16" i="12"/>
  <c r="P16" i="12"/>
  <c r="O16" i="12"/>
  <c r="O11" i="12" s="1"/>
  <c r="N16" i="12"/>
  <c r="N11" i="12" s="1"/>
  <c r="M16" i="12"/>
  <c r="M11" i="12" s="1"/>
  <c r="L16" i="12"/>
  <c r="K16" i="12"/>
  <c r="J16" i="12"/>
  <c r="I16" i="12"/>
  <c r="H16" i="12"/>
  <c r="G16" i="12"/>
  <c r="G11" i="12" s="1"/>
  <c r="F16" i="12"/>
  <c r="F11" i="12" s="1"/>
  <c r="E16" i="12"/>
  <c r="E11" i="12" s="1"/>
  <c r="D16" i="12"/>
  <c r="AI15" i="12"/>
  <c r="AI14" i="12"/>
  <c r="AI13" i="12"/>
  <c r="AH12" i="12"/>
  <c r="AH11" i="12" s="1"/>
  <c r="AG12" i="12"/>
  <c r="AF12" i="12"/>
  <c r="AE12" i="12"/>
  <c r="AD12" i="12"/>
  <c r="AC12" i="12"/>
  <c r="AB12" i="12"/>
  <c r="AA12" i="12"/>
  <c r="Z12" i="12"/>
  <c r="Z11" i="12" s="1"/>
  <c r="Y12" i="12"/>
  <c r="X12" i="12"/>
  <c r="W12" i="12"/>
  <c r="V12" i="12"/>
  <c r="U12" i="12"/>
  <c r="T12" i="12"/>
  <c r="S12" i="12"/>
  <c r="R12" i="12"/>
  <c r="R11" i="12" s="1"/>
  <c r="Q12" i="12"/>
  <c r="P12" i="12"/>
  <c r="O12" i="12"/>
  <c r="N12" i="12"/>
  <c r="M12" i="12"/>
  <c r="L12" i="12"/>
  <c r="K12" i="12"/>
  <c r="J12" i="12"/>
  <c r="J11" i="12" s="1"/>
  <c r="I12" i="12"/>
  <c r="H12" i="12"/>
  <c r="G12" i="12"/>
  <c r="F12" i="12"/>
  <c r="E12" i="12"/>
  <c r="D12" i="12"/>
  <c r="AG11" i="12"/>
  <c r="AF11" i="12"/>
  <c r="AB11" i="12"/>
  <c r="AA11" i="12"/>
  <c r="Y11" i="12"/>
  <c r="X11" i="12"/>
  <c r="T11" i="12"/>
  <c r="S11" i="12"/>
  <c r="Q11" i="12"/>
  <c r="P11" i="12"/>
  <c r="L11" i="12"/>
  <c r="K11" i="12"/>
  <c r="I11" i="12"/>
  <c r="H11" i="12"/>
  <c r="D11" i="12"/>
  <c r="AH948" i="12" l="1"/>
  <c r="AH774" i="12"/>
  <c r="AI951" i="12"/>
  <c r="AH111" i="12"/>
  <c r="AE113" i="12"/>
  <c r="AE201" i="12"/>
  <c r="AE774" i="12"/>
  <c r="AE953" i="12" s="1"/>
  <c r="AE952" i="12" s="1"/>
  <c r="AD201" i="12"/>
  <c r="AD774" i="12"/>
  <c r="AD953" i="12" s="1"/>
  <c r="AD952" i="12" s="1"/>
  <c r="AI589" i="12"/>
  <c r="AC532" i="12"/>
  <c r="AC471" i="12" s="1"/>
  <c r="AC113" i="12"/>
  <c r="AC774" i="12"/>
  <c r="AC20" i="12"/>
  <c r="AB201" i="12"/>
  <c r="AB115" i="12"/>
  <c r="AI115" i="12" s="1"/>
  <c r="AB941" i="12"/>
  <c r="AB20" i="12"/>
  <c r="AB10" i="12" s="1"/>
  <c r="AA201" i="12"/>
  <c r="AA10" i="12"/>
  <c r="W941" i="12"/>
  <c r="AI21" i="12"/>
  <c r="W20" i="12"/>
  <c r="W774" i="12"/>
  <c r="V774" i="12"/>
  <c r="U113" i="12"/>
  <c r="U774" i="12"/>
  <c r="U773" i="12" s="1"/>
  <c r="U42" i="12"/>
  <c r="AI43" i="12"/>
  <c r="T113" i="12"/>
  <c r="AI512" i="12"/>
  <c r="T111" i="12"/>
  <c r="T10" i="12" s="1"/>
  <c r="T774" i="12"/>
  <c r="AI224" i="12"/>
  <c r="AI210" i="12"/>
  <c r="Q55" i="12"/>
  <c r="Q941" i="12"/>
  <c r="AI941" i="12" s="1"/>
  <c r="Q20" i="12"/>
  <c r="AI950" i="12"/>
  <c r="AI520" i="12"/>
  <c r="AI948" i="12"/>
  <c r="AI89" i="12"/>
  <c r="P80" i="12"/>
  <c r="O941" i="12"/>
  <c r="O774" i="12"/>
  <c r="O20" i="12"/>
  <c r="AI943" i="12"/>
  <c r="N774" i="12"/>
  <c r="AI147" i="12"/>
  <c r="M774" i="12"/>
  <c r="M953" i="12" s="1"/>
  <c r="M952" i="12" s="1"/>
  <c r="I774" i="12"/>
  <c r="I773" i="12" s="1"/>
  <c r="AI944" i="12"/>
  <c r="F774" i="12"/>
  <c r="AE10" i="12"/>
  <c r="I55" i="12"/>
  <c r="AG55" i="12"/>
  <c r="AG10" i="12" s="1"/>
  <c r="AI11" i="12"/>
  <c r="I10" i="12"/>
  <c r="Q10" i="12"/>
  <c r="Y10" i="12"/>
  <c r="AI20" i="12"/>
  <c r="N10" i="12"/>
  <c r="J10" i="12"/>
  <c r="AI42" i="12"/>
  <c r="H55" i="12"/>
  <c r="H10" i="12" s="1"/>
  <c r="P55" i="12"/>
  <c r="P10" i="12" s="1"/>
  <c r="AF55" i="12"/>
  <c r="AF10" i="12" s="1"/>
  <c r="AI168" i="12"/>
  <c r="D155" i="12"/>
  <c r="J155" i="12"/>
  <c r="F55" i="12"/>
  <c r="F10" i="12" s="1"/>
  <c r="N55" i="12"/>
  <c r="V55" i="12"/>
  <c r="V10" i="12" s="1"/>
  <c r="AD55" i="12"/>
  <c r="AD10" i="12" s="1"/>
  <c r="AI80" i="12"/>
  <c r="R113" i="12"/>
  <c r="AI139" i="12"/>
  <c r="AG233" i="12"/>
  <c r="E418" i="12"/>
  <c r="AI423" i="12"/>
  <c r="AI427" i="12"/>
  <c r="K471" i="12"/>
  <c r="AI488" i="12"/>
  <c r="AF471" i="12"/>
  <c r="AI123" i="12"/>
  <c r="D201" i="12"/>
  <c r="AI480" i="12"/>
  <c r="K55" i="12"/>
  <c r="K10" i="12" s="1"/>
  <c r="P947" i="12"/>
  <c r="P945" i="12" s="1"/>
  <c r="P774" i="12" s="1"/>
  <c r="P113" i="12"/>
  <c r="AI38" i="12"/>
  <c r="D33" i="12"/>
  <c r="AI33" i="12" s="1"/>
  <c r="G55" i="12"/>
  <c r="G10" i="12" s="1"/>
  <c r="O55" i="12"/>
  <c r="O10" i="12" s="1"/>
  <c r="AE55" i="12"/>
  <c r="AI119" i="12"/>
  <c r="AI156" i="12"/>
  <c r="AI164" i="12"/>
  <c r="K201" i="12"/>
  <c r="AI202" i="12"/>
  <c r="F201" i="12"/>
  <c r="V201" i="12"/>
  <c r="AI373" i="12"/>
  <c r="AI385" i="12"/>
  <c r="AI561" i="12"/>
  <c r="AI577" i="12"/>
  <c r="D532" i="12"/>
  <c r="X232" i="12"/>
  <c r="AI98" i="12"/>
  <c r="H947" i="12"/>
  <c r="H945" i="12" s="1"/>
  <c r="H774" i="12" s="1"/>
  <c r="H113" i="12"/>
  <c r="AI107" i="12"/>
  <c r="D102" i="12"/>
  <c r="AH113" i="12"/>
  <c r="I953" i="12"/>
  <c r="I952" i="12" s="1"/>
  <c r="G111" i="12"/>
  <c r="O111" i="12"/>
  <c r="W111" i="12"/>
  <c r="AE111" i="12"/>
  <c r="E111" i="12"/>
  <c r="M111" i="12"/>
  <c r="U111" i="12"/>
  <c r="AC111" i="12"/>
  <c r="AI151" i="12"/>
  <c r="AI160" i="12"/>
  <c r="AI215" i="12"/>
  <c r="E214" i="12"/>
  <c r="I233" i="12"/>
  <c r="Y233" i="12"/>
  <c r="Y232" i="12" s="1"/>
  <c r="J364" i="12"/>
  <c r="J363" i="12" s="1"/>
  <c r="AI369" i="12"/>
  <c r="X947" i="12"/>
  <c r="X945" i="12" s="1"/>
  <c r="X774" i="12" s="1"/>
  <c r="X113" i="12"/>
  <c r="AI12" i="12"/>
  <c r="AI112" i="12"/>
  <c r="J953" i="12"/>
  <c r="J952" i="12" s="1"/>
  <c r="J773" i="12"/>
  <c r="R953" i="12"/>
  <c r="R952" i="12" s="1"/>
  <c r="R773" i="12"/>
  <c r="Z953" i="12"/>
  <c r="Z952" i="12" s="1"/>
  <c r="Z773" i="12"/>
  <c r="AH953" i="12"/>
  <c r="AH952" i="12" s="1"/>
  <c r="AH773" i="12"/>
  <c r="H111" i="12"/>
  <c r="P111" i="12"/>
  <c r="X111" i="12"/>
  <c r="X10" i="12" s="1"/>
  <c r="AF111" i="12"/>
  <c r="AI206" i="12"/>
  <c r="D214" i="12"/>
  <c r="AI214" i="12" s="1"/>
  <c r="AI219" i="12"/>
  <c r="D233" i="12"/>
  <c r="AI238" i="12"/>
  <c r="L233" i="12"/>
  <c r="L232" i="12" s="1"/>
  <c r="T233" i="12"/>
  <c r="T232" i="12" s="1"/>
  <c r="AB233" i="12"/>
  <c r="AB232" i="12" s="1"/>
  <c r="AB200" i="12" s="1"/>
  <c r="AI338" i="12"/>
  <c r="U364" i="12"/>
  <c r="U363" i="12" s="1"/>
  <c r="K363" i="12"/>
  <c r="S363" i="12"/>
  <c r="AF947" i="12"/>
  <c r="AF945" i="12" s="1"/>
  <c r="AF774" i="12" s="1"/>
  <c r="AF113" i="12"/>
  <c r="Z155" i="12"/>
  <c r="Z10" i="12" s="1"/>
  <c r="AI16" i="12"/>
  <c r="AI68" i="12"/>
  <c r="AI81" i="12"/>
  <c r="E93" i="12"/>
  <c r="AI93" i="12" s="1"/>
  <c r="D111" i="12"/>
  <c r="Z113" i="12"/>
  <c r="AI176" i="12"/>
  <c r="O232" i="12"/>
  <c r="O200" i="12" s="1"/>
  <c r="AE232" i="12"/>
  <c r="AI398" i="12"/>
  <c r="J393" i="12"/>
  <c r="AI435" i="12"/>
  <c r="D418" i="12"/>
  <c r="R155" i="12"/>
  <c r="R10" i="12" s="1"/>
  <c r="AH155" i="12"/>
  <c r="AH10" i="12" s="1"/>
  <c r="AI25" i="12"/>
  <c r="E20" i="12"/>
  <c r="E10" i="12" s="1"/>
  <c r="AI60" i="12"/>
  <c r="E55" i="12"/>
  <c r="M55" i="12"/>
  <c r="M10" i="12" s="1"/>
  <c r="U55" i="12"/>
  <c r="U10" i="12" s="1"/>
  <c r="AC55" i="12"/>
  <c r="AI85" i="12"/>
  <c r="G102" i="12"/>
  <c r="AA113" i="12"/>
  <c r="AI143" i="12"/>
  <c r="AI172" i="12"/>
  <c r="H233" i="12"/>
  <c r="H232" i="12" s="1"/>
  <c r="AF233" i="12"/>
  <c r="AF232" i="12" s="1"/>
  <c r="AF200" i="12" s="1"/>
  <c r="D278" i="12"/>
  <c r="AI283" i="12"/>
  <c r="AI316" i="12"/>
  <c r="E315" i="12"/>
  <c r="AI315" i="12" s="1"/>
  <c r="AC393" i="12"/>
  <c r="F610" i="12"/>
  <c r="F609" i="12" s="1"/>
  <c r="E624" i="12"/>
  <c r="AI625" i="12"/>
  <c r="Y953" i="12"/>
  <c r="Y952" i="12" s="1"/>
  <c r="Y773" i="12"/>
  <c r="AG953" i="12"/>
  <c r="AG952" i="12" s="1"/>
  <c r="AG773" i="12"/>
  <c r="AI223" i="12"/>
  <c r="AI311" i="12"/>
  <c r="AI346" i="12"/>
  <c r="AA364" i="12"/>
  <c r="AA363" i="12" s="1"/>
  <c r="AI377" i="12"/>
  <c r="AA393" i="12"/>
  <c r="D393" i="12"/>
  <c r="AI406" i="12"/>
  <c r="AI419" i="12"/>
  <c r="V418" i="12"/>
  <c r="AH418" i="12"/>
  <c r="AI463" i="12"/>
  <c r="Z471" i="12"/>
  <c r="E233" i="12"/>
  <c r="E232" i="12" s="1"/>
  <c r="M233" i="12"/>
  <c r="M232" i="12" s="1"/>
  <c r="U233" i="12"/>
  <c r="U232" i="12" s="1"/>
  <c r="AC233" i="12"/>
  <c r="AC232" i="12" s="1"/>
  <c r="K233" i="12"/>
  <c r="S233" i="12"/>
  <c r="AA233" i="12"/>
  <c r="AA232" i="12" s="1"/>
  <c r="AI266" i="12"/>
  <c r="E364" i="12"/>
  <c r="E363" i="12" s="1"/>
  <c r="AI365" i="12"/>
  <c r="M364" i="12"/>
  <c r="M363" i="12" s="1"/>
  <c r="H363" i="12"/>
  <c r="E393" i="12"/>
  <c r="AI394" i="12"/>
  <c r="M393" i="12"/>
  <c r="U393" i="12"/>
  <c r="H418" i="12"/>
  <c r="P418" i="12"/>
  <c r="L418" i="12"/>
  <c r="T418" i="12"/>
  <c r="AI476" i="12"/>
  <c r="D471" i="12"/>
  <c r="R471" i="12"/>
  <c r="K774" i="12"/>
  <c r="K945" i="12"/>
  <c r="S945" i="12"/>
  <c r="S774" i="12" s="1"/>
  <c r="AA945" i="12"/>
  <c r="AA774" i="12" s="1"/>
  <c r="AI946" i="12"/>
  <c r="D945" i="12"/>
  <c r="L953" i="12"/>
  <c r="L952" i="12" s="1"/>
  <c r="L773" i="12"/>
  <c r="T953" i="12"/>
  <c r="T952" i="12" s="1"/>
  <c r="T773" i="12"/>
  <c r="AI192" i="12"/>
  <c r="F233" i="12"/>
  <c r="F232" i="12" s="1"/>
  <c r="N233" i="12"/>
  <c r="N232" i="12" s="1"/>
  <c r="N200" i="12" s="1"/>
  <c r="V233" i="12"/>
  <c r="V232" i="12" s="1"/>
  <c r="AD233" i="12"/>
  <c r="AD232" i="12" s="1"/>
  <c r="AI320" i="12"/>
  <c r="E337" i="12"/>
  <c r="U337" i="12"/>
  <c r="AC337" i="12"/>
  <c r="AE418" i="12"/>
  <c r="S471" i="12"/>
  <c r="AA471" i="12"/>
  <c r="Q610" i="12"/>
  <c r="Q609" i="12" s="1"/>
  <c r="Y610" i="12"/>
  <c r="Y609" i="12" s="1"/>
  <c r="AG610" i="12"/>
  <c r="AG609" i="12" s="1"/>
  <c r="F113" i="12"/>
  <c r="N113" i="12"/>
  <c r="V113" i="12"/>
  <c r="AD113" i="12"/>
  <c r="E953" i="12"/>
  <c r="E952" i="12" s="1"/>
  <c r="E773" i="12"/>
  <c r="M773" i="12"/>
  <c r="U953" i="12"/>
  <c r="U952" i="12" s="1"/>
  <c r="AC953" i="12"/>
  <c r="AC952" i="12" s="1"/>
  <c r="AC773" i="12"/>
  <c r="AI270" i="12"/>
  <c r="I278" i="12"/>
  <c r="Q278" i="12"/>
  <c r="Q232" i="12" s="1"/>
  <c r="Y278" i="12"/>
  <c r="AG278" i="12"/>
  <c r="AI287" i="12"/>
  <c r="AI324" i="12"/>
  <c r="AI351" i="12"/>
  <c r="G364" i="12"/>
  <c r="G363" i="12" s="1"/>
  <c r="O364" i="12"/>
  <c r="O363" i="12" s="1"/>
  <c r="W364" i="12"/>
  <c r="W363" i="12" s="1"/>
  <c r="J418" i="12"/>
  <c r="R418" i="12"/>
  <c r="Z418" i="12"/>
  <c r="P471" i="12"/>
  <c r="AI533" i="12"/>
  <c r="H532" i="12"/>
  <c r="H471" i="12" s="1"/>
  <c r="P532" i="12"/>
  <c r="X532" i="12"/>
  <c r="X471" i="12" s="1"/>
  <c r="L532" i="12"/>
  <c r="L471" i="12" s="1"/>
  <c r="T532" i="12"/>
  <c r="T471" i="12" s="1"/>
  <c r="AB532" i="12"/>
  <c r="AB471" i="12" s="1"/>
  <c r="AH532" i="12"/>
  <c r="AH471" i="12" s="1"/>
  <c r="F953" i="12"/>
  <c r="F952" i="12" s="1"/>
  <c r="F773" i="12"/>
  <c r="N953" i="12"/>
  <c r="N952" i="12" s="1"/>
  <c r="N773" i="12"/>
  <c r="V953" i="12"/>
  <c r="V952" i="12" s="1"/>
  <c r="V773" i="12"/>
  <c r="AD773" i="12"/>
  <c r="AI254" i="12"/>
  <c r="AI279" i="12"/>
  <c r="AI291" i="12"/>
  <c r="AI328" i="12"/>
  <c r="P364" i="12"/>
  <c r="P363" i="12" s="1"/>
  <c r="X364" i="12"/>
  <c r="X363" i="12" s="1"/>
  <c r="P393" i="12"/>
  <c r="X393" i="12"/>
  <c r="AI414" i="12"/>
  <c r="S418" i="12"/>
  <c r="AA418" i="12"/>
  <c r="AI492" i="12"/>
  <c r="AA532" i="12"/>
  <c r="S610" i="12"/>
  <c r="S609" i="12" s="1"/>
  <c r="G953" i="12"/>
  <c r="G952" i="12" s="1"/>
  <c r="G773" i="12"/>
  <c r="O953" i="12"/>
  <c r="O952" i="12" s="1"/>
  <c r="O773" i="12"/>
  <c r="W953" i="12"/>
  <c r="W952" i="12" s="1"/>
  <c r="W773" i="12"/>
  <c r="AE773" i="12"/>
  <c r="E201" i="12"/>
  <c r="M201" i="12"/>
  <c r="M200" i="12" s="1"/>
  <c r="U201" i="12"/>
  <c r="AC201" i="12"/>
  <c r="J201" i="12"/>
  <c r="R201" i="12"/>
  <c r="Z201" i="12"/>
  <c r="AH201" i="12"/>
  <c r="AI246" i="12"/>
  <c r="AI258" i="12"/>
  <c r="K278" i="12"/>
  <c r="S278" i="12"/>
  <c r="AA278" i="12"/>
  <c r="E328" i="12"/>
  <c r="AI329" i="12"/>
  <c r="X337" i="12"/>
  <c r="AI350" i="12"/>
  <c r="AB418" i="12"/>
  <c r="AI431" i="12"/>
  <c r="AI439" i="12"/>
  <c r="AI484" i="12"/>
  <c r="AI496" i="12"/>
  <c r="M471" i="12"/>
  <c r="J532" i="12"/>
  <c r="J471" i="12" s="1"/>
  <c r="Z532" i="12"/>
  <c r="N610" i="12"/>
  <c r="N609" i="12" s="1"/>
  <c r="AI443" i="12"/>
  <c r="AI549" i="12"/>
  <c r="AI573" i="12"/>
  <c r="AI597" i="12"/>
  <c r="U610" i="12"/>
  <c r="U609" i="12" s="1"/>
  <c r="V615" i="12"/>
  <c r="V610" i="12" s="1"/>
  <c r="V609" i="12" s="1"/>
  <c r="AD615" i="12"/>
  <c r="AD610" i="12" s="1"/>
  <c r="AD609" i="12" s="1"/>
  <c r="F337" i="12"/>
  <c r="N337" i="12"/>
  <c r="V337" i="12"/>
  <c r="AD337" i="12"/>
  <c r="AI852" i="12"/>
  <c r="D843" i="12"/>
  <c r="D364" i="12"/>
  <c r="L364" i="12"/>
  <c r="L363" i="12" s="1"/>
  <c r="T364" i="12"/>
  <c r="T363" i="12" s="1"/>
  <c r="AB364" i="12"/>
  <c r="AB363" i="12" s="1"/>
  <c r="G532" i="12"/>
  <c r="G471" i="12" s="1"/>
  <c r="O532" i="12"/>
  <c r="O471" i="12" s="1"/>
  <c r="W532" i="12"/>
  <c r="W471" i="12" s="1"/>
  <c r="AE532" i="12"/>
  <c r="AE471" i="12" s="1"/>
  <c r="AI605" i="12"/>
  <c r="D624" i="12"/>
  <c r="AI624" i="12" s="1"/>
  <c r="AI629" i="12"/>
  <c r="AI637" i="12"/>
  <c r="F315" i="12"/>
  <c r="AI410" i="12"/>
  <c r="F471" i="12"/>
  <c r="N471" i="12"/>
  <c r="V471" i="12"/>
  <c r="F532" i="12"/>
  <c r="N532" i="12"/>
  <c r="V532" i="12"/>
  <c r="AD532" i="12"/>
  <c r="AD471" i="12" s="1"/>
  <c r="AI581" i="12"/>
  <c r="AI616" i="12"/>
  <c r="P610" i="12"/>
  <c r="P609" i="12" s="1"/>
  <c r="X610" i="12"/>
  <c r="X609" i="12" s="1"/>
  <c r="AF610" i="12"/>
  <c r="AF609" i="12" s="1"/>
  <c r="AF624" i="12"/>
  <c r="I532" i="12"/>
  <c r="I471" i="12" s="1"/>
  <c r="Q532" i="12"/>
  <c r="Q471" i="12" s="1"/>
  <c r="Y532" i="12"/>
  <c r="Y471" i="12" s="1"/>
  <c r="AG532" i="12"/>
  <c r="AG471" i="12" s="1"/>
  <c r="AD637" i="12"/>
  <c r="AI642" i="12"/>
  <c r="AI726" i="12"/>
  <c r="E703" i="12"/>
  <c r="AI342" i="12"/>
  <c r="G393" i="12"/>
  <c r="O393" i="12"/>
  <c r="W393" i="12"/>
  <c r="AE393" i="12"/>
  <c r="AI516" i="12"/>
  <c r="AI569" i="12"/>
  <c r="E610" i="12"/>
  <c r="E609" i="12" s="1"/>
  <c r="M610" i="12"/>
  <c r="M609" i="12" s="1"/>
  <c r="AC610" i="12"/>
  <c r="AC609" i="12" s="1"/>
  <c r="J610" i="12"/>
  <c r="J609" i="12" s="1"/>
  <c r="R609" i="12"/>
  <c r="AI633" i="12"/>
  <c r="D703" i="12"/>
  <c r="H717" i="12"/>
  <c r="AI717" i="12" s="1"/>
  <c r="AI722" i="12"/>
  <c r="AI731" i="12"/>
  <c r="AI747" i="12"/>
  <c r="AI772" i="12"/>
  <c r="D763" i="12"/>
  <c r="AI763" i="12" s="1"/>
  <c r="E794" i="12"/>
  <c r="M794" i="12"/>
  <c r="U794" i="12"/>
  <c r="AC794" i="12"/>
  <c r="J794" i="12"/>
  <c r="R794" i="12"/>
  <c r="Z794" i="12"/>
  <c r="AH794" i="12"/>
  <c r="AI815" i="12"/>
  <c r="G843" i="12"/>
  <c r="O843" i="12"/>
  <c r="W843" i="12"/>
  <c r="AE843" i="12"/>
  <c r="AI646" i="12"/>
  <c r="AI674" i="12"/>
  <c r="I703" i="12"/>
  <c r="S703" i="12"/>
  <c r="AI751" i="12"/>
  <c r="H730" i="12"/>
  <c r="AI755" i="12"/>
  <c r="AI777" i="12"/>
  <c r="F843" i="12"/>
  <c r="N843" i="12"/>
  <c r="V843" i="12"/>
  <c r="AD843" i="12"/>
  <c r="AI856" i="12"/>
  <c r="AI658" i="12"/>
  <c r="J703" i="12"/>
  <c r="R703" i="12"/>
  <c r="Z703" i="12"/>
  <c r="AH703" i="12"/>
  <c r="AI819" i="12"/>
  <c r="D794" i="12"/>
  <c r="I843" i="12"/>
  <c r="Q843" i="12"/>
  <c r="Y843" i="12"/>
  <c r="AG843" i="12"/>
  <c r="AI872" i="12"/>
  <c r="AI888" i="12"/>
  <c r="AI932" i="12"/>
  <c r="AI638" i="12"/>
  <c r="AI683" i="12"/>
  <c r="AI739" i="12"/>
  <c r="D730" i="12"/>
  <c r="AI864" i="12"/>
  <c r="H843" i="12"/>
  <c r="AI868" i="12"/>
  <c r="Y703" i="12"/>
  <c r="AI786" i="12"/>
  <c r="D781" i="12"/>
  <c r="AI781" i="12" s="1"/>
  <c r="AI795" i="12"/>
  <c r="AI908" i="12"/>
  <c r="AI924" i="12"/>
  <c r="AI666" i="12"/>
  <c r="AI708" i="12"/>
  <c r="AI743" i="12"/>
  <c r="K794" i="12"/>
  <c r="S794" i="12"/>
  <c r="AA794" i="12"/>
  <c r="AI799" i="12"/>
  <c r="AI803" i="12"/>
  <c r="H794" i="12"/>
  <c r="P794" i="12"/>
  <c r="X794" i="12"/>
  <c r="AF794" i="12"/>
  <c r="AI811" i="12"/>
  <c r="AC10" i="12" l="1"/>
  <c r="AB947" i="12"/>
  <c r="AB945" i="12" s="1"/>
  <c r="AB774" i="12" s="1"/>
  <c r="AB113" i="12"/>
  <c r="AI113" i="12" s="1"/>
  <c r="AA200" i="12"/>
  <c r="X200" i="12"/>
  <c r="W10" i="12"/>
  <c r="Q774" i="12"/>
  <c r="Q773" i="12" s="1"/>
  <c r="P200" i="12"/>
  <c r="AI55" i="12"/>
  <c r="T200" i="12"/>
  <c r="L200" i="12"/>
  <c r="Y200" i="12"/>
  <c r="AA773" i="12"/>
  <c r="AA953" i="12"/>
  <c r="AA952" i="12" s="1"/>
  <c r="H200" i="12"/>
  <c r="AD200" i="12"/>
  <c r="S773" i="12"/>
  <c r="S953" i="12"/>
  <c r="S952" i="12" s="1"/>
  <c r="G200" i="12"/>
  <c r="W200" i="12"/>
  <c r="Q200" i="12"/>
  <c r="AI615" i="12"/>
  <c r="D363" i="12"/>
  <c r="AI363" i="12" s="1"/>
  <c r="AI364" i="12"/>
  <c r="E200" i="12"/>
  <c r="AI393" i="12"/>
  <c r="H953" i="12"/>
  <c r="H952" i="12" s="1"/>
  <c r="H773" i="12"/>
  <c r="D774" i="12"/>
  <c r="AI945" i="12"/>
  <c r="AI843" i="12"/>
  <c r="Z200" i="12"/>
  <c r="AI471" i="12"/>
  <c r="S232" i="12"/>
  <c r="S200" i="12" s="1"/>
  <c r="D232" i="12"/>
  <c r="AI233" i="12"/>
  <c r="I232" i="12"/>
  <c r="I200" i="12" s="1"/>
  <c r="V200" i="12"/>
  <c r="AG232" i="12"/>
  <c r="AG200" i="12" s="1"/>
  <c r="D10" i="12"/>
  <c r="AI10" i="12" s="1"/>
  <c r="AH200" i="12"/>
  <c r="AI111" i="12"/>
  <c r="AI201" i="12"/>
  <c r="AI730" i="12"/>
  <c r="D610" i="12"/>
  <c r="R200" i="12"/>
  <c r="K232" i="12"/>
  <c r="K200" i="12" s="1"/>
  <c r="AE200" i="12"/>
  <c r="AI102" i="12"/>
  <c r="F200" i="12"/>
  <c r="H703" i="12"/>
  <c r="J200" i="12"/>
  <c r="AI532" i="12"/>
  <c r="P953" i="12"/>
  <c r="P952" i="12" s="1"/>
  <c r="P773" i="12"/>
  <c r="K773" i="12"/>
  <c r="K953" i="12"/>
  <c r="K952" i="12" s="1"/>
  <c r="AI418" i="12"/>
  <c r="AI337" i="12"/>
  <c r="AF953" i="12"/>
  <c r="AF952" i="12" s="1"/>
  <c r="AF773" i="12"/>
  <c r="AI703" i="12"/>
  <c r="AC200" i="12"/>
  <c r="AI278" i="12"/>
  <c r="AI155" i="12"/>
  <c r="AI794" i="12"/>
  <c r="U200" i="12"/>
  <c r="AI947" i="12"/>
  <c r="X953" i="12"/>
  <c r="X952" i="12" s="1"/>
  <c r="X773" i="12"/>
  <c r="AB953" i="12" l="1"/>
  <c r="AB952" i="12" s="1"/>
  <c r="AB773" i="12"/>
  <c r="Q953" i="12"/>
  <c r="Q952" i="12" s="1"/>
  <c r="D609" i="12"/>
  <c r="AI609" i="12" s="1"/>
  <c r="AI610" i="12"/>
  <c r="AI774" i="12"/>
  <c r="D953" i="12"/>
  <c r="D773" i="12"/>
  <c r="AI773" i="12" s="1"/>
  <c r="D200" i="12"/>
  <c r="AI200" i="12" s="1"/>
  <c r="AI232" i="12"/>
  <c r="D952" i="12" l="1"/>
  <c r="AI953" i="12"/>
  <c r="AI952" i="12" l="1"/>
  <c r="D954" i="12"/>
  <c r="E9" i="12" s="1"/>
  <c r="E954" i="12" s="1"/>
  <c r="F9" i="12" s="1"/>
  <c r="F954" i="12" s="1"/>
  <c r="G9" i="12" s="1"/>
  <c r="G954" i="12" s="1"/>
  <c r="H9" i="12" s="1"/>
  <c r="H954" i="12" s="1"/>
  <c r="I9" i="12" s="1"/>
  <c r="I954" i="12" s="1"/>
  <c r="J9" i="12" s="1"/>
  <c r="J954" i="12" s="1"/>
  <c r="K9" i="12" s="1"/>
  <c r="K954" i="12" s="1"/>
  <c r="L9" i="12" s="1"/>
  <c r="L954" i="12" s="1"/>
  <c r="M9" i="12" s="1"/>
  <c r="M954" i="12" s="1"/>
  <c r="N9" i="12" s="1"/>
  <c r="N954" i="12" s="1"/>
  <c r="O9" i="12" s="1"/>
  <c r="O954" i="12" s="1"/>
  <c r="P9" i="12" s="1"/>
  <c r="P954" i="12" s="1"/>
  <c r="Q9" i="12" s="1"/>
  <c r="Q954" i="12" s="1"/>
  <c r="R9" i="12" s="1"/>
  <c r="R954" i="12" s="1"/>
  <c r="S9" i="12" s="1"/>
  <c r="S954" i="12" s="1"/>
  <c r="T9" i="12" s="1"/>
  <c r="T954" i="12" s="1"/>
  <c r="U9" i="12" s="1"/>
  <c r="U954" i="12" s="1"/>
  <c r="V9" i="12" s="1"/>
  <c r="V954" i="12" s="1"/>
  <c r="W9" i="12" s="1"/>
  <c r="W954" i="12" s="1"/>
  <c r="X9" i="12" s="1"/>
  <c r="X954" i="12" s="1"/>
  <c r="Y9" i="12" s="1"/>
  <c r="Y954" i="12" s="1"/>
  <c r="Z9" i="12" s="1"/>
  <c r="Z954" i="12" s="1"/>
  <c r="AA9" i="12" s="1"/>
  <c r="AA954" i="12" s="1"/>
  <c r="AB9" i="12" s="1"/>
  <c r="AB954" i="12" s="1"/>
  <c r="AC9" i="12" s="1"/>
  <c r="AC954" i="12" s="1"/>
  <c r="AD9" i="12" s="1"/>
  <c r="AD954" i="12" s="1"/>
  <c r="AE9" i="12" s="1"/>
  <c r="AE954" i="12" s="1"/>
  <c r="AF9" i="12" s="1"/>
  <c r="AF954" i="12" s="1"/>
  <c r="AG9" i="12" s="1"/>
  <c r="AG954" i="12" s="1"/>
  <c r="AH9" i="12" s="1"/>
  <c r="AH954" i="12" s="1"/>
  <c r="C1" i="2" l="1"/>
  <c r="B1" i="2" l="1"/>
  <c r="A2" i="2" s="1"/>
  <c r="B2" i="2" s="1"/>
</calcChain>
</file>

<file path=xl/comments1.xml><?xml version="1.0" encoding="utf-8"?>
<comments xmlns="http://schemas.openxmlformats.org/spreadsheetml/2006/main">
  <authors>
    <author>Юмашева Анастасия Александровна</author>
  </authors>
  <commentList>
    <comment ref="B115" authorId="0" shapeId="0">
      <text>
        <r>
          <rPr>
            <b/>
            <sz val="9"/>
            <color indexed="81"/>
            <rFont val="Tahoma"/>
            <charset val="1"/>
          </rPr>
          <t>=-D118+D930+D946+D947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118" authorId="0" shapeId="0">
      <text>
        <r>
          <rPr>
            <b/>
            <sz val="9"/>
            <color indexed="81"/>
            <rFont val="Tahoma"/>
            <charset val="1"/>
          </rPr>
          <t>=-D115+D930+D946+D947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774" authorId="0" shapeId="0">
      <text>
        <r>
          <rPr>
            <b/>
            <sz val="9"/>
            <color indexed="81"/>
            <rFont val="Tahoma"/>
            <charset val="1"/>
          </rPr>
          <t>=-D766+D937+D941-D944</t>
        </r>
      </text>
    </comment>
    <comment ref="B776" authorId="0" shapeId="0">
      <text>
        <r>
          <rPr>
            <b/>
            <sz val="9"/>
            <color indexed="81"/>
            <rFont val="Tahoma"/>
            <charset val="1"/>
          </rPr>
          <t>=-D764+D937+D941-D944</t>
        </r>
      </text>
    </comment>
  </commentList>
</comments>
</file>

<file path=xl/connections.xml><?xml version="1.0" encoding="utf-8"?>
<connections xmlns="http://schemas.openxmlformats.org/spreadsheetml/2006/main">
  <connection id="1" name="Запрос из MS Access Database" type="1" refreshedVersion="5" background="1" saveData="1">
    <dbPr connection="DSN=MS Access Database;DBQ=V:\Finans\Rep\ФО_данные.accdb;DefaultDir=V:\Finans\Rep;DriverId=25;FIL=MS Access;MaxBufferSize=2048;PageTimeout=5;" command="SELECT з_ФП_ПК.`Код ФП ПК`, з_ФП_ПК.`Индекс ячейки в TMS`_x000d__x000a_FROM `V:\Finans\Rep\ФО_данные.accdb`.з_ФП_ПК з_ФП_ПК_x000d__x000a_ORDER BY з_ФП_ПК.`Код ФП ПК`"/>
  </connection>
  <connection id="2" name="Запрос из MS Access Database1" type="1" refreshedVersion="5" background="1" saveData="1">
    <dbPr connection="DSN=MS Access Database;DBQ=V:\Finans\Rep\ФО_данные.accdb;DefaultDir=V:\Finans\Rep;DriverId=25;FIL=MS Access;MaxBufferSize=2048;PageTimeout=5;" command="SELECT ПК_свод.`Код ФП ПК`, ПК_свод.`Наименование ФП ПК`, ПК_свод.`Дата оплаты`, ПК_свод.`Вид движения по р/с`, ПК_свод.`ГГГГММ оплаты`, ПК_свод.Источник, ПК_свод.`Индекс ячейки в TMS`, ПК_свод.`Сумма ПК`_x000d__x000a_FROM `V:\Finans\Rep\ФО_данные.accdb`.ПК_свод ПК_свод_x000d__x000a_WHERE (ПК_свод.`ГГГГММ оплаты`=?)_x000d__x000a_ORDER BY ПК_свод.`Дата оплаты`, ПК_свод.`Код ФП ПК`"/>
    <parameters count="1">
      <parameter name="параметр" sqlType="12" parameterType="cell" cell="данные!$B$1"/>
    </parameters>
  </connection>
</connections>
</file>

<file path=xl/sharedStrings.xml><?xml version="1.0" encoding="utf-8"?>
<sst xmlns="http://schemas.openxmlformats.org/spreadsheetml/2006/main" count="1867" uniqueCount="776">
  <si>
    <t>Иерархия статей</t>
  </si>
  <si>
    <t>Статьи Платежного баланса ДОО (Финансовые позиции ДОО)</t>
  </si>
  <si>
    <t>Код статьи ПБ ДОО АСБУ (код финансовой позиции ДОО)</t>
  </si>
  <si>
    <t>1.</t>
  </si>
  <si>
    <t>Поступления от продаж от реализации по обычным видам деятельности</t>
  </si>
  <si>
    <t>2110000000</t>
  </si>
  <si>
    <t>1.01.</t>
  </si>
  <si>
    <t>Поступления за поставки газа</t>
  </si>
  <si>
    <t>2110100000</t>
  </si>
  <si>
    <t>1.02.</t>
  </si>
  <si>
    <t>Поступления за услуги по транспортировке газа</t>
  </si>
  <si>
    <t>2110200000</t>
  </si>
  <si>
    <t>1.03.</t>
  </si>
  <si>
    <t>Поступления за услуги по хранению газа</t>
  </si>
  <si>
    <t>2110300000</t>
  </si>
  <si>
    <t>1.04.</t>
  </si>
  <si>
    <t>От реализации сырья, продуктов переработки, оказания услуг по переработке, по договору комиссии за реализацию и от услуг по транспортировке ЖУВ</t>
  </si>
  <si>
    <t>2110400000</t>
  </si>
  <si>
    <t>1.05.</t>
  </si>
  <si>
    <t xml:space="preserve">Поступления по агентским договорам </t>
  </si>
  <si>
    <t>2110500000</t>
  </si>
  <si>
    <t>1.05.1.</t>
  </si>
  <si>
    <t xml:space="preserve">Поступления по агентским договорам (регистрация прав собственности и др.), кроме ПНР </t>
  </si>
  <si>
    <t>2110510000</t>
  </si>
  <si>
    <t>1.05.2.</t>
  </si>
  <si>
    <t>Поступления от консервации и ликвидации основных средств</t>
  </si>
  <si>
    <t>2110520000</t>
  </si>
  <si>
    <t>1.05.3.</t>
  </si>
  <si>
    <t>Поступления по агентским договорам (ПНР)</t>
  </si>
  <si>
    <t>1.06.</t>
  </si>
  <si>
    <t>Прочая выручка</t>
  </si>
  <si>
    <t>2110600000</t>
  </si>
  <si>
    <t>1.06.1.</t>
  </si>
  <si>
    <t>Продажа газового конденсата</t>
  </si>
  <si>
    <t>2110610000</t>
  </si>
  <si>
    <t>1.06.2.</t>
  </si>
  <si>
    <t>Продажа продуктов нефтегазопереработки</t>
  </si>
  <si>
    <t>2110620000</t>
  </si>
  <si>
    <t>1.06.3.</t>
  </si>
  <si>
    <t xml:space="preserve">ГРР </t>
  </si>
  <si>
    <t>2110630000</t>
  </si>
  <si>
    <t>1.06.4.</t>
  </si>
  <si>
    <t xml:space="preserve">Поступление страхового возмещения </t>
  </si>
  <si>
    <t>2110640000</t>
  </si>
  <si>
    <t>1.06.5.</t>
  </si>
  <si>
    <t xml:space="preserve">Выручка от реализации товаров, приобретенных для перепродажи </t>
  </si>
  <si>
    <t>2110650000</t>
  </si>
  <si>
    <t>1.06.6.</t>
  </si>
  <si>
    <t xml:space="preserve">Выручка от услуг, оказанных Заказчиком подрядчику, поставщику, проектировщику при выполнении работ в рамках инвестиционного договора </t>
  </si>
  <si>
    <t>2110660000</t>
  </si>
  <si>
    <t>1.06.7.</t>
  </si>
  <si>
    <t>Реализация другой продукции, работ и услуг</t>
  </si>
  <si>
    <t>2110670000</t>
  </si>
  <si>
    <t>1.06.7.1</t>
  </si>
  <si>
    <t>поставка (продажа) МТР подрядчикам</t>
  </si>
  <si>
    <t>2110671000</t>
  </si>
  <si>
    <t>1.06.7.2</t>
  </si>
  <si>
    <t>иные поступления от реализации другой продукции, работ и услуг</t>
  </si>
  <si>
    <t>2110672000</t>
  </si>
  <si>
    <t>1.07.</t>
  </si>
  <si>
    <t>Реализация непрофильных и неэффективных активов</t>
  </si>
  <si>
    <t>2110700000</t>
  </si>
  <si>
    <t>1.08.</t>
  </si>
  <si>
    <t>Финансирование инвестиционных договоров ОАО "Газпром"</t>
  </si>
  <si>
    <t>2110800000</t>
  </si>
  <si>
    <t>1.08.1.</t>
  </si>
  <si>
    <t>Поступления в рамках инвестиционного договора без услуг заказчика</t>
  </si>
  <si>
    <t>2110810000</t>
  </si>
  <si>
    <t>1.08.2.</t>
  </si>
  <si>
    <t>Поступления от оказания услуг заказчика</t>
  </si>
  <si>
    <t>2110820000</t>
  </si>
  <si>
    <t>1.09.</t>
  </si>
  <si>
    <t>2110900000</t>
  </si>
  <si>
    <t>1.10.</t>
  </si>
  <si>
    <t>Прочие доходы и поступления</t>
  </si>
  <si>
    <t>2111000000</t>
  </si>
  <si>
    <t>1.10.1.</t>
  </si>
  <si>
    <t>Кредиты и займы</t>
  </si>
  <si>
    <t>2111010000</t>
  </si>
  <si>
    <t>1.10.2.</t>
  </si>
  <si>
    <t>Поступления от финансовых вложений</t>
  </si>
  <si>
    <t>2111020000</t>
  </si>
  <si>
    <t>1.10.3.</t>
  </si>
  <si>
    <t>Договора уступки прав требования</t>
  </si>
  <si>
    <t>2111030000</t>
  </si>
  <si>
    <t>1.10.4.</t>
  </si>
  <si>
    <t>Поступление средств от погашения векселей</t>
  </si>
  <si>
    <t>2111040000</t>
  </si>
  <si>
    <t>1.10.5.</t>
  </si>
  <si>
    <t>Вклад в уставный капитал, взнос в имущество</t>
  </si>
  <si>
    <t>2111050000</t>
  </si>
  <si>
    <t>1.10.6.</t>
  </si>
  <si>
    <t>Поступления от возвратов займов</t>
  </si>
  <si>
    <t>2111060000</t>
  </si>
  <si>
    <t>1.10.7.</t>
  </si>
  <si>
    <t xml:space="preserve">Иные прочие доходы и поступления </t>
  </si>
  <si>
    <t>2111070000</t>
  </si>
  <si>
    <t>2.</t>
  </si>
  <si>
    <t>Эксплуатационные расходы</t>
  </si>
  <si>
    <t>2220000000</t>
  </si>
  <si>
    <t>2.01.</t>
  </si>
  <si>
    <t>Оплата труда - всего по предприятию</t>
  </si>
  <si>
    <t>2220100000</t>
  </si>
  <si>
    <t>2.01.1.</t>
  </si>
  <si>
    <t>фонд заработной платы</t>
  </si>
  <si>
    <t>2220110000</t>
  </si>
  <si>
    <t>2.01.2.</t>
  </si>
  <si>
    <t>выплаты социального характера</t>
  </si>
  <si>
    <t>2220120000</t>
  </si>
  <si>
    <t>2.01.3.</t>
  </si>
  <si>
    <t>Прочие выплаты в пользу сотрудников</t>
  </si>
  <si>
    <t>2220130000</t>
  </si>
  <si>
    <t>2.02.</t>
  </si>
  <si>
    <t>2220200000</t>
  </si>
  <si>
    <t>2.03.</t>
  </si>
  <si>
    <t>Налоги и иные обязательные платежи - всего</t>
  </si>
  <si>
    <t>2220300000</t>
  </si>
  <si>
    <t>2.03.1.</t>
  </si>
  <si>
    <t>Федеральные налоги и сборы</t>
  </si>
  <si>
    <t>2220310000</t>
  </si>
  <si>
    <t>2.03.1.1</t>
  </si>
  <si>
    <t>Налог на прибыль (ФБ)</t>
  </si>
  <si>
    <t>2220311000</t>
  </si>
  <si>
    <t>2.03.1.2</t>
  </si>
  <si>
    <t>Акциз (газ) (ФБ)</t>
  </si>
  <si>
    <t>2220312000</t>
  </si>
  <si>
    <t>2.03.1.3</t>
  </si>
  <si>
    <t>Налог на добычу полезных ископаемых (ФБ)</t>
  </si>
  <si>
    <t>2220313000</t>
  </si>
  <si>
    <t>2.03.1.4</t>
  </si>
  <si>
    <t>Налог на добавленную стоимость</t>
  </si>
  <si>
    <t>2220314000</t>
  </si>
  <si>
    <t>2.03.1.5</t>
  </si>
  <si>
    <t>Водный налог</t>
  </si>
  <si>
    <t>2220315000</t>
  </si>
  <si>
    <t>2.03.1.6</t>
  </si>
  <si>
    <t>Государственная пошлина</t>
  </si>
  <si>
    <t>2220316000</t>
  </si>
  <si>
    <t>2.03.1.7</t>
  </si>
  <si>
    <t>Экспортная пошлина</t>
  </si>
  <si>
    <t>2220317000</t>
  </si>
  <si>
    <t>2.03.1.8</t>
  </si>
  <si>
    <t>НДС за иностранных юридических лиц</t>
  </si>
  <si>
    <t>2220318000</t>
  </si>
  <si>
    <t>2.03.1.9</t>
  </si>
  <si>
    <t>Прочие налоги и иные обязательные платежи (ФБ)</t>
  </si>
  <si>
    <t>2220319000</t>
  </si>
  <si>
    <t>2.03.1.10</t>
  </si>
  <si>
    <t>Акциз на нефтепродукты (ФБ)</t>
  </si>
  <si>
    <t>2.03.1.11</t>
  </si>
  <si>
    <t>Регулярные платежи за пользование недрами (ФБ)</t>
  </si>
  <si>
    <t>2.03.2.</t>
  </si>
  <si>
    <t>Региональные и местные налоги</t>
  </si>
  <si>
    <t>2220320000</t>
  </si>
  <si>
    <t>2.03.2.01</t>
  </si>
  <si>
    <t>Налог на прибыль (РБ)</t>
  </si>
  <si>
    <t>2220320100</t>
  </si>
  <si>
    <t>2.03.2.02</t>
  </si>
  <si>
    <t>Акцизы (РБ)</t>
  </si>
  <si>
    <t>2220320200</t>
  </si>
  <si>
    <t>2.03.2.03</t>
  </si>
  <si>
    <t>Налог на добычу полезных ископаемых (РБ)</t>
  </si>
  <si>
    <t>2220320300</t>
  </si>
  <si>
    <t>2.03.2.04</t>
  </si>
  <si>
    <t>Плата за недра</t>
  </si>
  <si>
    <t>2220320400</t>
  </si>
  <si>
    <t>2.03.2.05</t>
  </si>
  <si>
    <t>Регулярные платежи за пользование недрами (РБ)</t>
  </si>
  <si>
    <t>2220320500</t>
  </si>
  <si>
    <t>2.03.2.06</t>
  </si>
  <si>
    <t>Налог на имущество организаций</t>
  </si>
  <si>
    <t>2220320600</t>
  </si>
  <si>
    <t>2.03.2.07</t>
  </si>
  <si>
    <t>Земельный налог</t>
  </si>
  <si>
    <t>2220320700</t>
  </si>
  <si>
    <t>2.03.2.08</t>
  </si>
  <si>
    <t>Транспортный налог</t>
  </si>
  <si>
    <t>2220320800</t>
  </si>
  <si>
    <t>2.03.2.09</t>
  </si>
  <si>
    <t>Прочие налоги и иные обязательные платежи (РБ)</t>
  </si>
  <si>
    <t>2220321000</t>
  </si>
  <si>
    <t>2.04.</t>
  </si>
  <si>
    <t>Капремонт внешними подрядчиками (без МТР поставки заказчика)</t>
  </si>
  <si>
    <t>2220400000</t>
  </si>
  <si>
    <t>2.04.1.</t>
  </si>
  <si>
    <t>Капремонт подрядчиком - ООО "Газпром центрремонт"</t>
  </si>
  <si>
    <t>2220410000</t>
  </si>
  <si>
    <t>2.04.2.</t>
  </si>
  <si>
    <t>Капремонт прочими подрядчиками</t>
  </si>
  <si>
    <t>2220420000</t>
  </si>
  <si>
    <t>2.04.3.</t>
  </si>
  <si>
    <t>Аварийно-восстановительные работы (кап.ремонт)</t>
  </si>
  <si>
    <t>2.05.</t>
  </si>
  <si>
    <t xml:space="preserve">Арендная плата </t>
  </si>
  <si>
    <t>2220500000</t>
  </si>
  <si>
    <t>2.05.1.</t>
  </si>
  <si>
    <t xml:space="preserve">аренда основных средств </t>
  </si>
  <si>
    <t>2220510000</t>
  </si>
  <si>
    <t>2.05.2.</t>
  </si>
  <si>
    <t>прочая аренда</t>
  </si>
  <si>
    <t>2220520000</t>
  </si>
  <si>
    <t>2.06.</t>
  </si>
  <si>
    <t>Теплоэнергоснабжение (эл/эн, тепло, вода)</t>
  </si>
  <si>
    <t>2220600000</t>
  </si>
  <si>
    <t>2.06.1.</t>
  </si>
  <si>
    <t>электроэнергия</t>
  </si>
  <si>
    <t>2220610000</t>
  </si>
  <si>
    <t>2.06.2.</t>
  </si>
  <si>
    <t>теплоэнергия</t>
  </si>
  <si>
    <t>2220620000</t>
  </si>
  <si>
    <t>2.06.3.</t>
  </si>
  <si>
    <t>прочая энергия</t>
  </si>
  <si>
    <t>2220630000</t>
  </si>
  <si>
    <t>2.07.</t>
  </si>
  <si>
    <t>Газ на собственные нужды</t>
  </si>
  <si>
    <t>2220700000</t>
  </si>
  <si>
    <t>2.07.1.</t>
  </si>
  <si>
    <t>покупка газа на собственные нужды у ОАО "Газпром"</t>
  </si>
  <si>
    <t>2.07.2.</t>
  </si>
  <si>
    <t>покупка газа на собственные нужды у прочих контрагентов</t>
  </si>
  <si>
    <t>2.08.</t>
  </si>
  <si>
    <t>Диагностика газопровода</t>
  </si>
  <si>
    <t>2220800000</t>
  </si>
  <si>
    <t>2.09.</t>
  </si>
  <si>
    <t>МТР на технологические нужды и капремонт,  в т.ч.</t>
  </si>
  <si>
    <t>2220900000</t>
  </si>
  <si>
    <t>2.09.1.</t>
  </si>
  <si>
    <t>МТР на технологические нужды и капремонт, кроме углеводородной продукции , в т.ч.</t>
  </si>
  <si>
    <t>2220910000</t>
  </si>
  <si>
    <t>2.09.1.1</t>
  </si>
  <si>
    <t xml:space="preserve">МТР на технологические нужды и капремонт ООО "Газпром комплектация" </t>
  </si>
  <si>
    <t>2220911000</t>
  </si>
  <si>
    <t>2.09.1.2</t>
  </si>
  <si>
    <t xml:space="preserve">МТР на технологические нужды и капремонт ООО "Газпром центрремонт" </t>
  </si>
  <si>
    <t>2220912000</t>
  </si>
  <si>
    <t>2.09.1.3</t>
  </si>
  <si>
    <t xml:space="preserve">МТР на технологические нужды и капремонт прочих поставщиков </t>
  </si>
  <si>
    <t>2220913000</t>
  </si>
  <si>
    <t>2.09.1.4</t>
  </si>
  <si>
    <t>МТР на аварийно-восстановительные работы</t>
  </si>
  <si>
    <t>2.09.2.</t>
  </si>
  <si>
    <t>Углеводородная продукция, в т.ч.</t>
  </si>
  <si>
    <t>2220920000</t>
  </si>
  <si>
    <t>2.09.3.</t>
  </si>
  <si>
    <t>Транспортировка углеводородной продукции</t>
  </si>
  <si>
    <t>2220930000</t>
  </si>
  <si>
    <t>2.10</t>
  </si>
  <si>
    <t>ГРР (в части, относимой на себестоимость)</t>
  </si>
  <si>
    <t>2221000000</t>
  </si>
  <si>
    <t>2.11.</t>
  </si>
  <si>
    <t>Услуги транспорта</t>
  </si>
  <si>
    <t>2221100000</t>
  </si>
  <si>
    <t>2.11.1.</t>
  </si>
  <si>
    <t xml:space="preserve">железнодорожный транспорт </t>
  </si>
  <si>
    <t>2221110000</t>
  </si>
  <si>
    <t>2.11.2.</t>
  </si>
  <si>
    <t>авиатранспорт</t>
  </si>
  <si>
    <t>2221120000</t>
  </si>
  <si>
    <t>2.11.3.</t>
  </si>
  <si>
    <t>автотранспорт</t>
  </si>
  <si>
    <t>2221130000</t>
  </si>
  <si>
    <t>2.11.4.</t>
  </si>
  <si>
    <t>водный транспорт</t>
  </si>
  <si>
    <t>2221140000</t>
  </si>
  <si>
    <t>2.12.</t>
  </si>
  <si>
    <t>Услуги связи</t>
  </si>
  <si>
    <t>2221200000</t>
  </si>
  <si>
    <t>2.13.</t>
  </si>
  <si>
    <t>Лизинговые платежи</t>
  </si>
  <si>
    <t>2221300000</t>
  </si>
  <si>
    <t>2.14.</t>
  </si>
  <si>
    <t xml:space="preserve">Страхование всего,    </t>
  </si>
  <si>
    <t>2221400000</t>
  </si>
  <si>
    <t>2.14.01</t>
  </si>
  <si>
    <t xml:space="preserve">Страхование транспорта </t>
  </si>
  <si>
    <t>2221401000</t>
  </si>
  <si>
    <t>2.14.02</t>
  </si>
  <si>
    <t>Страхование гражданской ответственности</t>
  </si>
  <si>
    <t>2221402000</t>
  </si>
  <si>
    <t>2.14.03</t>
  </si>
  <si>
    <t>Страхование автогражданской ответственности</t>
  </si>
  <si>
    <t>2221403000</t>
  </si>
  <si>
    <t>2.14.04</t>
  </si>
  <si>
    <t xml:space="preserve">Страхование  природного газа </t>
  </si>
  <si>
    <t>2221404000</t>
  </si>
  <si>
    <t>2.14.05</t>
  </si>
  <si>
    <t xml:space="preserve">Страхование СМР </t>
  </si>
  <si>
    <t>2221405000</t>
  </si>
  <si>
    <t>2.14.06</t>
  </si>
  <si>
    <t>Страхование несчастных случаев</t>
  </si>
  <si>
    <t>2221406000</t>
  </si>
  <si>
    <t>2.14.07</t>
  </si>
  <si>
    <t>Страхование добровольное медицинское</t>
  </si>
  <si>
    <t>2221407000</t>
  </si>
  <si>
    <t>2.14.08</t>
  </si>
  <si>
    <t>Страхование грузов</t>
  </si>
  <si>
    <t>2221408000</t>
  </si>
  <si>
    <t>2.14.09</t>
  </si>
  <si>
    <t>Страхование имущества</t>
  </si>
  <si>
    <t>2221409000</t>
  </si>
  <si>
    <t>2.14.10</t>
  </si>
  <si>
    <t xml:space="preserve">Страхование ВПМЖ </t>
  </si>
  <si>
    <t>2221410000</t>
  </si>
  <si>
    <t>2.14.11</t>
  </si>
  <si>
    <t xml:space="preserve">Страхование жизни </t>
  </si>
  <si>
    <t>2221411000</t>
  </si>
  <si>
    <t>2.14.12</t>
  </si>
  <si>
    <t>Обязательное страхование от несчастных случаев</t>
  </si>
  <si>
    <t>2.14.13</t>
  </si>
  <si>
    <t>Прочие виды страхования</t>
  </si>
  <si>
    <t>2221412000</t>
  </si>
  <si>
    <t>2.15.</t>
  </si>
  <si>
    <t>Прочие эксплуатационные и внереализационные расходы, в т.ч.</t>
  </si>
  <si>
    <t>2221500000</t>
  </si>
  <si>
    <t>2.15.01</t>
  </si>
  <si>
    <t>пусконаладочные работы</t>
  </si>
  <si>
    <t>2221501000</t>
  </si>
  <si>
    <t>2.15.02</t>
  </si>
  <si>
    <t xml:space="preserve">техническое обслуживание и текущий ремонт </t>
  </si>
  <si>
    <t>2221502000</t>
  </si>
  <si>
    <t>2.15.03</t>
  </si>
  <si>
    <t>геофизические работы</t>
  </si>
  <si>
    <t>2221503000</t>
  </si>
  <si>
    <t>2.15.04</t>
  </si>
  <si>
    <t>услуги пожарной охраны</t>
  </si>
  <si>
    <t>2221504000</t>
  </si>
  <si>
    <t>2.15.05</t>
  </si>
  <si>
    <t>услуги по охране труда и технике безопасности</t>
  </si>
  <si>
    <t>2221505000</t>
  </si>
  <si>
    <t>2.15.06</t>
  </si>
  <si>
    <t>повышение квалификации</t>
  </si>
  <si>
    <t>2221506000</t>
  </si>
  <si>
    <t>2.15.07</t>
  </si>
  <si>
    <t>программное обеспечение и сопровождение</t>
  </si>
  <si>
    <t>2221507000</t>
  </si>
  <si>
    <t>2.15.08</t>
  </si>
  <si>
    <t>аудит</t>
  </si>
  <si>
    <t>2221508000</t>
  </si>
  <si>
    <t>2.15.09</t>
  </si>
  <si>
    <t>энергоаудит</t>
  </si>
  <si>
    <t>2221509000</t>
  </si>
  <si>
    <t>2.15.10</t>
  </si>
  <si>
    <t>юридические и консультационные услуги</t>
  </si>
  <si>
    <t>2221510000</t>
  </si>
  <si>
    <t>2.15.11</t>
  </si>
  <si>
    <t>прочие услуги сторонних организаций</t>
  </si>
  <si>
    <t>2221511000</t>
  </si>
  <si>
    <t>2.15.12</t>
  </si>
  <si>
    <t>реклама</t>
  </si>
  <si>
    <t>2221512000</t>
  </si>
  <si>
    <t>2.15.13</t>
  </si>
  <si>
    <t>расходы на командировки</t>
  </si>
  <si>
    <t>2221513000</t>
  </si>
  <si>
    <t>2.15.14</t>
  </si>
  <si>
    <t>расходы на представительские нужды</t>
  </si>
  <si>
    <t>2221514000</t>
  </si>
  <si>
    <t>2.15.15</t>
  </si>
  <si>
    <t>гражданская защита</t>
  </si>
  <si>
    <t>2221515000</t>
  </si>
  <si>
    <t>2.15.16</t>
  </si>
  <si>
    <t>"НПФ"Газфонд</t>
  </si>
  <si>
    <t>другие расходы</t>
  </si>
  <si>
    <t>2221517000</t>
  </si>
  <si>
    <t>расчетно-кассовое обслуживание</t>
  </si>
  <si>
    <t>2221517010</t>
  </si>
  <si>
    <t>проценты по кредитам и займам</t>
  </si>
  <si>
    <t>2221517020</t>
  </si>
  <si>
    <t>НИОКР</t>
  </si>
  <si>
    <t>2221517030</t>
  </si>
  <si>
    <t>благотворительная деятельность</t>
  </si>
  <si>
    <t>2221517040</t>
  </si>
  <si>
    <t>финансовая помощь при приобретении жилья</t>
  </si>
  <si>
    <t>2221517050</t>
  </si>
  <si>
    <t>расходы по договорам с ОРСами</t>
  </si>
  <si>
    <t>2221517060</t>
  </si>
  <si>
    <t>передача объектов в муниципальную собственность</t>
  </si>
  <si>
    <t>2221517070</t>
  </si>
  <si>
    <t>гос. регистрация прав на объекты недвижимого имущества</t>
  </si>
  <si>
    <t>2221517080</t>
  </si>
  <si>
    <t>расходы на отчуждение НПА</t>
  </si>
  <si>
    <t>2221517090</t>
  </si>
  <si>
    <t>Газпром-детям</t>
  </si>
  <si>
    <t>Прочие расходы на аварийно-восстановительные работы</t>
  </si>
  <si>
    <t>прочие</t>
  </si>
  <si>
    <t>2.16.</t>
  </si>
  <si>
    <t>Инвестиционная программа дочернего общества</t>
  </si>
  <si>
    <t>2221600000</t>
  </si>
  <si>
    <t>2.16.1</t>
  </si>
  <si>
    <t>Капитальное строительство за счет собственных средств предприятия</t>
  </si>
  <si>
    <t>2221610000</t>
  </si>
  <si>
    <t>2.16.1.1</t>
  </si>
  <si>
    <t>СМР (в рамках капитального строительства за счет собственных средств)</t>
  </si>
  <si>
    <t>2221611000</t>
  </si>
  <si>
    <t>2.16.1.2</t>
  </si>
  <si>
    <t>Оборудование (в рамках капитального строительства за счет собственных средств)</t>
  </si>
  <si>
    <t>2221612000</t>
  </si>
  <si>
    <t>2.16.1.2.1</t>
  </si>
  <si>
    <t>приобретение оборудования  (в рамках капитального строительства за счет собственных средств)</t>
  </si>
  <si>
    <t>2221612100</t>
  </si>
  <si>
    <t>2.16.1.2.2</t>
  </si>
  <si>
    <t>выплата агентского вознаграждения за оборудование (в рамках капитального строительства за счет собственных средств)</t>
  </si>
  <si>
    <t>2221612200</t>
  </si>
  <si>
    <t>2.16.1.3</t>
  </si>
  <si>
    <t>Материалы (в рамках капитального строительства за счет собственных средств)</t>
  </si>
  <si>
    <t>2221613000</t>
  </si>
  <si>
    <t>2.16.1.3.1</t>
  </si>
  <si>
    <t>приобретение материалов  (в рамках капитального строительства за счет собственных средств)</t>
  </si>
  <si>
    <t>2221613100</t>
  </si>
  <si>
    <t>2.16.1.3.2</t>
  </si>
  <si>
    <t>выплата агентского вознаграждения за материалы (в рамках капитального строительства за счет собственных средств)</t>
  </si>
  <si>
    <t>2221613200</t>
  </si>
  <si>
    <t>2.16.1.4</t>
  </si>
  <si>
    <t>Бурение (в рамках капитального строительства за счет собственных средств)</t>
  </si>
  <si>
    <t>2221614000</t>
  </si>
  <si>
    <t>2.16.1.5</t>
  </si>
  <si>
    <t>Прочие (в рамках капитального строительства за счет собственных средств)</t>
  </si>
  <si>
    <t>2221615000</t>
  </si>
  <si>
    <t>2.16.1.5.1</t>
  </si>
  <si>
    <t>ПИР (в рамках капитального строительства за счет собственных средств)</t>
  </si>
  <si>
    <t>2221615100</t>
  </si>
  <si>
    <t>2.16.1.5.2</t>
  </si>
  <si>
    <t>Отвод земли (в рамках капитального строительства за счет собственных средств)</t>
  </si>
  <si>
    <t>2221615200</t>
  </si>
  <si>
    <t>2.16.1.5.3</t>
  </si>
  <si>
    <t>Возмещение землепользователям (в рамках капитального строительства за счет собственных средств)</t>
  </si>
  <si>
    <t>2221615300</t>
  </si>
  <si>
    <t>2.16.1.5.4</t>
  </si>
  <si>
    <t>Технадзор (в рамках капитального строительства за счет собственных средств)</t>
  </si>
  <si>
    <t>2221615400</t>
  </si>
  <si>
    <t>2.16.1.5.5</t>
  </si>
  <si>
    <t>Шефмонтаж (в рамках капитального строительства за счет собственных средств)</t>
  </si>
  <si>
    <t>2221615500</t>
  </si>
  <si>
    <t>2.16.1.5.6</t>
  </si>
  <si>
    <t>ПНР (в рамках капитального строительства за счет собственных средств)</t>
  </si>
  <si>
    <t>2221615600</t>
  </si>
  <si>
    <t>2.16.1.5.7</t>
  </si>
  <si>
    <t>Прочее вложения (в рамках капитального строительства за счет собственных средств)</t>
  </si>
  <si>
    <t>2221615700</t>
  </si>
  <si>
    <t>2.16.2</t>
  </si>
  <si>
    <t>Долгосрочные финансовые вложения</t>
  </si>
  <si>
    <t>2221620000</t>
  </si>
  <si>
    <t>2.16.3</t>
  </si>
  <si>
    <t>Приобретение внеоборотных активов</t>
  </si>
  <si>
    <t>2221630000</t>
  </si>
  <si>
    <t>2.17.</t>
  </si>
  <si>
    <t>Агентские договора</t>
  </si>
  <si>
    <t>2221700000</t>
  </si>
  <si>
    <t>2.17.1</t>
  </si>
  <si>
    <t xml:space="preserve">Агентские договора ПНР </t>
  </si>
  <si>
    <t>2221710000</t>
  </si>
  <si>
    <t>2.17.2</t>
  </si>
  <si>
    <t>Расходы на консервацию и ликвидацию основных средств</t>
  </si>
  <si>
    <t>2221720000</t>
  </si>
  <si>
    <t>2.17.3</t>
  </si>
  <si>
    <t xml:space="preserve">Прочие агентские договора </t>
  </si>
  <si>
    <t>2.18.</t>
  </si>
  <si>
    <t xml:space="preserve">Оплата за газ и ТТР (наполнение прибыли ДООО) </t>
  </si>
  <si>
    <t>2221800000</t>
  </si>
  <si>
    <t>2.21.</t>
  </si>
  <si>
    <t>Денежные средства  для уплаты Ответственным участником КГН в бюджет сумм налога на прибыль по КГН</t>
  </si>
  <si>
    <t>3.</t>
  </si>
  <si>
    <t>Инвестиционные договоры</t>
  </si>
  <si>
    <t>2230000000</t>
  </si>
  <si>
    <t>3.1.</t>
  </si>
  <si>
    <t>СМР (в рамках инвестиционного договора)</t>
  </si>
  <si>
    <t>2231000000</t>
  </si>
  <si>
    <t>3.2.</t>
  </si>
  <si>
    <t>Оборудование (в рамках инвестиционного договора)</t>
  </si>
  <si>
    <t>2232000000</t>
  </si>
  <si>
    <t>3.2.1.</t>
  </si>
  <si>
    <t>приобретение оборудования (в рамках инвестиционного договора)</t>
  </si>
  <si>
    <t>2232100000</t>
  </si>
  <si>
    <t>3.2.2.</t>
  </si>
  <si>
    <t>выплата агентского вознаграждения за оборудование (в рамках инвестиционного договора)</t>
  </si>
  <si>
    <t>2232200000</t>
  </si>
  <si>
    <t>3.3.</t>
  </si>
  <si>
    <t>Материалы (в рамках инвестиционного договора)</t>
  </si>
  <si>
    <t>2233000000</t>
  </si>
  <si>
    <t>3.3.1.</t>
  </si>
  <si>
    <t>приобретение материалов (в рамках инвестиционного договора)</t>
  </si>
  <si>
    <t>2233100000</t>
  </si>
  <si>
    <t>3.3.2.</t>
  </si>
  <si>
    <t>выплата агентского вознаграждения за материалы (в рамках инвестиционного договора)</t>
  </si>
  <si>
    <t>2233200000</t>
  </si>
  <si>
    <t>3.4.</t>
  </si>
  <si>
    <t>Бурение (в рамках инвестиционного договора)</t>
  </si>
  <si>
    <t>2234000000</t>
  </si>
  <si>
    <t>3.5.</t>
  </si>
  <si>
    <t>Прочие (в рамках инвестиционного договора)</t>
  </si>
  <si>
    <t>2235000000</t>
  </si>
  <si>
    <t>3.5.1.</t>
  </si>
  <si>
    <t>ПИР  (в рамках инвестиционного договора)</t>
  </si>
  <si>
    <t>2235100000</t>
  </si>
  <si>
    <t>3.5.2.</t>
  </si>
  <si>
    <t>Отвод земли (в рамках инвестиционного договора)</t>
  </si>
  <si>
    <t>2235200000</t>
  </si>
  <si>
    <t>3.5.3.</t>
  </si>
  <si>
    <t>Возмещение землепользователям (в рамках инвестиционного договора)</t>
  </si>
  <si>
    <t>2235300000</t>
  </si>
  <si>
    <t>3.5.4.</t>
  </si>
  <si>
    <t>Технадзор (в рамках инвестиционного договора)</t>
  </si>
  <si>
    <t>2235400000</t>
  </si>
  <si>
    <t>3.5.5.</t>
  </si>
  <si>
    <t>Шефмонтаж (в рамках инвестиционного договора)</t>
  </si>
  <si>
    <t>2235500000</t>
  </si>
  <si>
    <t>3.5.6.</t>
  </si>
  <si>
    <t>ПНР (в рамках инвестиционного договора)</t>
  </si>
  <si>
    <t>2235600000</t>
  </si>
  <si>
    <t>3.5.7.</t>
  </si>
  <si>
    <t>Прочее вложения (в рамках инвестиционного договора)</t>
  </si>
  <si>
    <t>2235700000</t>
  </si>
  <si>
    <t>4.</t>
  </si>
  <si>
    <t>Финансовые вложения</t>
  </si>
  <si>
    <t>2240000000</t>
  </si>
  <si>
    <t>5.</t>
  </si>
  <si>
    <t>2250000000</t>
  </si>
  <si>
    <t>5.1.</t>
  </si>
  <si>
    <t>долгосрочные кредиты и займы</t>
  </si>
  <si>
    <t>5.2.</t>
  </si>
  <si>
    <t xml:space="preserve">краткосрочные кредиты и займы </t>
  </si>
  <si>
    <t>2252000000</t>
  </si>
  <si>
    <t>6.</t>
  </si>
  <si>
    <t>Прочие расходы и перечисления</t>
  </si>
  <si>
    <t>2260000000</t>
  </si>
  <si>
    <t>6.1.</t>
  </si>
  <si>
    <t xml:space="preserve">Материалы и товары для перепродажи </t>
  </si>
  <si>
    <t>2261000000</t>
  </si>
  <si>
    <t>6.2.</t>
  </si>
  <si>
    <t>ГРР по прямым договорам с Администрацией ОАО "Газпром"</t>
  </si>
  <si>
    <t>2262000000</t>
  </si>
  <si>
    <t>6.3.</t>
  </si>
  <si>
    <t xml:space="preserve">Прочие </t>
  </si>
  <si>
    <t>2263000000</t>
  </si>
  <si>
    <t>7</t>
  </si>
  <si>
    <t>Погашение кредиторской задолженности</t>
  </si>
  <si>
    <t>7.01</t>
  </si>
  <si>
    <t xml:space="preserve">Налоги </t>
  </si>
  <si>
    <t>7.02</t>
  </si>
  <si>
    <t>Капремонт внешними подрядчиками (без МТР поставки заказчик)</t>
  </si>
  <si>
    <t>7.03</t>
  </si>
  <si>
    <t>Арендная плата</t>
  </si>
  <si>
    <t>7.04</t>
  </si>
  <si>
    <t>Инвестиционные договора</t>
  </si>
  <si>
    <t>7.05</t>
  </si>
  <si>
    <t>7.06</t>
  </si>
  <si>
    <t>МТР на технологические нужды и капремонт</t>
  </si>
  <si>
    <t>7.07</t>
  </si>
  <si>
    <t>7.08</t>
  </si>
  <si>
    <t>7.09</t>
  </si>
  <si>
    <t>Страхование</t>
  </si>
  <si>
    <t>7.10</t>
  </si>
  <si>
    <t>Прочие эксплуатационные и внереализационные расходы</t>
  </si>
  <si>
    <t>7.11</t>
  </si>
  <si>
    <t>Капитальное строительство за счет собственных средств</t>
  </si>
  <si>
    <t>7.12.</t>
  </si>
  <si>
    <t xml:space="preserve">    Расчеты по договору уступки права требования долга</t>
  </si>
  <si>
    <t>Услуги по добыче сырья</t>
  </si>
  <si>
    <t>Услуги по переработке сырья</t>
  </si>
  <si>
    <t>Услуги по транспортировке сырья и готовой продукции</t>
  </si>
  <si>
    <t>Услуги по водоснабжению и водоотведению</t>
  </si>
  <si>
    <t>Услуги по авторскому надзору</t>
  </si>
  <si>
    <t>Выплаты по договорам с с/х организациями</t>
  </si>
  <si>
    <t>Приобретение прав пользования недрами</t>
  </si>
  <si>
    <t xml:space="preserve">Погашение дебиторской задолженности </t>
  </si>
  <si>
    <t>1.09.2.</t>
  </si>
  <si>
    <t>1.09.1.</t>
  </si>
  <si>
    <t xml:space="preserve">     Вовлечение остатков денежных средств на начало года 
     по основной деятельности</t>
  </si>
  <si>
    <t xml:space="preserve">     Вовлечение дебиторской задолженности</t>
  </si>
  <si>
    <t>2.22.</t>
  </si>
  <si>
    <t>2.23.</t>
  </si>
  <si>
    <t>Амортизация</t>
  </si>
  <si>
    <t>Чистая прибыль текущего периода</t>
  </si>
  <si>
    <t>1.11.</t>
  </si>
  <si>
    <t xml:space="preserve">Поступления от реализации ГРС </t>
  </si>
  <si>
    <t>1.12.</t>
  </si>
  <si>
    <t>Поступления (двойной оборот)</t>
  </si>
  <si>
    <t>1.12.1.</t>
  </si>
  <si>
    <t>1.12.2.</t>
  </si>
  <si>
    <t>1.12.3.</t>
  </si>
  <si>
    <t>1.12.4.</t>
  </si>
  <si>
    <t>1.12.5.</t>
  </si>
  <si>
    <t>1.12.6.</t>
  </si>
  <si>
    <t>1.12.7.</t>
  </si>
  <si>
    <t>1.12.8.</t>
  </si>
  <si>
    <t>1.12.9.</t>
  </si>
  <si>
    <t>1.12.10.</t>
  </si>
  <si>
    <t>1.12.11.</t>
  </si>
  <si>
    <t>Поступления за поставки газа (ДвОб)</t>
  </si>
  <si>
    <t>Поступления за услуги по транспортировке газа(ДвОб)</t>
  </si>
  <si>
    <t>Поступления за услуги по хранению газа (ДвОб)</t>
  </si>
  <si>
    <t>От реализации сырья, продуктов переработки, оказания услуг по переработке, по договору комиссии за реализацию и от услуг по транспортировке ЖУВ (ДвОб)</t>
  </si>
  <si>
    <t>Поступления по агентским договорам (ДвОб)</t>
  </si>
  <si>
    <t>Прочая выручка (ДвОб)</t>
  </si>
  <si>
    <t>Реализация непрофильных и неэффективных активов (ДвОб)</t>
  </si>
  <si>
    <t>Финансирование инвестиционных договоров ОАО "Газпром" (ДвОб)</t>
  </si>
  <si>
    <t>Погашение дебиторской задолженности (ДвОб)</t>
  </si>
  <si>
    <t>Прочие доходы и поступления (ДвОб)</t>
  </si>
  <si>
    <t>Поступления от реализации ГРС (ДвОб)</t>
  </si>
  <si>
    <t>8.01</t>
  </si>
  <si>
    <t>8.02</t>
  </si>
  <si>
    <t>8.03</t>
  </si>
  <si>
    <t>8.04</t>
  </si>
  <si>
    <t>8.05</t>
  </si>
  <si>
    <t>8.06</t>
  </si>
  <si>
    <t>8.07</t>
  </si>
  <si>
    <t>8.08</t>
  </si>
  <si>
    <t>8.09</t>
  </si>
  <si>
    <t>8.10</t>
  </si>
  <si>
    <t>8.11</t>
  </si>
  <si>
    <t>8.12</t>
  </si>
  <si>
    <t>8.13</t>
  </si>
  <si>
    <t>8.14</t>
  </si>
  <si>
    <t>8.15</t>
  </si>
  <si>
    <t>8.16</t>
  </si>
  <si>
    <t>8.17</t>
  </si>
  <si>
    <t>8.18</t>
  </si>
  <si>
    <t>8.19</t>
  </si>
  <si>
    <t>8.20</t>
  </si>
  <si>
    <t>8.21</t>
  </si>
  <si>
    <t>8.22</t>
  </si>
  <si>
    <t>8.23</t>
  </si>
  <si>
    <t>Оплата труда - всего по предприятию (ДвОб)</t>
  </si>
  <si>
    <t>Взносы в государственные и внебюджетные фонды (ДвОб)</t>
  </si>
  <si>
    <t>Налоги и иные обязательные платежи (ДвОб)</t>
  </si>
  <si>
    <t>Капремонт внешними подрядчиками (без МТР поставки заказчика)(ДвОб)</t>
  </si>
  <si>
    <t>Арендная плата (ДвОб)</t>
  </si>
  <si>
    <t>Теплоэнергоснабжение (эл/эн, тепло, вода)(ДвОб)</t>
  </si>
  <si>
    <t>Газ на собственные нужды (ДвОб)</t>
  </si>
  <si>
    <t>Диагностика газопровода (ДвОб)</t>
  </si>
  <si>
    <t>МТР на технологические нужды и капремонт(ДвОб)</t>
  </si>
  <si>
    <t>ГРР (ДвОб)</t>
  </si>
  <si>
    <t>Услуги транспорта (ДвОб)</t>
  </si>
  <si>
    <t>Услуги связи (ДвОб)</t>
  </si>
  <si>
    <t>Лизинговые платежи (ДвОб)</t>
  </si>
  <si>
    <t>Страхование (ДвОб)</t>
  </si>
  <si>
    <t>Прочие эксплуатационные и внереализационные расходы (ДвОб)</t>
  </si>
  <si>
    <t>Инвестиционная программа дочернего общества (ДвОб)</t>
  </si>
  <si>
    <t>Агентские договора (ДвОб)</t>
  </si>
  <si>
    <t>Оплата за газ и ТТР (наполнение прибыли ДООО)  (ДвОб)</t>
  </si>
  <si>
    <t>Инвестиционные договоры (ДвОб)</t>
  </si>
  <si>
    <t>Финансовые вложения (ДвОб)</t>
  </si>
  <si>
    <t>Кредиты и займы (ДвОб)</t>
  </si>
  <si>
    <t>Прочие расходы и перечисления (ДвОб)</t>
  </si>
  <si>
    <t>Погашение кредиторской задолженности (ДвОб)</t>
  </si>
  <si>
    <t>Расходы и перечисления (Двойной Оборот)</t>
  </si>
  <si>
    <t>5.3.</t>
  </si>
  <si>
    <t>Забалансовые расчеты</t>
  </si>
  <si>
    <t>Поступления</t>
  </si>
  <si>
    <t>Поступление от перемещений между счетами</t>
  </si>
  <si>
    <t>Выплаты</t>
  </si>
  <si>
    <t>Выплаты, связанные с перемещением между счетами</t>
  </si>
  <si>
    <t>2Z11000000</t>
  </si>
  <si>
    <t>2Z21000000</t>
  </si>
  <si>
    <t xml:space="preserve">  9.1</t>
  </si>
  <si>
    <t xml:space="preserve">    9.1.1</t>
  </si>
  <si>
    <t xml:space="preserve">  9.2</t>
  </si>
  <si>
    <t xml:space="preserve">    9.2.2</t>
  </si>
  <si>
    <t>1.01.1.</t>
  </si>
  <si>
    <t>ПАО "Газпром"</t>
  </si>
  <si>
    <t>1.01.2.</t>
  </si>
  <si>
    <t>Внешние покупатели</t>
  </si>
  <si>
    <t>1.02.1.</t>
  </si>
  <si>
    <t>1.02.2.</t>
  </si>
  <si>
    <t>1.04.1.</t>
  </si>
  <si>
    <t>1.04.2.</t>
  </si>
  <si>
    <t>1.10.1.1.</t>
  </si>
  <si>
    <t>Возврат займов по договору № 1 (из кэш-пула ПАО "Газпром")</t>
  </si>
  <si>
    <t>1.10.1.2.</t>
  </si>
  <si>
    <t>Получение займов по договору № 2 (из кэш-пула ПАО "Газпром")</t>
  </si>
  <si>
    <t>1.10.1.3.</t>
  </si>
  <si>
    <t>Другие договоры с ПАО "Газпром"</t>
  </si>
  <si>
    <t>1.10.1.4.</t>
  </si>
  <si>
    <t>Прочие заимодавцы и кредиторы</t>
  </si>
  <si>
    <t>Договоры с ПАО "Газпром"</t>
  </si>
  <si>
    <t>5.3.1.</t>
  </si>
  <si>
    <t>Выдача займов по договору № 1 (в кэш-пул ПАО "Газпром")</t>
  </si>
  <si>
    <t>5.3.2.</t>
  </si>
  <si>
    <t>Возврат займов по договору № 2 (в кэш-пул ПАО "Газпром")</t>
  </si>
  <si>
    <t>5.3.3.</t>
  </si>
  <si>
    <t>2.15.16.01</t>
  </si>
  <si>
    <t>2.15.16.02</t>
  </si>
  <si>
    <t>2.15.16.03</t>
  </si>
  <si>
    <t>2.15.16.04</t>
  </si>
  <si>
    <t>2.15.16.05</t>
  </si>
  <si>
    <t>2.15.16.06</t>
  </si>
  <si>
    <t>2.15.16.07</t>
  </si>
  <si>
    <t>2.15.16.08</t>
  </si>
  <si>
    <t>2.15.16.09</t>
  </si>
  <si>
    <t>2.15.16.10</t>
  </si>
  <si>
    <t>2.15.16.11</t>
  </si>
  <si>
    <t>2.15.16.12</t>
  </si>
  <si>
    <t>2.15.16.13</t>
  </si>
  <si>
    <t>2.15.16.14</t>
  </si>
  <si>
    <t>2.15.16.15</t>
  </si>
  <si>
    <t>2.15.16.16</t>
  </si>
  <si>
    <t>2.15.16.17</t>
  </si>
  <si>
    <t>2.15.16.18</t>
  </si>
  <si>
    <t>2.15.16.19</t>
  </si>
  <si>
    <t>Дата подачи:</t>
  </si>
  <si>
    <t>Банк:</t>
  </si>
  <si>
    <t>БАНК ГПБ (АО)</t>
  </si>
  <si>
    <t>Организация:</t>
  </si>
  <si>
    <t>Поступления (без учета ВГФ)</t>
  </si>
  <si>
    <t>Поступления по ВГФ</t>
  </si>
  <si>
    <t>Выплаты (без учета ВГФ)</t>
  </si>
  <si>
    <t>Выплаты по ВГФ</t>
  </si>
  <si>
    <t>Входящий остаток на счете:</t>
  </si>
  <si>
    <t>Исходящий остаток на счете:</t>
  </si>
  <si>
    <t>Связанные расчеты</t>
  </si>
  <si>
    <t>На расчетный счет</t>
  </si>
  <si>
    <t>Собственные средства</t>
  </si>
  <si>
    <t>210VGF0000</t>
  </si>
  <si>
    <t>211VGF0000</t>
  </si>
  <si>
    <t>220VGF0000</t>
  </si>
  <si>
    <t>221VGF0000</t>
  </si>
  <si>
    <t>Счет:</t>
  </si>
  <si>
    <t>Период:</t>
  </si>
  <si>
    <t>Код валюты</t>
  </si>
  <si>
    <t>RUR</t>
  </si>
  <si>
    <t>Финансирование схемных расчетов</t>
  </si>
  <si>
    <t>ИТОГО</t>
  </si>
  <si>
    <t>2Z10000000</t>
  </si>
  <si>
    <t>2Z00000000</t>
  </si>
  <si>
    <t>2Z20000000</t>
  </si>
  <si>
    <t>2.01.4.</t>
  </si>
  <si>
    <t>Компенсация приобретения и найма жилья</t>
  </si>
  <si>
    <t>2.01.4.1.</t>
  </si>
  <si>
    <t>Расходы на компенсацию стоимости приобретения жилья</t>
  </si>
  <si>
    <t>2.01.4.2.</t>
  </si>
  <si>
    <t>Расходы на компенсацию стоимости найма жилья</t>
  </si>
  <si>
    <t>Дата оплаты</t>
  </si>
  <si>
    <t>Источник</t>
  </si>
  <si>
    <t>Вид движения по р/с</t>
  </si>
  <si>
    <t>Наименование ФП ПК</t>
  </si>
  <si>
    <t>ГГГГММ оплаты</t>
  </si>
  <si>
    <t>средства ПАО «Газпром»</t>
  </si>
  <si>
    <t>РАСХОД</t>
  </si>
  <si>
    <t>Индекс ячейки в TMS</t>
  </si>
  <si>
    <t>Код ФП ПК</t>
  </si>
  <si>
    <t>2110210000</t>
  </si>
  <si>
    <t>2110220000</t>
  </si>
  <si>
    <t>2110410000</t>
  </si>
  <si>
    <t>2110420000</t>
  </si>
  <si>
    <t>2110530000</t>
  </si>
  <si>
    <t>2111013000</t>
  </si>
  <si>
    <t>2111014000</t>
  </si>
  <si>
    <t>2111220000</t>
  </si>
  <si>
    <t>2111250000</t>
  </si>
  <si>
    <t>2111260000</t>
  </si>
  <si>
    <t>2111270000</t>
  </si>
  <si>
    <t>2111280000</t>
  </si>
  <si>
    <t>2111291000</t>
  </si>
  <si>
    <t>2220141000</t>
  </si>
  <si>
    <t>2220142000</t>
  </si>
  <si>
    <t>2220710000</t>
  </si>
  <si>
    <t>2220720000</t>
  </si>
  <si>
    <t>2221516000</t>
  </si>
  <si>
    <t>2221517100</t>
  </si>
  <si>
    <t>2221517110</t>
  </si>
  <si>
    <t>2221517120</t>
  </si>
  <si>
    <t>2221517150</t>
  </si>
  <si>
    <t>2221517160</t>
  </si>
  <si>
    <t>2221730000</t>
  </si>
  <si>
    <t>2222100000</t>
  </si>
  <si>
    <t>Сумма ПК</t>
  </si>
  <si>
    <t>средства ДООО</t>
  </si>
  <si>
    <t>ООО "Основная деятельность"</t>
  </si>
  <si>
    <t>40702.810.0.0000.0000000</t>
  </si>
  <si>
    <t>Взносы</t>
  </si>
  <si>
    <t>2.02.1</t>
  </si>
  <si>
    <t>Взносы в государственные и внебюджетные фонды РФ</t>
  </si>
  <si>
    <t>2.02.2</t>
  </si>
  <si>
    <t>2220210000</t>
  </si>
  <si>
    <t>2220220000</t>
  </si>
  <si>
    <t>01.2022</t>
  </si>
  <si>
    <t>202201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</si>
</sst>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р_._-;\-* #,##0.00_р_._-;_-* &quot;-&quot;??_р_._-;_-@_-"/>
    <numFmt numFmtId="165" formatCode="_(* #,##0_);_(* \(#,##0\);_(* &quot;-&quot;??_);_(@_)"/>
  </numFmts>
  <fonts count="13" x14ac:knownFonts="1">
    <font>
      <sz val="10"/>
      <name val="Arial Cyr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Helv"/>
    </font>
    <font>
      <sz val="10"/>
      <name val="Arial"/>
      <family val="2"/>
    </font>
    <font>
      <b/>
      <sz val="10"/>
      <name val="Arial Cyr"/>
      <charset val="204"/>
    </font>
    <font>
      <b/>
      <sz val="10"/>
      <color rgb="FF0070C0"/>
      <name val="Times New Roman"/>
      <family val="1"/>
      <charset val="204"/>
    </font>
    <font>
      <sz val="10"/>
      <color rgb="FF0070C0"/>
      <name val="Times New Roman"/>
      <family val="1"/>
      <charset val="204"/>
    </font>
    <font>
      <b/>
      <sz val="10"/>
      <color theme="8" tint="-0.499984740745262"/>
      <name val="Times New Roman"/>
      <family val="1"/>
      <charset val="204"/>
    </font>
    <font>
      <sz val="10"/>
      <color theme="8" tint="-0.499984740745262"/>
      <name val="Times New Roman"/>
      <family val="1"/>
      <charset val="204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4" fillId="0" borderId="0"/>
    <xf numFmtId="0" fontId="5" fillId="0" borderId="0"/>
  </cellStyleXfs>
  <cellXfs count="92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3" fillId="0" borderId="0" xfId="0" applyFont="1" applyFill="1"/>
    <xf numFmtId="0" fontId="1" fillId="0" borderId="0" xfId="0" applyFont="1" applyFill="1"/>
    <xf numFmtId="0" fontId="2" fillId="2" borderId="0" xfId="0" applyFont="1" applyFill="1"/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right"/>
    </xf>
    <xf numFmtId="14" fontId="3" fillId="0" borderId="0" xfId="0" applyNumberFormat="1" applyFont="1" applyFill="1" applyAlignment="1">
      <alignment horizontal="left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/>
    <xf numFmtId="14" fontId="3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wrapText="1"/>
    </xf>
    <xf numFmtId="0" fontId="2" fillId="0" borderId="1" xfId="0" applyFont="1" applyFill="1" applyBorder="1" applyAlignment="1">
      <alignment horizontal="left" vertical="top" wrapText="1" indent="1"/>
    </xf>
    <xf numFmtId="0" fontId="3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 vertical="top" wrapText="1" indent="2"/>
    </xf>
    <xf numFmtId="0" fontId="2" fillId="0" borderId="1" xfId="0" applyFont="1" applyFill="1" applyBorder="1" applyAlignment="1">
      <alignment horizontal="left" wrapText="1" indent="2"/>
    </xf>
    <xf numFmtId="165" fontId="2" fillId="0" borderId="1" xfId="1" applyNumberFormat="1" applyFont="1" applyFill="1" applyBorder="1" applyAlignment="1">
      <alignment horizontal="left" vertical="center" wrapText="1" indent="2"/>
    </xf>
    <xf numFmtId="0" fontId="2" fillId="0" borderId="1" xfId="0" applyFont="1" applyFill="1" applyBorder="1" applyAlignment="1">
      <alignment horizontal="left" vertical="top" wrapText="1" indent="3"/>
    </xf>
    <xf numFmtId="0" fontId="3" fillId="0" borderId="1" xfId="0" applyFont="1" applyFill="1" applyBorder="1" applyAlignment="1">
      <alignment vertical="top" wrapText="1"/>
    </xf>
    <xf numFmtId="0" fontId="2" fillId="0" borderId="1" xfId="2" applyFont="1" applyFill="1" applyBorder="1" applyAlignment="1">
      <alignment horizontal="left" vertical="top" wrapText="1" indent="3"/>
    </xf>
    <xf numFmtId="0" fontId="2" fillId="0" borderId="1" xfId="0" applyFont="1" applyFill="1" applyBorder="1" applyAlignment="1">
      <alignment horizontal="left" wrapText="1" indent="3"/>
    </xf>
    <xf numFmtId="0" fontId="2" fillId="0" borderId="1" xfId="2" applyFont="1" applyFill="1" applyBorder="1" applyAlignment="1">
      <alignment horizontal="left" vertical="top" wrapText="1" indent="2"/>
    </xf>
    <xf numFmtId="0" fontId="2" fillId="0" borderId="1" xfId="0" quotePrefix="1" applyFont="1" applyFill="1" applyBorder="1" applyAlignment="1">
      <alignment horizontal="left" vertical="top" wrapText="1" indent="1"/>
    </xf>
    <xf numFmtId="0" fontId="2" fillId="0" borderId="1" xfId="0" applyFont="1" applyFill="1" applyBorder="1" applyAlignment="1">
      <alignment horizontal="left" vertical="top" wrapText="1" indent="4"/>
    </xf>
    <xf numFmtId="0" fontId="2" fillId="0" borderId="1" xfId="0" applyFont="1" applyFill="1" applyBorder="1" applyAlignment="1">
      <alignment horizontal="left" wrapText="1" indent="4"/>
    </xf>
    <xf numFmtId="0" fontId="2" fillId="0" borderId="1" xfId="0" applyFont="1" applyFill="1" applyBorder="1" applyAlignment="1">
      <alignment horizontal="left" indent="1"/>
    </xf>
    <xf numFmtId="0" fontId="2" fillId="0" borderId="1" xfId="0" applyFont="1" applyFill="1" applyBorder="1" applyAlignment="1">
      <alignment horizontal="left" wrapText="1" indent="1"/>
    </xf>
    <xf numFmtId="0" fontId="2" fillId="2" borderId="1" xfId="0" applyFont="1" applyFill="1" applyBorder="1" applyAlignment="1">
      <alignment horizontal="left" vertical="top" wrapText="1" indent="1"/>
    </xf>
    <xf numFmtId="0" fontId="2" fillId="2" borderId="1" xfId="0" applyFont="1" applyFill="1" applyBorder="1" applyAlignment="1">
      <alignment horizontal="left" wrapText="1" indent="1"/>
    </xf>
    <xf numFmtId="0" fontId="2" fillId="2" borderId="1" xfId="0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left" vertical="top" wrapText="1" indent="1"/>
    </xf>
    <xf numFmtId="49" fontId="2" fillId="0" borderId="1" xfId="0" applyNumberFormat="1" applyFont="1" applyFill="1" applyBorder="1"/>
    <xf numFmtId="4" fontId="2" fillId="0" borderId="1" xfId="0" applyNumberFormat="1" applyFont="1" applyFill="1" applyBorder="1"/>
    <xf numFmtId="4" fontId="2" fillId="2" borderId="1" xfId="0" applyNumberFormat="1" applyFont="1" applyFill="1" applyBorder="1"/>
    <xf numFmtId="0" fontId="7" fillId="0" borderId="0" xfId="0" applyFont="1" applyFill="1"/>
    <xf numFmtId="0" fontId="2" fillId="4" borderId="1" xfId="0" applyFont="1" applyFill="1" applyBorder="1" applyAlignment="1">
      <alignment horizontal="left" vertical="top" wrapText="1" indent="1"/>
    </xf>
    <xf numFmtId="0" fontId="3" fillId="4" borderId="1" xfId="0" applyFont="1" applyFill="1" applyBorder="1" applyAlignment="1">
      <alignment vertical="top" wrapText="1"/>
    </xf>
    <xf numFmtId="0" fontId="2" fillId="4" borderId="1" xfId="0" applyFont="1" applyFill="1" applyBorder="1" applyAlignment="1">
      <alignment horizontal="left" indent="1"/>
    </xf>
    <xf numFmtId="0" fontId="2" fillId="0" borderId="1" xfId="0" applyFont="1" applyFill="1" applyBorder="1" applyAlignment="1">
      <alignment horizontal="right" vertical="top" wrapText="1" indent="2"/>
    </xf>
    <xf numFmtId="0" fontId="2" fillId="4" borderId="1" xfId="0" applyFont="1" applyFill="1" applyBorder="1" applyAlignment="1">
      <alignment horizontal="right" vertical="top" wrapText="1" indent="2"/>
    </xf>
    <xf numFmtId="4" fontId="3" fillId="3" borderId="1" xfId="0" applyNumberFormat="1" applyFont="1" applyFill="1" applyBorder="1"/>
    <xf numFmtId="4" fontId="3" fillId="0" borderId="1" xfId="0" applyNumberFormat="1" applyFont="1" applyFill="1" applyBorder="1"/>
    <xf numFmtId="0" fontId="9" fillId="0" borderId="1" xfId="0" applyFont="1" applyFill="1" applyBorder="1" applyAlignment="1">
      <alignment horizontal="left"/>
    </xf>
    <xf numFmtId="0" fontId="10" fillId="0" borderId="1" xfId="0" applyFont="1" applyFill="1" applyBorder="1" applyAlignment="1">
      <alignment horizontal="center"/>
    </xf>
    <xf numFmtId="0" fontId="9" fillId="0" borderId="0" xfId="0" applyFont="1" applyFill="1"/>
    <xf numFmtId="4" fontId="3" fillId="0" borderId="1" xfId="0" applyNumberFormat="1" applyFont="1" applyFill="1" applyBorder="1" applyProtection="1"/>
    <xf numFmtId="4" fontId="2" fillId="0" borderId="1" xfId="0" applyNumberFormat="1" applyFont="1" applyFill="1" applyBorder="1" applyProtection="1"/>
    <xf numFmtId="4" fontId="8" fillId="5" borderId="1" xfId="0" applyNumberFormat="1" applyFont="1" applyFill="1" applyBorder="1" applyProtection="1">
      <protection locked="0"/>
    </xf>
    <xf numFmtId="14" fontId="7" fillId="0" borderId="0" xfId="0" applyNumberFormat="1" applyFont="1" applyFill="1" applyAlignment="1" applyProtection="1">
      <alignment horizontal="left"/>
      <protection locked="0"/>
    </xf>
    <xf numFmtId="4" fontId="2" fillId="5" borderId="1" xfId="0" applyNumberFormat="1" applyFont="1" applyFill="1" applyBorder="1" applyProtection="1">
      <protection locked="0"/>
    </xf>
    <xf numFmtId="49" fontId="7" fillId="0" borderId="0" xfId="0" applyNumberFormat="1" applyFont="1" applyFill="1"/>
    <xf numFmtId="0" fontId="10" fillId="0" borderId="1" xfId="0" applyFont="1" applyFill="1" applyBorder="1" applyAlignment="1">
      <alignment horizontal="right" indent="2"/>
    </xf>
    <xf numFmtId="4" fontId="2" fillId="8" borderId="1" xfId="0" applyNumberFormat="1" applyFont="1" applyFill="1" applyBorder="1"/>
    <xf numFmtId="0" fontId="2" fillId="8" borderId="1" xfId="0" applyFont="1" applyFill="1" applyBorder="1" applyAlignment="1">
      <alignment horizontal="left" vertical="top" wrapText="1" indent="3"/>
    </xf>
    <xf numFmtId="0" fontId="2" fillId="8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left" vertical="top" wrapText="1" indent="2"/>
    </xf>
    <xf numFmtId="4" fontId="9" fillId="7" borderId="1" xfId="0" applyNumberFormat="1" applyFont="1" applyFill="1" applyBorder="1" applyProtection="1">
      <protection locked="0"/>
    </xf>
    <xf numFmtId="0" fontId="9" fillId="7" borderId="1" xfId="0" applyFont="1" applyFill="1" applyBorder="1" applyAlignment="1">
      <alignment horizontal="left"/>
    </xf>
    <xf numFmtId="0" fontId="9" fillId="7" borderId="1" xfId="0" applyFont="1" applyFill="1" applyBorder="1"/>
    <xf numFmtId="0" fontId="10" fillId="7" borderId="1" xfId="0" applyFont="1" applyFill="1" applyBorder="1" applyAlignment="1">
      <alignment horizontal="center"/>
    </xf>
    <xf numFmtId="4" fontId="8" fillId="6" borderId="1" xfId="0" applyNumberFormat="1" applyFont="1" applyFill="1" applyBorder="1" applyProtection="1">
      <protection locked="0"/>
    </xf>
    <xf numFmtId="4" fontId="10" fillId="0" borderId="1" xfId="0" applyNumberFormat="1" applyFont="1" applyFill="1" applyBorder="1" applyProtection="1">
      <protection locked="0"/>
    </xf>
    <xf numFmtId="0" fontId="3" fillId="4" borderId="1" xfId="0" applyFont="1" applyFill="1" applyBorder="1" applyAlignment="1">
      <alignment horizontal="left" vertical="top" wrapText="1"/>
    </xf>
    <xf numFmtId="0" fontId="3" fillId="4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left" vertical="top" wrapText="1" indent="1"/>
    </xf>
    <xf numFmtId="0" fontId="2" fillId="4" borderId="1" xfId="0" applyFont="1" applyFill="1" applyBorder="1" applyAlignment="1">
      <alignment horizontal="center"/>
    </xf>
    <xf numFmtId="4" fontId="2" fillId="5" borderId="1" xfId="0" applyNumberFormat="1" applyFont="1" applyFill="1" applyBorder="1"/>
    <xf numFmtId="4" fontId="3" fillId="3" borderId="2" xfId="0" applyNumberFormat="1" applyFont="1" applyFill="1" applyBorder="1"/>
    <xf numFmtId="0" fontId="8" fillId="0" borderId="1" xfId="0" applyFont="1" applyFill="1" applyBorder="1"/>
    <xf numFmtId="4" fontId="7" fillId="0" borderId="1" xfId="0" applyNumberFormat="1" applyFont="1" applyFill="1" applyBorder="1"/>
    <xf numFmtId="0" fontId="7" fillId="0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top" wrapText="1" indent="2"/>
    </xf>
    <xf numFmtId="4" fontId="7" fillId="7" borderId="1" xfId="0" applyNumberFormat="1" applyFont="1" applyFill="1" applyBorder="1"/>
    <xf numFmtId="4" fontId="7" fillId="3" borderId="1" xfId="0" applyNumberFormat="1" applyFont="1" applyFill="1" applyBorder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14" fontId="0" fillId="9" borderId="0" xfId="0" applyNumberFormat="1" applyFill="1"/>
    <xf numFmtId="0" fontId="0" fillId="9" borderId="0" xfId="0" applyNumberFormat="1" applyFill="1"/>
    <xf numFmtId="0" fontId="3" fillId="3" borderId="1" xfId="0" applyFont="1" applyFill="1" applyBorder="1" applyAlignment="1">
      <alignment horizontal="left"/>
    </xf>
    <xf numFmtId="49" fontId="2" fillId="0" borderId="1" xfId="0" applyNumberFormat="1" applyFont="1" applyFill="1" applyBorder="1" applyAlignment="1">
      <alignment horizontal="left" vertical="top" wrapText="1" indent="2"/>
    </xf>
    <xf numFmtId="0" fontId="2" fillId="2" borderId="1" xfId="0" applyFont="1" applyFill="1" applyBorder="1" applyAlignment="1">
      <alignment horizontal="left" vertical="top" wrapText="1" indent="2"/>
    </xf>
    <xf numFmtId="0" fontId="2" fillId="2" borderId="1" xfId="0" applyFont="1" applyFill="1" applyBorder="1" applyAlignment="1">
      <alignment horizontal="left" vertical="top" wrapText="1" indent="3"/>
    </xf>
    <xf numFmtId="0" fontId="2" fillId="2" borderId="1" xfId="0" applyFont="1" applyFill="1" applyBorder="1" applyAlignment="1">
      <alignment horizontal="right" vertical="top" wrapText="1" indent="2"/>
    </xf>
    <xf numFmtId="49" fontId="2" fillId="2" borderId="1" xfId="0" applyNumberFormat="1" applyFont="1" applyFill="1" applyBorder="1" applyAlignment="1">
      <alignment horizontal="left" vertical="top" wrapText="1" indent="1"/>
    </xf>
    <xf numFmtId="0" fontId="3" fillId="3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</cellXfs>
  <cellStyles count="5">
    <cellStyle name="Обычный" xfId="0" builtinId="0"/>
    <cellStyle name="Обычный 2" xfId="4"/>
    <cellStyle name="Обычный_20_01_11 Справочник финансовых позиций (3)" xfId="2"/>
    <cellStyle name="Стиль 1" xfId="3"/>
    <cellStyle name="Финансовый" xfId="1" builtinId="3"/>
  </cellStyles>
  <dxfs count="1">
    <dxf>
      <numFmt numFmtId="27" formatCode="dd/mm/yyyy\ h:mm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0</xdr:row>
      <xdr:rowOff>28575</xdr:rowOff>
    </xdr:from>
    <xdr:to>
      <xdr:col>6</xdr:col>
      <xdr:colOff>638175</xdr:colOff>
      <xdr:row>1</xdr:row>
      <xdr:rowOff>104775</xdr:rowOff>
    </xdr:to>
    <xdr:sp macro="[0]!UpdateTMSTemplate" textlink="">
      <xdr:nvSpPr>
        <xdr:cNvPr id="2" name="Скругленный прямоугольник 1"/>
        <xdr:cNvSpPr/>
      </xdr:nvSpPr>
      <xdr:spPr>
        <a:xfrm>
          <a:off x="9048750" y="28575"/>
          <a:ext cx="18573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/>
            <a:t>Перенести</a:t>
          </a:r>
          <a:r>
            <a:rPr lang="ru-RU" sz="1100" b="1" baseline="0"/>
            <a:t> в шаблон</a:t>
          </a:r>
          <a:endParaRPr lang="ru-RU" sz="1100" b="1"/>
        </a:p>
      </xdr:txBody>
    </xdr:sp>
    <xdr:clientData/>
  </xdr:twoCellAnchor>
  <xdr:twoCellAnchor>
    <xdr:from>
      <xdr:col>3</xdr:col>
      <xdr:colOff>990600</xdr:colOff>
      <xdr:row>0</xdr:row>
      <xdr:rowOff>38100</xdr:rowOff>
    </xdr:from>
    <xdr:to>
      <xdr:col>5</xdr:col>
      <xdr:colOff>85725</xdr:colOff>
      <xdr:row>1</xdr:row>
      <xdr:rowOff>114300</xdr:rowOff>
    </xdr:to>
    <xdr:sp macro="[0]!RefreshData" textlink="">
      <xdr:nvSpPr>
        <xdr:cNvPr id="3" name="Скругленный прямоугольник 2"/>
        <xdr:cNvSpPr/>
      </xdr:nvSpPr>
      <xdr:spPr>
        <a:xfrm>
          <a:off x="6924675" y="38100"/>
          <a:ext cx="18573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/>
            <a:t>Обновить</a:t>
          </a:r>
          <a:r>
            <a:rPr lang="ru-RU" sz="1100" b="1" baseline="0"/>
            <a:t> данные</a:t>
          </a:r>
          <a:endParaRPr lang="ru-RU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Запрос из MS Access Database" connectionId="2" autoFormatId="16" applyNumberFormats="0" applyBorderFormats="0" applyFontFormats="0" applyPatternFormats="0" applyAlignmentFormats="0" applyWidthHeightFormats="0">
  <queryTableRefresh nextId="9">
    <queryTableFields count="8">
      <queryTableField id="1" name="Код ФП ПК" tableColumnId="1"/>
      <queryTableField id="2" name="Наименование ФП ПК" tableColumnId="2"/>
      <queryTableField id="3" name="Дата оплаты" tableColumnId="3"/>
      <queryTableField id="4" name="Вид движения по р/с" tableColumnId="4"/>
      <queryTableField id="5" name="ГГГГММ оплаты" tableColumnId="5"/>
      <queryTableField id="6" name="Источник" tableColumnId="6"/>
      <queryTableField id="7" name="Индекс ячейки в TMS" tableColumnId="7"/>
      <queryTableField id="8" name="Сумма ПК" tableColumnId="8"/>
    </queryTableFields>
  </queryTableRefresh>
</queryTable>
</file>

<file path=xl/queryTables/queryTable2.xml><?xml version="1.0" encoding="utf-8"?>
<queryTable xmlns="http://schemas.openxmlformats.org/spreadsheetml/2006/main" name="Запрос из MS Access Databas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Код ФП ПК" tableColumnId="1"/>
      <queryTableField id="2" name="Индекс ячейки в TM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Т_Данные" displayName="Т_Данные" ref="A3:H90" tableType="queryTable" totalsRowShown="0">
  <autoFilter ref="A3:H90"/>
  <tableColumns count="8">
    <tableColumn id="1" uniqueName="1" name="Код ФП ПК" queryTableFieldId="1"/>
    <tableColumn id="2" uniqueName="2" name="Наименование ФП ПК" queryTableFieldId="2"/>
    <tableColumn id="3" uniqueName="3" name="Дата оплаты" queryTableFieldId="3" dataDxfId="0"/>
    <tableColumn id="4" uniqueName="4" name="Вид движения по р/с" queryTableFieldId="4"/>
    <tableColumn id="5" uniqueName="5" name="ГГГГММ оплаты" queryTableFieldId="5"/>
    <tableColumn id="6" uniqueName="6" name="Источник" queryTableFieldId="6"/>
    <tableColumn id="7" uniqueName="7" name="Индекс ячейки в TMS" queryTableFieldId="7"/>
    <tableColumn id="8" uniqueName="8" name="Сумма ПК" queryTableField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Т_Индексы" displayName="Т_Индексы" ref="A1:B145" tableType="queryTable" totalsRowShown="0">
  <autoFilter ref="A1:B145"/>
  <tableColumns count="2">
    <tableColumn id="1" uniqueName="1" name="Код ФП ПК" queryTableFieldId="1"/>
    <tableColumn id="2" uniqueName="2" name="Индекс ячейки в TMS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Below="0"/>
    <pageSetUpPr fitToPage="1"/>
  </sheetPr>
  <dimension ref="A1:AI954"/>
  <sheetViews>
    <sheetView tabSelected="1" zoomScale="80" zoomScaleNormal="80" zoomScaleSheetLayoutView="100" workbookViewId="0">
      <pane xSplit="3" ySplit="8" topLeftCell="D9" activePane="bottomRight" state="frozen"/>
      <selection pane="topRight" activeCell="R1" sqref="R1"/>
      <selection pane="bottomLeft" activeCell="A6" sqref="A6"/>
      <selection pane="bottomRight" activeCell="D9" sqref="D9"/>
    </sheetView>
  </sheetViews>
  <sheetFormatPr defaultColWidth="9.140625" defaultRowHeight="12.75" outlineLevelRow="4" x14ac:dyDescent="0.2"/>
  <cols>
    <col min="1" max="1" width="18.5703125" style="1" customWidth="1"/>
    <col min="2" max="2" width="61.28515625" style="1" customWidth="1"/>
    <col min="3" max="3" width="14.42578125" style="2" customWidth="1"/>
    <col min="4" max="4" width="15" style="1" customWidth="1"/>
    <col min="5" max="34" width="15.140625" style="1" customWidth="1"/>
    <col min="35" max="35" width="15.85546875" style="1" customWidth="1"/>
    <col min="36" max="16384" width="9.140625" style="1"/>
  </cols>
  <sheetData>
    <row r="1" spans="1:35" ht="15.75" customHeight="1" x14ac:dyDescent="0.2">
      <c r="A1" s="7" t="s">
        <v>699</v>
      </c>
      <c r="B1" s="3" t="s">
        <v>700</v>
      </c>
      <c r="M1" s="4"/>
      <c r="N1" s="4"/>
      <c r="O1" s="4"/>
      <c r="P1" s="4"/>
      <c r="Q1" s="4"/>
    </row>
    <row r="2" spans="1:35" ht="15.75" customHeight="1" x14ac:dyDescent="0.2">
      <c r="A2" s="7" t="s">
        <v>701</v>
      </c>
      <c r="B2" s="37" t="s">
        <v>766</v>
      </c>
      <c r="M2" s="4"/>
      <c r="N2" s="4"/>
      <c r="O2" s="4"/>
      <c r="P2" s="4"/>
      <c r="Q2" s="4"/>
    </row>
    <row r="3" spans="1:35" ht="15.75" customHeight="1" x14ac:dyDescent="0.2">
      <c r="A3" s="7" t="s">
        <v>715</v>
      </c>
      <c r="B3" s="53" t="s">
        <v>767</v>
      </c>
      <c r="M3" s="4"/>
      <c r="N3" s="4"/>
      <c r="O3" s="4"/>
      <c r="P3" s="4"/>
      <c r="Q3" s="4"/>
    </row>
    <row r="4" spans="1:35" ht="15.75" customHeight="1" x14ac:dyDescent="0.2">
      <c r="A4" s="7" t="s">
        <v>717</v>
      </c>
      <c r="B4" s="53" t="s">
        <v>718</v>
      </c>
      <c r="M4" s="4"/>
      <c r="N4" s="4"/>
      <c r="O4" s="4"/>
      <c r="P4" s="4"/>
      <c r="Q4" s="4"/>
    </row>
    <row r="5" spans="1:35" ht="15.75" customHeight="1" x14ac:dyDescent="0.2">
      <c r="A5" s="7" t="s">
        <v>716</v>
      </c>
      <c r="B5" s="53" t="s">
        <v>774</v>
      </c>
      <c r="M5" s="4"/>
      <c r="N5" s="4"/>
      <c r="O5" s="4"/>
      <c r="P5" s="4"/>
      <c r="Q5" s="4"/>
    </row>
    <row r="6" spans="1:35" x14ac:dyDescent="0.2">
      <c r="A6" s="7" t="s">
        <v>698</v>
      </c>
      <c r="B6" s="51">
        <v>43916</v>
      </c>
      <c r="C6" s="6"/>
      <c r="M6" s="4"/>
      <c r="N6" s="4"/>
      <c r="O6" s="4"/>
      <c r="P6" s="4"/>
      <c r="Q6" s="4"/>
    </row>
    <row r="7" spans="1:35" x14ac:dyDescent="0.2">
      <c r="A7" s="7"/>
      <c r="B7" s="8"/>
      <c r="C7" s="6"/>
      <c r="M7" s="4"/>
      <c r="N7" s="4"/>
      <c r="O7" s="4"/>
      <c r="P7" s="4"/>
      <c r="Q7" s="4"/>
    </row>
    <row r="8" spans="1:35" ht="63.75" x14ac:dyDescent="0.2">
      <c r="A8" s="9" t="s">
        <v>0</v>
      </c>
      <c r="B8" s="10" t="s">
        <v>1</v>
      </c>
      <c r="C8" s="9" t="s">
        <v>2</v>
      </c>
      <c r="D8" s="12">
        <v>44562</v>
      </c>
      <c r="E8" s="12">
        <v>44563</v>
      </c>
      <c r="F8" s="12">
        <v>44564</v>
      </c>
      <c r="G8" s="12">
        <v>44565</v>
      </c>
      <c r="H8" s="12">
        <v>44566</v>
      </c>
      <c r="I8" s="12">
        <v>44567</v>
      </c>
      <c r="J8" s="12">
        <v>44568</v>
      </c>
      <c r="K8" s="12">
        <v>44569</v>
      </c>
      <c r="L8" s="12">
        <v>44570</v>
      </c>
      <c r="M8" s="12">
        <v>44571</v>
      </c>
      <c r="N8" s="12">
        <v>44572</v>
      </c>
      <c r="O8" s="12">
        <v>44573</v>
      </c>
      <c r="P8" s="12">
        <v>44574</v>
      </c>
      <c r="Q8" s="12">
        <v>44575</v>
      </c>
      <c r="R8" s="12">
        <v>44576</v>
      </c>
      <c r="S8" s="12">
        <v>44577</v>
      </c>
      <c r="T8" s="12">
        <v>44578</v>
      </c>
      <c r="U8" s="12">
        <v>44579</v>
      </c>
      <c r="V8" s="12">
        <v>44580</v>
      </c>
      <c r="W8" s="12">
        <v>44581</v>
      </c>
      <c r="X8" s="12">
        <v>44582</v>
      </c>
      <c r="Y8" s="12">
        <v>44583</v>
      </c>
      <c r="Z8" s="12">
        <v>44584</v>
      </c>
      <c r="AA8" s="12">
        <v>44585</v>
      </c>
      <c r="AB8" s="12">
        <v>44586</v>
      </c>
      <c r="AC8" s="12">
        <v>44587</v>
      </c>
      <c r="AD8" s="12">
        <v>44588</v>
      </c>
      <c r="AE8" s="12">
        <v>44589</v>
      </c>
      <c r="AF8" s="12">
        <v>44590</v>
      </c>
      <c r="AG8" s="12">
        <v>44591</v>
      </c>
      <c r="AH8" s="12">
        <v>44592</v>
      </c>
      <c r="AI8" s="73" t="s">
        <v>720</v>
      </c>
    </row>
    <row r="9" spans="1:35" x14ac:dyDescent="0.2">
      <c r="A9" s="90" t="s">
        <v>706</v>
      </c>
      <c r="B9" s="91"/>
      <c r="C9" s="91"/>
      <c r="D9" s="43">
        <v>0</v>
      </c>
      <c r="E9" s="43">
        <f>D954</f>
        <v>0</v>
      </c>
      <c r="F9" s="43">
        <f t="shared" ref="F9:AH9" si="0">E954</f>
        <v>0</v>
      </c>
      <c r="G9" s="43">
        <f t="shared" si="0"/>
        <v>0</v>
      </c>
      <c r="H9" s="43">
        <f t="shared" si="0"/>
        <v>0</v>
      </c>
      <c r="I9" s="43">
        <f t="shared" si="0"/>
        <v>0</v>
      </c>
      <c r="J9" s="43">
        <f t="shared" si="0"/>
        <v>0</v>
      </c>
      <c r="K9" s="43">
        <f t="shared" si="0"/>
        <v>0</v>
      </c>
      <c r="L9" s="43">
        <f t="shared" si="0"/>
        <v>0</v>
      </c>
      <c r="M9" s="43">
        <f t="shared" si="0"/>
        <v>0</v>
      </c>
      <c r="N9" s="43">
        <f t="shared" si="0"/>
        <v>0</v>
      </c>
      <c r="O9" s="43">
        <f t="shared" si="0"/>
        <v>0</v>
      </c>
      <c r="P9" s="43">
        <f t="shared" si="0"/>
        <v>0</v>
      </c>
      <c r="Q9" s="43">
        <f t="shared" si="0"/>
        <v>0</v>
      </c>
      <c r="R9" s="43">
        <f t="shared" si="0"/>
        <v>0</v>
      </c>
      <c r="S9" s="43">
        <f t="shared" si="0"/>
        <v>0</v>
      </c>
      <c r="T9" s="43">
        <f t="shared" si="0"/>
        <v>0</v>
      </c>
      <c r="U9" s="43">
        <f t="shared" si="0"/>
        <v>0</v>
      </c>
      <c r="V9" s="43">
        <f t="shared" si="0"/>
        <v>0</v>
      </c>
      <c r="W9" s="43">
        <f t="shared" si="0"/>
        <v>0</v>
      </c>
      <c r="X9" s="43">
        <f t="shared" si="0"/>
        <v>0</v>
      </c>
      <c r="Y9" s="43">
        <f t="shared" si="0"/>
        <v>0</v>
      </c>
      <c r="Z9" s="43">
        <f t="shared" si="0"/>
        <v>0</v>
      </c>
      <c r="AA9" s="43">
        <f t="shared" si="0"/>
        <v>0</v>
      </c>
      <c r="AB9" s="43">
        <f t="shared" si="0"/>
        <v>0</v>
      </c>
      <c r="AC9" s="43">
        <f t="shared" si="0"/>
        <v>0</v>
      </c>
      <c r="AD9" s="43">
        <f t="shared" si="0"/>
        <v>0</v>
      </c>
      <c r="AE9" s="43">
        <f t="shared" si="0"/>
        <v>0</v>
      </c>
      <c r="AF9" s="43">
        <f t="shared" si="0"/>
        <v>0</v>
      </c>
      <c r="AG9" s="43">
        <f t="shared" si="0"/>
        <v>0</v>
      </c>
      <c r="AH9" s="70">
        <f t="shared" si="0"/>
        <v>0</v>
      </c>
      <c r="AI9" s="71"/>
    </row>
    <row r="10" spans="1:35" s="3" customFormat="1" ht="25.5" x14ac:dyDescent="0.2">
      <c r="A10" s="14" t="s">
        <v>3</v>
      </c>
      <c r="B10" s="14" t="s">
        <v>4</v>
      </c>
      <c r="C10" s="16" t="s">
        <v>5</v>
      </c>
      <c r="D10" s="48">
        <f>D11+D20+D29+D33+D42+D55+D89+D93+D102+D111+D151+D155</f>
        <v>0</v>
      </c>
      <c r="E10" s="48">
        <f t="shared" ref="E10:AH10" si="1">E11+E20+E29+E33+E42+E55+E89+E93+E102+E111+E151+E155</f>
        <v>0</v>
      </c>
      <c r="F10" s="48">
        <f t="shared" si="1"/>
        <v>13600</v>
      </c>
      <c r="G10" s="48">
        <f t="shared" si="1"/>
        <v>0</v>
      </c>
      <c r="H10" s="48">
        <f t="shared" si="1"/>
        <v>0</v>
      </c>
      <c r="I10" s="48">
        <f t="shared" si="1"/>
        <v>46389.5</v>
      </c>
      <c r="J10" s="48">
        <f t="shared" si="1"/>
        <v>0</v>
      </c>
      <c r="K10" s="48">
        <f t="shared" si="1"/>
        <v>0</v>
      </c>
      <c r="L10" s="48">
        <f t="shared" si="1"/>
        <v>0</v>
      </c>
      <c r="M10" s="48">
        <f t="shared" si="1"/>
        <v>284741.57</v>
      </c>
      <c r="N10" s="48">
        <f t="shared" si="1"/>
        <v>128795.39</v>
      </c>
      <c r="O10" s="48">
        <f t="shared" si="1"/>
        <v>283315664.74000001</v>
      </c>
      <c r="P10" s="48">
        <f t="shared" si="1"/>
        <v>58002.53</v>
      </c>
      <c r="Q10" s="48">
        <f t="shared" si="1"/>
        <v>1188496.3</v>
      </c>
      <c r="R10" s="48">
        <f t="shared" si="1"/>
        <v>0</v>
      </c>
      <c r="S10" s="48">
        <f t="shared" si="1"/>
        <v>0</v>
      </c>
      <c r="T10" s="48">
        <f t="shared" si="1"/>
        <v>2262721.21</v>
      </c>
      <c r="U10" s="48">
        <f t="shared" si="1"/>
        <v>96921.11</v>
      </c>
      <c r="V10" s="48">
        <f t="shared" si="1"/>
        <v>30329.62</v>
      </c>
      <c r="W10" s="48">
        <f t="shared" si="1"/>
        <v>10136640.609999999</v>
      </c>
      <c r="X10" s="48">
        <f t="shared" si="1"/>
        <v>4344487.3499999996</v>
      </c>
      <c r="Y10" s="48">
        <f t="shared" si="1"/>
        <v>0</v>
      </c>
      <c r="Z10" s="48">
        <f t="shared" si="1"/>
        <v>0</v>
      </c>
      <c r="AA10" s="48">
        <f t="shared" si="1"/>
        <v>388416.87</v>
      </c>
      <c r="AB10" s="48">
        <f t="shared" si="1"/>
        <v>11384277.219999999</v>
      </c>
      <c r="AC10" s="48">
        <f t="shared" si="1"/>
        <v>82725301.939999998</v>
      </c>
      <c r="AD10" s="48">
        <f t="shared" si="1"/>
        <v>720513.37</v>
      </c>
      <c r="AE10" s="48">
        <f t="shared" si="1"/>
        <v>370147.16</v>
      </c>
      <c r="AF10" s="48">
        <f t="shared" si="1"/>
        <v>0</v>
      </c>
      <c r="AG10" s="48">
        <f t="shared" si="1"/>
        <v>0</v>
      </c>
      <c r="AH10" s="48">
        <f t="shared" si="1"/>
        <v>2322264.87</v>
      </c>
      <c r="AI10" s="72">
        <f>SUM(D10:AH10)</f>
        <v>399817711.36000001</v>
      </c>
    </row>
    <row r="11" spans="1:35" outlineLevel="1" x14ac:dyDescent="0.2">
      <c r="A11" s="15" t="s">
        <v>6</v>
      </c>
      <c r="B11" s="15" t="s">
        <v>7</v>
      </c>
      <c r="C11" s="13" t="s">
        <v>8</v>
      </c>
      <c r="D11" s="49">
        <f>D12+D16</f>
        <v>0</v>
      </c>
      <c r="E11" s="49">
        <f t="shared" ref="E11:AH11" si="2">E12+E16</f>
        <v>0</v>
      </c>
      <c r="F11" s="49">
        <f t="shared" si="2"/>
        <v>0</v>
      </c>
      <c r="G11" s="49">
        <f t="shared" si="2"/>
        <v>0</v>
      </c>
      <c r="H11" s="49">
        <f t="shared" si="2"/>
        <v>0</v>
      </c>
      <c r="I11" s="49">
        <f t="shared" si="2"/>
        <v>0</v>
      </c>
      <c r="J11" s="49">
        <f t="shared" si="2"/>
        <v>0</v>
      </c>
      <c r="K11" s="49">
        <f t="shared" si="2"/>
        <v>0</v>
      </c>
      <c r="L11" s="49">
        <f t="shared" si="2"/>
        <v>0</v>
      </c>
      <c r="M11" s="49">
        <f t="shared" si="2"/>
        <v>0</v>
      </c>
      <c r="N11" s="49">
        <f t="shared" si="2"/>
        <v>0</v>
      </c>
      <c r="O11" s="49">
        <f t="shared" si="2"/>
        <v>0</v>
      </c>
      <c r="P11" s="49">
        <f t="shared" si="2"/>
        <v>0</v>
      </c>
      <c r="Q11" s="49">
        <f t="shared" si="2"/>
        <v>0</v>
      </c>
      <c r="R11" s="49">
        <f t="shared" si="2"/>
        <v>0</v>
      </c>
      <c r="S11" s="49">
        <f t="shared" si="2"/>
        <v>0</v>
      </c>
      <c r="T11" s="49">
        <f t="shared" si="2"/>
        <v>0</v>
      </c>
      <c r="U11" s="49">
        <f t="shared" si="2"/>
        <v>0</v>
      </c>
      <c r="V11" s="49">
        <f t="shared" si="2"/>
        <v>0</v>
      </c>
      <c r="W11" s="49">
        <f t="shared" si="2"/>
        <v>0</v>
      </c>
      <c r="X11" s="49">
        <f t="shared" si="2"/>
        <v>0</v>
      </c>
      <c r="Y11" s="49">
        <f t="shared" si="2"/>
        <v>0</v>
      </c>
      <c r="Z11" s="49">
        <f t="shared" si="2"/>
        <v>0</v>
      </c>
      <c r="AA11" s="49">
        <f t="shared" si="2"/>
        <v>0</v>
      </c>
      <c r="AB11" s="49">
        <f t="shared" si="2"/>
        <v>0</v>
      </c>
      <c r="AC11" s="49">
        <f t="shared" si="2"/>
        <v>0</v>
      </c>
      <c r="AD11" s="49">
        <f t="shared" si="2"/>
        <v>0</v>
      </c>
      <c r="AE11" s="49">
        <f t="shared" si="2"/>
        <v>0</v>
      </c>
      <c r="AF11" s="49">
        <f t="shared" si="2"/>
        <v>0</v>
      </c>
      <c r="AG11" s="49">
        <f t="shared" si="2"/>
        <v>0</v>
      </c>
      <c r="AH11" s="49">
        <f t="shared" si="2"/>
        <v>0</v>
      </c>
      <c r="AI11" s="72">
        <f t="shared" ref="AI11:AI74" si="3">SUM(D11:AH11)</f>
        <v>0</v>
      </c>
    </row>
    <row r="12" spans="1:35" outlineLevel="2" x14ac:dyDescent="0.2">
      <c r="A12" s="17" t="s">
        <v>657</v>
      </c>
      <c r="B12" s="17" t="s">
        <v>658</v>
      </c>
      <c r="C12" s="13">
        <v>2110110000</v>
      </c>
      <c r="D12" s="49">
        <f>D13+D14+D15</f>
        <v>0</v>
      </c>
      <c r="E12" s="49">
        <f t="shared" ref="E12:AH12" si="4">E13+E14+E15</f>
        <v>0</v>
      </c>
      <c r="F12" s="49">
        <f t="shared" si="4"/>
        <v>0</v>
      </c>
      <c r="G12" s="49">
        <f t="shared" si="4"/>
        <v>0</v>
      </c>
      <c r="H12" s="49">
        <f t="shared" si="4"/>
        <v>0</v>
      </c>
      <c r="I12" s="49">
        <f t="shared" si="4"/>
        <v>0</v>
      </c>
      <c r="J12" s="49">
        <f t="shared" si="4"/>
        <v>0</v>
      </c>
      <c r="K12" s="49">
        <f t="shared" si="4"/>
        <v>0</v>
      </c>
      <c r="L12" s="49">
        <f t="shared" si="4"/>
        <v>0</v>
      </c>
      <c r="M12" s="49">
        <f t="shared" si="4"/>
        <v>0</v>
      </c>
      <c r="N12" s="49">
        <f t="shared" si="4"/>
        <v>0</v>
      </c>
      <c r="O12" s="49">
        <f t="shared" si="4"/>
        <v>0</v>
      </c>
      <c r="P12" s="49">
        <f t="shared" si="4"/>
        <v>0</v>
      </c>
      <c r="Q12" s="49">
        <f t="shared" si="4"/>
        <v>0</v>
      </c>
      <c r="R12" s="49">
        <f t="shared" si="4"/>
        <v>0</v>
      </c>
      <c r="S12" s="49">
        <f t="shared" si="4"/>
        <v>0</v>
      </c>
      <c r="T12" s="49">
        <f t="shared" si="4"/>
        <v>0</v>
      </c>
      <c r="U12" s="49">
        <f t="shared" si="4"/>
        <v>0</v>
      </c>
      <c r="V12" s="49">
        <f t="shared" si="4"/>
        <v>0</v>
      </c>
      <c r="W12" s="49">
        <f t="shared" si="4"/>
        <v>0</v>
      </c>
      <c r="X12" s="49">
        <f t="shared" si="4"/>
        <v>0</v>
      </c>
      <c r="Y12" s="49">
        <f t="shared" si="4"/>
        <v>0</v>
      </c>
      <c r="Z12" s="49">
        <f t="shared" si="4"/>
        <v>0</v>
      </c>
      <c r="AA12" s="49">
        <f t="shared" si="4"/>
        <v>0</v>
      </c>
      <c r="AB12" s="49">
        <f t="shared" si="4"/>
        <v>0</v>
      </c>
      <c r="AC12" s="49">
        <f t="shared" si="4"/>
        <v>0</v>
      </c>
      <c r="AD12" s="49">
        <f t="shared" si="4"/>
        <v>0</v>
      </c>
      <c r="AE12" s="49">
        <f t="shared" si="4"/>
        <v>0</v>
      </c>
      <c r="AF12" s="49">
        <f t="shared" si="4"/>
        <v>0</v>
      </c>
      <c r="AG12" s="49">
        <f t="shared" si="4"/>
        <v>0</v>
      </c>
      <c r="AH12" s="49">
        <f t="shared" si="4"/>
        <v>0</v>
      </c>
      <c r="AI12" s="72">
        <f t="shared" si="3"/>
        <v>0</v>
      </c>
    </row>
    <row r="13" spans="1:35" outlineLevel="2" x14ac:dyDescent="0.2">
      <c r="A13" s="17"/>
      <c r="B13" s="41" t="s">
        <v>708</v>
      </c>
      <c r="C13" s="13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72">
        <f t="shared" si="3"/>
        <v>0</v>
      </c>
    </row>
    <row r="14" spans="1:35" outlineLevel="2" x14ac:dyDescent="0.2">
      <c r="A14" s="17"/>
      <c r="B14" s="41" t="s">
        <v>709</v>
      </c>
      <c r="C14" s="13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72">
        <f t="shared" si="3"/>
        <v>0</v>
      </c>
    </row>
    <row r="15" spans="1:35" outlineLevel="2" x14ac:dyDescent="0.2">
      <c r="A15" s="17"/>
      <c r="B15" s="41" t="s">
        <v>710</v>
      </c>
      <c r="C15" s="13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72">
        <f t="shared" si="3"/>
        <v>0</v>
      </c>
    </row>
    <row r="16" spans="1:35" outlineLevel="2" x14ac:dyDescent="0.2">
      <c r="A16" s="17" t="s">
        <v>659</v>
      </c>
      <c r="B16" s="17" t="s">
        <v>660</v>
      </c>
      <c r="C16" s="13">
        <v>2110120000</v>
      </c>
      <c r="D16" s="35">
        <f>SUM(D17:D19)</f>
        <v>0</v>
      </c>
      <c r="E16" s="35">
        <f t="shared" ref="E16:AH16" si="5">SUM(E17:E19)</f>
        <v>0</v>
      </c>
      <c r="F16" s="35">
        <f t="shared" si="5"/>
        <v>0</v>
      </c>
      <c r="G16" s="35">
        <f t="shared" si="5"/>
        <v>0</v>
      </c>
      <c r="H16" s="35">
        <f t="shared" si="5"/>
        <v>0</v>
      </c>
      <c r="I16" s="35">
        <f t="shared" si="5"/>
        <v>0</v>
      </c>
      <c r="J16" s="35">
        <f t="shared" si="5"/>
        <v>0</v>
      </c>
      <c r="K16" s="35">
        <f t="shared" si="5"/>
        <v>0</v>
      </c>
      <c r="L16" s="35">
        <f t="shared" si="5"/>
        <v>0</v>
      </c>
      <c r="M16" s="35">
        <f t="shared" si="5"/>
        <v>0</v>
      </c>
      <c r="N16" s="35">
        <f t="shared" si="5"/>
        <v>0</v>
      </c>
      <c r="O16" s="35">
        <f t="shared" si="5"/>
        <v>0</v>
      </c>
      <c r="P16" s="35">
        <f t="shared" si="5"/>
        <v>0</v>
      </c>
      <c r="Q16" s="35">
        <f t="shared" si="5"/>
        <v>0</v>
      </c>
      <c r="R16" s="35">
        <f t="shared" si="5"/>
        <v>0</v>
      </c>
      <c r="S16" s="35">
        <f t="shared" si="5"/>
        <v>0</v>
      </c>
      <c r="T16" s="35">
        <f t="shared" si="5"/>
        <v>0</v>
      </c>
      <c r="U16" s="35">
        <f t="shared" si="5"/>
        <v>0</v>
      </c>
      <c r="V16" s="35">
        <f t="shared" si="5"/>
        <v>0</v>
      </c>
      <c r="W16" s="35">
        <f t="shared" si="5"/>
        <v>0</v>
      </c>
      <c r="X16" s="35">
        <f t="shared" si="5"/>
        <v>0</v>
      </c>
      <c r="Y16" s="35">
        <f t="shared" si="5"/>
        <v>0</v>
      </c>
      <c r="Z16" s="35">
        <f t="shared" si="5"/>
        <v>0</v>
      </c>
      <c r="AA16" s="35">
        <f t="shared" si="5"/>
        <v>0</v>
      </c>
      <c r="AB16" s="35">
        <f t="shared" si="5"/>
        <v>0</v>
      </c>
      <c r="AC16" s="35">
        <f t="shared" si="5"/>
        <v>0</v>
      </c>
      <c r="AD16" s="35">
        <f t="shared" si="5"/>
        <v>0</v>
      </c>
      <c r="AE16" s="35">
        <f t="shared" si="5"/>
        <v>0</v>
      </c>
      <c r="AF16" s="35">
        <f t="shared" si="5"/>
        <v>0</v>
      </c>
      <c r="AG16" s="35">
        <f t="shared" si="5"/>
        <v>0</v>
      </c>
      <c r="AH16" s="35">
        <f t="shared" si="5"/>
        <v>0</v>
      </c>
      <c r="AI16" s="72">
        <f t="shared" si="3"/>
        <v>0</v>
      </c>
    </row>
    <row r="17" spans="1:35" outlineLevel="2" x14ac:dyDescent="0.2">
      <c r="A17" s="17"/>
      <c r="B17" s="41" t="s">
        <v>708</v>
      </c>
      <c r="C17" s="13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72">
        <f t="shared" si="3"/>
        <v>0</v>
      </c>
    </row>
    <row r="18" spans="1:35" outlineLevel="2" x14ac:dyDescent="0.2">
      <c r="A18" s="17"/>
      <c r="B18" s="41" t="s">
        <v>709</v>
      </c>
      <c r="C18" s="13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72">
        <f t="shared" si="3"/>
        <v>0</v>
      </c>
    </row>
    <row r="19" spans="1:35" outlineLevel="2" x14ac:dyDescent="0.2">
      <c r="A19" s="17"/>
      <c r="B19" s="41" t="s">
        <v>710</v>
      </c>
      <c r="C19" s="13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72">
        <f t="shared" si="3"/>
        <v>0</v>
      </c>
    </row>
    <row r="20" spans="1:35" outlineLevel="1" x14ac:dyDescent="0.2">
      <c r="A20" s="15" t="s">
        <v>9</v>
      </c>
      <c r="B20" s="15" t="s">
        <v>10</v>
      </c>
      <c r="C20" s="13" t="s">
        <v>11</v>
      </c>
      <c r="D20" s="35">
        <f>D21+D25</f>
        <v>0</v>
      </c>
      <c r="E20" s="35">
        <f t="shared" ref="E20:AH20" si="6">E21+E25</f>
        <v>0</v>
      </c>
      <c r="F20" s="35">
        <f t="shared" si="6"/>
        <v>0</v>
      </c>
      <c r="G20" s="35">
        <f t="shared" si="6"/>
        <v>0</v>
      </c>
      <c r="H20" s="35">
        <f t="shared" si="6"/>
        <v>0</v>
      </c>
      <c r="I20" s="35">
        <f t="shared" si="6"/>
        <v>0</v>
      </c>
      <c r="J20" s="35">
        <f t="shared" si="6"/>
        <v>0</v>
      </c>
      <c r="K20" s="35">
        <f t="shared" si="6"/>
        <v>0</v>
      </c>
      <c r="L20" s="35">
        <f t="shared" si="6"/>
        <v>0</v>
      </c>
      <c r="M20" s="35">
        <f t="shared" si="6"/>
        <v>0</v>
      </c>
      <c r="N20" s="35">
        <f t="shared" si="6"/>
        <v>0</v>
      </c>
      <c r="O20" s="35">
        <f t="shared" si="6"/>
        <v>280500000</v>
      </c>
      <c r="P20" s="35">
        <f t="shared" si="6"/>
        <v>0</v>
      </c>
      <c r="Q20" s="35">
        <f t="shared" si="6"/>
        <v>1000000</v>
      </c>
      <c r="R20" s="35">
        <f t="shared" si="6"/>
        <v>0</v>
      </c>
      <c r="S20" s="35">
        <f t="shared" si="6"/>
        <v>0</v>
      </c>
      <c r="T20" s="35">
        <f t="shared" si="6"/>
        <v>0</v>
      </c>
      <c r="U20" s="35">
        <f t="shared" si="6"/>
        <v>0</v>
      </c>
      <c r="V20" s="35">
        <f t="shared" si="6"/>
        <v>0</v>
      </c>
      <c r="W20" s="35">
        <f t="shared" si="6"/>
        <v>8500000</v>
      </c>
      <c r="X20" s="35">
        <f t="shared" si="6"/>
        <v>0</v>
      </c>
      <c r="Y20" s="35">
        <f t="shared" si="6"/>
        <v>0</v>
      </c>
      <c r="Z20" s="35">
        <f t="shared" si="6"/>
        <v>0</v>
      </c>
      <c r="AA20" s="35">
        <f t="shared" si="6"/>
        <v>0</v>
      </c>
      <c r="AB20" s="35">
        <f t="shared" si="6"/>
        <v>4680877.72</v>
      </c>
      <c r="AC20" s="35">
        <f t="shared" si="6"/>
        <v>82200000</v>
      </c>
      <c r="AD20" s="35">
        <f t="shared" si="6"/>
        <v>0</v>
      </c>
      <c r="AE20" s="35">
        <f t="shared" si="6"/>
        <v>0</v>
      </c>
      <c r="AF20" s="35">
        <f t="shared" si="6"/>
        <v>0</v>
      </c>
      <c r="AG20" s="35">
        <f t="shared" si="6"/>
        <v>0</v>
      </c>
      <c r="AH20" s="35">
        <f t="shared" si="6"/>
        <v>0</v>
      </c>
      <c r="AI20" s="72">
        <f t="shared" si="3"/>
        <v>376880877.72000003</v>
      </c>
    </row>
    <row r="21" spans="1:35" outlineLevel="2" x14ac:dyDescent="0.2">
      <c r="A21" s="17" t="s">
        <v>661</v>
      </c>
      <c r="B21" s="17" t="s">
        <v>658</v>
      </c>
      <c r="C21" s="13">
        <v>2110210000</v>
      </c>
      <c r="D21" s="35">
        <f>SUM(D22:D24)</f>
        <v>0</v>
      </c>
      <c r="E21" s="35">
        <f t="shared" ref="E21:AH21" si="7">SUM(E22:E24)</f>
        <v>0</v>
      </c>
      <c r="F21" s="35">
        <f t="shared" si="7"/>
        <v>0</v>
      </c>
      <c r="G21" s="35">
        <f t="shared" si="7"/>
        <v>0</v>
      </c>
      <c r="H21" s="35">
        <f t="shared" si="7"/>
        <v>0</v>
      </c>
      <c r="I21" s="35">
        <f t="shared" si="7"/>
        <v>0</v>
      </c>
      <c r="J21" s="35">
        <f t="shared" si="7"/>
        <v>0</v>
      </c>
      <c r="K21" s="35">
        <f t="shared" si="7"/>
        <v>0</v>
      </c>
      <c r="L21" s="35">
        <f t="shared" si="7"/>
        <v>0</v>
      </c>
      <c r="M21" s="35">
        <f t="shared" si="7"/>
        <v>0</v>
      </c>
      <c r="N21" s="35">
        <f t="shared" si="7"/>
        <v>0</v>
      </c>
      <c r="O21" s="35">
        <f t="shared" si="7"/>
        <v>280500000</v>
      </c>
      <c r="P21" s="35">
        <f t="shared" si="7"/>
        <v>0</v>
      </c>
      <c r="Q21" s="35">
        <f t="shared" si="7"/>
        <v>1000000</v>
      </c>
      <c r="R21" s="35">
        <f t="shared" si="7"/>
        <v>0</v>
      </c>
      <c r="S21" s="35">
        <f t="shared" si="7"/>
        <v>0</v>
      </c>
      <c r="T21" s="35">
        <f t="shared" si="7"/>
        <v>0</v>
      </c>
      <c r="U21" s="35">
        <f t="shared" si="7"/>
        <v>0</v>
      </c>
      <c r="V21" s="35">
        <f t="shared" si="7"/>
        <v>0</v>
      </c>
      <c r="W21" s="35">
        <f t="shared" si="7"/>
        <v>8500000</v>
      </c>
      <c r="X21" s="35">
        <f t="shared" si="7"/>
        <v>0</v>
      </c>
      <c r="Y21" s="35">
        <f t="shared" si="7"/>
        <v>0</v>
      </c>
      <c r="Z21" s="35">
        <f t="shared" si="7"/>
        <v>0</v>
      </c>
      <c r="AA21" s="35">
        <f t="shared" si="7"/>
        <v>0</v>
      </c>
      <c r="AB21" s="35">
        <f t="shared" si="7"/>
        <v>3000000</v>
      </c>
      <c r="AC21" s="35">
        <f t="shared" si="7"/>
        <v>82200000</v>
      </c>
      <c r="AD21" s="35">
        <f t="shared" si="7"/>
        <v>0</v>
      </c>
      <c r="AE21" s="35">
        <f t="shared" si="7"/>
        <v>0</v>
      </c>
      <c r="AF21" s="35">
        <f t="shared" si="7"/>
        <v>0</v>
      </c>
      <c r="AG21" s="35">
        <f t="shared" si="7"/>
        <v>0</v>
      </c>
      <c r="AH21" s="35">
        <f t="shared" si="7"/>
        <v>0</v>
      </c>
      <c r="AI21" s="72">
        <f t="shared" si="3"/>
        <v>375200000</v>
      </c>
    </row>
    <row r="22" spans="1:35" outlineLevel="2" x14ac:dyDescent="0.2">
      <c r="A22" s="17"/>
      <c r="B22" s="41" t="s">
        <v>708</v>
      </c>
      <c r="C22" s="13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72">
        <f t="shared" si="3"/>
        <v>0</v>
      </c>
    </row>
    <row r="23" spans="1:35" outlineLevel="2" x14ac:dyDescent="0.2">
      <c r="A23" s="17"/>
      <c r="B23" s="41" t="s">
        <v>709</v>
      </c>
      <c r="C23" s="13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>
        <v>280500000</v>
      </c>
      <c r="P23" s="50"/>
      <c r="Q23" s="50">
        <v>1000000</v>
      </c>
      <c r="R23" s="50"/>
      <c r="S23" s="50"/>
      <c r="T23" s="50"/>
      <c r="U23" s="50"/>
      <c r="V23" s="50"/>
      <c r="W23" s="50">
        <v>8500000</v>
      </c>
      <c r="X23" s="50"/>
      <c r="Y23" s="50"/>
      <c r="Z23" s="50"/>
      <c r="AA23" s="50"/>
      <c r="AB23" s="50">
        <v>3000000</v>
      </c>
      <c r="AC23" s="50">
        <v>82200000</v>
      </c>
      <c r="AD23" s="50"/>
      <c r="AE23" s="50"/>
      <c r="AF23" s="50"/>
      <c r="AG23" s="50"/>
      <c r="AH23" s="50"/>
      <c r="AI23" s="72">
        <f t="shared" si="3"/>
        <v>375200000</v>
      </c>
    </row>
    <row r="24" spans="1:35" outlineLevel="2" x14ac:dyDescent="0.2">
      <c r="A24" s="17"/>
      <c r="B24" s="41" t="s">
        <v>710</v>
      </c>
      <c r="C24" s="13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72">
        <f t="shared" si="3"/>
        <v>0</v>
      </c>
    </row>
    <row r="25" spans="1:35" outlineLevel="2" x14ac:dyDescent="0.2">
      <c r="A25" s="17" t="s">
        <v>662</v>
      </c>
      <c r="B25" s="17" t="s">
        <v>660</v>
      </c>
      <c r="C25" s="13">
        <v>2110220000</v>
      </c>
      <c r="D25" s="35">
        <f>SUM(D26:D28)</f>
        <v>0</v>
      </c>
      <c r="E25" s="35">
        <f t="shared" ref="E25:AH25" si="8">SUM(E26:E28)</f>
        <v>0</v>
      </c>
      <c r="F25" s="35">
        <f t="shared" si="8"/>
        <v>0</v>
      </c>
      <c r="G25" s="35">
        <f t="shared" si="8"/>
        <v>0</v>
      </c>
      <c r="H25" s="35">
        <f t="shared" si="8"/>
        <v>0</v>
      </c>
      <c r="I25" s="35">
        <f t="shared" si="8"/>
        <v>0</v>
      </c>
      <c r="J25" s="35">
        <f t="shared" si="8"/>
        <v>0</v>
      </c>
      <c r="K25" s="35">
        <f t="shared" si="8"/>
        <v>0</v>
      </c>
      <c r="L25" s="35">
        <f t="shared" si="8"/>
        <v>0</v>
      </c>
      <c r="M25" s="35">
        <f t="shared" si="8"/>
        <v>0</v>
      </c>
      <c r="N25" s="35">
        <f t="shared" si="8"/>
        <v>0</v>
      </c>
      <c r="O25" s="35">
        <f t="shared" si="8"/>
        <v>0</v>
      </c>
      <c r="P25" s="35">
        <f t="shared" si="8"/>
        <v>0</v>
      </c>
      <c r="Q25" s="35">
        <f t="shared" si="8"/>
        <v>0</v>
      </c>
      <c r="R25" s="35">
        <f t="shared" si="8"/>
        <v>0</v>
      </c>
      <c r="S25" s="35">
        <f t="shared" si="8"/>
        <v>0</v>
      </c>
      <c r="T25" s="35">
        <f t="shared" si="8"/>
        <v>0</v>
      </c>
      <c r="U25" s="35">
        <f t="shared" si="8"/>
        <v>0</v>
      </c>
      <c r="V25" s="35">
        <f t="shared" si="8"/>
        <v>0</v>
      </c>
      <c r="W25" s="35">
        <f t="shared" si="8"/>
        <v>0</v>
      </c>
      <c r="X25" s="35">
        <f t="shared" si="8"/>
        <v>0</v>
      </c>
      <c r="Y25" s="35">
        <f t="shared" si="8"/>
        <v>0</v>
      </c>
      <c r="Z25" s="35">
        <f t="shared" si="8"/>
        <v>0</v>
      </c>
      <c r="AA25" s="35">
        <f t="shared" si="8"/>
        <v>0</v>
      </c>
      <c r="AB25" s="35">
        <f t="shared" si="8"/>
        <v>1680877.72</v>
      </c>
      <c r="AC25" s="35">
        <f t="shared" si="8"/>
        <v>0</v>
      </c>
      <c r="AD25" s="35">
        <f t="shared" si="8"/>
        <v>0</v>
      </c>
      <c r="AE25" s="35">
        <f t="shared" si="8"/>
        <v>0</v>
      </c>
      <c r="AF25" s="35">
        <f t="shared" si="8"/>
        <v>0</v>
      </c>
      <c r="AG25" s="35">
        <f t="shared" si="8"/>
        <v>0</v>
      </c>
      <c r="AH25" s="35">
        <f t="shared" si="8"/>
        <v>0</v>
      </c>
      <c r="AI25" s="72">
        <f t="shared" si="3"/>
        <v>1680877.72</v>
      </c>
    </row>
    <row r="26" spans="1:35" outlineLevel="2" x14ac:dyDescent="0.2">
      <c r="A26" s="17"/>
      <c r="B26" s="41" t="s">
        <v>708</v>
      </c>
      <c r="C26" s="13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72">
        <f t="shared" si="3"/>
        <v>0</v>
      </c>
    </row>
    <row r="27" spans="1:35" outlineLevel="2" x14ac:dyDescent="0.2">
      <c r="A27" s="17"/>
      <c r="B27" s="41" t="s">
        <v>709</v>
      </c>
      <c r="C27" s="13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72">
        <f t="shared" si="3"/>
        <v>0</v>
      </c>
    </row>
    <row r="28" spans="1:35" outlineLevel="2" x14ac:dyDescent="0.2">
      <c r="A28" s="17"/>
      <c r="B28" s="41" t="s">
        <v>710</v>
      </c>
      <c r="C28" s="13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>
        <v>1680877.72</v>
      </c>
      <c r="AC28" s="50"/>
      <c r="AD28" s="50"/>
      <c r="AE28" s="50"/>
      <c r="AF28" s="50"/>
      <c r="AG28" s="50"/>
      <c r="AH28" s="50"/>
      <c r="AI28" s="72">
        <f t="shared" si="3"/>
        <v>1680877.72</v>
      </c>
    </row>
    <row r="29" spans="1:35" outlineLevel="1" x14ac:dyDescent="0.2">
      <c r="A29" s="15" t="s">
        <v>12</v>
      </c>
      <c r="B29" s="15" t="s">
        <v>13</v>
      </c>
      <c r="C29" s="13" t="s">
        <v>14</v>
      </c>
      <c r="D29" s="35">
        <f>SUM(D30:D32)</f>
        <v>0</v>
      </c>
      <c r="E29" s="35">
        <f t="shared" ref="E29:AH29" si="9">SUM(E30:E32)</f>
        <v>0</v>
      </c>
      <c r="F29" s="35">
        <f t="shared" si="9"/>
        <v>0</v>
      </c>
      <c r="G29" s="35">
        <f t="shared" si="9"/>
        <v>0</v>
      </c>
      <c r="H29" s="35">
        <f t="shared" si="9"/>
        <v>0</v>
      </c>
      <c r="I29" s="35">
        <f t="shared" si="9"/>
        <v>0</v>
      </c>
      <c r="J29" s="35">
        <f t="shared" si="9"/>
        <v>0</v>
      </c>
      <c r="K29" s="35">
        <f t="shared" si="9"/>
        <v>0</v>
      </c>
      <c r="L29" s="35">
        <f t="shared" si="9"/>
        <v>0</v>
      </c>
      <c r="M29" s="35">
        <f t="shared" si="9"/>
        <v>0</v>
      </c>
      <c r="N29" s="35">
        <f t="shared" si="9"/>
        <v>0</v>
      </c>
      <c r="O29" s="35">
        <f t="shared" si="9"/>
        <v>0</v>
      </c>
      <c r="P29" s="35">
        <f t="shared" si="9"/>
        <v>0</v>
      </c>
      <c r="Q29" s="35">
        <f t="shared" si="9"/>
        <v>0</v>
      </c>
      <c r="R29" s="35">
        <f t="shared" si="9"/>
        <v>0</v>
      </c>
      <c r="S29" s="35">
        <f t="shared" si="9"/>
        <v>0</v>
      </c>
      <c r="T29" s="35">
        <f t="shared" si="9"/>
        <v>0</v>
      </c>
      <c r="U29" s="35">
        <f t="shared" si="9"/>
        <v>0</v>
      </c>
      <c r="V29" s="35">
        <f t="shared" si="9"/>
        <v>0</v>
      </c>
      <c r="W29" s="35">
        <f t="shared" si="9"/>
        <v>0</v>
      </c>
      <c r="X29" s="35">
        <f t="shared" si="9"/>
        <v>0</v>
      </c>
      <c r="Y29" s="35">
        <f t="shared" si="9"/>
        <v>0</v>
      </c>
      <c r="Z29" s="35">
        <f t="shared" si="9"/>
        <v>0</v>
      </c>
      <c r="AA29" s="35">
        <f t="shared" si="9"/>
        <v>0</v>
      </c>
      <c r="AB29" s="35">
        <f t="shared" si="9"/>
        <v>0</v>
      </c>
      <c r="AC29" s="35">
        <f t="shared" si="9"/>
        <v>0</v>
      </c>
      <c r="AD29" s="35">
        <f t="shared" si="9"/>
        <v>0</v>
      </c>
      <c r="AE29" s="35">
        <f t="shared" si="9"/>
        <v>0</v>
      </c>
      <c r="AF29" s="35">
        <f t="shared" si="9"/>
        <v>0</v>
      </c>
      <c r="AG29" s="35">
        <f t="shared" si="9"/>
        <v>0</v>
      </c>
      <c r="AH29" s="35">
        <f t="shared" si="9"/>
        <v>0</v>
      </c>
      <c r="AI29" s="72">
        <f t="shared" si="3"/>
        <v>0</v>
      </c>
    </row>
    <row r="30" spans="1:35" outlineLevel="2" x14ac:dyDescent="0.2">
      <c r="A30" s="15"/>
      <c r="B30" s="41" t="s">
        <v>708</v>
      </c>
      <c r="C30" s="13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72">
        <f t="shared" si="3"/>
        <v>0</v>
      </c>
    </row>
    <row r="31" spans="1:35" outlineLevel="2" x14ac:dyDescent="0.2">
      <c r="A31" s="15"/>
      <c r="B31" s="41" t="s">
        <v>709</v>
      </c>
      <c r="C31" s="13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72">
        <f t="shared" si="3"/>
        <v>0</v>
      </c>
    </row>
    <row r="32" spans="1:35" outlineLevel="2" x14ac:dyDescent="0.2">
      <c r="A32" s="15"/>
      <c r="B32" s="41" t="s">
        <v>710</v>
      </c>
      <c r="C32" s="13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72">
        <f t="shared" si="3"/>
        <v>0</v>
      </c>
    </row>
    <row r="33" spans="1:35" ht="38.25" outlineLevel="1" x14ac:dyDescent="0.2">
      <c r="A33" s="15" t="s">
        <v>15</v>
      </c>
      <c r="B33" s="15" t="s">
        <v>16</v>
      </c>
      <c r="C33" s="13" t="s">
        <v>17</v>
      </c>
      <c r="D33" s="35">
        <f>D34+D38</f>
        <v>0</v>
      </c>
      <c r="E33" s="35">
        <f t="shared" ref="E33:AH33" si="10">E34+E38</f>
        <v>0</v>
      </c>
      <c r="F33" s="35">
        <f t="shared" si="10"/>
        <v>0</v>
      </c>
      <c r="G33" s="35">
        <f t="shared" si="10"/>
        <v>0</v>
      </c>
      <c r="H33" s="35">
        <f t="shared" si="10"/>
        <v>0</v>
      </c>
      <c r="I33" s="35">
        <f t="shared" si="10"/>
        <v>0</v>
      </c>
      <c r="J33" s="35">
        <f t="shared" si="10"/>
        <v>0</v>
      </c>
      <c r="K33" s="35">
        <f t="shared" si="10"/>
        <v>0</v>
      </c>
      <c r="L33" s="35">
        <f t="shared" si="10"/>
        <v>0</v>
      </c>
      <c r="M33" s="35">
        <f t="shared" si="10"/>
        <v>0</v>
      </c>
      <c r="N33" s="35">
        <f t="shared" si="10"/>
        <v>0</v>
      </c>
      <c r="O33" s="35">
        <f t="shared" si="10"/>
        <v>0</v>
      </c>
      <c r="P33" s="35">
        <f t="shared" si="10"/>
        <v>0</v>
      </c>
      <c r="Q33" s="35">
        <f t="shared" si="10"/>
        <v>0</v>
      </c>
      <c r="R33" s="35">
        <f t="shared" si="10"/>
        <v>0</v>
      </c>
      <c r="S33" s="35">
        <f t="shared" si="10"/>
        <v>0</v>
      </c>
      <c r="T33" s="35">
        <f t="shared" si="10"/>
        <v>0</v>
      </c>
      <c r="U33" s="35">
        <f t="shared" si="10"/>
        <v>0</v>
      </c>
      <c r="V33" s="35">
        <f t="shared" si="10"/>
        <v>0</v>
      </c>
      <c r="W33" s="35">
        <f t="shared" si="10"/>
        <v>0</v>
      </c>
      <c r="X33" s="35">
        <f t="shared" si="10"/>
        <v>0</v>
      </c>
      <c r="Y33" s="35">
        <f t="shared" si="10"/>
        <v>0</v>
      </c>
      <c r="Z33" s="35">
        <f t="shared" si="10"/>
        <v>0</v>
      </c>
      <c r="AA33" s="35">
        <f t="shared" si="10"/>
        <v>0</v>
      </c>
      <c r="AB33" s="35">
        <f t="shared" si="10"/>
        <v>0</v>
      </c>
      <c r="AC33" s="35">
        <f t="shared" si="10"/>
        <v>0</v>
      </c>
      <c r="AD33" s="35">
        <f t="shared" si="10"/>
        <v>0</v>
      </c>
      <c r="AE33" s="35">
        <f t="shared" si="10"/>
        <v>0</v>
      </c>
      <c r="AF33" s="35">
        <f t="shared" si="10"/>
        <v>0</v>
      </c>
      <c r="AG33" s="35">
        <f t="shared" si="10"/>
        <v>0</v>
      </c>
      <c r="AH33" s="35">
        <f t="shared" si="10"/>
        <v>0</v>
      </c>
      <c r="AI33" s="72">
        <f t="shared" si="3"/>
        <v>0</v>
      </c>
    </row>
    <row r="34" spans="1:35" outlineLevel="2" x14ac:dyDescent="0.2">
      <c r="A34" s="17" t="s">
        <v>663</v>
      </c>
      <c r="B34" s="17" t="s">
        <v>658</v>
      </c>
      <c r="C34" s="13">
        <v>2110410000</v>
      </c>
      <c r="D34" s="35">
        <f>SUM(D35:D37)</f>
        <v>0</v>
      </c>
      <c r="E34" s="35">
        <f t="shared" ref="E34:AH34" si="11">SUM(E35:E37)</f>
        <v>0</v>
      </c>
      <c r="F34" s="35">
        <f t="shared" si="11"/>
        <v>0</v>
      </c>
      <c r="G34" s="35">
        <f t="shared" si="11"/>
        <v>0</v>
      </c>
      <c r="H34" s="35">
        <f t="shared" si="11"/>
        <v>0</v>
      </c>
      <c r="I34" s="35">
        <f t="shared" si="11"/>
        <v>0</v>
      </c>
      <c r="J34" s="35">
        <f t="shared" si="11"/>
        <v>0</v>
      </c>
      <c r="K34" s="35">
        <f t="shared" si="11"/>
        <v>0</v>
      </c>
      <c r="L34" s="35">
        <f t="shared" si="11"/>
        <v>0</v>
      </c>
      <c r="M34" s="35">
        <f t="shared" si="11"/>
        <v>0</v>
      </c>
      <c r="N34" s="35">
        <f t="shared" si="11"/>
        <v>0</v>
      </c>
      <c r="O34" s="35">
        <f t="shared" si="11"/>
        <v>0</v>
      </c>
      <c r="P34" s="35">
        <f t="shared" si="11"/>
        <v>0</v>
      </c>
      <c r="Q34" s="35">
        <f t="shared" si="11"/>
        <v>0</v>
      </c>
      <c r="R34" s="35">
        <f t="shared" si="11"/>
        <v>0</v>
      </c>
      <c r="S34" s="35">
        <f t="shared" si="11"/>
        <v>0</v>
      </c>
      <c r="T34" s="35">
        <f t="shared" si="11"/>
        <v>0</v>
      </c>
      <c r="U34" s="35">
        <f t="shared" si="11"/>
        <v>0</v>
      </c>
      <c r="V34" s="35">
        <f t="shared" si="11"/>
        <v>0</v>
      </c>
      <c r="W34" s="35">
        <f t="shared" si="11"/>
        <v>0</v>
      </c>
      <c r="X34" s="35">
        <f t="shared" si="11"/>
        <v>0</v>
      </c>
      <c r="Y34" s="35">
        <f t="shared" si="11"/>
        <v>0</v>
      </c>
      <c r="Z34" s="35">
        <f t="shared" si="11"/>
        <v>0</v>
      </c>
      <c r="AA34" s="35">
        <f t="shared" si="11"/>
        <v>0</v>
      </c>
      <c r="AB34" s="35">
        <f t="shared" si="11"/>
        <v>0</v>
      </c>
      <c r="AC34" s="35">
        <f t="shared" si="11"/>
        <v>0</v>
      </c>
      <c r="AD34" s="35">
        <f t="shared" si="11"/>
        <v>0</v>
      </c>
      <c r="AE34" s="35">
        <f t="shared" si="11"/>
        <v>0</v>
      </c>
      <c r="AF34" s="35">
        <f t="shared" si="11"/>
        <v>0</v>
      </c>
      <c r="AG34" s="35">
        <f t="shared" si="11"/>
        <v>0</v>
      </c>
      <c r="AH34" s="35">
        <f t="shared" si="11"/>
        <v>0</v>
      </c>
      <c r="AI34" s="72">
        <f t="shared" si="3"/>
        <v>0</v>
      </c>
    </row>
    <row r="35" spans="1:35" outlineLevel="2" x14ac:dyDescent="0.2">
      <c r="A35" s="17"/>
      <c r="B35" s="41" t="s">
        <v>708</v>
      </c>
      <c r="C35" s="13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72">
        <f t="shared" si="3"/>
        <v>0</v>
      </c>
    </row>
    <row r="36" spans="1:35" outlineLevel="2" x14ac:dyDescent="0.2">
      <c r="A36" s="17"/>
      <c r="B36" s="41" t="s">
        <v>709</v>
      </c>
      <c r="C36" s="13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72">
        <f t="shared" si="3"/>
        <v>0</v>
      </c>
    </row>
    <row r="37" spans="1:35" outlineLevel="2" x14ac:dyDescent="0.2">
      <c r="A37" s="17"/>
      <c r="B37" s="41" t="s">
        <v>710</v>
      </c>
      <c r="C37" s="13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72">
        <f t="shared" si="3"/>
        <v>0</v>
      </c>
    </row>
    <row r="38" spans="1:35" outlineLevel="2" x14ac:dyDescent="0.2">
      <c r="A38" s="17" t="s">
        <v>664</v>
      </c>
      <c r="B38" s="17" t="s">
        <v>660</v>
      </c>
      <c r="C38" s="13">
        <v>2110420000</v>
      </c>
      <c r="D38" s="35">
        <f>SUM(D39:D41)</f>
        <v>0</v>
      </c>
      <c r="E38" s="35">
        <f t="shared" ref="E38:AH38" si="12">SUM(E39:E41)</f>
        <v>0</v>
      </c>
      <c r="F38" s="35">
        <f t="shared" si="12"/>
        <v>0</v>
      </c>
      <c r="G38" s="35">
        <f t="shared" si="12"/>
        <v>0</v>
      </c>
      <c r="H38" s="35">
        <f t="shared" si="12"/>
        <v>0</v>
      </c>
      <c r="I38" s="35">
        <f t="shared" si="12"/>
        <v>0</v>
      </c>
      <c r="J38" s="35">
        <f t="shared" si="12"/>
        <v>0</v>
      </c>
      <c r="K38" s="35">
        <f t="shared" si="12"/>
        <v>0</v>
      </c>
      <c r="L38" s="35">
        <f t="shared" si="12"/>
        <v>0</v>
      </c>
      <c r="M38" s="35">
        <f t="shared" si="12"/>
        <v>0</v>
      </c>
      <c r="N38" s="35">
        <f t="shared" si="12"/>
        <v>0</v>
      </c>
      <c r="O38" s="35">
        <f t="shared" si="12"/>
        <v>0</v>
      </c>
      <c r="P38" s="35">
        <f t="shared" si="12"/>
        <v>0</v>
      </c>
      <c r="Q38" s="35">
        <f t="shared" si="12"/>
        <v>0</v>
      </c>
      <c r="R38" s="35">
        <f t="shared" si="12"/>
        <v>0</v>
      </c>
      <c r="S38" s="35">
        <f t="shared" si="12"/>
        <v>0</v>
      </c>
      <c r="T38" s="35">
        <f t="shared" si="12"/>
        <v>0</v>
      </c>
      <c r="U38" s="35">
        <f t="shared" si="12"/>
        <v>0</v>
      </c>
      <c r="V38" s="35">
        <f t="shared" si="12"/>
        <v>0</v>
      </c>
      <c r="W38" s="35">
        <f t="shared" si="12"/>
        <v>0</v>
      </c>
      <c r="X38" s="35">
        <f t="shared" si="12"/>
        <v>0</v>
      </c>
      <c r="Y38" s="35">
        <f t="shared" si="12"/>
        <v>0</v>
      </c>
      <c r="Z38" s="35">
        <f t="shared" si="12"/>
        <v>0</v>
      </c>
      <c r="AA38" s="35">
        <f t="shared" si="12"/>
        <v>0</v>
      </c>
      <c r="AB38" s="35">
        <f t="shared" si="12"/>
        <v>0</v>
      </c>
      <c r="AC38" s="35">
        <f t="shared" si="12"/>
        <v>0</v>
      </c>
      <c r="AD38" s="35">
        <f t="shared" si="12"/>
        <v>0</v>
      </c>
      <c r="AE38" s="35">
        <f t="shared" si="12"/>
        <v>0</v>
      </c>
      <c r="AF38" s="35">
        <f t="shared" si="12"/>
        <v>0</v>
      </c>
      <c r="AG38" s="35">
        <f t="shared" si="12"/>
        <v>0</v>
      </c>
      <c r="AH38" s="35">
        <f t="shared" si="12"/>
        <v>0</v>
      </c>
      <c r="AI38" s="72">
        <f t="shared" si="3"/>
        <v>0</v>
      </c>
    </row>
    <row r="39" spans="1:35" outlineLevel="2" x14ac:dyDescent="0.2">
      <c r="A39" s="17"/>
      <c r="B39" s="41" t="s">
        <v>708</v>
      </c>
      <c r="C39" s="13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72">
        <f t="shared" si="3"/>
        <v>0</v>
      </c>
    </row>
    <row r="40" spans="1:35" outlineLevel="2" x14ac:dyDescent="0.2">
      <c r="A40" s="17"/>
      <c r="B40" s="41" t="s">
        <v>709</v>
      </c>
      <c r="C40" s="13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72">
        <f t="shared" si="3"/>
        <v>0</v>
      </c>
    </row>
    <row r="41" spans="1:35" outlineLevel="2" x14ac:dyDescent="0.2">
      <c r="A41" s="17"/>
      <c r="B41" s="41" t="s">
        <v>710</v>
      </c>
      <c r="C41" s="13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72">
        <f t="shared" si="3"/>
        <v>0</v>
      </c>
    </row>
    <row r="42" spans="1:35" outlineLevel="1" x14ac:dyDescent="0.2">
      <c r="A42" s="15" t="s">
        <v>18</v>
      </c>
      <c r="B42" s="15" t="s">
        <v>19</v>
      </c>
      <c r="C42" s="13" t="s">
        <v>20</v>
      </c>
      <c r="D42" s="35">
        <f>D43+D47+D51</f>
        <v>0</v>
      </c>
      <c r="E42" s="35">
        <f t="shared" ref="E42:AH42" si="13">E43+E47+E51</f>
        <v>0</v>
      </c>
      <c r="F42" s="35">
        <f t="shared" si="13"/>
        <v>0</v>
      </c>
      <c r="G42" s="35">
        <f t="shared" si="13"/>
        <v>0</v>
      </c>
      <c r="H42" s="35">
        <f t="shared" si="13"/>
        <v>0</v>
      </c>
      <c r="I42" s="35">
        <f t="shared" si="13"/>
        <v>0</v>
      </c>
      <c r="J42" s="35">
        <f t="shared" si="13"/>
        <v>0</v>
      </c>
      <c r="K42" s="35">
        <f t="shared" si="13"/>
        <v>0</v>
      </c>
      <c r="L42" s="35">
        <f t="shared" si="13"/>
        <v>0</v>
      </c>
      <c r="M42" s="35">
        <f t="shared" si="13"/>
        <v>0</v>
      </c>
      <c r="N42" s="35">
        <f t="shared" si="13"/>
        <v>0</v>
      </c>
      <c r="O42" s="35">
        <f t="shared" si="13"/>
        <v>0</v>
      </c>
      <c r="P42" s="35">
        <f t="shared" si="13"/>
        <v>0</v>
      </c>
      <c r="Q42" s="35">
        <f t="shared" si="13"/>
        <v>0</v>
      </c>
      <c r="R42" s="35">
        <f t="shared" si="13"/>
        <v>0</v>
      </c>
      <c r="S42" s="35">
        <f t="shared" si="13"/>
        <v>0</v>
      </c>
      <c r="T42" s="35">
        <f t="shared" si="13"/>
        <v>0</v>
      </c>
      <c r="U42" s="35">
        <f t="shared" si="13"/>
        <v>37.44</v>
      </c>
      <c r="V42" s="35">
        <f t="shared" si="13"/>
        <v>0</v>
      </c>
      <c r="W42" s="35">
        <f t="shared" si="13"/>
        <v>0</v>
      </c>
      <c r="X42" s="35">
        <f t="shared" si="13"/>
        <v>0</v>
      </c>
      <c r="Y42" s="35">
        <f t="shared" si="13"/>
        <v>0</v>
      </c>
      <c r="Z42" s="35">
        <f t="shared" si="13"/>
        <v>0</v>
      </c>
      <c r="AA42" s="35">
        <f t="shared" si="13"/>
        <v>0</v>
      </c>
      <c r="AB42" s="35">
        <f t="shared" si="13"/>
        <v>1141.79</v>
      </c>
      <c r="AC42" s="35">
        <f t="shared" si="13"/>
        <v>0</v>
      </c>
      <c r="AD42" s="35">
        <f t="shared" si="13"/>
        <v>0</v>
      </c>
      <c r="AE42" s="35">
        <f t="shared" si="13"/>
        <v>0</v>
      </c>
      <c r="AF42" s="35">
        <f t="shared" si="13"/>
        <v>0</v>
      </c>
      <c r="AG42" s="35">
        <f t="shared" si="13"/>
        <v>0</v>
      </c>
      <c r="AH42" s="35">
        <f t="shared" si="13"/>
        <v>0</v>
      </c>
      <c r="AI42" s="72">
        <f t="shared" si="3"/>
        <v>1179.23</v>
      </c>
    </row>
    <row r="43" spans="1:35" ht="25.5" outlineLevel="2" x14ac:dyDescent="0.2">
      <c r="A43" s="18" t="s">
        <v>21</v>
      </c>
      <c r="B43" s="19" t="s">
        <v>22</v>
      </c>
      <c r="C43" s="13" t="s">
        <v>23</v>
      </c>
      <c r="D43" s="35">
        <f>SUM(D44:D46)</f>
        <v>0</v>
      </c>
      <c r="E43" s="35">
        <f t="shared" ref="E43:AH43" si="14">SUM(E44:E46)</f>
        <v>0</v>
      </c>
      <c r="F43" s="35">
        <f t="shared" si="14"/>
        <v>0</v>
      </c>
      <c r="G43" s="35">
        <f t="shared" si="14"/>
        <v>0</v>
      </c>
      <c r="H43" s="35">
        <f t="shared" si="14"/>
        <v>0</v>
      </c>
      <c r="I43" s="35">
        <f t="shared" si="14"/>
        <v>0</v>
      </c>
      <c r="J43" s="35">
        <f t="shared" si="14"/>
        <v>0</v>
      </c>
      <c r="K43" s="35">
        <f t="shared" si="14"/>
        <v>0</v>
      </c>
      <c r="L43" s="35">
        <f t="shared" si="14"/>
        <v>0</v>
      </c>
      <c r="M43" s="35">
        <f t="shared" si="14"/>
        <v>0</v>
      </c>
      <c r="N43" s="35">
        <f t="shared" si="14"/>
        <v>0</v>
      </c>
      <c r="O43" s="35">
        <f t="shared" si="14"/>
        <v>0</v>
      </c>
      <c r="P43" s="35">
        <f t="shared" si="14"/>
        <v>0</v>
      </c>
      <c r="Q43" s="35">
        <f t="shared" si="14"/>
        <v>0</v>
      </c>
      <c r="R43" s="35">
        <f t="shared" si="14"/>
        <v>0</v>
      </c>
      <c r="S43" s="35">
        <f t="shared" si="14"/>
        <v>0</v>
      </c>
      <c r="T43" s="35">
        <f t="shared" si="14"/>
        <v>0</v>
      </c>
      <c r="U43" s="35">
        <f t="shared" si="14"/>
        <v>37.44</v>
      </c>
      <c r="V43" s="35">
        <f t="shared" si="14"/>
        <v>0</v>
      </c>
      <c r="W43" s="35">
        <f t="shared" si="14"/>
        <v>0</v>
      </c>
      <c r="X43" s="35">
        <f t="shared" si="14"/>
        <v>0</v>
      </c>
      <c r="Y43" s="35">
        <f t="shared" si="14"/>
        <v>0</v>
      </c>
      <c r="Z43" s="35">
        <f t="shared" si="14"/>
        <v>0</v>
      </c>
      <c r="AA43" s="35">
        <f t="shared" si="14"/>
        <v>0</v>
      </c>
      <c r="AB43" s="35">
        <f t="shared" si="14"/>
        <v>1141.79</v>
      </c>
      <c r="AC43" s="35">
        <f t="shared" si="14"/>
        <v>0</v>
      </c>
      <c r="AD43" s="35">
        <f t="shared" si="14"/>
        <v>0</v>
      </c>
      <c r="AE43" s="35">
        <f t="shared" si="14"/>
        <v>0</v>
      </c>
      <c r="AF43" s="35">
        <f t="shared" si="14"/>
        <v>0</v>
      </c>
      <c r="AG43" s="35">
        <f t="shared" si="14"/>
        <v>0</v>
      </c>
      <c r="AH43" s="35">
        <f t="shared" si="14"/>
        <v>0</v>
      </c>
      <c r="AI43" s="72">
        <f t="shared" si="3"/>
        <v>1179.23</v>
      </c>
    </row>
    <row r="44" spans="1:35" outlineLevel="2" x14ac:dyDescent="0.2">
      <c r="A44" s="18"/>
      <c r="B44" s="41" t="s">
        <v>708</v>
      </c>
      <c r="C44" s="13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72">
        <f t="shared" si="3"/>
        <v>0</v>
      </c>
    </row>
    <row r="45" spans="1:35" outlineLevel="2" x14ac:dyDescent="0.2">
      <c r="A45" s="18"/>
      <c r="B45" s="41" t="s">
        <v>709</v>
      </c>
      <c r="C45" s="13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72">
        <f t="shared" si="3"/>
        <v>0</v>
      </c>
    </row>
    <row r="46" spans="1:35" outlineLevel="2" x14ac:dyDescent="0.2">
      <c r="A46" s="18"/>
      <c r="B46" s="41" t="s">
        <v>710</v>
      </c>
      <c r="C46" s="13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>
        <v>37.44</v>
      </c>
      <c r="V46" s="50"/>
      <c r="W46" s="50"/>
      <c r="X46" s="50"/>
      <c r="Y46" s="50"/>
      <c r="Z46" s="50"/>
      <c r="AA46" s="50"/>
      <c r="AB46" s="50">
        <v>1141.79</v>
      </c>
      <c r="AC46" s="50"/>
      <c r="AD46" s="50"/>
      <c r="AE46" s="50"/>
      <c r="AF46" s="50"/>
      <c r="AG46" s="50"/>
      <c r="AH46" s="50"/>
      <c r="AI46" s="72">
        <f t="shared" si="3"/>
        <v>1179.23</v>
      </c>
    </row>
    <row r="47" spans="1:35" outlineLevel="2" x14ac:dyDescent="0.2">
      <c r="A47" s="18" t="s">
        <v>24</v>
      </c>
      <c r="B47" s="19" t="s">
        <v>25</v>
      </c>
      <c r="C47" s="13" t="s">
        <v>26</v>
      </c>
      <c r="D47" s="35">
        <f>SUM(D48:D50)</f>
        <v>0</v>
      </c>
      <c r="E47" s="35">
        <f t="shared" ref="E47:AH47" si="15">SUM(E48:E50)</f>
        <v>0</v>
      </c>
      <c r="F47" s="35">
        <f t="shared" si="15"/>
        <v>0</v>
      </c>
      <c r="G47" s="35">
        <f t="shared" si="15"/>
        <v>0</v>
      </c>
      <c r="H47" s="35">
        <f t="shared" si="15"/>
        <v>0</v>
      </c>
      <c r="I47" s="35">
        <f t="shared" si="15"/>
        <v>0</v>
      </c>
      <c r="J47" s="35">
        <f t="shared" si="15"/>
        <v>0</v>
      </c>
      <c r="K47" s="35">
        <f t="shared" si="15"/>
        <v>0</v>
      </c>
      <c r="L47" s="35">
        <f t="shared" si="15"/>
        <v>0</v>
      </c>
      <c r="M47" s="35">
        <f t="shared" si="15"/>
        <v>0</v>
      </c>
      <c r="N47" s="35">
        <f t="shared" si="15"/>
        <v>0</v>
      </c>
      <c r="O47" s="35">
        <f t="shared" si="15"/>
        <v>0</v>
      </c>
      <c r="P47" s="35">
        <f t="shared" si="15"/>
        <v>0</v>
      </c>
      <c r="Q47" s="35">
        <f t="shared" si="15"/>
        <v>0</v>
      </c>
      <c r="R47" s="35">
        <f t="shared" si="15"/>
        <v>0</v>
      </c>
      <c r="S47" s="35">
        <f t="shared" si="15"/>
        <v>0</v>
      </c>
      <c r="T47" s="35">
        <f t="shared" si="15"/>
        <v>0</v>
      </c>
      <c r="U47" s="35">
        <f t="shared" si="15"/>
        <v>0</v>
      </c>
      <c r="V47" s="35">
        <f t="shared" si="15"/>
        <v>0</v>
      </c>
      <c r="W47" s="35">
        <f t="shared" si="15"/>
        <v>0</v>
      </c>
      <c r="X47" s="35">
        <f t="shared" si="15"/>
        <v>0</v>
      </c>
      <c r="Y47" s="35">
        <f t="shared" si="15"/>
        <v>0</v>
      </c>
      <c r="Z47" s="35">
        <f t="shared" si="15"/>
        <v>0</v>
      </c>
      <c r="AA47" s="35">
        <f t="shared" si="15"/>
        <v>0</v>
      </c>
      <c r="AB47" s="35">
        <f t="shared" si="15"/>
        <v>0</v>
      </c>
      <c r="AC47" s="35">
        <f t="shared" si="15"/>
        <v>0</v>
      </c>
      <c r="AD47" s="35">
        <f t="shared" si="15"/>
        <v>0</v>
      </c>
      <c r="AE47" s="35">
        <f t="shared" si="15"/>
        <v>0</v>
      </c>
      <c r="AF47" s="35">
        <f t="shared" si="15"/>
        <v>0</v>
      </c>
      <c r="AG47" s="35">
        <f t="shared" si="15"/>
        <v>0</v>
      </c>
      <c r="AH47" s="35">
        <f t="shared" si="15"/>
        <v>0</v>
      </c>
      <c r="AI47" s="72">
        <f t="shared" si="3"/>
        <v>0</v>
      </c>
    </row>
    <row r="48" spans="1:35" outlineLevel="2" x14ac:dyDescent="0.2">
      <c r="A48" s="18"/>
      <c r="B48" s="41" t="s">
        <v>708</v>
      </c>
      <c r="C48" s="13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72">
        <f t="shared" si="3"/>
        <v>0</v>
      </c>
    </row>
    <row r="49" spans="1:35" outlineLevel="2" x14ac:dyDescent="0.2">
      <c r="A49" s="18"/>
      <c r="B49" s="41" t="s">
        <v>709</v>
      </c>
      <c r="C49" s="13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72">
        <f t="shared" si="3"/>
        <v>0</v>
      </c>
    </row>
    <row r="50" spans="1:35" outlineLevel="2" x14ac:dyDescent="0.2">
      <c r="A50" s="18"/>
      <c r="B50" s="41" t="s">
        <v>710</v>
      </c>
      <c r="C50" s="13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72">
        <f t="shared" si="3"/>
        <v>0</v>
      </c>
    </row>
    <row r="51" spans="1:35" outlineLevel="2" x14ac:dyDescent="0.2">
      <c r="A51" s="18" t="s">
        <v>27</v>
      </c>
      <c r="B51" s="19" t="s">
        <v>28</v>
      </c>
      <c r="C51" s="13">
        <v>2110530000</v>
      </c>
      <c r="D51" s="35">
        <f>SUM(D52:D54)</f>
        <v>0</v>
      </c>
      <c r="E51" s="35">
        <f t="shared" ref="E51:AH51" si="16">SUM(E52:E54)</f>
        <v>0</v>
      </c>
      <c r="F51" s="35">
        <f t="shared" si="16"/>
        <v>0</v>
      </c>
      <c r="G51" s="35">
        <f t="shared" si="16"/>
        <v>0</v>
      </c>
      <c r="H51" s="35">
        <f t="shared" si="16"/>
        <v>0</v>
      </c>
      <c r="I51" s="35">
        <f t="shared" si="16"/>
        <v>0</v>
      </c>
      <c r="J51" s="35">
        <f t="shared" si="16"/>
        <v>0</v>
      </c>
      <c r="K51" s="35">
        <f t="shared" si="16"/>
        <v>0</v>
      </c>
      <c r="L51" s="35">
        <f t="shared" si="16"/>
        <v>0</v>
      </c>
      <c r="M51" s="35">
        <f t="shared" si="16"/>
        <v>0</v>
      </c>
      <c r="N51" s="35">
        <f t="shared" si="16"/>
        <v>0</v>
      </c>
      <c r="O51" s="35">
        <f t="shared" si="16"/>
        <v>0</v>
      </c>
      <c r="P51" s="35">
        <f t="shared" si="16"/>
        <v>0</v>
      </c>
      <c r="Q51" s="35">
        <f t="shared" si="16"/>
        <v>0</v>
      </c>
      <c r="R51" s="35">
        <f t="shared" si="16"/>
        <v>0</v>
      </c>
      <c r="S51" s="35">
        <f t="shared" si="16"/>
        <v>0</v>
      </c>
      <c r="T51" s="35">
        <f t="shared" si="16"/>
        <v>0</v>
      </c>
      <c r="U51" s="35">
        <f t="shared" si="16"/>
        <v>0</v>
      </c>
      <c r="V51" s="35">
        <f t="shared" si="16"/>
        <v>0</v>
      </c>
      <c r="W51" s="35">
        <f t="shared" si="16"/>
        <v>0</v>
      </c>
      <c r="X51" s="35">
        <f t="shared" si="16"/>
        <v>0</v>
      </c>
      <c r="Y51" s="35">
        <f t="shared" si="16"/>
        <v>0</v>
      </c>
      <c r="Z51" s="35">
        <f t="shared" si="16"/>
        <v>0</v>
      </c>
      <c r="AA51" s="35">
        <f t="shared" si="16"/>
        <v>0</v>
      </c>
      <c r="AB51" s="35">
        <f t="shared" si="16"/>
        <v>0</v>
      </c>
      <c r="AC51" s="35">
        <f t="shared" si="16"/>
        <v>0</v>
      </c>
      <c r="AD51" s="35">
        <f t="shared" si="16"/>
        <v>0</v>
      </c>
      <c r="AE51" s="35">
        <f t="shared" si="16"/>
        <v>0</v>
      </c>
      <c r="AF51" s="35">
        <f t="shared" si="16"/>
        <v>0</v>
      </c>
      <c r="AG51" s="35">
        <f t="shared" si="16"/>
        <v>0</v>
      </c>
      <c r="AH51" s="35">
        <f t="shared" si="16"/>
        <v>0</v>
      </c>
      <c r="AI51" s="72">
        <f t="shared" si="3"/>
        <v>0</v>
      </c>
    </row>
    <row r="52" spans="1:35" outlineLevel="2" x14ac:dyDescent="0.2">
      <c r="A52" s="18"/>
      <c r="B52" s="41" t="s">
        <v>708</v>
      </c>
      <c r="C52" s="13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72">
        <f t="shared" si="3"/>
        <v>0</v>
      </c>
    </row>
    <row r="53" spans="1:35" outlineLevel="2" x14ac:dyDescent="0.2">
      <c r="A53" s="18"/>
      <c r="B53" s="41" t="s">
        <v>709</v>
      </c>
      <c r="C53" s="13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72">
        <f t="shared" si="3"/>
        <v>0</v>
      </c>
    </row>
    <row r="54" spans="1:35" outlineLevel="2" x14ac:dyDescent="0.2">
      <c r="A54" s="18"/>
      <c r="B54" s="41" t="s">
        <v>710</v>
      </c>
      <c r="C54" s="13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72">
        <f t="shared" si="3"/>
        <v>0</v>
      </c>
    </row>
    <row r="55" spans="1:35" outlineLevel="1" x14ac:dyDescent="0.2">
      <c r="A55" s="15" t="s">
        <v>29</v>
      </c>
      <c r="B55" s="15" t="s">
        <v>30</v>
      </c>
      <c r="C55" s="13" t="s">
        <v>31</v>
      </c>
      <c r="D55" s="35">
        <f>D56+D60+D64+D68+D72+D76+D80</f>
        <v>0</v>
      </c>
      <c r="E55" s="35">
        <f t="shared" ref="E55:AH55" si="17">E56+E60+E64+E68+E72+E76+E80</f>
        <v>0</v>
      </c>
      <c r="F55" s="35">
        <f t="shared" si="17"/>
        <v>0</v>
      </c>
      <c r="G55" s="35">
        <f t="shared" si="17"/>
        <v>0</v>
      </c>
      <c r="H55" s="35">
        <f t="shared" si="17"/>
        <v>0</v>
      </c>
      <c r="I55" s="35">
        <f t="shared" si="17"/>
        <v>46389.5</v>
      </c>
      <c r="J55" s="35">
        <f t="shared" si="17"/>
        <v>0</v>
      </c>
      <c r="K55" s="35">
        <f t="shared" si="17"/>
        <v>0</v>
      </c>
      <c r="L55" s="35">
        <f t="shared" si="17"/>
        <v>0</v>
      </c>
      <c r="M55" s="35">
        <f t="shared" si="17"/>
        <v>270141.57</v>
      </c>
      <c r="N55" s="35">
        <f t="shared" si="17"/>
        <v>100895.39</v>
      </c>
      <c r="O55" s="35">
        <f t="shared" si="17"/>
        <v>2779989.74</v>
      </c>
      <c r="P55" s="35">
        <f t="shared" si="17"/>
        <v>15002.53</v>
      </c>
      <c r="Q55" s="35">
        <f t="shared" si="17"/>
        <v>96322.47</v>
      </c>
      <c r="R55" s="35">
        <f t="shared" si="17"/>
        <v>0</v>
      </c>
      <c r="S55" s="35">
        <f t="shared" si="17"/>
        <v>0</v>
      </c>
      <c r="T55" s="35">
        <f t="shared" si="17"/>
        <v>332184.33</v>
      </c>
      <c r="U55" s="35">
        <f t="shared" si="17"/>
        <v>89383.67</v>
      </c>
      <c r="V55" s="35">
        <f t="shared" si="17"/>
        <v>11229.619999999999</v>
      </c>
      <c r="W55" s="35">
        <f t="shared" si="17"/>
        <v>1142986.28</v>
      </c>
      <c r="X55" s="35">
        <f t="shared" si="17"/>
        <v>4333484.72</v>
      </c>
      <c r="Y55" s="35">
        <f t="shared" si="17"/>
        <v>0</v>
      </c>
      <c r="Z55" s="35">
        <f t="shared" si="17"/>
        <v>0</v>
      </c>
      <c r="AA55" s="35">
        <f t="shared" si="17"/>
        <v>375219.62</v>
      </c>
      <c r="AB55" s="35">
        <f t="shared" si="17"/>
        <v>6702257.71</v>
      </c>
      <c r="AC55" s="35">
        <f t="shared" si="17"/>
        <v>489431.08</v>
      </c>
      <c r="AD55" s="35">
        <f t="shared" si="17"/>
        <v>720513.37</v>
      </c>
      <c r="AE55" s="35">
        <f t="shared" si="17"/>
        <v>370147.16</v>
      </c>
      <c r="AF55" s="35">
        <f t="shared" si="17"/>
        <v>0</v>
      </c>
      <c r="AG55" s="35">
        <f t="shared" si="17"/>
        <v>0</v>
      </c>
      <c r="AH55" s="35">
        <f t="shared" si="17"/>
        <v>2319112.44</v>
      </c>
      <c r="AI55" s="72">
        <f t="shared" si="3"/>
        <v>20194691.199999999</v>
      </c>
    </row>
    <row r="56" spans="1:35" outlineLevel="2" x14ac:dyDescent="0.2">
      <c r="A56" s="18" t="s">
        <v>32</v>
      </c>
      <c r="B56" s="18" t="s">
        <v>33</v>
      </c>
      <c r="C56" s="13" t="s">
        <v>34</v>
      </c>
      <c r="D56" s="35">
        <f>SUM(D57:D59)</f>
        <v>0</v>
      </c>
      <c r="E56" s="35">
        <f t="shared" ref="E56:AH56" si="18">SUM(E57:E59)</f>
        <v>0</v>
      </c>
      <c r="F56" s="35">
        <f t="shared" si="18"/>
        <v>0</v>
      </c>
      <c r="G56" s="35">
        <f t="shared" si="18"/>
        <v>0</v>
      </c>
      <c r="H56" s="35">
        <f t="shared" si="18"/>
        <v>0</v>
      </c>
      <c r="I56" s="35">
        <f t="shared" si="18"/>
        <v>0</v>
      </c>
      <c r="J56" s="35">
        <f t="shared" si="18"/>
        <v>0</v>
      </c>
      <c r="K56" s="35">
        <f t="shared" si="18"/>
        <v>0</v>
      </c>
      <c r="L56" s="35">
        <f t="shared" si="18"/>
        <v>0</v>
      </c>
      <c r="M56" s="35">
        <f t="shared" si="18"/>
        <v>0</v>
      </c>
      <c r="N56" s="35">
        <f t="shared" si="18"/>
        <v>0</v>
      </c>
      <c r="O56" s="35">
        <f t="shared" si="18"/>
        <v>0</v>
      </c>
      <c r="P56" s="35">
        <f t="shared" si="18"/>
        <v>0</v>
      </c>
      <c r="Q56" s="35">
        <f t="shared" si="18"/>
        <v>0</v>
      </c>
      <c r="R56" s="35">
        <f t="shared" si="18"/>
        <v>0</v>
      </c>
      <c r="S56" s="35">
        <f t="shared" si="18"/>
        <v>0</v>
      </c>
      <c r="T56" s="35">
        <f t="shared" si="18"/>
        <v>0</v>
      </c>
      <c r="U56" s="35">
        <f t="shared" si="18"/>
        <v>0</v>
      </c>
      <c r="V56" s="35">
        <f t="shared" si="18"/>
        <v>0</v>
      </c>
      <c r="W56" s="35">
        <f t="shared" si="18"/>
        <v>0</v>
      </c>
      <c r="X56" s="35">
        <f t="shared" si="18"/>
        <v>0</v>
      </c>
      <c r="Y56" s="35">
        <f t="shared" si="18"/>
        <v>0</v>
      </c>
      <c r="Z56" s="35">
        <f t="shared" si="18"/>
        <v>0</v>
      </c>
      <c r="AA56" s="35">
        <f t="shared" si="18"/>
        <v>0</v>
      </c>
      <c r="AB56" s="35">
        <f t="shared" si="18"/>
        <v>0</v>
      </c>
      <c r="AC56" s="35">
        <f t="shared" si="18"/>
        <v>0</v>
      </c>
      <c r="AD56" s="35">
        <f t="shared" si="18"/>
        <v>0</v>
      </c>
      <c r="AE56" s="35">
        <f t="shared" si="18"/>
        <v>0</v>
      </c>
      <c r="AF56" s="35">
        <f t="shared" si="18"/>
        <v>0</v>
      </c>
      <c r="AG56" s="35">
        <f t="shared" si="18"/>
        <v>0</v>
      </c>
      <c r="AH56" s="35">
        <f t="shared" si="18"/>
        <v>0</v>
      </c>
      <c r="AI56" s="72">
        <f t="shared" si="3"/>
        <v>0</v>
      </c>
    </row>
    <row r="57" spans="1:35" outlineLevel="2" x14ac:dyDescent="0.2">
      <c r="A57" s="18"/>
      <c r="B57" s="41" t="s">
        <v>708</v>
      </c>
      <c r="C57" s="13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72">
        <f t="shared" si="3"/>
        <v>0</v>
      </c>
    </row>
    <row r="58" spans="1:35" outlineLevel="2" x14ac:dyDescent="0.2">
      <c r="A58" s="18"/>
      <c r="B58" s="41" t="s">
        <v>709</v>
      </c>
      <c r="C58" s="13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72">
        <f t="shared" si="3"/>
        <v>0</v>
      </c>
    </row>
    <row r="59" spans="1:35" outlineLevel="2" x14ac:dyDescent="0.2">
      <c r="A59" s="18"/>
      <c r="B59" s="41" t="s">
        <v>710</v>
      </c>
      <c r="C59" s="13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72">
        <f t="shared" si="3"/>
        <v>0</v>
      </c>
    </row>
    <row r="60" spans="1:35" outlineLevel="2" x14ac:dyDescent="0.2">
      <c r="A60" s="18" t="s">
        <v>35</v>
      </c>
      <c r="B60" s="18" t="s">
        <v>36</v>
      </c>
      <c r="C60" s="13" t="s">
        <v>37</v>
      </c>
      <c r="D60" s="35">
        <f>SUM(D61:D63)</f>
        <v>0</v>
      </c>
      <c r="E60" s="35">
        <f t="shared" ref="E60:AH60" si="19">SUM(E61:E63)</f>
        <v>0</v>
      </c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K60" s="35">
        <f t="shared" si="19"/>
        <v>0</v>
      </c>
      <c r="L60" s="35">
        <f t="shared" si="19"/>
        <v>0</v>
      </c>
      <c r="M60" s="35">
        <f t="shared" si="19"/>
        <v>0</v>
      </c>
      <c r="N60" s="35">
        <f t="shared" si="19"/>
        <v>0</v>
      </c>
      <c r="O60" s="35">
        <f t="shared" si="19"/>
        <v>0</v>
      </c>
      <c r="P60" s="35">
        <f t="shared" si="19"/>
        <v>0</v>
      </c>
      <c r="Q60" s="35">
        <f t="shared" si="19"/>
        <v>0</v>
      </c>
      <c r="R60" s="35">
        <f t="shared" si="19"/>
        <v>0</v>
      </c>
      <c r="S60" s="35">
        <f t="shared" si="19"/>
        <v>0</v>
      </c>
      <c r="T60" s="35">
        <f t="shared" si="19"/>
        <v>0</v>
      </c>
      <c r="U60" s="35">
        <f t="shared" si="19"/>
        <v>0</v>
      </c>
      <c r="V60" s="35">
        <f t="shared" si="19"/>
        <v>0</v>
      </c>
      <c r="W60" s="35">
        <f t="shared" si="19"/>
        <v>0</v>
      </c>
      <c r="X60" s="35">
        <f t="shared" si="19"/>
        <v>0</v>
      </c>
      <c r="Y60" s="35">
        <f t="shared" si="19"/>
        <v>0</v>
      </c>
      <c r="Z60" s="35">
        <f t="shared" si="19"/>
        <v>0</v>
      </c>
      <c r="AA60" s="35">
        <f t="shared" si="19"/>
        <v>0</v>
      </c>
      <c r="AB60" s="35">
        <f t="shared" si="19"/>
        <v>0</v>
      </c>
      <c r="AC60" s="35">
        <f t="shared" si="19"/>
        <v>0</v>
      </c>
      <c r="AD60" s="35">
        <f t="shared" si="19"/>
        <v>0</v>
      </c>
      <c r="AE60" s="35">
        <f t="shared" si="19"/>
        <v>0</v>
      </c>
      <c r="AF60" s="35">
        <f t="shared" si="19"/>
        <v>0</v>
      </c>
      <c r="AG60" s="35">
        <f t="shared" si="19"/>
        <v>0</v>
      </c>
      <c r="AH60" s="35">
        <f t="shared" si="19"/>
        <v>0</v>
      </c>
      <c r="AI60" s="72">
        <f t="shared" si="3"/>
        <v>0</v>
      </c>
    </row>
    <row r="61" spans="1:35" outlineLevel="2" x14ac:dyDescent="0.2">
      <c r="A61" s="18"/>
      <c r="B61" s="41" t="s">
        <v>708</v>
      </c>
      <c r="C61" s="13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72">
        <f t="shared" si="3"/>
        <v>0</v>
      </c>
    </row>
    <row r="62" spans="1:35" outlineLevel="2" x14ac:dyDescent="0.2">
      <c r="A62" s="18"/>
      <c r="B62" s="41" t="s">
        <v>709</v>
      </c>
      <c r="C62" s="13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72">
        <f t="shared" si="3"/>
        <v>0</v>
      </c>
    </row>
    <row r="63" spans="1:35" outlineLevel="2" x14ac:dyDescent="0.2">
      <c r="A63" s="18"/>
      <c r="B63" s="41" t="s">
        <v>710</v>
      </c>
      <c r="C63" s="13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72">
        <f t="shared" si="3"/>
        <v>0</v>
      </c>
    </row>
    <row r="64" spans="1:35" outlineLevel="2" x14ac:dyDescent="0.2">
      <c r="A64" s="18" t="s">
        <v>38</v>
      </c>
      <c r="B64" s="18" t="s">
        <v>39</v>
      </c>
      <c r="C64" s="13" t="s">
        <v>40</v>
      </c>
      <c r="D64" s="35">
        <f>SUM(D65:D67)</f>
        <v>0</v>
      </c>
      <c r="E64" s="35">
        <f t="shared" ref="E64:AH64" si="20">SUM(E65:E67)</f>
        <v>0</v>
      </c>
      <c r="F64" s="35">
        <f t="shared" si="20"/>
        <v>0</v>
      </c>
      <c r="G64" s="35">
        <f t="shared" si="20"/>
        <v>0</v>
      </c>
      <c r="H64" s="35">
        <f t="shared" si="20"/>
        <v>0</v>
      </c>
      <c r="I64" s="35">
        <f t="shared" si="20"/>
        <v>0</v>
      </c>
      <c r="J64" s="35">
        <f t="shared" si="20"/>
        <v>0</v>
      </c>
      <c r="K64" s="35">
        <f t="shared" si="20"/>
        <v>0</v>
      </c>
      <c r="L64" s="35">
        <f t="shared" si="20"/>
        <v>0</v>
      </c>
      <c r="M64" s="35">
        <f t="shared" si="20"/>
        <v>0</v>
      </c>
      <c r="N64" s="35">
        <f t="shared" si="20"/>
        <v>0</v>
      </c>
      <c r="O64" s="35">
        <f t="shared" si="20"/>
        <v>0</v>
      </c>
      <c r="P64" s="35">
        <f t="shared" si="20"/>
        <v>0</v>
      </c>
      <c r="Q64" s="35">
        <f t="shared" si="20"/>
        <v>0</v>
      </c>
      <c r="R64" s="35">
        <f t="shared" si="20"/>
        <v>0</v>
      </c>
      <c r="S64" s="35">
        <f t="shared" si="20"/>
        <v>0</v>
      </c>
      <c r="T64" s="35">
        <f t="shared" si="20"/>
        <v>0</v>
      </c>
      <c r="U64" s="35">
        <f t="shared" si="20"/>
        <v>0</v>
      </c>
      <c r="V64" s="35">
        <f t="shared" si="20"/>
        <v>0</v>
      </c>
      <c r="W64" s="35">
        <f t="shared" si="20"/>
        <v>0</v>
      </c>
      <c r="X64" s="35">
        <f t="shared" si="20"/>
        <v>0</v>
      </c>
      <c r="Y64" s="35">
        <f t="shared" si="20"/>
        <v>0</v>
      </c>
      <c r="Z64" s="35">
        <f t="shared" si="20"/>
        <v>0</v>
      </c>
      <c r="AA64" s="35">
        <f t="shared" si="20"/>
        <v>0</v>
      </c>
      <c r="AB64" s="35">
        <f t="shared" si="20"/>
        <v>0</v>
      </c>
      <c r="AC64" s="35">
        <f t="shared" si="20"/>
        <v>0</v>
      </c>
      <c r="AD64" s="35">
        <f t="shared" si="20"/>
        <v>0</v>
      </c>
      <c r="AE64" s="35">
        <f t="shared" si="20"/>
        <v>0</v>
      </c>
      <c r="AF64" s="35">
        <f t="shared" si="20"/>
        <v>0</v>
      </c>
      <c r="AG64" s="35">
        <f t="shared" si="20"/>
        <v>0</v>
      </c>
      <c r="AH64" s="35">
        <f t="shared" si="20"/>
        <v>0</v>
      </c>
      <c r="AI64" s="72">
        <f t="shared" si="3"/>
        <v>0</v>
      </c>
    </row>
    <row r="65" spans="1:35" outlineLevel="2" x14ac:dyDescent="0.2">
      <c r="A65" s="18"/>
      <c r="B65" s="41" t="s">
        <v>708</v>
      </c>
      <c r="C65" s="13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72">
        <f t="shared" si="3"/>
        <v>0</v>
      </c>
    </row>
    <row r="66" spans="1:35" outlineLevel="2" x14ac:dyDescent="0.2">
      <c r="A66" s="18"/>
      <c r="B66" s="41" t="s">
        <v>709</v>
      </c>
      <c r="C66" s="13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72">
        <f t="shared" si="3"/>
        <v>0</v>
      </c>
    </row>
    <row r="67" spans="1:35" outlineLevel="2" x14ac:dyDescent="0.2">
      <c r="A67" s="18"/>
      <c r="B67" s="41" t="s">
        <v>710</v>
      </c>
      <c r="C67" s="13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72">
        <f t="shared" si="3"/>
        <v>0</v>
      </c>
    </row>
    <row r="68" spans="1:35" outlineLevel="2" x14ac:dyDescent="0.2">
      <c r="A68" s="18" t="s">
        <v>41</v>
      </c>
      <c r="B68" s="18" t="s">
        <v>42</v>
      </c>
      <c r="C68" s="13" t="s">
        <v>43</v>
      </c>
      <c r="D68" s="35">
        <f>SUM(D69:D71)</f>
        <v>0</v>
      </c>
      <c r="E68" s="35">
        <f t="shared" ref="E68:AH68" si="21">SUM(E69:E71)</f>
        <v>0</v>
      </c>
      <c r="F68" s="35">
        <f t="shared" si="21"/>
        <v>0</v>
      </c>
      <c r="G68" s="35">
        <f t="shared" si="21"/>
        <v>0</v>
      </c>
      <c r="H68" s="35">
        <f t="shared" si="21"/>
        <v>0</v>
      </c>
      <c r="I68" s="35">
        <f t="shared" si="21"/>
        <v>0</v>
      </c>
      <c r="J68" s="35">
        <f t="shared" si="21"/>
        <v>0</v>
      </c>
      <c r="K68" s="35">
        <f t="shared" si="21"/>
        <v>0</v>
      </c>
      <c r="L68" s="35">
        <f t="shared" si="21"/>
        <v>0</v>
      </c>
      <c r="M68" s="35">
        <f t="shared" si="21"/>
        <v>0</v>
      </c>
      <c r="N68" s="35">
        <f t="shared" si="21"/>
        <v>0</v>
      </c>
      <c r="O68" s="35">
        <f t="shared" si="21"/>
        <v>0</v>
      </c>
      <c r="P68" s="35">
        <f t="shared" si="21"/>
        <v>0</v>
      </c>
      <c r="Q68" s="35">
        <f t="shared" si="21"/>
        <v>0</v>
      </c>
      <c r="R68" s="35">
        <f t="shared" si="21"/>
        <v>0</v>
      </c>
      <c r="S68" s="35">
        <f t="shared" si="21"/>
        <v>0</v>
      </c>
      <c r="T68" s="35">
        <f t="shared" si="21"/>
        <v>0</v>
      </c>
      <c r="U68" s="35">
        <f t="shared" si="21"/>
        <v>0</v>
      </c>
      <c r="V68" s="35">
        <f t="shared" si="21"/>
        <v>0</v>
      </c>
      <c r="W68" s="35">
        <f t="shared" si="21"/>
        <v>0</v>
      </c>
      <c r="X68" s="35">
        <f t="shared" si="21"/>
        <v>0</v>
      </c>
      <c r="Y68" s="35">
        <f t="shared" si="21"/>
        <v>0</v>
      </c>
      <c r="Z68" s="35">
        <f t="shared" si="21"/>
        <v>0</v>
      </c>
      <c r="AA68" s="35">
        <f t="shared" si="21"/>
        <v>0</v>
      </c>
      <c r="AB68" s="35">
        <f t="shared" si="21"/>
        <v>0</v>
      </c>
      <c r="AC68" s="35">
        <f t="shared" si="21"/>
        <v>0</v>
      </c>
      <c r="AD68" s="35">
        <f t="shared" si="21"/>
        <v>0</v>
      </c>
      <c r="AE68" s="35">
        <f t="shared" si="21"/>
        <v>0</v>
      </c>
      <c r="AF68" s="35">
        <f t="shared" si="21"/>
        <v>0</v>
      </c>
      <c r="AG68" s="35">
        <f t="shared" si="21"/>
        <v>0</v>
      </c>
      <c r="AH68" s="35">
        <f t="shared" si="21"/>
        <v>0</v>
      </c>
      <c r="AI68" s="72">
        <f t="shared" si="3"/>
        <v>0</v>
      </c>
    </row>
    <row r="69" spans="1:35" outlineLevel="2" x14ac:dyDescent="0.2">
      <c r="A69" s="18"/>
      <c r="B69" s="41" t="s">
        <v>708</v>
      </c>
      <c r="C69" s="13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72">
        <f t="shared" si="3"/>
        <v>0</v>
      </c>
    </row>
    <row r="70" spans="1:35" outlineLevel="2" x14ac:dyDescent="0.2">
      <c r="A70" s="18"/>
      <c r="B70" s="41" t="s">
        <v>709</v>
      </c>
      <c r="C70" s="13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72">
        <f t="shared" si="3"/>
        <v>0</v>
      </c>
    </row>
    <row r="71" spans="1:35" outlineLevel="2" x14ac:dyDescent="0.2">
      <c r="A71" s="18"/>
      <c r="B71" s="41" t="s">
        <v>710</v>
      </c>
      <c r="C71" s="13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72">
        <f t="shared" si="3"/>
        <v>0</v>
      </c>
    </row>
    <row r="72" spans="1:35" outlineLevel="2" x14ac:dyDescent="0.2">
      <c r="A72" s="18" t="s">
        <v>44</v>
      </c>
      <c r="B72" s="18" t="s">
        <v>45</v>
      </c>
      <c r="C72" s="13" t="s">
        <v>46</v>
      </c>
      <c r="D72" s="35">
        <f>SUM(D73:D75)</f>
        <v>0</v>
      </c>
      <c r="E72" s="35">
        <f t="shared" ref="E72:AH72" si="22">SUM(E73:E75)</f>
        <v>0</v>
      </c>
      <c r="F72" s="35">
        <f t="shared" si="22"/>
        <v>0</v>
      </c>
      <c r="G72" s="35">
        <f t="shared" si="22"/>
        <v>0</v>
      </c>
      <c r="H72" s="35">
        <f t="shared" si="22"/>
        <v>0</v>
      </c>
      <c r="I72" s="35">
        <f t="shared" si="22"/>
        <v>0</v>
      </c>
      <c r="J72" s="35">
        <f t="shared" si="22"/>
        <v>0</v>
      </c>
      <c r="K72" s="35">
        <f t="shared" si="22"/>
        <v>0</v>
      </c>
      <c r="L72" s="35">
        <f t="shared" si="22"/>
        <v>0</v>
      </c>
      <c r="M72" s="35">
        <f t="shared" si="22"/>
        <v>0</v>
      </c>
      <c r="N72" s="35">
        <f t="shared" si="22"/>
        <v>0</v>
      </c>
      <c r="O72" s="35">
        <f t="shared" si="22"/>
        <v>0</v>
      </c>
      <c r="P72" s="35">
        <f t="shared" si="22"/>
        <v>0</v>
      </c>
      <c r="Q72" s="35">
        <f t="shared" si="22"/>
        <v>0</v>
      </c>
      <c r="R72" s="35">
        <f t="shared" si="22"/>
        <v>0</v>
      </c>
      <c r="S72" s="35">
        <f t="shared" si="22"/>
        <v>0</v>
      </c>
      <c r="T72" s="35">
        <f t="shared" si="22"/>
        <v>0</v>
      </c>
      <c r="U72" s="35">
        <f t="shared" si="22"/>
        <v>0</v>
      </c>
      <c r="V72" s="35">
        <f t="shared" si="22"/>
        <v>0</v>
      </c>
      <c r="W72" s="35">
        <f t="shared" si="22"/>
        <v>0</v>
      </c>
      <c r="X72" s="35">
        <f t="shared" si="22"/>
        <v>0</v>
      </c>
      <c r="Y72" s="35">
        <f t="shared" si="22"/>
        <v>0</v>
      </c>
      <c r="Z72" s="35">
        <f t="shared" si="22"/>
        <v>0</v>
      </c>
      <c r="AA72" s="35">
        <f t="shared" si="22"/>
        <v>0</v>
      </c>
      <c r="AB72" s="35">
        <f t="shared" si="22"/>
        <v>0</v>
      </c>
      <c r="AC72" s="35">
        <f t="shared" si="22"/>
        <v>0</v>
      </c>
      <c r="AD72" s="35">
        <f t="shared" si="22"/>
        <v>0</v>
      </c>
      <c r="AE72" s="35">
        <f t="shared" si="22"/>
        <v>0</v>
      </c>
      <c r="AF72" s="35">
        <f t="shared" si="22"/>
        <v>0</v>
      </c>
      <c r="AG72" s="35">
        <f t="shared" si="22"/>
        <v>0</v>
      </c>
      <c r="AH72" s="35">
        <f t="shared" si="22"/>
        <v>0</v>
      </c>
      <c r="AI72" s="72">
        <f t="shared" si="3"/>
        <v>0</v>
      </c>
    </row>
    <row r="73" spans="1:35" outlineLevel="2" x14ac:dyDescent="0.2">
      <c r="A73" s="18"/>
      <c r="B73" s="41" t="s">
        <v>708</v>
      </c>
      <c r="C73" s="13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72">
        <f t="shared" si="3"/>
        <v>0</v>
      </c>
    </row>
    <row r="74" spans="1:35" outlineLevel="2" x14ac:dyDescent="0.2">
      <c r="A74" s="18"/>
      <c r="B74" s="41" t="s">
        <v>709</v>
      </c>
      <c r="C74" s="13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72">
        <f t="shared" si="3"/>
        <v>0</v>
      </c>
    </row>
    <row r="75" spans="1:35" outlineLevel="2" x14ac:dyDescent="0.2">
      <c r="A75" s="18"/>
      <c r="B75" s="41" t="s">
        <v>710</v>
      </c>
      <c r="C75" s="13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72">
        <f t="shared" ref="AI75:AI138" si="23">SUM(D75:AH75)</f>
        <v>0</v>
      </c>
    </row>
    <row r="76" spans="1:35" ht="38.25" outlineLevel="2" x14ac:dyDescent="0.2">
      <c r="A76" s="18" t="s">
        <v>47</v>
      </c>
      <c r="B76" s="18" t="s">
        <v>48</v>
      </c>
      <c r="C76" s="13" t="s">
        <v>49</v>
      </c>
      <c r="D76" s="35">
        <f>SUM(D77:D79)</f>
        <v>0</v>
      </c>
      <c r="E76" s="35">
        <f t="shared" ref="E76:AH76" si="24">SUM(E77:E79)</f>
        <v>0</v>
      </c>
      <c r="F76" s="35">
        <f t="shared" si="24"/>
        <v>0</v>
      </c>
      <c r="G76" s="35">
        <f t="shared" si="24"/>
        <v>0</v>
      </c>
      <c r="H76" s="35">
        <f t="shared" si="24"/>
        <v>0</v>
      </c>
      <c r="I76" s="35">
        <f t="shared" si="24"/>
        <v>0</v>
      </c>
      <c r="J76" s="35">
        <f t="shared" si="24"/>
        <v>0</v>
      </c>
      <c r="K76" s="35">
        <f t="shared" si="24"/>
        <v>0</v>
      </c>
      <c r="L76" s="35">
        <f t="shared" si="24"/>
        <v>0</v>
      </c>
      <c r="M76" s="35">
        <f t="shared" si="24"/>
        <v>0</v>
      </c>
      <c r="N76" s="35">
        <f t="shared" si="24"/>
        <v>0</v>
      </c>
      <c r="O76" s="35">
        <f t="shared" si="24"/>
        <v>0</v>
      </c>
      <c r="P76" s="35">
        <f t="shared" si="24"/>
        <v>0</v>
      </c>
      <c r="Q76" s="35">
        <f t="shared" si="24"/>
        <v>0</v>
      </c>
      <c r="R76" s="35">
        <f t="shared" si="24"/>
        <v>0</v>
      </c>
      <c r="S76" s="35">
        <f t="shared" si="24"/>
        <v>0</v>
      </c>
      <c r="T76" s="35">
        <f t="shared" si="24"/>
        <v>0</v>
      </c>
      <c r="U76" s="35">
        <f t="shared" si="24"/>
        <v>0</v>
      </c>
      <c r="V76" s="35">
        <f t="shared" si="24"/>
        <v>0</v>
      </c>
      <c r="W76" s="35">
        <f t="shared" si="24"/>
        <v>0</v>
      </c>
      <c r="X76" s="35">
        <f t="shared" si="24"/>
        <v>0</v>
      </c>
      <c r="Y76" s="35">
        <f t="shared" si="24"/>
        <v>0</v>
      </c>
      <c r="Z76" s="35">
        <f t="shared" si="24"/>
        <v>0</v>
      </c>
      <c r="AA76" s="35">
        <f t="shared" si="24"/>
        <v>0</v>
      </c>
      <c r="AB76" s="35">
        <f t="shared" si="24"/>
        <v>0</v>
      </c>
      <c r="AC76" s="35">
        <f t="shared" si="24"/>
        <v>0</v>
      </c>
      <c r="AD76" s="35">
        <f t="shared" si="24"/>
        <v>0</v>
      </c>
      <c r="AE76" s="35">
        <f t="shared" si="24"/>
        <v>0</v>
      </c>
      <c r="AF76" s="35">
        <f t="shared" si="24"/>
        <v>0</v>
      </c>
      <c r="AG76" s="35">
        <f t="shared" si="24"/>
        <v>0</v>
      </c>
      <c r="AH76" s="35">
        <f t="shared" si="24"/>
        <v>0</v>
      </c>
      <c r="AI76" s="72">
        <f t="shared" si="23"/>
        <v>0</v>
      </c>
    </row>
    <row r="77" spans="1:35" outlineLevel="2" x14ac:dyDescent="0.2">
      <c r="A77" s="18"/>
      <c r="B77" s="41" t="s">
        <v>708</v>
      </c>
      <c r="C77" s="13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72">
        <f t="shared" si="23"/>
        <v>0</v>
      </c>
    </row>
    <row r="78" spans="1:35" outlineLevel="2" x14ac:dyDescent="0.2">
      <c r="A78" s="18"/>
      <c r="B78" s="41" t="s">
        <v>709</v>
      </c>
      <c r="C78" s="13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72">
        <f t="shared" si="23"/>
        <v>0</v>
      </c>
    </row>
    <row r="79" spans="1:35" outlineLevel="2" x14ac:dyDescent="0.2">
      <c r="A79" s="18"/>
      <c r="B79" s="41" t="s">
        <v>710</v>
      </c>
      <c r="C79" s="13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72">
        <f t="shared" si="23"/>
        <v>0</v>
      </c>
    </row>
    <row r="80" spans="1:35" outlineLevel="2" x14ac:dyDescent="0.2">
      <c r="A80" s="18" t="s">
        <v>50</v>
      </c>
      <c r="B80" s="18" t="s">
        <v>51</v>
      </c>
      <c r="C80" s="13" t="s">
        <v>52</v>
      </c>
      <c r="D80" s="35">
        <f>D81+D85</f>
        <v>0</v>
      </c>
      <c r="E80" s="35">
        <f t="shared" ref="E80:AH80" si="25">E81+E85</f>
        <v>0</v>
      </c>
      <c r="F80" s="35">
        <f t="shared" si="25"/>
        <v>0</v>
      </c>
      <c r="G80" s="35">
        <f t="shared" si="25"/>
        <v>0</v>
      </c>
      <c r="H80" s="35">
        <f t="shared" si="25"/>
        <v>0</v>
      </c>
      <c r="I80" s="35">
        <f t="shared" si="25"/>
        <v>46389.5</v>
      </c>
      <c r="J80" s="35">
        <f t="shared" si="25"/>
        <v>0</v>
      </c>
      <c r="K80" s="35">
        <f t="shared" si="25"/>
        <v>0</v>
      </c>
      <c r="L80" s="35">
        <f t="shared" si="25"/>
        <v>0</v>
      </c>
      <c r="M80" s="35">
        <f t="shared" si="25"/>
        <v>270141.57</v>
      </c>
      <c r="N80" s="35">
        <f t="shared" si="25"/>
        <v>100895.39</v>
      </c>
      <c r="O80" s="35">
        <f t="shared" si="25"/>
        <v>2779989.74</v>
      </c>
      <c r="P80" s="35">
        <f t="shared" si="25"/>
        <v>15002.53</v>
      </c>
      <c r="Q80" s="35">
        <f t="shared" si="25"/>
        <v>96322.47</v>
      </c>
      <c r="R80" s="35">
        <f t="shared" si="25"/>
        <v>0</v>
      </c>
      <c r="S80" s="35">
        <f t="shared" si="25"/>
        <v>0</v>
      </c>
      <c r="T80" s="35">
        <f t="shared" si="25"/>
        <v>332184.33</v>
      </c>
      <c r="U80" s="35">
        <f t="shared" si="25"/>
        <v>89383.67</v>
      </c>
      <c r="V80" s="35">
        <f t="shared" si="25"/>
        <v>11229.619999999999</v>
      </c>
      <c r="W80" s="35">
        <f t="shared" si="25"/>
        <v>1142986.28</v>
      </c>
      <c r="X80" s="35">
        <f t="shared" si="25"/>
        <v>4333484.72</v>
      </c>
      <c r="Y80" s="35">
        <f t="shared" si="25"/>
        <v>0</v>
      </c>
      <c r="Z80" s="35">
        <f t="shared" si="25"/>
        <v>0</v>
      </c>
      <c r="AA80" s="35">
        <f t="shared" si="25"/>
        <v>375219.62</v>
      </c>
      <c r="AB80" s="35">
        <f t="shared" si="25"/>
        <v>6702257.71</v>
      </c>
      <c r="AC80" s="35">
        <f t="shared" si="25"/>
        <v>489431.08</v>
      </c>
      <c r="AD80" s="35">
        <f t="shared" si="25"/>
        <v>720513.37</v>
      </c>
      <c r="AE80" s="35">
        <f t="shared" si="25"/>
        <v>370147.16</v>
      </c>
      <c r="AF80" s="35">
        <f t="shared" si="25"/>
        <v>0</v>
      </c>
      <c r="AG80" s="35">
        <f t="shared" si="25"/>
        <v>0</v>
      </c>
      <c r="AH80" s="35">
        <f t="shared" si="25"/>
        <v>2319112.44</v>
      </c>
      <c r="AI80" s="72">
        <f t="shared" si="23"/>
        <v>20194691.199999999</v>
      </c>
    </row>
    <row r="81" spans="1:35" outlineLevel="3" x14ac:dyDescent="0.2">
      <c r="A81" s="20" t="s">
        <v>53</v>
      </c>
      <c r="B81" s="20" t="s">
        <v>54</v>
      </c>
      <c r="C81" s="13" t="s">
        <v>55</v>
      </c>
      <c r="D81" s="35">
        <f>SUM(D82:D84)</f>
        <v>0</v>
      </c>
      <c r="E81" s="35">
        <f t="shared" ref="E81:AH81" si="26">SUM(E82:E84)</f>
        <v>0</v>
      </c>
      <c r="F81" s="35">
        <f t="shared" si="26"/>
        <v>0</v>
      </c>
      <c r="G81" s="35">
        <f t="shared" si="26"/>
        <v>0</v>
      </c>
      <c r="H81" s="35">
        <f t="shared" si="26"/>
        <v>0</v>
      </c>
      <c r="I81" s="35">
        <f t="shared" si="26"/>
        <v>0</v>
      </c>
      <c r="J81" s="35">
        <f t="shared" si="26"/>
        <v>0</v>
      </c>
      <c r="K81" s="35">
        <f t="shared" si="26"/>
        <v>0</v>
      </c>
      <c r="L81" s="35">
        <f t="shared" si="26"/>
        <v>0</v>
      </c>
      <c r="M81" s="35">
        <f t="shared" si="26"/>
        <v>0</v>
      </c>
      <c r="N81" s="35">
        <f t="shared" si="26"/>
        <v>0</v>
      </c>
      <c r="O81" s="35">
        <f t="shared" si="26"/>
        <v>0</v>
      </c>
      <c r="P81" s="35">
        <f t="shared" si="26"/>
        <v>0</v>
      </c>
      <c r="Q81" s="35">
        <f t="shared" si="26"/>
        <v>0</v>
      </c>
      <c r="R81" s="35">
        <f t="shared" si="26"/>
        <v>0</v>
      </c>
      <c r="S81" s="35">
        <f t="shared" si="26"/>
        <v>0</v>
      </c>
      <c r="T81" s="35">
        <f t="shared" si="26"/>
        <v>0</v>
      </c>
      <c r="U81" s="35">
        <f t="shared" si="26"/>
        <v>0</v>
      </c>
      <c r="V81" s="35">
        <f t="shared" si="26"/>
        <v>0</v>
      </c>
      <c r="W81" s="35">
        <f t="shared" si="26"/>
        <v>0</v>
      </c>
      <c r="X81" s="35">
        <f t="shared" si="26"/>
        <v>0</v>
      </c>
      <c r="Y81" s="35">
        <f t="shared" si="26"/>
        <v>0</v>
      </c>
      <c r="Z81" s="35">
        <f t="shared" si="26"/>
        <v>0</v>
      </c>
      <c r="AA81" s="35">
        <f t="shared" si="26"/>
        <v>0</v>
      </c>
      <c r="AB81" s="35">
        <f t="shared" si="26"/>
        <v>0</v>
      </c>
      <c r="AC81" s="35">
        <f t="shared" si="26"/>
        <v>0</v>
      </c>
      <c r="AD81" s="35">
        <f t="shared" si="26"/>
        <v>0</v>
      </c>
      <c r="AE81" s="35">
        <f t="shared" si="26"/>
        <v>0</v>
      </c>
      <c r="AF81" s="35">
        <f t="shared" si="26"/>
        <v>0</v>
      </c>
      <c r="AG81" s="35">
        <f t="shared" si="26"/>
        <v>0</v>
      </c>
      <c r="AH81" s="35">
        <f t="shared" si="26"/>
        <v>0</v>
      </c>
      <c r="AI81" s="72">
        <f t="shared" si="23"/>
        <v>0</v>
      </c>
    </row>
    <row r="82" spans="1:35" outlineLevel="3" x14ac:dyDescent="0.2">
      <c r="A82" s="20"/>
      <c r="B82" s="41" t="s">
        <v>708</v>
      </c>
      <c r="C82" s="13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72">
        <f t="shared" si="23"/>
        <v>0</v>
      </c>
    </row>
    <row r="83" spans="1:35" outlineLevel="3" x14ac:dyDescent="0.2">
      <c r="A83" s="20"/>
      <c r="B83" s="41" t="s">
        <v>709</v>
      </c>
      <c r="C83" s="13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72">
        <f t="shared" si="23"/>
        <v>0</v>
      </c>
    </row>
    <row r="84" spans="1:35" outlineLevel="3" x14ac:dyDescent="0.2">
      <c r="A84" s="20"/>
      <c r="B84" s="41" t="s">
        <v>710</v>
      </c>
      <c r="C84" s="13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72">
        <f t="shared" si="23"/>
        <v>0</v>
      </c>
    </row>
    <row r="85" spans="1:35" outlineLevel="3" x14ac:dyDescent="0.2">
      <c r="A85" s="20" t="s">
        <v>56</v>
      </c>
      <c r="B85" s="20" t="s">
        <v>57</v>
      </c>
      <c r="C85" s="13" t="s">
        <v>58</v>
      </c>
      <c r="D85" s="35">
        <f>SUM(D86:D88)</f>
        <v>0</v>
      </c>
      <c r="E85" s="35">
        <f t="shared" ref="E85:AH85" si="27">SUM(E86:E88)</f>
        <v>0</v>
      </c>
      <c r="F85" s="35">
        <f t="shared" si="27"/>
        <v>0</v>
      </c>
      <c r="G85" s="35">
        <f t="shared" si="27"/>
        <v>0</v>
      </c>
      <c r="H85" s="35">
        <f t="shared" si="27"/>
        <v>0</v>
      </c>
      <c r="I85" s="35">
        <f t="shared" si="27"/>
        <v>46389.5</v>
      </c>
      <c r="J85" s="35">
        <f t="shared" si="27"/>
        <v>0</v>
      </c>
      <c r="K85" s="35">
        <f t="shared" si="27"/>
        <v>0</v>
      </c>
      <c r="L85" s="35">
        <f t="shared" si="27"/>
        <v>0</v>
      </c>
      <c r="M85" s="35">
        <f t="shared" si="27"/>
        <v>270141.57</v>
      </c>
      <c r="N85" s="35">
        <f t="shared" si="27"/>
        <v>100895.39</v>
      </c>
      <c r="O85" s="35">
        <f t="shared" si="27"/>
        <v>2779989.74</v>
      </c>
      <c r="P85" s="35">
        <f t="shared" si="27"/>
        <v>15002.53</v>
      </c>
      <c r="Q85" s="35">
        <f t="shared" si="27"/>
        <v>96322.47</v>
      </c>
      <c r="R85" s="35">
        <f t="shared" si="27"/>
        <v>0</v>
      </c>
      <c r="S85" s="35">
        <f t="shared" si="27"/>
        <v>0</v>
      </c>
      <c r="T85" s="35">
        <f t="shared" si="27"/>
        <v>332184.33</v>
      </c>
      <c r="U85" s="35">
        <f t="shared" si="27"/>
        <v>89383.67</v>
      </c>
      <c r="V85" s="35">
        <f t="shared" si="27"/>
        <v>11229.619999999999</v>
      </c>
      <c r="W85" s="35">
        <f t="shared" si="27"/>
        <v>1142986.28</v>
      </c>
      <c r="X85" s="35">
        <f t="shared" si="27"/>
        <v>4333484.72</v>
      </c>
      <c r="Y85" s="35">
        <f t="shared" si="27"/>
        <v>0</v>
      </c>
      <c r="Z85" s="35">
        <f t="shared" si="27"/>
        <v>0</v>
      </c>
      <c r="AA85" s="35">
        <f t="shared" si="27"/>
        <v>375219.62</v>
      </c>
      <c r="AB85" s="35">
        <f t="shared" si="27"/>
        <v>6702257.71</v>
      </c>
      <c r="AC85" s="35">
        <f t="shared" si="27"/>
        <v>489431.08</v>
      </c>
      <c r="AD85" s="35">
        <f t="shared" si="27"/>
        <v>720513.37</v>
      </c>
      <c r="AE85" s="35">
        <f t="shared" si="27"/>
        <v>370147.16</v>
      </c>
      <c r="AF85" s="35">
        <f t="shared" si="27"/>
        <v>0</v>
      </c>
      <c r="AG85" s="35">
        <f t="shared" si="27"/>
        <v>0</v>
      </c>
      <c r="AH85" s="35">
        <f t="shared" si="27"/>
        <v>2319112.44</v>
      </c>
      <c r="AI85" s="72">
        <f t="shared" si="23"/>
        <v>20194691.199999999</v>
      </c>
    </row>
    <row r="86" spans="1:35" outlineLevel="3" x14ac:dyDescent="0.2">
      <c r="A86" s="20"/>
      <c r="B86" s="41" t="s">
        <v>708</v>
      </c>
      <c r="C86" s="13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72">
        <f t="shared" si="23"/>
        <v>0</v>
      </c>
    </row>
    <row r="87" spans="1:35" outlineLevel="3" x14ac:dyDescent="0.2">
      <c r="A87" s="20"/>
      <c r="B87" s="41" t="s">
        <v>709</v>
      </c>
      <c r="C87" s="13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72">
        <f t="shared" si="23"/>
        <v>0</v>
      </c>
    </row>
    <row r="88" spans="1:35" outlineLevel="3" x14ac:dyDescent="0.2">
      <c r="A88" s="20"/>
      <c r="B88" s="41" t="s">
        <v>710</v>
      </c>
      <c r="C88" s="13"/>
      <c r="D88" s="52"/>
      <c r="E88" s="52"/>
      <c r="F88" s="52"/>
      <c r="G88" s="52"/>
      <c r="H88" s="52"/>
      <c r="I88" s="52">
        <v>46389.5</v>
      </c>
      <c r="J88" s="52"/>
      <c r="K88" s="52"/>
      <c r="L88" s="52"/>
      <c r="M88" s="52">
        <v>270141.57</v>
      </c>
      <c r="N88" s="52">
        <v>100895.39</v>
      </c>
      <c r="O88" s="52">
        <v>2779989.74</v>
      </c>
      <c r="P88" s="52">
        <v>15002.53</v>
      </c>
      <c r="Q88" s="52">
        <v>96322.47</v>
      </c>
      <c r="R88" s="52"/>
      <c r="S88" s="52"/>
      <c r="T88" s="52">
        <v>332184.33</v>
      </c>
      <c r="U88" s="52">
        <v>89383.67</v>
      </c>
      <c r="V88" s="52">
        <v>11229.619999999999</v>
      </c>
      <c r="W88" s="52">
        <v>1142986.28</v>
      </c>
      <c r="X88" s="52">
        <v>4333484.72</v>
      </c>
      <c r="Y88" s="52"/>
      <c r="Z88" s="52"/>
      <c r="AA88" s="52">
        <v>375219.62</v>
      </c>
      <c r="AB88" s="52">
        <v>6702257.71</v>
      </c>
      <c r="AC88" s="52">
        <v>489431.08</v>
      </c>
      <c r="AD88" s="52">
        <v>720513.37</v>
      </c>
      <c r="AE88" s="52">
        <v>370147.16</v>
      </c>
      <c r="AF88" s="52"/>
      <c r="AG88" s="52"/>
      <c r="AH88" s="52">
        <v>2319112.44</v>
      </c>
      <c r="AI88" s="72">
        <f t="shared" si="23"/>
        <v>20194691.199999999</v>
      </c>
    </row>
    <row r="89" spans="1:35" outlineLevel="1" x14ac:dyDescent="0.2">
      <c r="A89" s="15" t="s">
        <v>59</v>
      </c>
      <c r="B89" s="18" t="s">
        <v>60</v>
      </c>
      <c r="C89" s="13" t="s">
        <v>61</v>
      </c>
      <c r="D89" s="35">
        <f>SUM(D90:D92)</f>
        <v>0</v>
      </c>
      <c r="E89" s="35">
        <f t="shared" ref="E89:AH89" si="28">SUM(E90:E92)</f>
        <v>0</v>
      </c>
      <c r="F89" s="35">
        <f t="shared" si="28"/>
        <v>13600</v>
      </c>
      <c r="G89" s="35">
        <f t="shared" si="28"/>
        <v>0</v>
      </c>
      <c r="H89" s="35">
        <f t="shared" si="28"/>
        <v>0</v>
      </c>
      <c r="I89" s="35">
        <f t="shared" si="28"/>
        <v>0</v>
      </c>
      <c r="J89" s="35">
        <f t="shared" si="28"/>
        <v>0</v>
      </c>
      <c r="K89" s="35">
        <f t="shared" si="28"/>
        <v>0</v>
      </c>
      <c r="L89" s="35">
        <f t="shared" si="28"/>
        <v>0</v>
      </c>
      <c r="M89" s="35">
        <f t="shared" si="28"/>
        <v>7600</v>
      </c>
      <c r="N89" s="35">
        <f t="shared" si="28"/>
        <v>27900</v>
      </c>
      <c r="O89" s="35">
        <f t="shared" si="28"/>
        <v>35675</v>
      </c>
      <c r="P89" s="35">
        <f t="shared" si="28"/>
        <v>43000</v>
      </c>
      <c r="Q89" s="35">
        <f t="shared" si="28"/>
        <v>4116</v>
      </c>
      <c r="R89" s="35">
        <f t="shared" si="28"/>
        <v>0</v>
      </c>
      <c r="S89" s="35">
        <f t="shared" si="28"/>
        <v>0</v>
      </c>
      <c r="T89" s="35">
        <f t="shared" si="28"/>
        <v>1901215</v>
      </c>
      <c r="U89" s="35">
        <f t="shared" si="28"/>
        <v>7500</v>
      </c>
      <c r="V89" s="35">
        <f t="shared" si="28"/>
        <v>19100</v>
      </c>
      <c r="W89" s="35">
        <f t="shared" si="28"/>
        <v>8000</v>
      </c>
      <c r="X89" s="35">
        <f t="shared" si="28"/>
        <v>2500</v>
      </c>
      <c r="Y89" s="35">
        <f t="shared" si="28"/>
        <v>0</v>
      </c>
      <c r="Z89" s="35">
        <f t="shared" si="28"/>
        <v>0</v>
      </c>
      <c r="AA89" s="35">
        <f t="shared" si="28"/>
        <v>1000</v>
      </c>
      <c r="AB89" s="35">
        <f t="shared" si="28"/>
        <v>0</v>
      </c>
      <c r="AC89" s="35">
        <f t="shared" si="28"/>
        <v>0</v>
      </c>
      <c r="AD89" s="35">
        <f t="shared" si="28"/>
        <v>0</v>
      </c>
      <c r="AE89" s="35">
        <f t="shared" si="28"/>
        <v>0</v>
      </c>
      <c r="AF89" s="35">
        <f t="shared" si="28"/>
        <v>0</v>
      </c>
      <c r="AG89" s="35">
        <f t="shared" si="28"/>
        <v>0</v>
      </c>
      <c r="AH89" s="35">
        <f t="shared" si="28"/>
        <v>0</v>
      </c>
      <c r="AI89" s="72">
        <f t="shared" si="23"/>
        <v>2071206</v>
      </c>
    </row>
    <row r="90" spans="1:35" outlineLevel="2" x14ac:dyDescent="0.2">
      <c r="A90" s="15"/>
      <c r="B90" s="41" t="s">
        <v>708</v>
      </c>
      <c r="C90" s="13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72">
        <f t="shared" si="23"/>
        <v>0</v>
      </c>
    </row>
    <row r="91" spans="1:35" outlineLevel="2" x14ac:dyDescent="0.2">
      <c r="A91" s="15"/>
      <c r="B91" s="41" t="s">
        <v>709</v>
      </c>
      <c r="C91" s="13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72">
        <f t="shared" si="23"/>
        <v>0</v>
      </c>
    </row>
    <row r="92" spans="1:35" outlineLevel="2" x14ac:dyDescent="0.2">
      <c r="A92" s="15"/>
      <c r="B92" s="41" t="s">
        <v>710</v>
      </c>
      <c r="C92" s="13"/>
      <c r="D92" s="50"/>
      <c r="E92" s="50"/>
      <c r="F92" s="50">
        <v>13600</v>
      </c>
      <c r="G92" s="50"/>
      <c r="H92" s="50"/>
      <c r="I92" s="50"/>
      <c r="J92" s="50"/>
      <c r="K92" s="50"/>
      <c r="L92" s="50"/>
      <c r="M92" s="50">
        <v>7600</v>
      </c>
      <c r="N92" s="50">
        <v>27900</v>
      </c>
      <c r="O92" s="50">
        <v>35675</v>
      </c>
      <c r="P92" s="50">
        <v>43000</v>
      </c>
      <c r="Q92" s="50">
        <v>4116</v>
      </c>
      <c r="R92" s="50"/>
      <c r="S92" s="50"/>
      <c r="T92" s="50">
        <v>1901215</v>
      </c>
      <c r="U92" s="50">
        <v>7500</v>
      </c>
      <c r="V92" s="50">
        <v>19100</v>
      </c>
      <c r="W92" s="50">
        <v>8000</v>
      </c>
      <c r="X92" s="50">
        <v>2500</v>
      </c>
      <c r="Y92" s="50"/>
      <c r="Z92" s="50"/>
      <c r="AA92" s="50">
        <v>1000</v>
      </c>
      <c r="AB92" s="50"/>
      <c r="AC92" s="50"/>
      <c r="AD92" s="50"/>
      <c r="AE92" s="50"/>
      <c r="AF92" s="50"/>
      <c r="AG92" s="50"/>
      <c r="AH92" s="50"/>
      <c r="AI92" s="72">
        <f t="shared" si="23"/>
        <v>2071206</v>
      </c>
    </row>
    <row r="93" spans="1:35" outlineLevel="1" x14ac:dyDescent="0.2">
      <c r="A93" s="15" t="s">
        <v>62</v>
      </c>
      <c r="B93" s="15" t="s">
        <v>63</v>
      </c>
      <c r="C93" s="13" t="s">
        <v>64</v>
      </c>
      <c r="D93" s="35">
        <f>D94+D98</f>
        <v>0</v>
      </c>
      <c r="E93" s="35">
        <f t="shared" ref="E93:AH93" si="29">E94+E98</f>
        <v>0</v>
      </c>
      <c r="F93" s="35">
        <f t="shared" si="29"/>
        <v>0</v>
      </c>
      <c r="G93" s="35">
        <f t="shared" si="29"/>
        <v>0</v>
      </c>
      <c r="H93" s="35">
        <f t="shared" si="29"/>
        <v>0</v>
      </c>
      <c r="I93" s="35">
        <f t="shared" si="29"/>
        <v>0</v>
      </c>
      <c r="J93" s="35">
        <f t="shared" si="29"/>
        <v>0</v>
      </c>
      <c r="K93" s="35">
        <f t="shared" si="29"/>
        <v>0</v>
      </c>
      <c r="L93" s="35">
        <f t="shared" si="29"/>
        <v>0</v>
      </c>
      <c r="M93" s="35">
        <f t="shared" si="29"/>
        <v>0</v>
      </c>
      <c r="N93" s="35">
        <f t="shared" si="29"/>
        <v>0</v>
      </c>
      <c r="O93" s="35">
        <f t="shared" si="29"/>
        <v>0</v>
      </c>
      <c r="P93" s="35">
        <f t="shared" si="29"/>
        <v>0</v>
      </c>
      <c r="Q93" s="35">
        <f t="shared" si="29"/>
        <v>0</v>
      </c>
      <c r="R93" s="35">
        <f t="shared" si="29"/>
        <v>0</v>
      </c>
      <c r="S93" s="35">
        <f t="shared" si="29"/>
        <v>0</v>
      </c>
      <c r="T93" s="35">
        <f t="shared" si="29"/>
        <v>0</v>
      </c>
      <c r="U93" s="35">
        <f t="shared" si="29"/>
        <v>0</v>
      </c>
      <c r="V93" s="35">
        <f t="shared" si="29"/>
        <v>0</v>
      </c>
      <c r="W93" s="35">
        <f t="shared" si="29"/>
        <v>0</v>
      </c>
      <c r="X93" s="35">
        <f t="shared" si="29"/>
        <v>0</v>
      </c>
      <c r="Y93" s="35">
        <f t="shared" si="29"/>
        <v>0</v>
      </c>
      <c r="Z93" s="35">
        <f t="shared" si="29"/>
        <v>0</v>
      </c>
      <c r="AA93" s="35">
        <f t="shared" si="29"/>
        <v>0</v>
      </c>
      <c r="AB93" s="35">
        <f t="shared" si="29"/>
        <v>0</v>
      </c>
      <c r="AC93" s="35">
        <f t="shared" si="29"/>
        <v>0</v>
      </c>
      <c r="AD93" s="35">
        <f t="shared" si="29"/>
        <v>0</v>
      </c>
      <c r="AE93" s="35">
        <f t="shared" si="29"/>
        <v>0</v>
      </c>
      <c r="AF93" s="35">
        <f t="shared" si="29"/>
        <v>0</v>
      </c>
      <c r="AG93" s="35">
        <f t="shared" si="29"/>
        <v>0</v>
      </c>
      <c r="AH93" s="35">
        <f t="shared" si="29"/>
        <v>0</v>
      </c>
      <c r="AI93" s="72">
        <f t="shared" si="23"/>
        <v>0</v>
      </c>
    </row>
    <row r="94" spans="1:35" ht="25.5" outlineLevel="2" x14ac:dyDescent="0.2">
      <c r="A94" s="18" t="s">
        <v>65</v>
      </c>
      <c r="B94" s="18" t="s">
        <v>66</v>
      </c>
      <c r="C94" s="13" t="s">
        <v>67</v>
      </c>
      <c r="D94" s="35">
        <f>SUM(D95:D97)</f>
        <v>0</v>
      </c>
      <c r="E94" s="35">
        <f t="shared" ref="E94:AH94" si="30">SUM(E95:E97)</f>
        <v>0</v>
      </c>
      <c r="F94" s="35">
        <f t="shared" si="30"/>
        <v>0</v>
      </c>
      <c r="G94" s="35">
        <f t="shared" si="30"/>
        <v>0</v>
      </c>
      <c r="H94" s="35">
        <f t="shared" si="30"/>
        <v>0</v>
      </c>
      <c r="I94" s="35">
        <f t="shared" si="30"/>
        <v>0</v>
      </c>
      <c r="J94" s="35">
        <f t="shared" si="30"/>
        <v>0</v>
      </c>
      <c r="K94" s="35">
        <f t="shared" si="30"/>
        <v>0</v>
      </c>
      <c r="L94" s="35">
        <f t="shared" si="30"/>
        <v>0</v>
      </c>
      <c r="M94" s="35">
        <f t="shared" si="30"/>
        <v>0</v>
      </c>
      <c r="N94" s="35">
        <f t="shared" si="30"/>
        <v>0</v>
      </c>
      <c r="O94" s="35">
        <f t="shared" si="30"/>
        <v>0</v>
      </c>
      <c r="P94" s="35">
        <f t="shared" si="30"/>
        <v>0</v>
      </c>
      <c r="Q94" s="35">
        <f t="shared" si="30"/>
        <v>0</v>
      </c>
      <c r="R94" s="35">
        <f t="shared" si="30"/>
        <v>0</v>
      </c>
      <c r="S94" s="35">
        <f t="shared" si="30"/>
        <v>0</v>
      </c>
      <c r="T94" s="35">
        <f t="shared" si="30"/>
        <v>0</v>
      </c>
      <c r="U94" s="35">
        <f t="shared" si="30"/>
        <v>0</v>
      </c>
      <c r="V94" s="35">
        <f t="shared" si="30"/>
        <v>0</v>
      </c>
      <c r="W94" s="35">
        <f t="shared" si="30"/>
        <v>0</v>
      </c>
      <c r="X94" s="35">
        <f t="shared" si="30"/>
        <v>0</v>
      </c>
      <c r="Y94" s="35">
        <f t="shared" si="30"/>
        <v>0</v>
      </c>
      <c r="Z94" s="35">
        <f t="shared" si="30"/>
        <v>0</v>
      </c>
      <c r="AA94" s="35">
        <f t="shared" si="30"/>
        <v>0</v>
      </c>
      <c r="AB94" s="35">
        <f t="shared" si="30"/>
        <v>0</v>
      </c>
      <c r="AC94" s="35">
        <f t="shared" si="30"/>
        <v>0</v>
      </c>
      <c r="AD94" s="35">
        <f t="shared" si="30"/>
        <v>0</v>
      </c>
      <c r="AE94" s="35">
        <f t="shared" si="30"/>
        <v>0</v>
      </c>
      <c r="AF94" s="35">
        <f t="shared" si="30"/>
        <v>0</v>
      </c>
      <c r="AG94" s="35">
        <f t="shared" si="30"/>
        <v>0</v>
      </c>
      <c r="AH94" s="35">
        <f t="shared" si="30"/>
        <v>0</v>
      </c>
      <c r="AI94" s="72">
        <f t="shared" si="23"/>
        <v>0</v>
      </c>
    </row>
    <row r="95" spans="1:35" outlineLevel="2" x14ac:dyDescent="0.2">
      <c r="A95" s="18"/>
      <c r="B95" s="41" t="s">
        <v>708</v>
      </c>
      <c r="C95" s="13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72">
        <f t="shared" si="23"/>
        <v>0</v>
      </c>
    </row>
    <row r="96" spans="1:35" outlineLevel="2" x14ac:dyDescent="0.2">
      <c r="A96" s="18"/>
      <c r="B96" s="41" t="s">
        <v>709</v>
      </c>
      <c r="C96" s="13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72">
        <f t="shared" si="23"/>
        <v>0</v>
      </c>
    </row>
    <row r="97" spans="1:35" outlineLevel="2" x14ac:dyDescent="0.2">
      <c r="A97" s="18"/>
      <c r="B97" s="41" t="s">
        <v>710</v>
      </c>
      <c r="C97" s="13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72">
        <f t="shared" si="23"/>
        <v>0</v>
      </c>
    </row>
    <row r="98" spans="1:35" outlineLevel="2" x14ac:dyDescent="0.2">
      <c r="A98" s="18" t="s">
        <v>68</v>
      </c>
      <c r="B98" s="18" t="s">
        <v>69</v>
      </c>
      <c r="C98" s="13" t="s">
        <v>70</v>
      </c>
      <c r="D98" s="35">
        <f>SUM(D99:D101)</f>
        <v>0</v>
      </c>
      <c r="E98" s="35">
        <f t="shared" ref="E98:AH98" si="31">SUM(E99:E101)</f>
        <v>0</v>
      </c>
      <c r="F98" s="35">
        <f t="shared" si="31"/>
        <v>0</v>
      </c>
      <c r="G98" s="35">
        <f t="shared" si="31"/>
        <v>0</v>
      </c>
      <c r="H98" s="35">
        <f t="shared" si="31"/>
        <v>0</v>
      </c>
      <c r="I98" s="35">
        <f t="shared" si="31"/>
        <v>0</v>
      </c>
      <c r="J98" s="35">
        <f t="shared" si="31"/>
        <v>0</v>
      </c>
      <c r="K98" s="35">
        <f t="shared" si="31"/>
        <v>0</v>
      </c>
      <c r="L98" s="35">
        <f t="shared" si="31"/>
        <v>0</v>
      </c>
      <c r="M98" s="35">
        <f t="shared" si="31"/>
        <v>0</v>
      </c>
      <c r="N98" s="35">
        <f t="shared" si="31"/>
        <v>0</v>
      </c>
      <c r="O98" s="35">
        <f t="shared" si="31"/>
        <v>0</v>
      </c>
      <c r="P98" s="35">
        <f t="shared" si="31"/>
        <v>0</v>
      </c>
      <c r="Q98" s="35">
        <f t="shared" si="31"/>
        <v>0</v>
      </c>
      <c r="R98" s="35">
        <f t="shared" si="31"/>
        <v>0</v>
      </c>
      <c r="S98" s="35">
        <f t="shared" si="31"/>
        <v>0</v>
      </c>
      <c r="T98" s="35">
        <f t="shared" si="31"/>
        <v>0</v>
      </c>
      <c r="U98" s="35">
        <f t="shared" si="31"/>
        <v>0</v>
      </c>
      <c r="V98" s="35">
        <f t="shared" si="31"/>
        <v>0</v>
      </c>
      <c r="W98" s="35">
        <f t="shared" si="31"/>
        <v>0</v>
      </c>
      <c r="X98" s="35">
        <f t="shared" si="31"/>
        <v>0</v>
      </c>
      <c r="Y98" s="35">
        <f t="shared" si="31"/>
        <v>0</v>
      </c>
      <c r="Z98" s="35">
        <f t="shared" si="31"/>
        <v>0</v>
      </c>
      <c r="AA98" s="35">
        <f t="shared" si="31"/>
        <v>0</v>
      </c>
      <c r="AB98" s="35">
        <f t="shared" si="31"/>
        <v>0</v>
      </c>
      <c r="AC98" s="35">
        <f t="shared" si="31"/>
        <v>0</v>
      </c>
      <c r="AD98" s="35">
        <f t="shared" si="31"/>
        <v>0</v>
      </c>
      <c r="AE98" s="35">
        <f t="shared" si="31"/>
        <v>0</v>
      </c>
      <c r="AF98" s="35">
        <f t="shared" si="31"/>
        <v>0</v>
      </c>
      <c r="AG98" s="35">
        <f t="shared" si="31"/>
        <v>0</v>
      </c>
      <c r="AH98" s="35">
        <f t="shared" si="31"/>
        <v>0</v>
      </c>
      <c r="AI98" s="72">
        <f t="shared" si="23"/>
        <v>0</v>
      </c>
    </row>
    <row r="99" spans="1:35" outlineLevel="2" x14ac:dyDescent="0.2">
      <c r="A99" s="18"/>
      <c r="B99" s="41" t="s">
        <v>708</v>
      </c>
      <c r="C99" s="13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72">
        <f t="shared" si="23"/>
        <v>0</v>
      </c>
    </row>
    <row r="100" spans="1:35" outlineLevel="2" x14ac:dyDescent="0.2">
      <c r="A100" s="18"/>
      <c r="B100" s="41" t="s">
        <v>709</v>
      </c>
      <c r="C100" s="13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72">
        <f t="shared" si="23"/>
        <v>0</v>
      </c>
    </row>
    <row r="101" spans="1:35" outlineLevel="2" x14ac:dyDescent="0.2">
      <c r="A101" s="18"/>
      <c r="B101" s="41" t="s">
        <v>710</v>
      </c>
      <c r="C101" s="13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72">
        <f t="shared" si="23"/>
        <v>0</v>
      </c>
    </row>
    <row r="102" spans="1:35" outlineLevel="1" x14ac:dyDescent="0.2">
      <c r="A102" s="15" t="s">
        <v>71</v>
      </c>
      <c r="B102" s="15" t="s">
        <v>563</v>
      </c>
      <c r="C102" s="13" t="s">
        <v>72</v>
      </c>
      <c r="D102" s="35">
        <f>D103+D107</f>
        <v>0</v>
      </c>
      <c r="E102" s="35">
        <f t="shared" ref="E102:AH102" si="32">E103+E107</f>
        <v>0</v>
      </c>
      <c r="F102" s="35">
        <f t="shared" si="32"/>
        <v>0</v>
      </c>
      <c r="G102" s="35">
        <f t="shared" si="32"/>
        <v>0</v>
      </c>
      <c r="H102" s="35">
        <f t="shared" si="32"/>
        <v>0</v>
      </c>
      <c r="I102" s="35">
        <f t="shared" si="32"/>
        <v>0</v>
      </c>
      <c r="J102" s="35">
        <f t="shared" si="32"/>
        <v>0</v>
      </c>
      <c r="K102" s="35">
        <f t="shared" si="32"/>
        <v>0</v>
      </c>
      <c r="L102" s="35">
        <f t="shared" si="32"/>
        <v>0</v>
      </c>
      <c r="M102" s="35">
        <f t="shared" si="32"/>
        <v>0</v>
      </c>
      <c r="N102" s="35">
        <f t="shared" si="32"/>
        <v>0</v>
      </c>
      <c r="O102" s="35">
        <f t="shared" si="32"/>
        <v>0</v>
      </c>
      <c r="P102" s="35">
        <f t="shared" si="32"/>
        <v>0</v>
      </c>
      <c r="Q102" s="35">
        <f t="shared" si="32"/>
        <v>0</v>
      </c>
      <c r="R102" s="35">
        <f t="shared" si="32"/>
        <v>0</v>
      </c>
      <c r="S102" s="35">
        <f t="shared" si="32"/>
        <v>0</v>
      </c>
      <c r="T102" s="35">
        <f t="shared" si="32"/>
        <v>0</v>
      </c>
      <c r="U102" s="35">
        <f t="shared" si="32"/>
        <v>0</v>
      </c>
      <c r="V102" s="35">
        <f t="shared" si="32"/>
        <v>0</v>
      </c>
      <c r="W102" s="35">
        <f t="shared" si="32"/>
        <v>0</v>
      </c>
      <c r="X102" s="35">
        <f t="shared" si="32"/>
        <v>0</v>
      </c>
      <c r="Y102" s="35">
        <f t="shared" si="32"/>
        <v>0</v>
      </c>
      <c r="Z102" s="35">
        <f t="shared" si="32"/>
        <v>0</v>
      </c>
      <c r="AA102" s="35">
        <f t="shared" si="32"/>
        <v>0</v>
      </c>
      <c r="AB102" s="35">
        <f t="shared" si="32"/>
        <v>0</v>
      </c>
      <c r="AC102" s="35">
        <f t="shared" si="32"/>
        <v>0</v>
      </c>
      <c r="AD102" s="35">
        <f t="shared" si="32"/>
        <v>0</v>
      </c>
      <c r="AE102" s="35">
        <f t="shared" si="32"/>
        <v>0</v>
      </c>
      <c r="AF102" s="35">
        <f t="shared" si="32"/>
        <v>0</v>
      </c>
      <c r="AG102" s="35">
        <f t="shared" si="32"/>
        <v>0</v>
      </c>
      <c r="AH102" s="35">
        <f t="shared" si="32"/>
        <v>0</v>
      </c>
      <c r="AI102" s="72">
        <f t="shared" si="23"/>
        <v>0</v>
      </c>
    </row>
    <row r="103" spans="1:35" ht="25.5" outlineLevel="2" x14ac:dyDescent="0.2">
      <c r="A103" s="17" t="s">
        <v>565</v>
      </c>
      <c r="B103" s="15" t="s">
        <v>566</v>
      </c>
      <c r="C103" s="13">
        <v>2110910000</v>
      </c>
      <c r="D103" s="35">
        <f>SUM(D104:D106)</f>
        <v>0</v>
      </c>
      <c r="E103" s="35">
        <f t="shared" ref="E103:AH103" si="33">SUM(E104:E106)</f>
        <v>0</v>
      </c>
      <c r="F103" s="35">
        <f t="shared" si="33"/>
        <v>0</v>
      </c>
      <c r="G103" s="35">
        <f t="shared" si="33"/>
        <v>0</v>
      </c>
      <c r="H103" s="35">
        <f t="shared" si="33"/>
        <v>0</v>
      </c>
      <c r="I103" s="35">
        <f t="shared" si="33"/>
        <v>0</v>
      </c>
      <c r="J103" s="35">
        <f t="shared" si="33"/>
        <v>0</v>
      </c>
      <c r="K103" s="35">
        <f t="shared" si="33"/>
        <v>0</v>
      </c>
      <c r="L103" s="35">
        <f t="shared" si="33"/>
        <v>0</v>
      </c>
      <c r="M103" s="35">
        <f t="shared" si="33"/>
        <v>0</v>
      </c>
      <c r="N103" s="35">
        <f t="shared" si="33"/>
        <v>0</v>
      </c>
      <c r="O103" s="35">
        <f t="shared" si="33"/>
        <v>0</v>
      </c>
      <c r="P103" s="35">
        <f t="shared" si="33"/>
        <v>0</v>
      </c>
      <c r="Q103" s="35">
        <f t="shared" si="33"/>
        <v>0</v>
      </c>
      <c r="R103" s="35">
        <f t="shared" si="33"/>
        <v>0</v>
      </c>
      <c r="S103" s="35">
        <f t="shared" si="33"/>
        <v>0</v>
      </c>
      <c r="T103" s="35">
        <f t="shared" si="33"/>
        <v>0</v>
      </c>
      <c r="U103" s="35">
        <f t="shared" si="33"/>
        <v>0</v>
      </c>
      <c r="V103" s="35">
        <f t="shared" si="33"/>
        <v>0</v>
      </c>
      <c r="W103" s="35">
        <f t="shared" si="33"/>
        <v>0</v>
      </c>
      <c r="X103" s="35">
        <f t="shared" si="33"/>
        <v>0</v>
      </c>
      <c r="Y103" s="35">
        <f t="shared" si="33"/>
        <v>0</v>
      </c>
      <c r="Z103" s="35">
        <f t="shared" si="33"/>
        <v>0</v>
      </c>
      <c r="AA103" s="35">
        <f t="shared" si="33"/>
        <v>0</v>
      </c>
      <c r="AB103" s="35">
        <f t="shared" si="33"/>
        <v>0</v>
      </c>
      <c r="AC103" s="35">
        <f t="shared" si="33"/>
        <v>0</v>
      </c>
      <c r="AD103" s="35">
        <f t="shared" si="33"/>
        <v>0</v>
      </c>
      <c r="AE103" s="35">
        <f t="shared" si="33"/>
        <v>0</v>
      </c>
      <c r="AF103" s="35">
        <f t="shared" si="33"/>
        <v>0</v>
      </c>
      <c r="AG103" s="35">
        <f t="shared" si="33"/>
        <v>0</v>
      </c>
      <c r="AH103" s="35">
        <f t="shared" si="33"/>
        <v>0</v>
      </c>
      <c r="AI103" s="72">
        <f t="shared" si="23"/>
        <v>0</v>
      </c>
    </row>
    <row r="104" spans="1:35" outlineLevel="2" x14ac:dyDescent="0.2">
      <c r="A104" s="17"/>
      <c r="B104" s="41" t="s">
        <v>708</v>
      </c>
      <c r="C104" s="13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72">
        <f t="shared" si="23"/>
        <v>0</v>
      </c>
    </row>
    <row r="105" spans="1:35" outlineLevel="2" x14ac:dyDescent="0.2">
      <c r="A105" s="17"/>
      <c r="B105" s="41" t="s">
        <v>709</v>
      </c>
      <c r="C105" s="13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72">
        <f t="shared" si="23"/>
        <v>0</v>
      </c>
    </row>
    <row r="106" spans="1:35" outlineLevel="2" x14ac:dyDescent="0.2">
      <c r="A106" s="17"/>
      <c r="B106" s="41" t="s">
        <v>710</v>
      </c>
      <c r="C106" s="13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72">
        <f t="shared" si="23"/>
        <v>0</v>
      </c>
    </row>
    <row r="107" spans="1:35" outlineLevel="2" x14ac:dyDescent="0.2">
      <c r="A107" s="17" t="s">
        <v>564</v>
      </c>
      <c r="B107" s="15" t="s">
        <v>567</v>
      </c>
      <c r="C107" s="13">
        <v>2110920000</v>
      </c>
      <c r="D107" s="35">
        <f>SUM(D108:D110)</f>
        <v>0</v>
      </c>
      <c r="E107" s="35">
        <f t="shared" ref="E107:AH107" si="34">SUM(E108:E110)</f>
        <v>0</v>
      </c>
      <c r="F107" s="35">
        <f t="shared" si="34"/>
        <v>0</v>
      </c>
      <c r="G107" s="35">
        <f t="shared" si="34"/>
        <v>0</v>
      </c>
      <c r="H107" s="35">
        <f t="shared" si="34"/>
        <v>0</v>
      </c>
      <c r="I107" s="35">
        <f t="shared" si="34"/>
        <v>0</v>
      </c>
      <c r="J107" s="35">
        <f t="shared" si="34"/>
        <v>0</v>
      </c>
      <c r="K107" s="35">
        <f t="shared" si="34"/>
        <v>0</v>
      </c>
      <c r="L107" s="35">
        <f t="shared" si="34"/>
        <v>0</v>
      </c>
      <c r="M107" s="35">
        <f t="shared" si="34"/>
        <v>0</v>
      </c>
      <c r="N107" s="35">
        <f t="shared" si="34"/>
        <v>0</v>
      </c>
      <c r="O107" s="35">
        <f t="shared" si="34"/>
        <v>0</v>
      </c>
      <c r="P107" s="35">
        <f t="shared" si="34"/>
        <v>0</v>
      </c>
      <c r="Q107" s="35">
        <f t="shared" si="34"/>
        <v>0</v>
      </c>
      <c r="R107" s="35">
        <f t="shared" si="34"/>
        <v>0</v>
      </c>
      <c r="S107" s="35">
        <f t="shared" si="34"/>
        <v>0</v>
      </c>
      <c r="T107" s="35">
        <f t="shared" si="34"/>
        <v>0</v>
      </c>
      <c r="U107" s="35">
        <f t="shared" si="34"/>
        <v>0</v>
      </c>
      <c r="V107" s="35">
        <f t="shared" si="34"/>
        <v>0</v>
      </c>
      <c r="W107" s="35">
        <f t="shared" si="34"/>
        <v>0</v>
      </c>
      <c r="X107" s="35">
        <f t="shared" si="34"/>
        <v>0</v>
      </c>
      <c r="Y107" s="35">
        <f t="shared" si="34"/>
        <v>0</v>
      </c>
      <c r="Z107" s="35">
        <f t="shared" si="34"/>
        <v>0</v>
      </c>
      <c r="AA107" s="35">
        <f t="shared" si="34"/>
        <v>0</v>
      </c>
      <c r="AB107" s="35">
        <f t="shared" si="34"/>
        <v>0</v>
      </c>
      <c r="AC107" s="35">
        <f t="shared" si="34"/>
        <v>0</v>
      </c>
      <c r="AD107" s="35">
        <f t="shared" si="34"/>
        <v>0</v>
      </c>
      <c r="AE107" s="35">
        <f t="shared" si="34"/>
        <v>0</v>
      </c>
      <c r="AF107" s="35">
        <f t="shared" si="34"/>
        <v>0</v>
      </c>
      <c r="AG107" s="35">
        <f t="shared" si="34"/>
        <v>0</v>
      </c>
      <c r="AH107" s="35">
        <f t="shared" si="34"/>
        <v>0</v>
      </c>
      <c r="AI107" s="72">
        <f t="shared" si="23"/>
        <v>0</v>
      </c>
    </row>
    <row r="108" spans="1:35" outlineLevel="2" x14ac:dyDescent="0.2">
      <c r="A108" s="17"/>
      <c r="B108" s="41" t="s">
        <v>708</v>
      </c>
      <c r="C108" s="13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72">
        <f t="shared" si="23"/>
        <v>0</v>
      </c>
    </row>
    <row r="109" spans="1:35" outlineLevel="2" x14ac:dyDescent="0.2">
      <c r="A109" s="17"/>
      <c r="B109" s="41" t="s">
        <v>709</v>
      </c>
      <c r="C109" s="13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72">
        <f t="shared" si="23"/>
        <v>0</v>
      </c>
    </row>
    <row r="110" spans="1:35" outlineLevel="2" x14ac:dyDescent="0.2">
      <c r="A110" s="17"/>
      <c r="B110" s="41" t="s">
        <v>710</v>
      </c>
      <c r="C110" s="13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72">
        <f t="shared" si="23"/>
        <v>0</v>
      </c>
    </row>
    <row r="111" spans="1:35" outlineLevel="1" x14ac:dyDescent="0.2">
      <c r="A111" s="15" t="s">
        <v>73</v>
      </c>
      <c r="B111" s="15" t="s">
        <v>74</v>
      </c>
      <c r="C111" s="13" t="s">
        <v>75</v>
      </c>
      <c r="D111" s="35">
        <f>D112+D127+D131+D135+D139+D143+D147</f>
        <v>0</v>
      </c>
      <c r="E111" s="35">
        <f t="shared" ref="E111:AH111" si="35">E112+E127+E131+E135+E139+E143+E147</f>
        <v>0</v>
      </c>
      <c r="F111" s="35">
        <f t="shared" si="35"/>
        <v>0</v>
      </c>
      <c r="G111" s="35">
        <f t="shared" si="35"/>
        <v>0</v>
      </c>
      <c r="H111" s="35">
        <f t="shared" si="35"/>
        <v>0</v>
      </c>
      <c r="I111" s="35">
        <f t="shared" si="35"/>
        <v>0</v>
      </c>
      <c r="J111" s="35">
        <f t="shared" si="35"/>
        <v>0</v>
      </c>
      <c r="K111" s="35">
        <f t="shared" si="35"/>
        <v>0</v>
      </c>
      <c r="L111" s="35">
        <f t="shared" si="35"/>
        <v>0</v>
      </c>
      <c r="M111" s="35">
        <f t="shared" si="35"/>
        <v>7000</v>
      </c>
      <c r="N111" s="35">
        <f t="shared" si="35"/>
        <v>0</v>
      </c>
      <c r="O111" s="35">
        <f t="shared" si="35"/>
        <v>0</v>
      </c>
      <c r="P111" s="35">
        <f t="shared" si="35"/>
        <v>0</v>
      </c>
      <c r="Q111" s="35">
        <f t="shared" si="35"/>
        <v>88057.829999999987</v>
      </c>
      <c r="R111" s="35">
        <f t="shared" si="35"/>
        <v>0</v>
      </c>
      <c r="S111" s="35">
        <f t="shared" si="35"/>
        <v>0</v>
      </c>
      <c r="T111" s="35">
        <f t="shared" si="35"/>
        <v>29321.879999999997</v>
      </c>
      <c r="U111" s="35">
        <f t="shared" si="35"/>
        <v>0</v>
      </c>
      <c r="V111" s="35">
        <f t="shared" si="35"/>
        <v>0</v>
      </c>
      <c r="W111" s="35">
        <f t="shared" si="35"/>
        <v>485654.33</v>
      </c>
      <c r="X111" s="35">
        <f t="shared" si="35"/>
        <v>8502.6299999999992</v>
      </c>
      <c r="Y111" s="35">
        <f t="shared" si="35"/>
        <v>0</v>
      </c>
      <c r="Z111" s="35">
        <f t="shared" si="35"/>
        <v>0</v>
      </c>
      <c r="AA111" s="35">
        <f t="shared" si="35"/>
        <v>12197.25</v>
      </c>
      <c r="AB111" s="35">
        <f t="shared" si="35"/>
        <v>0</v>
      </c>
      <c r="AC111" s="35">
        <f t="shared" si="35"/>
        <v>35870.86</v>
      </c>
      <c r="AD111" s="35">
        <f t="shared" si="35"/>
        <v>0</v>
      </c>
      <c r="AE111" s="35">
        <f t="shared" si="35"/>
        <v>0</v>
      </c>
      <c r="AF111" s="35">
        <f t="shared" si="35"/>
        <v>0</v>
      </c>
      <c r="AG111" s="35">
        <f t="shared" si="35"/>
        <v>0</v>
      </c>
      <c r="AH111" s="35">
        <f t="shared" si="35"/>
        <v>3152.43</v>
      </c>
      <c r="AI111" s="72">
        <f t="shared" si="23"/>
        <v>669757.21000000008</v>
      </c>
    </row>
    <row r="112" spans="1:35" outlineLevel="2" x14ac:dyDescent="0.2">
      <c r="A112" s="17" t="s">
        <v>76</v>
      </c>
      <c r="B112" s="17" t="s">
        <v>77</v>
      </c>
      <c r="C112" s="13" t="s">
        <v>78</v>
      </c>
      <c r="D112" s="35">
        <f>D119+D123</f>
        <v>0</v>
      </c>
      <c r="E112" s="35">
        <f t="shared" ref="E112:AH112" si="36">E119+E123</f>
        <v>0</v>
      </c>
      <c r="F112" s="35">
        <f t="shared" si="36"/>
        <v>0</v>
      </c>
      <c r="G112" s="35">
        <f t="shared" si="36"/>
        <v>0</v>
      </c>
      <c r="H112" s="35">
        <f t="shared" si="36"/>
        <v>0</v>
      </c>
      <c r="I112" s="35">
        <f t="shared" si="36"/>
        <v>0</v>
      </c>
      <c r="J112" s="35">
        <f t="shared" si="36"/>
        <v>0</v>
      </c>
      <c r="K112" s="35">
        <f t="shared" si="36"/>
        <v>0</v>
      </c>
      <c r="L112" s="35">
        <f t="shared" si="36"/>
        <v>0</v>
      </c>
      <c r="M112" s="35">
        <f t="shared" si="36"/>
        <v>0</v>
      </c>
      <c r="N112" s="35">
        <f t="shared" si="36"/>
        <v>0</v>
      </c>
      <c r="O112" s="35">
        <f t="shared" si="36"/>
        <v>0</v>
      </c>
      <c r="P112" s="35">
        <f t="shared" si="36"/>
        <v>0</v>
      </c>
      <c r="Q112" s="35">
        <f t="shared" si="36"/>
        <v>0</v>
      </c>
      <c r="R112" s="35">
        <f t="shared" si="36"/>
        <v>0</v>
      </c>
      <c r="S112" s="35">
        <f t="shared" si="36"/>
        <v>0</v>
      </c>
      <c r="T112" s="35">
        <f t="shared" si="36"/>
        <v>0</v>
      </c>
      <c r="U112" s="35">
        <f t="shared" si="36"/>
        <v>0</v>
      </c>
      <c r="V112" s="35">
        <f t="shared" si="36"/>
        <v>0</v>
      </c>
      <c r="W112" s="35">
        <f t="shared" si="36"/>
        <v>0</v>
      </c>
      <c r="X112" s="35">
        <f t="shared" si="36"/>
        <v>0</v>
      </c>
      <c r="Y112" s="35">
        <f t="shared" si="36"/>
        <v>0</v>
      </c>
      <c r="Z112" s="35">
        <f t="shared" si="36"/>
        <v>0</v>
      </c>
      <c r="AA112" s="35">
        <f t="shared" si="36"/>
        <v>0</v>
      </c>
      <c r="AB112" s="35">
        <f t="shared" si="36"/>
        <v>0</v>
      </c>
      <c r="AC112" s="35">
        <f t="shared" si="36"/>
        <v>0</v>
      </c>
      <c r="AD112" s="35">
        <f t="shared" si="36"/>
        <v>0</v>
      </c>
      <c r="AE112" s="35">
        <f t="shared" si="36"/>
        <v>0</v>
      </c>
      <c r="AF112" s="35">
        <f t="shared" si="36"/>
        <v>0</v>
      </c>
      <c r="AG112" s="35">
        <f t="shared" si="36"/>
        <v>0</v>
      </c>
      <c r="AH112" s="35">
        <f t="shared" si="36"/>
        <v>0</v>
      </c>
      <c r="AI112" s="72">
        <f t="shared" si="23"/>
        <v>0</v>
      </c>
    </row>
    <row r="113" spans="1:35" outlineLevel="3" x14ac:dyDescent="0.2">
      <c r="A113" s="56" t="s">
        <v>665</v>
      </c>
      <c r="B113" s="56" t="s">
        <v>666</v>
      </c>
      <c r="C113" s="57">
        <v>2111011000</v>
      </c>
      <c r="D113" s="55">
        <f>D114+D115</f>
        <v>0</v>
      </c>
      <c r="E113" s="55">
        <f t="shared" ref="E113:AH113" si="37">E114+E115</f>
        <v>0</v>
      </c>
      <c r="F113" s="55">
        <f t="shared" si="37"/>
        <v>0</v>
      </c>
      <c r="G113" s="55">
        <f t="shared" si="37"/>
        <v>0</v>
      </c>
      <c r="H113" s="55">
        <f t="shared" si="37"/>
        <v>0</v>
      </c>
      <c r="I113" s="55">
        <f t="shared" si="37"/>
        <v>0</v>
      </c>
      <c r="J113" s="55">
        <f t="shared" si="37"/>
        <v>0</v>
      </c>
      <c r="K113" s="55">
        <f t="shared" si="37"/>
        <v>0</v>
      </c>
      <c r="L113" s="55">
        <f t="shared" si="37"/>
        <v>0</v>
      </c>
      <c r="M113" s="55">
        <f t="shared" si="37"/>
        <v>0</v>
      </c>
      <c r="N113" s="55">
        <f t="shared" si="37"/>
        <v>0</v>
      </c>
      <c r="O113" s="55">
        <f t="shared" si="37"/>
        <v>0</v>
      </c>
      <c r="P113" s="55">
        <f t="shared" si="37"/>
        <v>917000</v>
      </c>
      <c r="Q113" s="55">
        <f t="shared" si="37"/>
        <v>224329782.07999998</v>
      </c>
      <c r="R113" s="55">
        <f t="shared" si="37"/>
        <v>0</v>
      </c>
      <c r="S113" s="55">
        <f t="shared" si="37"/>
        <v>0</v>
      </c>
      <c r="T113" s="55">
        <f t="shared" si="37"/>
        <v>18066.059999999998</v>
      </c>
      <c r="U113" s="55">
        <f t="shared" si="37"/>
        <v>119610.73000000001</v>
      </c>
      <c r="V113" s="55">
        <f t="shared" si="37"/>
        <v>4969109.209999999</v>
      </c>
      <c r="W113" s="55">
        <f t="shared" si="37"/>
        <v>76064</v>
      </c>
      <c r="X113" s="55">
        <f t="shared" si="37"/>
        <v>1618833.8</v>
      </c>
      <c r="Y113" s="55">
        <f t="shared" si="37"/>
        <v>0</v>
      </c>
      <c r="Z113" s="55">
        <f t="shared" si="37"/>
        <v>0</v>
      </c>
      <c r="AA113" s="55">
        <f t="shared" si="37"/>
        <v>2462876.94</v>
      </c>
      <c r="AB113" s="55">
        <f t="shared" si="37"/>
        <v>860582</v>
      </c>
      <c r="AC113" s="55">
        <f t="shared" si="37"/>
        <v>11758999.939999999</v>
      </c>
      <c r="AD113" s="55">
        <f t="shared" si="37"/>
        <v>14412353.1</v>
      </c>
      <c r="AE113" s="55">
        <f t="shared" si="37"/>
        <v>75756020.180000007</v>
      </c>
      <c r="AF113" s="55">
        <f t="shared" si="37"/>
        <v>0</v>
      </c>
      <c r="AG113" s="55">
        <f t="shared" si="37"/>
        <v>0</v>
      </c>
      <c r="AH113" s="55">
        <f t="shared" si="37"/>
        <v>24532500</v>
      </c>
      <c r="AI113" s="72">
        <f t="shared" si="23"/>
        <v>361831798.03999996</v>
      </c>
    </row>
    <row r="114" spans="1:35" outlineLevel="3" x14ac:dyDescent="0.2">
      <c r="A114" s="20"/>
      <c r="B114" s="41" t="s">
        <v>719</v>
      </c>
      <c r="C114" s="13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72">
        <f t="shared" si="23"/>
        <v>0</v>
      </c>
    </row>
    <row r="115" spans="1:35" outlineLevel="3" x14ac:dyDescent="0.2">
      <c r="A115" s="20"/>
      <c r="B115" s="41" t="s">
        <v>709</v>
      </c>
      <c r="C115" s="13"/>
      <c r="D115" s="63">
        <f t="shared" ref="D115:AH115" si="38">-D118+D940+D950+D951</f>
        <v>0</v>
      </c>
      <c r="E115" s="63">
        <f t="shared" si="38"/>
        <v>0</v>
      </c>
      <c r="F115" s="63">
        <f t="shared" si="38"/>
        <v>0</v>
      </c>
      <c r="G115" s="63">
        <f t="shared" si="38"/>
        <v>0</v>
      </c>
      <c r="H115" s="63">
        <f t="shared" si="38"/>
        <v>0</v>
      </c>
      <c r="I115" s="63">
        <f t="shared" si="38"/>
        <v>0</v>
      </c>
      <c r="J115" s="63">
        <f t="shared" si="38"/>
        <v>0</v>
      </c>
      <c r="K115" s="63">
        <f t="shared" si="38"/>
        <v>0</v>
      </c>
      <c r="L115" s="63">
        <f t="shared" si="38"/>
        <v>0</v>
      </c>
      <c r="M115" s="63">
        <f t="shared" si="38"/>
        <v>0</v>
      </c>
      <c r="N115" s="63">
        <f t="shared" si="38"/>
        <v>0</v>
      </c>
      <c r="O115" s="63">
        <f t="shared" si="38"/>
        <v>0</v>
      </c>
      <c r="P115" s="63">
        <f t="shared" si="38"/>
        <v>917000</v>
      </c>
      <c r="Q115" s="63">
        <f t="shared" si="38"/>
        <v>224329782.07999998</v>
      </c>
      <c r="R115" s="63">
        <f t="shared" si="38"/>
        <v>0</v>
      </c>
      <c r="S115" s="63">
        <f t="shared" si="38"/>
        <v>0</v>
      </c>
      <c r="T115" s="63">
        <f t="shared" si="38"/>
        <v>18066.059999999998</v>
      </c>
      <c r="U115" s="63">
        <f t="shared" si="38"/>
        <v>119610.73000000001</v>
      </c>
      <c r="V115" s="63">
        <f t="shared" si="38"/>
        <v>4969109.209999999</v>
      </c>
      <c r="W115" s="63">
        <f t="shared" si="38"/>
        <v>76064</v>
      </c>
      <c r="X115" s="63">
        <f t="shared" si="38"/>
        <v>1618833.8</v>
      </c>
      <c r="Y115" s="63">
        <f t="shared" si="38"/>
        <v>0</v>
      </c>
      <c r="Z115" s="63">
        <f t="shared" si="38"/>
        <v>0</v>
      </c>
      <c r="AA115" s="63">
        <f t="shared" si="38"/>
        <v>2462876.94</v>
      </c>
      <c r="AB115" s="63">
        <f t="shared" si="38"/>
        <v>860582</v>
      </c>
      <c r="AC115" s="63">
        <f t="shared" si="38"/>
        <v>11758999.939999999</v>
      </c>
      <c r="AD115" s="63">
        <f t="shared" si="38"/>
        <v>14412353.1</v>
      </c>
      <c r="AE115" s="63">
        <f t="shared" si="38"/>
        <v>75756020.180000007</v>
      </c>
      <c r="AF115" s="63">
        <f t="shared" si="38"/>
        <v>0</v>
      </c>
      <c r="AG115" s="63">
        <f t="shared" si="38"/>
        <v>0</v>
      </c>
      <c r="AH115" s="63">
        <f t="shared" si="38"/>
        <v>24532500</v>
      </c>
      <c r="AI115" s="72">
        <f t="shared" si="23"/>
        <v>361831798.03999996</v>
      </c>
    </row>
    <row r="116" spans="1:35" ht="25.5" outlineLevel="3" x14ac:dyDescent="0.2">
      <c r="A116" s="56" t="s">
        <v>667</v>
      </c>
      <c r="B116" s="56" t="s">
        <v>668</v>
      </c>
      <c r="C116" s="57">
        <v>2111012000</v>
      </c>
      <c r="D116" s="55">
        <f>D117+D118</f>
        <v>0</v>
      </c>
      <c r="E116" s="55">
        <f t="shared" ref="E116:AH116" si="39">E117+E118</f>
        <v>0</v>
      </c>
      <c r="F116" s="55">
        <f t="shared" si="39"/>
        <v>0</v>
      </c>
      <c r="G116" s="55">
        <f t="shared" si="39"/>
        <v>0</v>
      </c>
      <c r="H116" s="55">
        <f t="shared" si="39"/>
        <v>0</v>
      </c>
      <c r="I116" s="55">
        <f t="shared" si="39"/>
        <v>0</v>
      </c>
      <c r="J116" s="55">
        <f t="shared" si="39"/>
        <v>0</v>
      </c>
      <c r="K116" s="55">
        <f t="shared" si="39"/>
        <v>0</v>
      </c>
      <c r="L116" s="55">
        <f t="shared" si="39"/>
        <v>0</v>
      </c>
      <c r="M116" s="55">
        <f t="shared" si="39"/>
        <v>0</v>
      </c>
      <c r="N116" s="55">
        <f t="shared" si="39"/>
        <v>0</v>
      </c>
      <c r="O116" s="55">
        <f t="shared" si="39"/>
        <v>0</v>
      </c>
      <c r="P116" s="55">
        <f t="shared" si="39"/>
        <v>0</v>
      </c>
      <c r="Q116" s="55">
        <f t="shared" si="39"/>
        <v>0</v>
      </c>
      <c r="R116" s="55">
        <f t="shared" si="39"/>
        <v>0</v>
      </c>
      <c r="S116" s="55">
        <f t="shared" si="39"/>
        <v>0</v>
      </c>
      <c r="T116" s="55">
        <f t="shared" si="39"/>
        <v>0</v>
      </c>
      <c r="U116" s="55">
        <f t="shared" si="39"/>
        <v>0</v>
      </c>
      <c r="V116" s="55">
        <f t="shared" si="39"/>
        <v>0</v>
      </c>
      <c r="W116" s="55">
        <f t="shared" si="39"/>
        <v>0</v>
      </c>
      <c r="X116" s="55">
        <f t="shared" si="39"/>
        <v>0</v>
      </c>
      <c r="Y116" s="55">
        <f t="shared" si="39"/>
        <v>0</v>
      </c>
      <c r="Z116" s="55">
        <f t="shared" si="39"/>
        <v>0</v>
      </c>
      <c r="AA116" s="55">
        <f t="shared" si="39"/>
        <v>0</v>
      </c>
      <c r="AB116" s="55">
        <f t="shared" si="39"/>
        <v>0</v>
      </c>
      <c r="AC116" s="55">
        <f t="shared" si="39"/>
        <v>0</v>
      </c>
      <c r="AD116" s="55">
        <f t="shared" si="39"/>
        <v>0</v>
      </c>
      <c r="AE116" s="55">
        <f t="shared" si="39"/>
        <v>0</v>
      </c>
      <c r="AF116" s="55">
        <f t="shared" si="39"/>
        <v>0</v>
      </c>
      <c r="AG116" s="55">
        <f t="shared" si="39"/>
        <v>0</v>
      </c>
      <c r="AH116" s="55">
        <f t="shared" si="39"/>
        <v>0</v>
      </c>
      <c r="AI116" s="72">
        <f t="shared" si="23"/>
        <v>0</v>
      </c>
    </row>
    <row r="117" spans="1:35" outlineLevel="3" x14ac:dyDescent="0.2">
      <c r="A117" s="20"/>
      <c r="B117" s="41" t="s">
        <v>719</v>
      </c>
      <c r="C117" s="13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72">
        <f t="shared" si="23"/>
        <v>0</v>
      </c>
    </row>
    <row r="118" spans="1:35" outlineLevel="3" x14ac:dyDescent="0.2">
      <c r="A118" s="20"/>
      <c r="B118" s="41" t="s">
        <v>709</v>
      </c>
      <c r="C118" s="1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72">
        <f t="shared" si="23"/>
        <v>0</v>
      </c>
    </row>
    <row r="119" spans="1:35" outlineLevel="3" x14ac:dyDescent="0.2">
      <c r="A119" s="20" t="s">
        <v>669</v>
      </c>
      <c r="B119" s="20" t="s">
        <v>670</v>
      </c>
      <c r="C119" s="13">
        <v>2111013000</v>
      </c>
      <c r="D119" s="35">
        <f>SUM(D120:D122)</f>
        <v>0</v>
      </c>
      <c r="E119" s="35">
        <f t="shared" ref="E119:AH119" si="40">SUM(E120:E122)</f>
        <v>0</v>
      </c>
      <c r="F119" s="35">
        <f t="shared" si="40"/>
        <v>0</v>
      </c>
      <c r="G119" s="35">
        <f t="shared" si="40"/>
        <v>0</v>
      </c>
      <c r="H119" s="35">
        <f t="shared" si="40"/>
        <v>0</v>
      </c>
      <c r="I119" s="35">
        <f t="shared" si="40"/>
        <v>0</v>
      </c>
      <c r="J119" s="35">
        <f t="shared" si="40"/>
        <v>0</v>
      </c>
      <c r="K119" s="35">
        <f t="shared" si="40"/>
        <v>0</v>
      </c>
      <c r="L119" s="35">
        <f t="shared" si="40"/>
        <v>0</v>
      </c>
      <c r="M119" s="35">
        <f t="shared" si="40"/>
        <v>0</v>
      </c>
      <c r="N119" s="35">
        <f t="shared" si="40"/>
        <v>0</v>
      </c>
      <c r="O119" s="35">
        <f t="shared" si="40"/>
        <v>0</v>
      </c>
      <c r="P119" s="35">
        <f t="shared" si="40"/>
        <v>0</v>
      </c>
      <c r="Q119" s="35">
        <f t="shared" si="40"/>
        <v>0</v>
      </c>
      <c r="R119" s="35">
        <f t="shared" si="40"/>
        <v>0</v>
      </c>
      <c r="S119" s="35">
        <f t="shared" si="40"/>
        <v>0</v>
      </c>
      <c r="T119" s="35">
        <f t="shared" si="40"/>
        <v>0</v>
      </c>
      <c r="U119" s="35">
        <f t="shared" si="40"/>
        <v>0</v>
      </c>
      <c r="V119" s="35">
        <f t="shared" si="40"/>
        <v>0</v>
      </c>
      <c r="W119" s="35">
        <f t="shared" si="40"/>
        <v>0</v>
      </c>
      <c r="X119" s="35">
        <f t="shared" si="40"/>
        <v>0</v>
      </c>
      <c r="Y119" s="35">
        <f t="shared" si="40"/>
        <v>0</v>
      </c>
      <c r="Z119" s="35">
        <f t="shared" si="40"/>
        <v>0</v>
      </c>
      <c r="AA119" s="35">
        <f t="shared" si="40"/>
        <v>0</v>
      </c>
      <c r="AB119" s="35">
        <f t="shared" si="40"/>
        <v>0</v>
      </c>
      <c r="AC119" s="35">
        <f t="shared" si="40"/>
        <v>0</v>
      </c>
      <c r="AD119" s="35">
        <f t="shared" si="40"/>
        <v>0</v>
      </c>
      <c r="AE119" s="35">
        <f t="shared" si="40"/>
        <v>0</v>
      </c>
      <c r="AF119" s="35">
        <f t="shared" si="40"/>
        <v>0</v>
      </c>
      <c r="AG119" s="35">
        <f t="shared" si="40"/>
        <v>0</v>
      </c>
      <c r="AH119" s="35">
        <f t="shared" si="40"/>
        <v>0</v>
      </c>
      <c r="AI119" s="72">
        <f t="shared" si="23"/>
        <v>0</v>
      </c>
    </row>
    <row r="120" spans="1:35" outlineLevel="3" x14ac:dyDescent="0.2">
      <c r="A120" s="20"/>
      <c r="B120" s="41" t="s">
        <v>708</v>
      </c>
      <c r="C120" s="13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72">
        <f t="shared" si="23"/>
        <v>0</v>
      </c>
    </row>
    <row r="121" spans="1:35" outlineLevel="3" x14ac:dyDescent="0.2">
      <c r="A121" s="20"/>
      <c r="B121" s="41" t="s">
        <v>709</v>
      </c>
      <c r="C121" s="13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72">
        <f t="shared" si="23"/>
        <v>0</v>
      </c>
    </row>
    <row r="122" spans="1:35" outlineLevel="3" x14ac:dyDescent="0.2">
      <c r="A122" s="20"/>
      <c r="B122" s="41" t="s">
        <v>710</v>
      </c>
      <c r="C122" s="13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72">
        <f t="shared" si="23"/>
        <v>0</v>
      </c>
    </row>
    <row r="123" spans="1:35" outlineLevel="3" x14ac:dyDescent="0.2">
      <c r="A123" s="20" t="s">
        <v>671</v>
      </c>
      <c r="B123" s="20" t="s">
        <v>672</v>
      </c>
      <c r="C123" s="13">
        <v>2111014000</v>
      </c>
      <c r="D123" s="35">
        <f>SUM(D124:D126)</f>
        <v>0</v>
      </c>
      <c r="E123" s="35">
        <f t="shared" ref="E123:AH123" si="41">SUM(E124:E126)</f>
        <v>0</v>
      </c>
      <c r="F123" s="35">
        <f t="shared" si="41"/>
        <v>0</v>
      </c>
      <c r="G123" s="35">
        <f t="shared" si="41"/>
        <v>0</v>
      </c>
      <c r="H123" s="35">
        <f t="shared" si="41"/>
        <v>0</v>
      </c>
      <c r="I123" s="35">
        <f t="shared" si="41"/>
        <v>0</v>
      </c>
      <c r="J123" s="35">
        <f t="shared" si="41"/>
        <v>0</v>
      </c>
      <c r="K123" s="35">
        <f t="shared" si="41"/>
        <v>0</v>
      </c>
      <c r="L123" s="35">
        <f t="shared" si="41"/>
        <v>0</v>
      </c>
      <c r="M123" s="35">
        <f t="shared" si="41"/>
        <v>0</v>
      </c>
      <c r="N123" s="35">
        <f t="shared" si="41"/>
        <v>0</v>
      </c>
      <c r="O123" s="35">
        <f t="shared" si="41"/>
        <v>0</v>
      </c>
      <c r="P123" s="35">
        <f t="shared" si="41"/>
        <v>0</v>
      </c>
      <c r="Q123" s="35">
        <f t="shared" si="41"/>
        <v>0</v>
      </c>
      <c r="R123" s="35">
        <f t="shared" si="41"/>
        <v>0</v>
      </c>
      <c r="S123" s="35">
        <f t="shared" si="41"/>
        <v>0</v>
      </c>
      <c r="T123" s="35">
        <f t="shared" si="41"/>
        <v>0</v>
      </c>
      <c r="U123" s="35">
        <f t="shared" si="41"/>
        <v>0</v>
      </c>
      <c r="V123" s="35">
        <f t="shared" si="41"/>
        <v>0</v>
      </c>
      <c r="W123" s="35">
        <f t="shared" si="41"/>
        <v>0</v>
      </c>
      <c r="X123" s="35">
        <f t="shared" si="41"/>
        <v>0</v>
      </c>
      <c r="Y123" s="35">
        <f t="shared" si="41"/>
        <v>0</v>
      </c>
      <c r="Z123" s="35">
        <f t="shared" si="41"/>
        <v>0</v>
      </c>
      <c r="AA123" s="35">
        <f t="shared" si="41"/>
        <v>0</v>
      </c>
      <c r="AB123" s="35">
        <f t="shared" si="41"/>
        <v>0</v>
      </c>
      <c r="AC123" s="35">
        <f t="shared" si="41"/>
        <v>0</v>
      </c>
      <c r="AD123" s="35">
        <f t="shared" si="41"/>
        <v>0</v>
      </c>
      <c r="AE123" s="35">
        <f t="shared" si="41"/>
        <v>0</v>
      </c>
      <c r="AF123" s="35">
        <f t="shared" si="41"/>
        <v>0</v>
      </c>
      <c r="AG123" s="35">
        <f t="shared" si="41"/>
        <v>0</v>
      </c>
      <c r="AH123" s="35">
        <f t="shared" si="41"/>
        <v>0</v>
      </c>
      <c r="AI123" s="72">
        <f t="shared" si="23"/>
        <v>0</v>
      </c>
    </row>
    <row r="124" spans="1:35" outlineLevel="3" x14ac:dyDescent="0.2">
      <c r="A124" s="20"/>
      <c r="B124" s="41" t="s">
        <v>708</v>
      </c>
      <c r="C124" s="13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72">
        <f t="shared" si="23"/>
        <v>0</v>
      </c>
    </row>
    <row r="125" spans="1:35" outlineLevel="3" x14ac:dyDescent="0.2">
      <c r="A125" s="20"/>
      <c r="B125" s="41" t="s">
        <v>709</v>
      </c>
      <c r="C125" s="13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72">
        <f t="shared" si="23"/>
        <v>0</v>
      </c>
    </row>
    <row r="126" spans="1:35" outlineLevel="3" x14ac:dyDescent="0.2">
      <c r="A126" s="20"/>
      <c r="B126" s="41" t="s">
        <v>710</v>
      </c>
      <c r="C126" s="13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72">
        <f t="shared" si="23"/>
        <v>0</v>
      </c>
    </row>
    <row r="127" spans="1:35" outlineLevel="2" x14ac:dyDescent="0.2">
      <c r="A127" s="17" t="s">
        <v>79</v>
      </c>
      <c r="B127" s="17" t="s">
        <v>80</v>
      </c>
      <c r="C127" s="13" t="s">
        <v>81</v>
      </c>
      <c r="D127" s="35">
        <f>SUM(D128:D130)</f>
        <v>0</v>
      </c>
      <c r="E127" s="35">
        <f t="shared" ref="E127:AH127" si="42">SUM(E128:E130)</f>
        <v>0</v>
      </c>
      <c r="F127" s="35">
        <f t="shared" si="42"/>
        <v>0</v>
      </c>
      <c r="G127" s="35">
        <f t="shared" si="42"/>
        <v>0</v>
      </c>
      <c r="H127" s="35">
        <f t="shared" si="42"/>
        <v>0</v>
      </c>
      <c r="I127" s="35">
        <f t="shared" si="42"/>
        <v>0</v>
      </c>
      <c r="J127" s="35">
        <f t="shared" si="42"/>
        <v>0</v>
      </c>
      <c r="K127" s="35">
        <f t="shared" si="42"/>
        <v>0</v>
      </c>
      <c r="L127" s="35">
        <f t="shared" si="42"/>
        <v>0</v>
      </c>
      <c r="M127" s="35">
        <f t="shared" si="42"/>
        <v>0</v>
      </c>
      <c r="N127" s="35">
        <f t="shared" si="42"/>
        <v>0</v>
      </c>
      <c r="O127" s="35">
        <f t="shared" si="42"/>
        <v>0</v>
      </c>
      <c r="P127" s="35">
        <f t="shared" si="42"/>
        <v>0</v>
      </c>
      <c r="Q127" s="35">
        <f t="shared" si="42"/>
        <v>0</v>
      </c>
      <c r="R127" s="35">
        <f t="shared" si="42"/>
        <v>0</v>
      </c>
      <c r="S127" s="35">
        <f t="shared" si="42"/>
        <v>0</v>
      </c>
      <c r="T127" s="35">
        <f t="shared" si="42"/>
        <v>0</v>
      </c>
      <c r="U127" s="35">
        <f t="shared" si="42"/>
        <v>0</v>
      </c>
      <c r="V127" s="35">
        <f t="shared" si="42"/>
        <v>0</v>
      </c>
      <c r="W127" s="35">
        <f t="shared" si="42"/>
        <v>0</v>
      </c>
      <c r="X127" s="35">
        <f t="shared" si="42"/>
        <v>0</v>
      </c>
      <c r="Y127" s="35">
        <f t="shared" si="42"/>
        <v>0</v>
      </c>
      <c r="Z127" s="35">
        <f t="shared" si="42"/>
        <v>0</v>
      </c>
      <c r="AA127" s="35">
        <f t="shared" si="42"/>
        <v>0</v>
      </c>
      <c r="AB127" s="35">
        <f t="shared" si="42"/>
        <v>0</v>
      </c>
      <c r="AC127" s="35">
        <f t="shared" si="42"/>
        <v>0</v>
      </c>
      <c r="AD127" s="35">
        <f t="shared" si="42"/>
        <v>0</v>
      </c>
      <c r="AE127" s="35">
        <f t="shared" si="42"/>
        <v>0</v>
      </c>
      <c r="AF127" s="35">
        <f t="shared" si="42"/>
        <v>0</v>
      </c>
      <c r="AG127" s="35">
        <f t="shared" si="42"/>
        <v>0</v>
      </c>
      <c r="AH127" s="35">
        <f t="shared" si="42"/>
        <v>0</v>
      </c>
      <c r="AI127" s="72">
        <f t="shared" si="23"/>
        <v>0</v>
      </c>
    </row>
    <row r="128" spans="1:35" outlineLevel="2" x14ac:dyDescent="0.2">
      <c r="A128" s="17"/>
      <c r="B128" s="41" t="s">
        <v>708</v>
      </c>
      <c r="C128" s="13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72">
        <f t="shared" si="23"/>
        <v>0</v>
      </c>
    </row>
    <row r="129" spans="1:35" outlineLevel="2" x14ac:dyDescent="0.2">
      <c r="A129" s="17"/>
      <c r="B129" s="41" t="s">
        <v>709</v>
      </c>
      <c r="C129" s="13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72">
        <f t="shared" si="23"/>
        <v>0</v>
      </c>
    </row>
    <row r="130" spans="1:35" outlineLevel="2" x14ac:dyDescent="0.2">
      <c r="A130" s="17"/>
      <c r="B130" s="41" t="s">
        <v>710</v>
      </c>
      <c r="C130" s="13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72">
        <f t="shared" si="23"/>
        <v>0</v>
      </c>
    </row>
    <row r="131" spans="1:35" outlineLevel="2" x14ac:dyDescent="0.2">
      <c r="A131" s="17" t="s">
        <v>82</v>
      </c>
      <c r="B131" s="17" t="s">
        <v>83</v>
      </c>
      <c r="C131" s="13" t="s">
        <v>84</v>
      </c>
      <c r="D131" s="35">
        <f>SUM(D132:D134)</f>
        <v>0</v>
      </c>
      <c r="E131" s="35">
        <f t="shared" ref="E131:AH131" si="43">SUM(E132:E134)</f>
        <v>0</v>
      </c>
      <c r="F131" s="35">
        <f t="shared" si="43"/>
        <v>0</v>
      </c>
      <c r="G131" s="35">
        <f t="shared" si="43"/>
        <v>0</v>
      </c>
      <c r="H131" s="35">
        <f t="shared" si="43"/>
        <v>0</v>
      </c>
      <c r="I131" s="35">
        <f t="shared" si="43"/>
        <v>0</v>
      </c>
      <c r="J131" s="35">
        <f t="shared" si="43"/>
        <v>0</v>
      </c>
      <c r="K131" s="35">
        <f t="shared" si="43"/>
        <v>0</v>
      </c>
      <c r="L131" s="35">
        <f t="shared" si="43"/>
        <v>0</v>
      </c>
      <c r="M131" s="35">
        <f t="shared" si="43"/>
        <v>0</v>
      </c>
      <c r="N131" s="35">
        <f t="shared" si="43"/>
        <v>0</v>
      </c>
      <c r="O131" s="35">
        <f t="shared" si="43"/>
        <v>0</v>
      </c>
      <c r="P131" s="35">
        <f t="shared" si="43"/>
        <v>0</v>
      </c>
      <c r="Q131" s="35">
        <f t="shared" si="43"/>
        <v>0</v>
      </c>
      <c r="R131" s="35">
        <f t="shared" si="43"/>
        <v>0</v>
      </c>
      <c r="S131" s="35">
        <f t="shared" si="43"/>
        <v>0</v>
      </c>
      <c r="T131" s="35">
        <f t="shared" si="43"/>
        <v>0</v>
      </c>
      <c r="U131" s="35">
        <f t="shared" si="43"/>
        <v>0</v>
      </c>
      <c r="V131" s="35">
        <f t="shared" si="43"/>
        <v>0</v>
      </c>
      <c r="W131" s="35">
        <f t="shared" si="43"/>
        <v>0</v>
      </c>
      <c r="X131" s="35">
        <f t="shared" si="43"/>
        <v>0</v>
      </c>
      <c r="Y131" s="35">
        <f t="shared" si="43"/>
        <v>0</v>
      </c>
      <c r="Z131" s="35">
        <f t="shared" si="43"/>
        <v>0</v>
      </c>
      <c r="AA131" s="35">
        <f t="shared" si="43"/>
        <v>0</v>
      </c>
      <c r="AB131" s="35">
        <f t="shared" si="43"/>
        <v>0</v>
      </c>
      <c r="AC131" s="35">
        <f t="shared" si="43"/>
        <v>0</v>
      </c>
      <c r="AD131" s="35">
        <f t="shared" si="43"/>
        <v>0</v>
      </c>
      <c r="AE131" s="35">
        <f t="shared" si="43"/>
        <v>0</v>
      </c>
      <c r="AF131" s="35">
        <f t="shared" si="43"/>
        <v>0</v>
      </c>
      <c r="AG131" s="35">
        <f t="shared" si="43"/>
        <v>0</v>
      </c>
      <c r="AH131" s="35">
        <f t="shared" si="43"/>
        <v>0</v>
      </c>
      <c r="AI131" s="72">
        <f t="shared" si="23"/>
        <v>0</v>
      </c>
    </row>
    <row r="132" spans="1:35" outlineLevel="2" x14ac:dyDescent="0.2">
      <c r="A132" s="17"/>
      <c r="B132" s="41" t="s">
        <v>708</v>
      </c>
      <c r="C132" s="13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72">
        <f t="shared" si="23"/>
        <v>0</v>
      </c>
    </row>
    <row r="133" spans="1:35" outlineLevel="2" x14ac:dyDescent="0.2">
      <c r="A133" s="17"/>
      <c r="B133" s="41" t="s">
        <v>709</v>
      </c>
      <c r="C133" s="13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72">
        <f t="shared" si="23"/>
        <v>0</v>
      </c>
    </row>
    <row r="134" spans="1:35" outlineLevel="2" x14ac:dyDescent="0.2">
      <c r="A134" s="17"/>
      <c r="B134" s="41" t="s">
        <v>710</v>
      </c>
      <c r="C134" s="13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72">
        <f t="shared" si="23"/>
        <v>0</v>
      </c>
    </row>
    <row r="135" spans="1:35" outlineLevel="2" x14ac:dyDescent="0.2">
      <c r="A135" s="17" t="s">
        <v>85</v>
      </c>
      <c r="B135" s="17" t="s">
        <v>86</v>
      </c>
      <c r="C135" s="13" t="s">
        <v>87</v>
      </c>
      <c r="D135" s="35">
        <f>SUM(D136:D138)</f>
        <v>0</v>
      </c>
      <c r="E135" s="35">
        <f t="shared" ref="E135:AH135" si="44">SUM(E136:E138)</f>
        <v>0</v>
      </c>
      <c r="F135" s="35">
        <f t="shared" si="44"/>
        <v>0</v>
      </c>
      <c r="G135" s="35">
        <f t="shared" si="44"/>
        <v>0</v>
      </c>
      <c r="H135" s="35">
        <f t="shared" si="44"/>
        <v>0</v>
      </c>
      <c r="I135" s="35">
        <f t="shared" si="44"/>
        <v>0</v>
      </c>
      <c r="J135" s="35">
        <f t="shared" si="44"/>
        <v>0</v>
      </c>
      <c r="K135" s="35">
        <f t="shared" si="44"/>
        <v>0</v>
      </c>
      <c r="L135" s="35">
        <f t="shared" si="44"/>
        <v>0</v>
      </c>
      <c r="M135" s="35">
        <f t="shared" si="44"/>
        <v>0</v>
      </c>
      <c r="N135" s="35">
        <f t="shared" si="44"/>
        <v>0</v>
      </c>
      <c r="O135" s="35">
        <f t="shared" si="44"/>
        <v>0</v>
      </c>
      <c r="P135" s="35">
        <f t="shared" si="44"/>
        <v>0</v>
      </c>
      <c r="Q135" s="35">
        <f t="shared" si="44"/>
        <v>0</v>
      </c>
      <c r="R135" s="35">
        <f t="shared" si="44"/>
        <v>0</v>
      </c>
      <c r="S135" s="35">
        <f t="shared" si="44"/>
        <v>0</v>
      </c>
      <c r="T135" s="35">
        <f t="shared" si="44"/>
        <v>0</v>
      </c>
      <c r="U135" s="35">
        <f t="shared" si="44"/>
        <v>0</v>
      </c>
      <c r="V135" s="35">
        <f t="shared" si="44"/>
        <v>0</v>
      </c>
      <c r="W135" s="35">
        <f t="shared" si="44"/>
        <v>0</v>
      </c>
      <c r="X135" s="35">
        <f t="shared" si="44"/>
        <v>0</v>
      </c>
      <c r="Y135" s="35">
        <f t="shared" si="44"/>
        <v>0</v>
      </c>
      <c r="Z135" s="35">
        <f t="shared" si="44"/>
        <v>0</v>
      </c>
      <c r="AA135" s="35">
        <f t="shared" si="44"/>
        <v>0</v>
      </c>
      <c r="AB135" s="35">
        <f t="shared" si="44"/>
        <v>0</v>
      </c>
      <c r="AC135" s="35">
        <f t="shared" si="44"/>
        <v>0</v>
      </c>
      <c r="AD135" s="35">
        <f t="shared" si="44"/>
        <v>0</v>
      </c>
      <c r="AE135" s="35">
        <f t="shared" si="44"/>
        <v>0</v>
      </c>
      <c r="AF135" s="35">
        <f t="shared" si="44"/>
        <v>0</v>
      </c>
      <c r="AG135" s="35">
        <f t="shared" si="44"/>
        <v>0</v>
      </c>
      <c r="AH135" s="35">
        <f t="shared" si="44"/>
        <v>0</v>
      </c>
      <c r="AI135" s="72">
        <f t="shared" si="23"/>
        <v>0</v>
      </c>
    </row>
    <row r="136" spans="1:35" outlineLevel="2" x14ac:dyDescent="0.2">
      <c r="A136" s="17"/>
      <c r="B136" s="41" t="s">
        <v>708</v>
      </c>
      <c r="C136" s="13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72">
        <f t="shared" si="23"/>
        <v>0</v>
      </c>
    </row>
    <row r="137" spans="1:35" outlineLevel="2" x14ac:dyDescent="0.2">
      <c r="A137" s="17"/>
      <c r="B137" s="41" t="s">
        <v>709</v>
      </c>
      <c r="C137" s="13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72">
        <f t="shared" si="23"/>
        <v>0</v>
      </c>
    </row>
    <row r="138" spans="1:35" outlineLevel="2" x14ac:dyDescent="0.2">
      <c r="A138" s="17"/>
      <c r="B138" s="41" t="s">
        <v>710</v>
      </c>
      <c r="C138" s="13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72">
        <f t="shared" si="23"/>
        <v>0</v>
      </c>
    </row>
    <row r="139" spans="1:35" outlineLevel="2" x14ac:dyDescent="0.2">
      <c r="A139" s="17" t="s">
        <v>88</v>
      </c>
      <c r="B139" s="17" t="s">
        <v>89</v>
      </c>
      <c r="C139" s="13" t="s">
        <v>90</v>
      </c>
      <c r="D139" s="35">
        <f>SUM(D140:D142)</f>
        <v>0</v>
      </c>
      <c r="E139" s="35">
        <f t="shared" ref="E139:AH139" si="45">SUM(E140:E142)</f>
        <v>0</v>
      </c>
      <c r="F139" s="35">
        <f t="shared" si="45"/>
        <v>0</v>
      </c>
      <c r="G139" s="35">
        <f t="shared" si="45"/>
        <v>0</v>
      </c>
      <c r="H139" s="35">
        <f t="shared" si="45"/>
        <v>0</v>
      </c>
      <c r="I139" s="35">
        <f t="shared" si="45"/>
        <v>0</v>
      </c>
      <c r="J139" s="35">
        <f t="shared" si="45"/>
        <v>0</v>
      </c>
      <c r="K139" s="35">
        <f t="shared" si="45"/>
        <v>0</v>
      </c>
      <c r="L139" s="35">
        <f t="shared" si="45"/>
        <v>0</v>
      </c>
      <c r="M139" s="35">
        <f t="shared" si="45"/>
        <v>0</v>
      </c>
      <c r="N139" s="35">
        <f t="shared" si="45"/>
        <v>0</v>
      </c>
      <c r="O139" s="35">
        <f t="shared" si="45"/>
        <v>0</v>
      </c>
      <c r="P139" s="35">
        <f t="shared" si="45"/>
        <v>0</v>
      </c>
      <c r="Q139" s="35">
        <f t="shared" si="45"/>
        <v>0</v>
      </c>
      <c r="R139" s="35">
        <f t="shared" si="45"/>
        <v>0</v>
      </c>
      <c r="S139" s="35">
        <f t="shared" si="45"/>
        <v>0</v>
      </c>
      <c r="T139" s="35">
        <f t="shared" si="45"/>
        <v>0</v>
      </c>
      <c r="U139" s="35">
        <f t="shared" si="45"/>
        <v>0</v>
      </c>
      <c r="V139" s="35">
        <f t="shared" si="45"/>
        <v>0</v>
      </c>
      <c r="W139" s="35">
        <f t="shared" si="45"/>
        <v>0</v>
      </c>
      <c r="X139" s="35">
        <f t="shared" si="45"/>
        <v>0</v>
      </c>
      <c r="Y139" s="35">
        <f t="shared" si="45"/>
        <v>0</v>
      </c>
      <c r="Z139" s="35">
        <f t="shared" si="45"/>
        <v>0</v>
      </c>
      <c r="AA139" s="35">
        <f t="shared" si="45"/>
        <v>0</v>
      </c>
      <c r="AB139" s="35">
        <f t="shared" si="45"/>
        <v>0</v>
      </c>
      <c r="AC139" s="35">
        <f t="shared" si="45"/>
        <v>0</v>
      </c>
      <c r="AD139" s="35">
        <f t="shared" si="45"/>
        <v>0</v>
      </c>
      <c r="AE139" s="35">
        <f t="shared" si="45"/>
        <v>0</v>
      </c>
      <c r="AF139" s="35">
        <f t="shared" si="45"/>
        <v>0</v>
      </c>
      <c r="AG139" s="35">
        <f t="shared" si="45"/>
        <v>0</v>
      </c>
      <c r="AH139" s="35">
        <f t="shared" si="45"/>
        <v>0</v>
      </c>
      <c r="AI139" s="72">
        <f t="shared" ref="AI139:AI202" si="46">SUM(D139:AH139)</f>
        <v>0</v>
      </c>
    </row>
    <row r="140" spans="1:35" outlineLevel="2" x14ac:dyDescent="0.2">
      <c r="A140" s="17"/>
      <c r="B140" s="41" t="s">
        <v>708</v>
      </c>
      <c r="C140" s="13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72">
        <f t="shared" si="46"/>
        <v>0</v>
      </c>
    </row>
    <row r="141" spans="1:35" outlineLevel="2" x14ac:dyDescent="0.2">
      <c r="A141" s="17"/>
      <c r="B141" s="41" t="s">
        <v>709</v>
      </c>
      <c r="C141" s="13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72">
        <f t="shared" si="46"/>
        <v>0</v>
      </c>
    </row>
    <row r="142" spans="1:35" outlineLevel="2" x14ac:dyDescent="0.2">
      <c r="A142" s="17"/>
      <c r="B142" s="41" t="s">
        <v>710</v>
      </c>
      <c r="C142" s="13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72">
        <f t="shared" si="46"/>
        <v>0</v>
      </c>
    </row>
    <row r="143" spans="1:35" outlineLevel="2" x14ac:dyDescent="0.2">
      <c r="A143" s="17" t="s">
        <v>91</v>
      </c>
      <c r="B143" s="17" t="s">
        <v>92</v>
      </c>
      <c r="C143" s="13" t="s">
        <v>93</v>
      </c>
      <c r="D143" s="35">
        <f>SUM(D144:D146)</f>
        <v>0</v>
      </c>
      <c r="E143" s="35">
        <f t="shared" ref="E143:AH143" si="47">SUM(E144:E146)</f>
        <v>0</v>
      </c>
      <c r="F143" s="35">
        <f t="shared" si="47"/>
        <v>0</v>
      </c>
      <c r="G143" s="35">
        <f t="shared" si="47"/>
        <v>0</v>
      </c>
      <c r="H143" s="35">
        <f t="shared" si="47"/>
        <v>0</v>
      </c>
      <c r="I143" s="35">
        <f t="shared" si="47"/>
        <v>0</v>
      </c>
      <c r="J143" s="35">
        <f t="shared" si="47"/>
        <v>0</v>
      </c>
      <c r="K143" s="35">
        <f t="shared" si="47"/>
        <v>0</v>
      </c>
      <c r="L143" s="35">
        <f t="shared" si="47"/>
        <v>0</v>
      </c>
      <c r="M143" s="35">
        <f t="shared" si="47"/>
        <v>0</v>
      </c>
      <c r="N143" s="35">
        <f t="shared" si="47"/>
        <v>0</v>
      </c>
      <c r="O143" s="35">
        <f t="shared" si="47"/>
        <v>0</v>
      </c>
      <c r="P143" s="35">
        <f t="shared" si="47"/>
        <v>0</v>
      </c>
      <c r="Q143" s="35">
        <f t="shared" si="47"/>
        <v>0</v>
      </c>
      <c r="R143" s="35">
        <f t="shared" si="47"/>
        <v>0</v>
      </c>
      <c r="S143" s="35">
        <f t="shared" si="47"/>
        <v>0</v>
      </c>
      <c r="T143" s="35">
        <f t="shared" si="47"/>
        <v>0</v>
      </c>
      <c r="U143" s="35">
        <f t="shared" si="47"/>
        <v>0</v>
      </c>
      <c r="V143" s="35">
        <f t="shared" si="47"/>
        <v>0</v>
      </c>
      <c r="W143" s="35">
        <f t="shared" si="47"/>
        <v>0</v>
      </c>
      <c r="X143" s="35">
        <f t="shared" si="47"/>
        <v>0</v>
      </c>
      <c r="Y143" s="35">
        <f t="shared" si="47"/>
        <v>0</v>
      </c>
      <c r="Z143" s="35">
        <f t="shared" si="47"/>
        <v>0</v>
      </c>
      <c r="AA143" s="35">
        <f t="shared" si="47"/>
        <v>0</v>
      </c>
      <c r="AB143" s="35">
        <f t="shared" si="47"/>
        <v>0</v>
      </c>
      <c r="AC143" s="35">
        <f t="shared" si="47"/>
        <v>0</v>
      </c>
      <c r="AD143" s="35">
        <f t="shared" si="47"/>
        <v>0</v>
      </c>
      <c r="AE143" s="35">
        <f t="shared" si="47"/>
        <v>0</v>
      </c>
      <c r="AF143" s="35">
        <f t="shared" si="47"/>
        <v>0</v>
      </c>
      <c r="AG143" s="35">
        <f t="shared" si="47"/>
        <v>0</v>
      </c>
      <c r="AH143" s="35">
        <f t="shared" si="47"/>
        <v>0</v>
      </c>
      <c r="AI143" s="72">
        <f t="shared" si="46"/>
        <v>0</v>
      </c>
    </row>
    <row r="144" spans="1:35" outlineLevel="2" x14ac:dyDescent="0.2">
      <c r="A144" s="17"/>
      <c r="B144" s="41" t="s">
        <v>708</v>
      </c>
      <c r="C144" s="13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72">
        <f t="shared" si="46"/>
        <v>0</v>
      </c>
    </row>
    <row r="145" spans="1:35" outlineLevel="2" x14ac:dyDescent="0.2">
      <c r="A145" s="17"/>
      <c r="B145" s="41" t="s">
        <v>709</v>
      </c>
      <c r="C145" s="13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72">
        <f t="shared" si="46"/>
        <v>0</v>
      </c>
    </row>
    <row r="146" spans="1:35" outlineLevel="2" x14ac:dyDescent="0.2">
      <c r="A146" s="17"/>
      <c r="B146" s="41" t="s">
        <v>710</v>
      </c>
      <c r="C146" s="13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72">
        <f t="shared" si="46"/>
        <v>0</v>
      </c>
    </row>
    <row r="147" spans="1:35" outlineLevel="2" x14ac:dyDescent="0.2">
      <c r="A147" s="17" t="s">
        <v>94</v>
      </c>
      <c r="B147" s="17" t="s">
        <v>95</v>
      </c>
      <c r="C147" s="13" t="s">
        <v>96</v>
      </c>
      <c r="D147" s="35">
        <f>SUM(D148:D150)</f>
        <v>0</v>
      </c>
      <c r="E147" s="35">
        <f t="shared" ref="E147:AH147" si="48">SUM(E148:E150)</f>
        <v>0</v>
      </c>
      <c r="F147" s="35">
        <f t="shared" si="48"/>
        <v>0</v>
      </c>
      <c r="G147" s="35">
        <f t="shared" si="48"/>
        <v>0</v>
      </c>
      <c r="H147" s="35">
        <f t="shared" si="48"/>
        <v>0</v>
      </c>
      <c r="I147" s="35">
        <f t="shared" si="48"/>
        <v>0</v>
      </c>
      <c r="J147" s="35">
        <f t="shared" si="48"/>
        <v>0</v>
      </c>
      <c r="K147" s="35">
        <f t="shared" si="48"/>
        <v>0</v>
      </c>
      <c r="L147" s="35">
        <f t="shared" si="48"/>
        <v>0</v>
      </c>
      <c r="M147" s="35">
        <f t="shared" si="48"/>
        <v>7000</v>
      </c>
      <c r="N147" s="35">
        <f t="shared" si="48"/>
        <v>0</v>
      </c>
      <c r="O147" s="35">
        <f t="shared" si="48"/>
        <v>0</v>
      </c>
      <c r="P147" s="35">
        <f t="shared" si="48"/>
        <v>0</v>
      </c>
      <c r="Q147" s="35">
        <f t="shared" si="48"/>
        <v>88057.829999999987</v>
      </c>
      <c r="R147" s="35">
        <f t="shared" si="48"/>
        <v>0</v>
      </c>
      <c r="S147" s="35">
        <f t="shared" si="48"/>
        <v>0</v>
      </c>
      <c r="T147" s="35">
        <f t="shared" si="48"/>
        <v>29321.879999999997</v>
      </c>
      <c r="U147" s="35">
        <f t="shared" si="48"/>
        <v>0</v>
      </c>
      <c r="V147" s="35">
        <f t="shared" si="48"/>
        <v>0</v>
      </c>
      <c r="W147" s="35">
        <f t="shared" si="48"/>
        <v>485654.33</v>
      </c>
      <c r="X147" s="35">
        <f t="shared" si="48"/>
        <v>8502.6299999999992</v>
      </c>
      <c r="Y147" s="35">
        <f t="shared" si="48"/>
        <v>0</v>
      </c>
      <c r="Z147" s="35">
        <f t="shared" si="48"/>
        <v>0</v>
      </c>
      <c r="AA147" s="35">
        <f t="shared" si="48"/>
        <v>12197.25</v>
      </c>
      <c r="AB147" s="35">
        <f t="shared" si="48"/>
        <v>0</v>
      </c>
      <c r="AC147" s="35">
        <f t="shared" si="48"/>
        <v>35870.86</v>
      </c>
      <c r="AD147" s="35">
        <f t="shared" si="48"/>
        <v>0</v>
      </c>
      <c r="AE147" s="35">
        <f t="shared" si="48"/>
        <v>0</v>
      </c>
      <c r="AF147" s="35">
        <f t="shared" si="48"/>
        <v>0</v>
      </c>
      <c r="AG147" s="35">
        <f t="shared" si="48"/>
        <v>0</v>
      </c>
      <c r="AH147" s="35">
        <f t="shared" si="48"/>
        <v>3152.43</v>
      </c>
      <c r="AI147" s="72">
        <f t="shared" si="46"/>
        <v>669757.21000000008</v>
      </c>
    </row>
    <row r="148" spans="1:35" outlineLevel="2" x14ac:dyDescent="0.2">
      <c r="A148" s="17"/>
      <c r="B148" s="41" t="s">
        <v>708</v>
      </c>
      <c r="C148" s="13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72">
        <f t="shared" si="46"/>
        <v>0</v>
      </c>
    </row>
    <row r="149" spans="1:35" outlineLevel="2" x14ac:dyDescent="0.2">
      <c r="A149" s="17"/>
      <c r="B149" s="41" t="s">
        <v>709</v>
      </c>
      <c r="C149" s="13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72">
        <f t="shared" si="46"/>
        <v>0</v>
      </c>
    </row>
    <row r="150" spans="1:35" outlineLevel="2" x14ac:dyDescent="0.2">
      <c r="A150" s="17"/>
      <c r="B150" s="41" t="s">
        <v>710</v>
      </c>
      <c r="C150" s="13"/>
      <c r="D150" s="50"/>
      <c r="E150" s="50"/>
      <c r="F150" s="50"/>
      <c r="G150" s="50"/>
      <c r="H150" s="50"/>
      <c r="I150" s="50"/>
      <c r="J150" s="50"/>
      <c r="K150" s="50"/>
      <c r="L150" s="50"/>
      <c r="M150" s="50">
        <v>7000</v>
      </c>
      <c r="N150" s="50"/>
      <c r="O150" s="50"/>
      <c r="P150" s="50"/>
      <c r="Q150" s="50">
        <v>88057.829999999987</v>
      </c>
      <c r="R150" s="50"/>
      <c r="S150" s="50"/>
      <c r="T150" s="50">
        <v>29321.879999999997</v>
      </c>
      <c r="U150" s="50"/>
      <c r="V150" s="50"/>
      <c r="W150" s="50">
        <v>485654.33</v>
      </c>
      <c r="X150" s="50">
        <v>8502.6299999999992</v>
      </c>
      <c r="Y150" s="50"/>
      <c r="Z150" s="50"/>
      <c r="AA150" s="50">
        <v>12197.25</v>
      </c>
      <c r="AB150" s="50"/>
      <c r="AC150" s="50">
        <v>35870.86</v>
      </c>
      <c r="AD150" s="50"/>
      <c r="AE150" s="50"/>
      <c r="AF150" s="50"/>
      <c r="AG150" s="50"/>
      <c r="AH150" s="50">
        <v>3152.43</v>
      </c>
      <c r="AI150" s="72">
        <f t="shared" si="46"/>
        <v>669757.21000000008</v>
      </c>
    </row>
    <row r="151" spans="1:35" outlineLevel="1" x14ac:dyDescent="0.2">
      <c r="A151" s="15" t="s">
        <v>572</v>
      </c>
      <c r="B151" s="15" t="s">
        <v>573</v>
      </c>
      <c r="C151" s="13">
        <v>2111100000</v>
      </c>
      <c r="D151" s="35">
        <f>SUM(D152:D154)</f>
        <v>0</v>
      </c>
      <c r="E151" s="35">
        <f t="shared" ref="E151:AH151" si="49">SUM(E152:E154)</f>
        <v>0</v>
      </c>
      <c r="F151" s="35">
        <f t="shared" si="49"/>
        <v>0</v>
      </c>
      <c r="G151" s="35">
        <f t="shared" si="49"/>
        <v>0</v>
      </c>
      <c r="H151" s="35">
        <f t="shared" si="49"/>
        <v>0</v>
      </c>
      <c r="I151" s="35">
        <f t="shared" si="49"/>
        <v>0</v>
      </c>
      <c r="J151" s="35">
        <f t="shared" si="49"/>
        <v>0</v>
      </c>
      <c r="K151" s="35">
        <f t="shared" si="49"/>
        <v>0</v>
      </c>
      <c r="L151" s="35">
        <f t="shared" si="49"/>
        <v>0</v>
      </c>
      <c r="M151" s="35">
        <f t="shared" si="49"/>
        <v>0</v>
      </c>
      <c r="N151" s="35">
        <f t="shared" si="49"/>
        <v>0</v>
      </c>
      <c r="O151" s="35">
        <f t="shared" si="49"/>
        <v>0</v>
      </c>
      <c r="P151" s="35">
        <f t="shared" si="49"/>
        <v>0</v>
      </c>
      <c r="Q151" s="35">
        <f t="shared" si="49"/>
        <v>0</v>
      </c>
      <c r="R151" s="35">
        <f t="shared" si="49"/>
        <v>0</v>
      </c>
      <c r="S151" s="35">
        <f t="shared" si="49"/>
        <v>0</v>
      </c>
      <c r="T151" s="35">
        <f t="shared" si="49"/>
        <v>0</v>
      </c>
      <c r="U151" s="35">
        <f t="shared" si="49"/>
        <v>0</v>
      </c>
      <c r="V151" s="35">
        <f t="shared" si="49"/>
        <v>0</v>
      </c>
      <c r="W151" s="35">
        <f t="shared" si="49"/>
        <v>0</v>
      </c>
      <c r="X151" s="35">
        <f t="shared" si="49"/>
        <v>0</v>
      </c>
      <c r="Y151" s="35">
        <f t="shared" si="49"/>
        <v>0</v>
      </c>
      <c r="Z151" s="35">
        <f t="shared" si="49"/>
        <v>0</v>
      </c>
      <c r="AA151" s="35">
        <f t="shared" si="49"/>
        <v>0</v>
      </c>
      <c r="AB151" s="35">
        <f t="shared" si="49"/>
        <v>0</v>
      </c>
      <c r="AC151" s="35">
        <f t="shared" si="49"/>
        <v>0</v>
      </c>
      <c r="AD151" s="35">
        <f t="shared" si="49"/>
        <v>0</v>
      </c>
      <c r="AE151" s="35">
        <f t="shared" si="49"/>
        <v>0</v>
      </c>
      <c r="AF151" s="35">
        <f t="shared" si="49"/>
        <v>0</v>
      </c>
      <c r="AG151" s="35">
        <f t="shared" si="49"/>
        <v>0</v>
      </c>
      <c r="AH151" s="35">
        <f t="shared" si="49"/>
        <v>0</v>
      </c>
      <c r="AI151" s="72">
        <f t="shared" si="46"/>
        <v>0</v>
      </c>
    </row>
    <row r="152" spans="1:35" outlineLevel="2" x14ac:dyDescent="0.2">
      <c r="A152" s="15"/>
      <c r="B152" s="41" t="s">
        <v>708</v>
      </c>
      <c r="C152" s="13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72">
        <f t="shared" si="46"/>
        <v>0</v>
      </c>
    </row>
    <row r="153" spans="1:35" outlineLevel="2" x14ac:dyDescent="0.2">
      <c r="A153" s="15"/>
      <c r="B153" s="41" t="s">
        <v>709</v>
      </c>
      <c r="C153" s="13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72">
        <f t="shared" si="46"/>
        <v>0</v>
      </c>
    </row>
    <row r="154" spans="1:35" outlineLevel="2" x14ac:dyDescent="0.2">
      <c r="A154" s="15"/>
      <c r="B154" s="41" t="s">
        <v>710</v>
      </c>
      <c r="C154" s="13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72">
        <f t="shared" si="46"/>
        <v>0</v>
      </c>
    </row>
    <row r="155" spans="1:35" outlineLevel="1" x14ac:dyDescent="0.2">
      <c r="A155" s="38" t="s">
        <v>574</v>
      </c>
      <c r="B155" s="38" t="s">
        <v>575</v>
      </c>
      <c r="C155" s="68">
        <v>2111200000</v>
      </c>
      <c r="D155" s="35">
        <f>D156+D160+D164+D168+D172+D176+D180+D184+D188+D192+D196</f>
        <v>0</v>
      </c>
      <c r="E155" s="35">
        <f t="shared" ref="E155:AH155" si="50">E156+E160+E164+E168+E172+E176+E180+E184+E188+E192+E196</f>
        <v>0</v>
      </c>
      <c r="F155" s="35">
        <f t="shared" si="50"/>
        <v>0</v>
      </c>
      <c r="G155" s="35">
        <f t="shared" si="50"/>
        <v>0</v>
      </c>
      <c r="H155" s="35">
        <f t="shared" si="50"/>
        <v>0</v>
      </c>
      <c r="I155" s="35">
        <f t="shared" si="50"/>
        <v>0</v>
      </c>
      <c r="J155" s="35">
        <f t="shared" si="50"/>
        <v>0</v>
      </c>
      <c r="K155" s="35">
        <f t="shared" si="50"/>
        <v>0</v>
      </c>
      <c r="L155" s="35">
        <f t="shared" si="50"/>
        <v>0</v>
      </c>
      <c r="M155" s="35">
        <f t="shared" si="50"/>
        <v>0</v>
      </c>
      <c r="N155" s="35">
        <f t="shared" si="50"/>
        <v>0</v>
      </c>
      <c r="O155" s="35">
        <f t="shared" si="50"/>
        <v>0</v>
      </c>
      <c r="P155" s="35">
        <f t="shared" si="50"/>
        <v>0</v>
      </c>
      <c r="Q155" s="35">
        <f t="shared" si="50"/>
        <v>0</v>
      </c>
      <c r="R155" s="35">
        <f t="shared" si="50"/>
        <v>0</v>
      </c>
      <c r="S155" s="35">
        <f t="shared" si="50"/>
        <v>0</v>
      </c>
      <c r="T155" s="35">
        <f t="shared" si="50"/>
        <v>0</v>
      </c>
      <c r="U155" s="35">
        <f t="shared" si="50"/>
        <v>0</v>
      </c>
      <c r="V155" s="35">
        <f t="shared" si="50"/>
        <v>0</v>
      </c>
      <c r="W155" s="35">
        <f t="shared" si="50"/>
        <v>0</v>
      </c>
      <c r="X155" s="35">
        <f t="shared" si="50"/>
        <v>0</v>
      </c>
      <c r="Y155" s="35">
        <f t="shared" si="50"/>
        <v>0</v>
      </c>
      <c r="Z155" s="35">
        <f t="shared" si="50"/>
        <v>0</v>
      </c>
      <c r="AA155" s="35">
        <f t="shared" si="50"/>
        <v>0</v>
      </c>
      <c r="AB155" s="35">
        <f t="shared" si="50"/>
        <v>0</v>
      </c>
      <c r="AC155" s="35">
        <f t="shared" si="50"/>
        <v>0</v>
      </c>
      <c r="AD155" s="35">
        <f t="shared" si="50"/>
        <v>0</v>
      </c>
      <c r="AE155" s="35">
        <f t="shared" si="50"/>
        <v>0</v>
      </c>
      <c r="AF155" s="35">
        <f t="shared" si="50"/>
        <v>0</v>
      </c>
      <c r="AG155" s="35">
        <f t="shared" si="50"/>
        <v>0</v>
      </c>
      <c r="AH155" s="35">
        <f t="shared" si="50"/>
        <v>0</v>
      </c>
      <c r="AI155" s="72">
        <f t="shared" si="46"/>
        <v>0</v>
      </c>
    </row>
    <row r="156" spans="1:35" outlineLevel="2" x14ac:dyDescent="0.2">
      <c r="A156" s="74" t="s">
        <v>576</v>
      </c>
      <c r="B156" s="38" t="s">
        <v>587</v>
      </c>
      <c r="C156" s="68">
        <v>2111210000</v>
      </c>
      <c r="D156" s="35">
        <f>SUM(D157:D159)</f>
        <v>0</v>
      </c>
      <c r="E156" s="35">
        <f t="shared" ref="E156:AH156" si="51">SUM(E157:E159)</f>
        <v>0</v>
      </c>
      <c r="F156" s="35">
        <f t="shared" si="51"/>
        <v>0</v>
      </c>
      <c r="G156" s="35">
        <f t="shared" si="51"/>
        <v>0</v>
      </c>
      <c r="H156" s="35">
        <f t="shared" si="51"/>
        <v>0</v>
      </c>
      <c r="I156" s="35">
        <f t="shared" si="51"/>
        <v>0</v>
      </c>
      <c r="J156" s="35">
        <f t="shared" si="51"/>
        <v>0</v>
      </c>
      <c r="K156" s="35">
        <f t="shared" si="51"/>
        <v>0</v>
      </c>
      <c r="L156" s="35">
        <f t="shared" si="51"/>
        <v>0</v>
      </c>
      <c r="M156" s="35">
        <f t="shared" si="51"/>
        <v>0</v>
      </c>
      <c r="N156" s="35">
        <f t="shared" si="51"/>
        <v>0</v>
      </c>
      <c r="O156" s="35">
        <f t="shared" si="51"/>
        <v>0</v>
      </c>
      <c r="P156" s="35">
        <f t="shared" si="51"/>
        <v>0</v>
      </c>
      <c r="Q156" s="35">
        <f t="shared" si="51"/>
        <v>0</v>
      </c>
      <c r="R156" s="35">
        <f t="shared" si="51"/>
        <v>0</v>
      </c>
      <c r="S156" s="35">
        <f t="shared" si="51"/>
        <v>0</v>
      </c>
      <c r="T156" s="35">
        <f t="shared" si="51"/>
        <v>0</v>
      </c>
      <c r="U156" s="35">
        <f t="shared" si="51"/>
        <v>0</v>
      </c>
      <c r="V156" s="35">
        <f t="shared" si="51"/>
        <v>0</v>
      </c>
      <c r="W156" s="35">
        <f t="shared" si="51"/>
        <v>0</v>
      </c>
      <c r="X156" s="35">
        <f t="shared" si="51"/>
        <v>0</v>
      </c>
      <c r="Y156" s="35">
        <f t="shared" si="51"/>
        <v>0</v>
      </c>
      <c r="Z156" s="35">
        <f t="shared" si="51"/>
        <v>0</v>
      </c>
      <c r="AA156" s="35">
        <f t="shared" si="51"/>
        <v>0</v>
      </c>
      <c r="AB156" s="35">
        <f t="shared" si="51"/>
        <v>0</v>
      </c>
      <c r="AC156" s="35">
        <f t="shared" si="51"/>
        <v>0</v>
      </c>
      <c r="AD156" s="35">
        <f t="shared" si="51"/>
        <v>0</v>
      </c>
      <c r="AE156" s="35">
        <f t="shared" si="51"/>
        <v>0</v>
      </c>
      <c r="AF156" s="35">
        <f t="shared" si="51"/>
        <v>0</v>
      </c>
      <c r="AG156" s="35">
        <f t="shared" si="51"/>
        <v>0</v>
      </c>
      <c r="AH156" s="35">
        <f t="shared" si="51"/>
        <v>0</v>
      </c>
      <c r="AI156" s="72">
        <f t="shared" si="46"/>
        <v>0</v>
      </c>
    </row>
    <row r="157" spans="1:35" outlineLevel="2" x14ac:dyDescent="0.2">
      <c r="A157" s="74"/>
      <c r="B157" s="42" t="s">
        <v>708</v>
      </c>
      <c r="C157" s="68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72">
        <f t="shared" si="46"/>
        <v>0</v>
      </c>
    </row>
    <row r="158" spans="1:35" outlineLevel="2" x14ac:dyDescent="0.2">
      <c r="A158" s="74"/>
      <c r="B158" s="42" t="s">
        <v>709</v>
      </c>
      <c r="C158" s="68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72">
        <f t="shared" si="46"/>
        <v>0</v>
      </c>
    </row>
    <row r="159" spans="1:35" outlineLevel="2" x14ac:dyDescent="0.2">
      <c r="A159" s="74"/>
      <c r="B159" s="42" t="s">
        <v>710</v>
      </c>
      <c r="C159" s="68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72">
        <f t="shared" si="46"/>
        <v>0</v>
      </c>
    </row>
    <row r="160" spans="1:35" outlineLevel="2" x14ac:dyDescent="0.2">
      <c r="A160" s="74" t="s">
        <v>577</v>
      </c>
      <c r="B160" s="38" t="s">
        <v>588</v>
      </c>
      <c r="C160" s="68">
        <v>2111220000</v>
      </c>
      <c r="D160" s="35">
        <f>SUM(D161:D163)</f>
        <v>0</v>
      </c>
      <c r="E160" s="35">
        <f t="shared" ref="E160:AH160" si="52">SUM(E161:E163)</f>
        <v>0</v>
      </c>
      <c r="F160" s="35">
        <f t="shared" si="52"/>
        <v>0</v>
      </c>
      <c r="G160" s="35">
        <f t="shared" si="52"/>
        <v>0</v>
      </c>
      <c r="H160" s="35">
        <f t="shared" si="52"/>
        <v>0</v>
      </c>
      <c r="I160" s="35">
        <f t="shared" si="52"/>
        <v>0</v>
      </c>
      <c r="J160" s="35">
        <f t="shared" si="52"/>
        <v>0</v>
      </c>
      <c r="K160" s="35">
        <f t="shared" si="52"/>
        <v>0</v>
      </c>
      <c r="L160" s="35">
        <f t="shared" si="52"/>
        <v>0</v>
      </c>
      <c r="M160" s="35">
        <f t="shared" si="52"/>
        <v>0</v>
      </c>
      <c r="N160" s="35">
        <f t="shared" si="52"/>
        <v>0</v>
      </c>
      <c r="O160" s="35">
        <f t="shared" si="52"/>
        <v>0</v>
      </c>
      <c r="P160" s="35">
        <f t="shared" si="52"/>
        <v>0</v>
      </c>
      <c r="Q160" s="35">
        <f t="shared" si="52"/>
        <v>0</v>
      </c>
      <c r="R160" s="35">
        <f t="shared" si="52"/>
        <v>0</v>
      </c>
      <c r="S160" s="35">
        <f t="shared" si="52"/>
        <v>0</v>
      </c>
      <c r="T160" s="35">
        <f t="shared" si="52"/>
        <v>0</v>
      </c>
      <c r="U160" s="35">
        <f t="shared" si="52"/>
        <v>0</v>
      </c>
      <c r="V160" s="35">
        <f t="shared" si="52"/>
        <v>0</v>
      </c>
      <c r="W160" s="35">
        <f t="shared" si="52"/>
        <v>0</v>
      </c>
      <c r="X160" s="35">
        <f t="shared" si="52"/>
        <v>0</v>
      </c>
      <c r="Y160" s="35">
        <f t="shared" si="52"/>
        <v>0</v>
      </c>
      <c r="Z160" s="35">
        <f t="shared" si="52"/>
        <v>0</v>
      </c>
      <c r="AA160" s="35">
        <f t="shared" si="52"/>
        <v>0</v>
      </c>
      <c r="AB160" s="35">
        <f t="shared" si="52"/>
        <v>0</v>
      </c>
      <c r="AC160" s="35">
        <f t="shared" si="52"/>
        <v>0</v>
      </c>
      <c r="AD160" s="35">
        <f t="shared" si="52"/>
        <v>0</v>
      </c>
      <c r="AE160" s="35">
        <f t="shared" si="52"/>
        <v>0</v>
      </c>
      <c r="AF160" s="35">
        <f t="shared" si="52"/>
        <v>0</v>
      </c>
      <c r="AG160" s="35">
        <f t="shared" si="52"/>
        <v>0</v>
      </c>
      <c r="AH160" s="35">
        <f t="shared" si="52"/>
        <v>0</v>
      </c>
      <c r="AI160" s="72">
        <f t="shared" si="46"/>
        <v>0</v>
      </c>
    </row>
    <row r="161" spans="1:35" outlineLevel="2" x14ac:dyDescent="0.2">
      <c r="A161" s="74"/>
      <c r="B161" s="42" t="s">
        <v>708</v>
      </c>
      <c r="C161" s="68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72">
        <f t="shared" si="46"/>
        <v>0</v>
      </c>
    </row>
    <row r="162" spans="1:35" outlineLevel="2" x14ac:dyDescent="0.2">
      <c r="A162" s="74"/>
      <c r="B162" s="42" t="s">
        <v>709</v>
      </c>
      <c r="C162" s="68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72">
        <f t="shared" si="46"/>
        <v>0</v>
      </c>
    </row>
    <row r="163" spans="1:35" outlineLevel="2" x14ac:dyDescent="0.2">
      <c r="A163" s="74"/>
      <c r="B163" s="42" t="s">
        <v>710</v>
      </c>
      <c r="C163" s="68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72">
        <f t="shared" si="46"/>
        <v>0</v>
      </c>
    </row>
    <row r="164" spans="1:35" outlineLevel="2" x14ac:dyDescent="0.2">
      <c r="A164" s="74" t="s">
        <v>578</v>
      </c>
      <c r="B164" s="38" t="s">
        <v>589</v>
      </c>
      <c r="C164" s="68">
        <v>2111230000</v>
      </c>
      <c r="D164" s="35">
        <f>SUM(D165:D167)</f>
        <v>0</v>
      </c>
      <c r="E164" s="35">
        <f t="shared" ref="E164:AH164" si="53">SUM(E165:E167)</f>
        <v>0</v>
      </c>
      <c r="F164" s="35">
        <f t="shared" si="53"/>
        <v>0</v>
      </c>
      <c r="G164" s="35">
        <f t="shared" si="53"/>
        <v>0</v>
      </c>
      <c r="H164" s="35">
        <f t="shared" si="53"/>
        <v>0</v>
      </c>
      <c r="I164" s="35">
        <f t="shared" si="53"/>
        <v>0</v>
      </c>
      <c r="J164" s="35">
        <f t="shared" si="53"/>
        <v>0</v>
      </c>
      <c r="K164" s="35">
        <f t="shared" si="53"/>
        <v>0</v>
      </c>
      <c r="L164" s="35">
        <f t="shared" si="53"/>
        <v>0</v>
      </c>
      <c r="M164" s="35">
        <f t="shared" si="53"/>
        <v>0</v>
      </c>
      <c r="N164" s="35">
        <f t="shared" si="53"/>
        <v>0</v>
      </c>
      <c r="O164" s="35">
        <f t="shared" si="53"/>
        <v>0</v>
      </c>
      <c r="P164" s="35">
        <f t="shared" si="53"/>
        <v>0</v>
      </c>
      <c r="Q164" s="35">
        <f t="shared" si="53"/>
        <v>0</v>
      </c>
      <c r="R164" s="35">
        <f t="shared" si="53"/>
        <v>0</v>
      </c>
      <c r="S164" s="35">
        <f t="shared" si="53"/>
        <v>0</v>
      </c>
      <c r="T164" s="35">
        <f t="shared" si="53"/>
        <v>0</v>
      </c>
      <c r="U164" s="35">
        <f t="shared" si="53"/>
        <v>0</v>
      </c>
      <c r="V164" s="35">
        <f t="shared" si="53"/>
        <v>0</v>
      </c>
      <c r="W164" s="35">
        <f t="shared" si="53"/>
        <v>0</v>
      </c>
      <c r="X164" s="35">
        <f t="shared" si="53"/>
        <v>0</v>
      </c>
      <c r="Y164" s="35">
        <f t="shared" si="53"/>
        <v>0</v>
      </c>
      <c r="Z164" s="35">
        <f t="shared" si="53"/>
        <v>0</v>
      </c>
      <c r="AA164" s="35">
        <f t="shared" si="53"/>
        <v>0</v>
      </c>
      <c r="AB164" s="35">
        <f t="shared" si="53"/>
        <v>0</v>
      </c>
      <c r="AC164" s="35">
        <f t="shared" si="53"/>
        <v>0</v>
      </c>
      <c r="AD164" s="35">
        <f t="shared" si="53"/>
        <v>0</v>
      </c>
      <c r="AE164" s="35">
        <f t="shared" si="53"/>
        <v>0</v>
      </c>
      <c r="AF164" s="35">
        <f t="shared" si="53"/>
        <v>0</v>
      </c>
      <c r="AG164" s="35">
        <f t="shared" si="53"/>
        <v>0</v>
      </c>
      <c r="AH164" s="35">
        <f t="shared" si="53"/>
        <v>0</v>
      </c>
      <c r="AI164" s="72">
        <f t="shared" si="46"/>
        <v>0</v>
      </c>
    </row>
    <row r="165" spans="1:35" outlineLevel="2" x14ac:dyDescent="0.2">
      <c r="A165" s="74"/>
      <c r="B165" s="42" t="s">
        <v>708</v>
      </c>
      <c r="C165" s="68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72">
        <f t="shared" si="46"/>
        <v>0</v>
      </c>
    </row>
    <row r="166" spans="1:35" outlineLevel="2" x14ac:dyDescent="0.2">
      <c r="A166" s="74"/>
      <c r="B166" s="42" t="s">
        <v>709</v>
      </c>
      <c r="C166" s="68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72">
        <f t="shared" si="46"/>
        <v>0</v>
      </c>
    </row>
    <row r="167" spans="1:35" outlineLevel="2" x14ac:dyDescent="0.2">
      <c r="A167" s="74"/>
      <c r="B167" s="42" t="s">
        <v>710</v>
      </c>
      <c r="C167" s="68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72">
        <f t="shared" si="46"/>
        <v>0</v>
      </c>
    </row>
    <row r="168" spans="1:35" ht="38.25" outlineLevel="2" x14ac:dyDescent="0.2">
      <c r="A168" s="74" t="s">
        <v>579</v>
      </c>
      <c r="B168" s="38" t="s">
        <v>590</v>
      </c>
      <c r="C168" s="68">
        <v>2111240000</v>
      </c>
      <c r="D168" s="35">
        <f>SUM(D169:D171)</f>
        <v>0</v>
      </c>
      <c r="E168" s="35">
        <f t="shared" ref="E168:AH168" si="54">SUM(E169:E171)</f>
        <v>0</v>
      </c>
      <c r="F168" s="35">
        <f t="shared" si="54"/>
        <v>0</v>
      </c>
      <c r="G168" s="35">
        <f t="shared" si="54"/>
        <v>0</v>
      </c>
      <c r="H168" s="35">
        <f t="shared" si="54"/>
        <v>0</v>
      </c>
      <c r="I168" s="35">
        <f t="shared" si="54"/>
        <v>0</v>
      </c>
      <c r="J168" s="35">
        <f t="shared" si="54"/>
        <v>0</v>
      </c>
      <c r="K168" s="35">
        <f t="shared" si="54"/>
        <v>0</v>
      </c>
      <c r="L168" s="35">
        <f t="shared" si="54"/>
        <v>0</v>
      </c>
      <c r="M168" s="35">
        <f t="shared" si="54"/>
        <v>0</v>
      </c>
      <c r="N168" s="35">
        <f t="shared" si="54"/>
        <v>0</v>
      </c>
      <c r="O168" s="35">
        <f t="shared" si="54"/>
        <v>0</v>
      </c>
      <c r="P168" s="35">
        <f t="shared" si="54"/>
        <v>0</v>
      </c>
      <c r="Q168" s="35">
        <f t="shared" si="54"/>
        <v>0</v>
      </c>
      <c r="R168" s="35">
        <f t="shared" si="54"/>
        <v>0</v>
      </c>
      <c r="S168" s="35">
        <f t="shared" si="54"/>
        <v>0</v>
      </c>
      <c r="T168" s="35">
        <f t="shared" si="54"/>
        <v>0</v>
      </c>
      <c r="U168" s="35">
        <f t="shared" si="54"/>
        <v>0</v>
      </c>
      <c r="V168" s="35">
        <f t="shared" si="54"/>
        <v>0</v>
      </c>
      <c r="W168" s="35">
        <f t="shared" si="54"/>
        <v>0</v>
      </c>
      <c r="X168" s="35">
        <f t="shared" si="54"/>
        <v>0</v>
      </c>
      <c r="Y168" s="35">
        <f t="shared" si="54"/>
        <v>0</v>
      </c>
      <c r="Z168" s="35">
        <f t="shared" si="54"/>
        <v>0</v>
      </c>
      <c r="AA168" s="35">
        <f t="shared" si="54"/>
        <v>0</v>
      </c>
      <c r="AB168" s="35">
        <f t="shared" si="54"/>
        <v>0</v>
      </c>
      <c r="AC168" s="35">
        <f t="shared" si="54"/>
        <v>0</v>
      </c>
      <c r="AD168" s="35">
        <f t="shared" si="54"/>
        <v>0</v>
      </c>
      <c r="AE168" s="35">
        <f t="shared" si="54"/>
        <v>0</v>
      </c>
      <c r="AF168" s="35">
        <f t="shared" si="54"/>
        <v>0</v>
      </c>
      <c r="AG168" s="35">
        <f t="shared" si="54"/>
        <v>0</v>
      </c>
      <c r="AH168" s="35">
        <f t="shared" si="54"/>
        <v>0</v>
      </c>
      <c r="AI168" s="72">
        <f t="shared" si="46"/>
        <v>0</v>
      </c>
    </row>
    <row r="169" spans="1:35" outlineLevel="2" x14ac:dyDescent="0.2">
      <c r="A169" s="74"/>
      <c r="B169" s="42" t="s">
        <v>708</v>
      </c>
      <c r="C169" s="68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72">
        <f t="shared" si="46"/>
        <v>0</v>
      </c>
    </row>
    <row r="170" spans="1:35" outlineLevel="2" x14ac:dyDescent="0.2">
      <c r="A170" s="74"/>
      <c r="B170" s="42" t="s">
        <v>709</v>
      </c>
      <c r="C170" s="68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72">
        <f t="shared" si="46"/>
        <v>0</v>
      </c>
    </row>
    <row r="171" spans="1:35" outlineLevel="2" x14ac:dyDescent="0.2">
      <c r="A171" s="74"/>
      <c r="B171" s="42" t="s">
        <v>710</v>
      </c>
      <c r="C171" s="68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72">
        <f t="shared" si="46"/>
        <v>0</v>
      </c>
    </row>
    <row r="172" spans="1:35" outlineLevel="2" x14ac:dyDescent="0.2">
      <c r="A172" s="74" t="s">
        <v>580</v>
      </c>
      <c r="B172" s="38" t="s">
        <v>591</v>
      </c>
      <c r="C172" s="68">
        <v>2111250000</v>
      </c>
      <c r="D172" s="35">
        <f>SUM(D173:D175)</f>
        <v>0</v>
      </c>
      <c r="E172" s="35">
        <f t="shared" ref="E172:AH172" si="55">SUM(E173:E175)</f>
        <v>0</v>
      </c>
      <c r="F172" s="35">
        <f t="shared" si="55"/>
        <v>0</v>
      </c>
      <c r="G172" s="35">
        <f t="shared" si="55"/>
        <v>0</v>
      </c>
      <c r="H172" s="35">
        <f t="shared" si="55"/>
        <v>0</v>
      </c>
      <c r="I172" s="35">
        <f t="shared" si="55"/>
        <v>0</v>
      </c>
      <c r="J172" s="35">
        <f t="shared" si="55"/>
        <v>0</v>
      </c>
      <c r="K172" s="35">
        <f t="shared" si="55"/>
        <v>0</v>
      </c>
      <c r="L172" s="35">
        <f t="shared" si="55"/>
        <v>0</v>
      </c>
      <c r="M172" s="35">
        <f t="shared" si="55"/>
        <v>0</v>
      </c>
      <c r="N172" s="35">
        <f t="shared" si="55"/>
        <v>0</v>
      </c>
      <c r="O172" s="35">
        <f t="shared" si="55"/>
        <v>0</v>
      </c>
      <c r="P172" s="35">
        <f t="shared" si="55"/>
        <v>0</v>
      </c>
      <c r="Q172" s="35">
        <f t="shared" si="55"/>
        <v>0</v>
      </c>
      <c r="R172" s="35">
        <f t="shared" si="55"/>
        <v>0</v>
      </c>
      <c r="S172" s="35">
        <f t="shared" si="55"/>
        <v>0</v>
      </c>
      <c r="T172" s="35">
        <f t="shared" si="55"/>
        <v>0</v>
      </c>
      <c r="U172" s="35">
        <f t="shared" si="55"/>
        <v>0</v>
      </c>
      <c r="V172" s="35">
        <f t="shared" si="55"/>
        <v>0</v>
      </c>
      <c r="W172" s="35">
        <f t="shared" si="55"/>
        <v>0</v>
      </c>
      <c r="X172" s="35">
        <f t="shared" si="55"/>
        <v>0</v>
      </c>
      <c r="Y172" s="35">
        <f t="shared" si="55"/>
        <v>0</v>
      </c>
      <c r="Z172" s="35">
        <f t="shared" si="55"/>
        <v>0</v>
      </c>
      <c r="AA172" s="35">
        <f t="shared" si="55"/>
        <v>0</v>
      </c>
      <c r="AB172" s="35">
        <f t="shared" si="55"/>
        <v>0</v>
      </c>
      <c r="AC172" s="35">
        <f t="shared" si="55"/>
        <v>0</v>
      </c>
      <c r="AD172" s="35">
        <f t="shared" si="55"/>
        <v>0</v>
      </c>
      <c r="AE172" s="35">
        <f t="shared" si="55"/>
        <v>0</v>
      </c>
      <c r="AF172" s="35">
        <f t="shared" si="55"/>
        <v>0</v>
      </c>
      <c r="AG172" s="35">
        <f t="shared" si="55"/>
        <v>0</v>
      </c>
      <c r="AH172" s="35">
        <f t="shared" si="55"/>
        <v>0</v>
      </c>
      <c r="AI172" s="72">
        <f t="shared" si="46"/>
        <v>0</v>
      </c>
    </row>
    <row r="173" spans="1:35" outlineLevel="2" x14ac:dyDescent="0.2">
      <c r="A173" s="74"/>
      <c r="B173" s="42" t="s">
        <v>708</v>
      </c>
      <c r="C173" s="68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72">
        <f t="shared" si="46"/>
        <v>0</v>
      </c>
    </row>
    <row r="174" spans="1:35" outlineLevel="2" x14ac:dyDescent="0.2">
      <c r="A174" s="74"/>
      <c r="B174" s="42" t="s">
        <v>709</v>
      </c>
      <c r="C174" s="68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72">
        <f t="shared" si="46"/>
        <v>0</v>
      </c>
    </row>
    <row r="175" spans="1:35" outlineLevel="2" x14ac:dyDescent="0.2">
      <c r="A175" s="74"/>
      <c r="B175" s="42" t="s">
        <v>710</v>
      </c>
      <c r="C175" s="68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72">
        <f t="shared" si="46"/>
        <v>0</v>
      </c>
    </row>
    <row r="176" spans="1:35" outlineLevel="2" x14ac:dyDescent="0.2">
      <c r="A176" s="74" t="s">
        <v>581</v>
      </c>
      <c r="B176" s="38" t="s">
        <v>592</v>
      </c>
      <c r="C176" s="68">
        <v>2111260000</v>
      </c>
      <c r="D176" s="35">
        <f>SUM(D177:D179)</f>
        <v>0</v>
      </c>
      <c r="E176" s="35">
        <f t="shared" ref="E176:AH176" si="56">SUM(E177:E179)</f>
        <v>0</v>
      </c>
      <c r="F176" s="35">
        <f t="shared" si="56"/>
        <v>0</v>
      </c>
      <c r="G176" s="35">
        <f t="shared" si="56"/>
        <v>0</v>
      </c>
      <c r="H176" s="35">
        <f t="shared" si="56"/>
        <v>0</v>
      </c>
      <c r="I176" s="35">
        <f t="shared" si="56"/>
        <v>0</v>
      </c>
      <c r="J176" s="35">
        <f t="shared" si="56"/>
        <v>0</v>
      </c>
      <c r="K176" s="35">
        <f t="shared" si="56"/>
        <v>0</v>
      </c>
      <c r="L176" s="35">
        <f t="shared" si="56"/>
        <v>0</v>
      </c>
      <c r="M176" s="35">
        <f t="shared" si="56"/>
        <v>0</v>
      </c>
      <c r="N176" s="35">
        <f t="shared" si="56"/>
        <v>0</v>
      </c>
      <c r="O176" s="35">
        <f t="shared" si="56"/>
        <v>0</v>
      </c>
      <c r="P176" s="35">
        <f t="shared" si="56"/>
        <v>0</v>
      </c>
      <c r="Q176" s="35">
        <f t="shared" si="56"/>
        <v>0</v>
      </c>
      <c r="R176" s="35">
        <f t="shared" si="56"/>
        <v>0</v>
      </c>
      <c r="S176" s="35">
        <f t="shared" si="56"/>
        <v>0</v>
      </c>
      <c r="T176" s="35">
        <f t="shared" si="56"/>
        <v>0</v>
      </c>
      <c r="U176" s="35">
        <f t="shared" si="56"/>
        <v>0</v>
      </c>
      <c r="V176" s="35">
        <f t="shared" si="56"/>
        <v>0</v>
      </c>
      <c r="W176" s="35">
        <f t="shared" si="56"/>
        <v>0</v>
      </c>
      <c r="X176" s="35">
        <f t="shared" si="56"/>
        <v>0</v>
      </c>
      <c r="Y176" s="35">
        <f t="shared" si="56"/>
        <v>0</v>
      </c>
      <c r="Z176" s="35">
        <f t="shared" si="56"/>
        <v>0</v>
      </c>
      <c r="AA176" s="35">
        <f t="shared" si="56"/>
        <v>0</v>
      </c>
      <c r="AB176" s="35">
        <f t="shared" si="56"/>
        <v>0</v>
      </c>
      <c r="AC176" s="35">
        <f t="shared" si="56"/>
        <v>0</v>
      </c>
      <c r="AD176" s="35">
        <f t="shared" si="56"/>
        <v>0</v>
      </c>
      <c r="AE176" s="35">
        <f t="shared" si="56"/>
        <v>0</v>
      </c>
      <c r="AF176" s="35">
        <f t="shared" si="56"/>
        <v>0</v>
      </c>
      <c r="AG176" s="35">
        <f t="shared" si="56"/>
        <v>0</v>
      </c>
      <c r="AH176" s="35">
        <f t="shared" si="56"/>
        <v>0</v>
      </c>
      <c r="AI176" s="72">
        <f t="shared" si="46"/>
        <v>0</v>
      </c>
    </row>
    <row r="177" spans="1:35" outlineLevel="2" x14ac:dyDescent="0.2">
      <c r="A177" s="74"/>
      <c r="B177" s="42" t="s">
        <v>708</v>
      </c>
      <c r="C177" s="68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72">
        <f t="shared" si="46"/>
        <v>0</v>
      </c>
    </row>
    <row r="178" spans="1:35" outlineLevel="2" x14ac:dyDescent="0.2">
      <c r="A178" s="74"/>
      <c r="B178" s="42" t="s">
        <v>709</v>
      </c>
      <c r="C178" s="68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72">
        <f t="shared" si="46"/>
        <v>0</v>
      </c>
    </row>
    <row r="179" spans="1:35" outlineLevel="2" x14ac:dyDescent="0.2">
      <c r="A179" s="74"/>
      <c r="B179" s="42" t="s">
        <v>710</v>
      </c>
      <c r="C179" s="68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72">
        <f t="shared" si="46"/>
        <v>0</v>
      </c>
    </row>
    <row r="180" spans="1:35" outlineLevel="2" x14ac:dyDescent="0.2">
      <c r="A180" s="74" t="s">
        <v>582</v>
      </c>
      <c r="B180" s="38" t="s">
        <v>593</v>
      </c>
      <c r="C180" s="68">
        <v>2111270000</v>
      </c>
      <c r="D180" s="35">
        <f>SUM(D181:D183)</f>
        <v>0</v>
      </c>
      <c r="E180" s="35">
        <f t="shared" ref="E180:AH180" si="57">SUM(E181:E183)</f>
        <v>0</v>
      </c>
      <c r="F180" s="35">
        <f t="shared" si="57"/>
        <v>0</v>
      </c>
      <c r="G180" s="35">
        <f t="shared" si="57"/>
        <v>0</v>
      </c>
      <c r="H180" s="35">
        <f t="shared" si="57"/>
        <v>0</v>
      </c>
      <c r="I180" s="35">
        <f t="shared" si="57"/>
        <v>0</v>
      </c>
      <c r="J180" s="35">
        <f t="shared" si="57"/>
        <v>0</v>
      </c>
      <c r="K180" s="35">
        <f t="shared" si="57"/>
        <v>0</v>
      </c>
      <c r="L180" s="35">
        <f t="shared" si="57"/>
        <v>0</v>
      </c>
      <c r="M180" s="35">
        <f t="shared" si="57"/>
        <v>0</v>
      </c>
      <c r="N180" s="35">
        <f t="shared" si="57"/>
        <v>0</v>
      </c>
      <c r="O180" s="35">
        <f t="shared" si="57"/>
        <v>0</v>
      </c>
      <c r="P180" s="35">
        <f t="shared" si="57"/>
        <v>0</v>
      </c>
      <c r="Q180" s="35">
        <f t="shared" si="57"/>
        <v>0</v>
      </c>
      <c r="R180" s="35">
        <f t="shared" si="57"/>
        <v>0</v>
      </c>
      <c r="S180" s="35">
        <f t="shared" si="57"/>
        <v>0</v>
      </c>
      <c r="T180" s="35">
        <f t="shared" si="57"/>
        <v>0</v>
      </c>
      <c r="U180" s="35">
        <f t="shared" si="57"/>
        <v>0</v>
      </c>
      <c r="V180" s="35">
        <f t="shared" si="57"/>
        <v>0</v>
      </c>
      <c r="W180" s="35">
        <f t="shared" si="57"/>
        <v>0</v>
      </c>
      <c r="X180" s="35">
        <f t="shared" si="57"/>
        <v>0</v>
      </c>
      <c r="Y180" s="35">
        <f t="shared" si="57"/>
        <v>0</v>
      </c>
      <c r="Z180" s="35">
        <f t="shared" si="57"/>
        <v>0</v>
      </c>
      <c r="AA180" s="35">
        <f t="shared" si="57"/>
        <v>0</v>
      </c>
      <c r="AB180" s="35">
        <f t="shared" si="57"/>
        <v>0</v>
      </c>
      <c r="AC180" s="35">
        <f t="shared" si="57"/>
        <v>0</v>
      </c>
      <c r="AD180" s="35">
        <f t="shared" si="57"/>
        <v>0</v>
      </c>
      <c r="AE180" s="35">
        <f t="shared" si="57"/>
        <v>0</v>
      </c>
      <c r="AF180" s="35">
        <f t="shared" si="57"/>
        <v>0</v>
      </c>
      <c r="AG180" s="35">
        <f t="shared" si="57"/>
        <v>0</v>
      </c>
      <c r="AH180" s="35">
        <f t="shared" si="57"/>
        <v>0</v>
      </c>
      <c r="AI180" s="72">
        <f t="shared" si="46"/>
        <v>0</v>
      </c>
    </row>
    <row r="181" spans="1:35" outlineLevel="2" x14ac:dyDescent="0.2">
      <c r="A181" s="74"/>
      <c r="B181" s="42" t="s">
        <v>708</v>
      </c>
      <c r="C181" s="68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72">
        <f t="shared" si="46"/>
        <v>0</v>
      </c>
    </row>
    <row r="182" spans="1:35" outlineLevel="2" x14ac:dyDescent="0.2">
      <c r="A182" s="74"/>
      <c r="B182" s="42" t="s">
        <v>709</v>
      </c>
      <c r="C182" s="68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72">
        <f t="shared" si="46"/>
        <v>0</v>
      </c>
    </row>
    <row r="183" spans="1:35" outlineLevel="2" x14ac:dyDescent="0.2">
      <c r="A183" s="74"/>
      <c r="B183" s="42" t="s">
        <v>710</v>
      </c>
      <c r="C183" s="68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72">
        <f t="shared" si="46"/>
        <v>0</v>
      </c>
    </row>
    <row r="184" spans="1:35" outlineLevel="2" x14ac:dyDescent="0.2">
      <c r="A184" s="74" t="s">
        <v>583</v>
      </c>
      <c r="B184" s="38" t="s">
        <v>594</v>
      </c>
      <c r="C184" s="68">
        <v>2111280000</v>
      </c>
      <c r="D184" s="35">
        <f>SUM(D185:D187)</f>
        <v>0</v>
      </c>
      <c r="E184" s="35">
        <f t="shared" ref="E184:AH184" si="58">SUM(E185:E187)</f>
        <v>0</v>
      </c>
      <c r="F184" s="35">
        <f t="shared" si="58"/>
        <v>0</v>
      </c>
      <c r="G184" s="35">
        <f t="shared" si="58"/>
        <v>0</v>
      </c>
      <c r="H184" s="35">
        <f t="shared" si="58"/>
        <v>0</v>
      </c>
      <c r="I184" s="35">
        <f t="shared" si="58"/>
        <v>0</v>
      </c>
      <c r="J184" s="35">
        <f t="shared" si="58"/>
        <v>0</v>
      </c>
      <c r="K184" s="35">
        <f t="shared" si="58"/>
        <v>0</v>
      </c>
      <c r="L184" s="35">
        <f t="shared" si="58"/>
        <v>0</v>
      </c>
      <c r="M184" s="35">
        <f t="shared" si="58"/>
        <v>0</v>
      </c>
      <c r="N184" s="35">
        <f t="shared" si="58"/>
        <v>0</v>
      </c>
      <c r="O184" s="35">
        <f t="shared" si="58"/>
        <v>0</v>
      </c>
      <c r="P184" s="35">
        <f t="shared" si="58"/>
        <v>0</v>
      </c>
      <c r="Q184" s="35">
        <f t="shared" si="58"/>
        <v>0</v>
      </c>
      <c r="R184" s="35">
        <f t="shared" si="58"/>
        <v>0</v>
      </c>
      <c r="S184" s="35">
        <f t="shared" si="58"/>
        <v>0</v>
      </c>
      <c r="T184" s="35">
        <f t="shared" si="58"/>
        <v>0</v>
      </c>
      <c r="U184" s="35">
        <f t="shared" si="58"/>
        <v>0</v>
      </c>
      <c r="V184" s="35">
        <f t="shared" si="58"/>
        <v>0</v>
      </c>
      <c r="W184" s="35">
        <f t="shared" si="58"/>
        <v>0</v>
      </c>
      <c r="X184" s="35">
        <f t="shared" si="58"/>
        <v>0</v>
      </c>
      <c r="Y184" s="35">
        <f t="shared" si="58"/>
        <v>0</v>
      </c>
      <c r="Z184" s="35">
        <f t="shared" si="58"/>
        <v>0</v>
      </c>
      <c r="AA184" s="35">
        <f t="shared" si="58"/>
        <v>0</v>
      </c>
      <c r="AB184" s="35">
        <f t="shared" si="58"/>
        <v>0</v>
      </c>
      <c r="AC184" s="35">
        <f t="shared" si="58"/>
        <v>0</v>
      </c>
      <c r="AD184" s="35">
        <f t="shared" si="58"/>
        <v>0</v>
      </c>
      <c r="AE184" s="35">
        <f t="shared" si="58"/>
        <v>0</v>
      </c>
      <c r="AF184" s="35">
        <f t="shared" si="58"/>
        <v>0</v>
      </c>
      <c r="AG184" s="35">
        <f t="shared" si="58"/>
        <v>0</v>
      </c>
      <c r="AH184" s="35">
        <f t="shared" si="58"/>
        <v>0</v>
      </c>
      <c r="AI184" s="72">
        <f t="shared" si="46"/>
        <v>0</v>
      </c>
    </row>
    <row r="185" spans="1:35" outlineLevel="2" x14ac:dyDescent="0.2">
      <c r="A185" s="74"/>
      <c r="B185" s="42" t="s">
        <v>708</v>
      </c>
      <c r="C185" s="68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72">
        <f t="shared" si="46"/>
        <v>0</v>
      </c>
    </row>
    <row r="186" spans="1:35" outlineLevel="2" x14ac:dyDescent="0.2">
      <c r="A186" s="74"/>
      <c r="B186" s="42" t="s">
        <v>709</v>
      </c>
      <c r="C186" s="68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72">
        <f t="shared" si="46"/>
        <v>0</v>
      </c>
    </row>
    <row r="187" spans="1:35" outlineLevel="2" x14ac:dyDescent="0.2">
      <c r="A187" s="74"/>
      <c r="B187" s="42" t="s">
        <v>710</v>
      </c>
      <c r="C187" s="68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72">
        <f t="shared" si="46"/>
        <v>0</v>
      </c>
    </row>
    <row r="188" spans="1:35" outlineLevel="2" x14ac:dyDescent="0.2">
      <c r="A188" s="74" t="s">
        <v>584</v>
      </c>
      <c r="B188" s="38" t="s">
        <v>595</v>
      </c>
      <c r="C188" s="68">
        <v>2111290000</v>
      </c>
      <c r="D188" s="35">
        <f>SUM(D189:D191)</f>
        <v>0</v>
      </c>
      <c r="E188" s="35">
        <f t="shared" ref="E188:AH188" si="59">SUM(E189:E191)</f>
        <v>0</v>
      </c>
      <c r="F188" s="35">
        <f t="shared" si="59"/>
        <v>0</v>
      </c>
      <c r="G188" s="35">
        <f t="shared" si="59"/>
        <v>0</v>
      </c>
      <c r="H188" s="35">
        <f t="shared" si="59"/>
        <v>0</v>
      </c>
      <c r="I188" s="35">
        <f t="shared" si="59"/>
        <v>0</v>
      </c>
      <c r="J188" s="35">
        <f t="shared" si="59"/>
        <v>0</v>
      </c>
      <c r="K188" s="35">
        <f t="shared" si="59"/>
        <v>0</v>
      </c>
      <c r="L188" s="35">
        <f t="shared" si="59"/>
        <v>0</v>
      </c>
      <c r="M188" s="35">
        <f t="shared" si="59"/>
        <v>0</v>
      </c>
      <c r="N188" s="35">
        <f t="shared" si="59"/>
        <v>0</v>
      </c>
      <c r="O188" s="35">
        <f t="shared" si="59"/>
        <v>0</v>
      </c>
      <c r="P188" s="35">
        <f t="shared" si="59"/>
        <v>0</v>
      </c>
      <c r="Q188" s="35">
        <f t="shared" si="59"/>
        <v>0</v>
      </c>
      <c r="R188" s="35">
        <f t="shared" si="59"/>
        <v>0</v>
      </c>
      <c r="S188" s="35">
        <f t="shared" si="59"/>
        <v>0</v>
      </c>
      <c r="T188" s="35">
        <f t="shared" si="59"/>
        <v>0</v>
      </c>
      <c r="U188" s="35">
        <f t="shared" si="59"/>
        <v>0</v>
      </c>
      <c r="V188" s="35">
        <f t="shared" si="59"/>
        <v>0</v>
      </c>
      <c r="W188" s="35">
        <f t="shared" si="59"/>
        <v>0</v>
      </c>
      <c r="X188" s="35">
        <f t="shared" si="59"/>
        <v>0</v>
      </c>
      <c r="Y188" s="35">
        <f t="shared" si="59"/>
        <v>0</v>
      </c>
      <c r="Z188" s="35">
        <f t="shared" si="59"/>
        <v>0</v>
      </c>
      <c r="AA188" s="35">
        <f t="shared" si="59"/>
        <v>0</v>
      </c>
      <c r="AB188" s="35">
        <f t="shared" si="59"/>
        <v>0</v>
      </c>
      <c r="AC188" s="35">
        <f t="shared" si="59"/>
        <v>0</v>
      </c>
      <c r="AD188" s="35">
        <f t="shared" si="59"/>
        <v>0</v>
      </c>
      <c r="AE188" s="35">
        <f t="shared" si="59"/>
        <v>0</v>
      </c>
      <c r="AF188" s="35">
        <f t="shared" si="59"/>
        <v>0</v>
      </c>
      <c r="AG188" s="35">
        <f t="shared" si="59"/>
        <v>0</v>
      </c>
      <c r="AH188" s="35">
        <f t="shared" si="59"/>
        <v>0</v>
      </c>
      <c r="AI188" s="72">
        <f t="shared" si="46"/>
        <v>0</v>
      </c>
    </row>
    <row r="189" spans="1:35" outlineLevel="2" x14ac:dyDescent="0.2">
      <c r="A189" s="74"/>
      <c r="B189" s="42" t="s">
        <v>708</v>
      </c>
      <c r="C189" s="68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72">
        <f t="shared" si="46"/>
        <v>0</v>
      </c>
    </row>
    <row r="190" spans="1:35" outlineLevel="2" x14ac:dyDescent="0.2">
      <c r="A190" s="74"/>
      <c r="B190" s="42" t="s">
        <v>709</v>
      </c>
      <c r="C190" s="68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50"/>
      <c r="AG190" s="50"/>
      <c r="AH190" s="50"/>
      <c r="AI190" s="72">
        <f t="shared" si="46"/>
        <v>0</v>
      </c>
    </row>
    <row r="191" spans="1:35" outlineLevel="2" x14ac:dyDescent="0.2">
      <c r="A191" s="74"/>
      <c r="B191" s="42" t="s">
        <v>710</v>
      </c>
      <c r="C191" s="68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72">
        <f t="shared" si="46"/>
        <v>0</v>
      </c>
    </row>
    <row r="192" spans="1:35" outlineLevel="2" x14ac:dyDescent="0.2">
      <c r="A192" s="74" t="s">
        <v>585</v>
      </c>
      <c r="B192" s="38" t="s">
        <v>596</v>
      </c>
      <c r="C192" s="68">
        <v>2111291000</v>
      </c>
      <c r="D192" s="35">
        <f>SUM(D193:D195)</f>
        <v>0</v>
      </c>
      <c r="E192" s="35">
        <f t="shared" ref="E192:AH192" si="60">SUM(E193:E195)</f>
        <v>0</v>
      </c>
      <c r="F192" s="35">
        <f t="shared" si="60"/>
        <v>0</v>
      </c>
      <c r="G192" s="35">
        <f t="shared" si="60"/>
        <v>0</v>
      </c>
      <c r="H192" s="35">
        <f t="shared" si="60"/>
        <v>0</v>
      </c>
      <c r="I192" s="35">
        <f t="shared" si="60"/>
        <v>0</v>
      </c>
      <c r="J192" s="35">
        <f t="shared" si="60"/>
        <v>0</v>
      </c>
      <c r="K192" s="35">
        <f t="shared" si="60"/>
        <v>0</v>
      </c>
      <c r="L192" s="35">
        <f t="shared" si="60"/>
        <v>0</v>
      </c>
      <c r="M192" s="35">
        <f t="shared" si="60"/>
        <v>0</v>
      </c>
      <c r="N192" s="35">
        <f t="shared" si="60"/>
        <v>0</v>
      </c>
      <c r="O192" s="35">
        <f t="shared" si="60"/>
        <v>0</v>
      </c>
      <c r="P192" s="35">
        <f t="shared" si="60"/>
        <v>0</v>
      </c>
      <c r="Q192" s="35">
        <f t="shared" si="60"/>
        <v>0</v>
      </c>
      <c r="R192" s="35">
        <f t="shared" si="60"/>
        <v>0</v>
      </c>
      <c r="S192" s="35">
        <f t="shared" si="60"/>
        <v>0</v>
      </c>
      <c r="T192" s="35">
        <f t="shared" si="60"/>
        <v>0</v>
      </c>
      <c r="U192" s="35">
        <f t="shared" si="60"/>
        <v>0</v>
      </c>
      <c r="V192" s="35">
        <f t="shared" si="60"/>
        <v>0</v>
      </c>
      <c r="W192" s="35">
        <f t="shared" si="60"/>
        <v>0</v>
      </c>
      <c r="X192" s="35">
        <f t="shared" si="60"/>
        <v>0</v>
      </c>
      <c r="Y192" s="35">
        <f t="shared" si="60"/>
        <v>0</v>
      </c>
      <c r="Z192" s="35">
        <f t="shared" si="60"/>
        <v>0</v>
      </c>
      <c r="AA192" s="35">
        <f t="shared" si="60"/>
        <v>0</v>
      </c>
      <c r="AB192" s="35">
        <f t="shared" si="60"/>
        <v>0</v>
      </c>
      <c r="AC192" s="35">
        <f t="shared" si="60"/>
        <v>0</v>
      </c>
      <c r="AD192" s="35">
        <f t="shared" si="60"/>
        <v>0</v>
      </c>
      <c r="AE192" s="35">
        <f t="shared" si="60"/>
        <v>0</v>
      </c>
      <c r="AF192" s="35">
        <f t="shared" si="60"/>
        <v>0</v>
      </c>
      <c r="AG192" s="35">
        <f t="shared" si="60"/>
        <v>0</v>
      </c>
      <c r="AH192" s="35">
        <f t="shared" si="60"/>
        <v>0</v>
      </c>
      <c r="AI192" s="72">
        <f t="shared" si="46"/>
        <v>0</v>
      </c>
    </row>
    <row r="193" spans="1:35" outlineLevel="2" x14ac:dyDescent="0.2">
      <c r="A193" s="74"/>
      <c r="B193" s="42" t="s">
        <v>708</v>
      </c>
      <c r="C193" s="68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50"/>
      <c r="AG193" s="50"/>
      <c r="AH193" s="50"/>
      <c r="AI193" s="72">
        <f t="shared" si="46"/>
        <v>0</v>
      </c>
    </row>
    <row r="194" spans="1:35" outlineLevel="2" x14ac:dyDescent="0.2">
      <c r="A194" s="74"/>
      <c r="B194" s="42" t="s">
        <v>709</v>
      </c>
      <c r="C194" s="68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50"/>
      <c r="AG194" s="50"/>
      <c r="AH194" s="50"/>
      <c r="AI194" s="72">
        <f t="shared" si="46"/>
        <v>0</v>
      </c>
    </row>
    <row r="195" spans="1:35" outlineLevel="2" x14ac:dyDescent="0.2">
      <c r="A195" s="74"/>
      <c r="B195" s="42" t="s">
        <v>710</v>
      </c>
      <c r="C195" s="68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72">
        <f t="shared" si="46"/>
        <v>0</v>
      </c>
    </row>
    <row r="196" spans="1:35" outlineLevel="2" x14ac:dyDescent="0.2">
      <c r="A196" s="74" t="s">
        <v>586</v>
      </c>
      <c r="B196" s="38" t="s">
        <v>597</v>
      </c>
      <c r="C196" s="68">
        <v>2111292000</v>
      </c>
      <c r="D196" s="35">
        <f>SUM(D197:D199)</f>
        <v>0</v>
      </c>
      <c r="E196" s="35">
        <f t="shared" ref="E196:AH196" si="61">SUM(E197:E199)</f>
        <v>0</v>
      </c>
      <c r="F196" s="35">
        <f t="shared" si="61"/>
        <v>0</v>
      </c>
      <c r="G196" s="35">
        <f t="shared" si="61"/>
        <v>0</v>
      </c>
      <c r="H196" s="35">
        <f t="shared" si="61"/>
        <v>0</v>
      </c>
      <c r="I196" s="35">
        <f t="shared" si="61"/>
        <v>0</v>
      </c>
      <c r="J196" s="35">
        <f t="shared" si="61"/>
        <v>0</v>
      </c>
      <c r="K196" s="35">
        <f t="shared" si="61"/>
        <v>0</v>
      </c>
      <c r="L196" s="35">
        <f t="shared" si="61"/>
        <v>0</v>
      </c>
      <c r="M196" s="35">
        <f t="shared" si="61"/>
        <v>0</v>
      </c>
      <c r="N196" s="35">
        <f t="shared" si="61"/>
        <v>0</v>
      </c>
      <c r="O196" s="35">
        <f t="shared" si="61"/>
        <v>0</v>
      </c>
      <c r="P196" s="35">
        <f t="shared" si="61"/>
        <v>0</v>
      </c>
      <c r="Q196" s="35">
        <f t="shared" si="61"/>
        <v>0</v>
      </c>
      <c r="R196" s="35">
        <f t="shared" si="61"/>
        <v>0</v>
      </c>
      <c r="S196" s="35">
        <f t="shared" si="61"/>
        <v>0</v>
      </c>
      <c r="T196" s="35">
        <f t="shared" si="61"/>
        <v>0</v>
      </c>
      <c r="U196" s="35">
        <f t="shared" si="61"/>
        <v>0</v>
      </c>
      <c r="V196" s="35">
        <f t="shared" si="61"/>
        <v>0</v>
      </c>
      <c r="W196" s="35">
        <f t="shared" si="61"/>
        <v>0</v>
      </c>
      <c r="X196" s="35">
        <f t="shared" si="61"/>
        <v>0</v>
      </c>
      <c r="Y196" s="35">
        <f t="shared" si="61"/>
        <v>0</v>
      </c>
      <c r="Z196" s="35">
        <f t="shared" si="61"/>
        <v>0</v>
      </c>
      <c r="AA196" s="35">
        <f t="shared" si="61"/>
        <v>0</v>
      </c>
      <c r="AB196" s="35">
        <f t="shared" si="61"/>
        <v>0</v>
      </c>
      <c r="AC196" s="35">
        <f t="shared" si="61"/>
        <v>0</v>
      </c>
      <c r="AD196" s="35">
        <f t="shared" si="61"/>
        <v>0</v>
      </c>
      <c r="AE196" s="35">
        <f t="shared" si="61"/>
        <v>0</v>
      </c>
      <c r="AF196" s="35">
        <f t="shared" si="61"/>
        <v>0</v>
      </c>
      <c r="AG196" s="35">
        <f t="shared" si="61"/>
        <v>0</v>
      </c>
      <c r="AH196" s="35">
        <f t="shared" si="61"/>
        <v>0</v>
      </c>
      <c r="AI196" s="72">
        <f t="shared" si="46"/>
        <v>0</v>
      </c>
    </row>
    <row r="197" spans="1:35" outlineLevel="2" x14ac:dyDescent="0.2">
      <c r="A197" s="74"/>
      <c r="B197" s="42" t="s">
        <v>708</v>
      </c>
      <c r="C197" s="68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72">
        <f t="shared" si="46"/>
        <v>0</v>
      </c>
    </row>
    <row r="198" spans="1:35" outlineLevel="2" x14ac:dyDescent="0.2">
      <c r="A198" s="74"/>
      <c r="B198" s="42" t="s">
        <v>709</v>
      </c>
      <c r="C198" s="68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72">
        <f t="shared" si="46"/>
        <v>0</v>
      </c>
    </row>
    <row r="199" spans="1:35" outlineLevel="2" x14ac:dyDescent="0.2">
      <c r="A199" s="74"/>
      <c r="B199" s="42" t="s">
        <v>710</v>
      </c>
      <c r="C199" s="68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50"/>
      <c r="AG199" s="50"/>
      <c r="AH199" s="50"/>
      <c r="AI199" s="72">
        <f t="shared" si="46"/>
        <v>0</v>
      </c>
    </row>
    <row r="200" spans="1:35" s="3" customFormat="1" x14ac:dyDescent="0.2">
      <c r="A200" s="14" t="s">
        <v>97</v>
      </c>
      <c r="B200" s="21" t="s">
        <v>98</v>
      </c>
      <c r="C200" s="16" t="s">
        <v>99</v>
      </c>
      <c r="D200" s="44">
        <f t="shared" ref="D200:AH200" si="62">D201+D223+D232+D315+D328+D337+D350+D359+D363+D389+D393+D410+D414+D418+D471+D609+D674+D687+D691+D695+D699</f>
        <v>0</v>
      </c>
      <c r="E200" s="44">
        <f t="shared" si="62"/>
        <v>0</v>
      </c>
      <c r="F200" s="44">
        <f t="shared" si="62"/>
        <v>0</v>
      </c>
      <c r="G200" s="44">
        <f t="shared" si="62"/>
        <v>0</v>
      </c>
      <c r="H200" s="44">
        <f t="shared" si="62"/>
        <v>0</v>
      </c>
      <c r="I200" s="44">
        <f t="shared" si="62"/>
        <v>0</v>
      </c>
      <c r="J200" s="44">
        <f t="shared" si="62"/>
        <v>0</v>
      </c>
      <c r="K200" s="44">
        <f t="shared" si="62"/>
        <v>0</v>
      </c>
      <c r="L200" s="44">
        <f t="shared" si="62"/>
        <v>0</v>
      </c>
      <c r="M200" s="44">
        <f t="shared" si="62"/>
        <v>0</v>
      </c>
      <c r="N200" s="44">
        <f t="shared" si="62"/>
        <v>0</v>
      </c>
      <c r="O200" s="44">
        <f t="shared" si="62"/>
        <v>0</v>
      </c>
      <c r="P200" s="44">
        <f t="shared" si="62"/>
        <v>917000</v>
      </c>
      <c r="Q200" s="44">
        <f t="shared" si="62"/>
        <v>224329782.07999998</v>
      </c>
      <c r="R200" s="44">
        <f t="shared" si="62"/>
        <v>0</v>
      </c>
      <c r="S200" s="44">
        <f t="shared" si="62"/>
        <v>0</v>
      </c>
      <c r="T200" s="44">
        <f t="shared" si="62"/>
        <v>18066.059999999998</v>
      </c>
      <c r="U200" s="44">
        <f t="shared" si="62"/>
        <v>119610.73000000001</v>
      </c>
      <c r="V200" s="44">
        <f t="shared" si="62"/>
        <v>4969109.209999999</v>
      </c>
      <c r="W200" s="44">
        <f t="shared" si="62"/>
        <v>76064</v>
      </c>
      <c r="X200" s="44">
        <f t="shared" si="62"/>
        <v>1618833.8</v>
      </c>
      <c r="Y200" s="44">
        <f t="shared" si="62"/>
        <v>0</v>
      </c>
      <c r="Z200" s="44">
        <f t="shared" si="62"/>
        <v>0</v>
      </c>
      <c r="AA200" s="44">
        <f t="shared" si="62"/>
        <v>2462876.94</v>
      </c>
      <c r="AB200" s="44">
        <f t="shared" si="62"/>
        <v>860582</v>
      </c>
      <c r="AC200" s="44">
        <f t="shared" si="62"/>
        <v>11758999.939999999</v>
      </c>
      <c r="AD200" s="44">
        <f t="shared" si="62"/>
        <v>14412353.1</v>
      </c>
      <c r="AE200" s="44">
        <f t="shared" si="62"/>
        <v>75756020.180000007</v>
      </c>
      <c r="AF200" s="44">
        <f t="shared" si="62"/>
        <v>0</v>
      </c>
      <c r="AG200" s="44">
        <f t="shared" si="62"/>
        <v>0</v>
      </c>
      <c r="AH200" s="44">
        <f t="shared" si="62"/>
        <v>24532500</v>
      </c>
      <c r="AI200" s="72">
        <f t="shared" si="46"/>
        <v>361831798.03999996</v>
      </c>
    </row>
    <row r="201" spans="1:35" outlineLevel="1" x14ac:dyDescent="0.2">
      <c r="A201" s="15" t="s">
        <v>100</v>
      </c>
      <c r="B201" s="15" t="s">
        <v>101</v>
      </c>
      <c r="C201" s="13" t="s">
        <v>102</v>
      </c>
      <c r="D201" s="35">
        <f>D202+D206+D210+D214</f>
        <v>0</v>
      </c>
      <c r="E201" s="35">
        <f t="shared" ref="E201:AH201" si="63">E202+E206+E210+E214</f>
        <v>0</v>
      </c>
      <c r="F201" s="35">
        <f t="shared" si="63"/>
        <v>0</v>
      </c>
      <c r="G201" s="35">
        <f t="shared" si="63"/>
        <v>0</v>
      </c>
      <c r="H201" s="35">
        <f t="shared" si="63"/>
        <v>0</v>
      </c>
      <c r="I201" s="35">
        <f t="shared" si="63"/>
        <v>0</v>
      </c>
      <c r="J201" s="35">
        <f t="shared" si="63"/>
        <v>0</v>
      </c>
      <c r="K201" s="35">
        <f t="shared" si="63"/>
        <v>0</v>
      </c>
      <c r="L201" s="35">
        <f t="shared" si="63"/>
        <v>0</v>
      </c>
      <c r="M201" s="35">
        <f t="shared" si="63"/>
        <v>0</v>
      </c>
      <c r="N201" s="35">
        <f t="shared" si="63"/>
        <v>0</v>
      </c>
      <c r="O201" s="35">
        <f t="shared" si="63"/>
        <v>0</v>
      </c>
      <c r="P201" s="35">
        <f t="shared" si="63"/>
        <v>0</v>
      </c>
      <c r="Q201" s="35">
        <f t="shared" si="63"/>
        <v>154029782.07999998</v>
      </c>
      <c r="R201" s="35">
        <f t="shared" si="63"/>
        <v>0</v>
      </c>
      <c r="S201" s="35">
        <f t="shared" si="63"/>
        <v>0</v>
      </c>
      <c r="T201" s="35">
        <f t="shared" si="63"/>
        <v>0</v>
      </c>
      <c r="U201" s="35">
        <f t="shared" si="63"/>
        <v>115353.1</v>
      </c>
      <c r="V201" s="35">
        <f t="shared" si="63"/>
        <v>4818408.209999999</v>
      </c>
      <c r="W201" s="35">
        <f t="shared" si="63"/>
        <v>0</v>
      </c>
      <c r="X201" s="35">
        <f t="shared" si="63"/>
        <v>0</v>
      </c>
      <c r="Y201" s="35">
        <f t="shared" si="63"/>
        <v>0</v>
      </c>
      <c r="Z201" s="35">
        <f t="shared" si="63"/>
        <v>0</v>
      </c>
      <c r="AA201" s="35">
        <f t="shared" si="63"/>
        <v>759676.94</v>
      </c>
      <c r="AB201" s="35">
        <f t="shared" si="63"/>
        <v>179000</v>
      </c>
      <c r="AC201" s="35">
        <f t="shared" si="63"/>
        <v>11286396.18</v>
      </c>
      <c r="AD201" s="35">
        <f t="shared" si="63"/>
        <v>14383735.1</v>
      </c>
      <c r="AE201" s="35">
        <f t="shared" si="63"/>
        <v>75315964</v>
      </c>
      <c r="AF201" s="35">
        <f t="shared" si="63"/>
        <v>0</v>
      </c>
      <c r="AG201" s="35">
        <f t="shared" si="63"/>
        <v>0</v>
      </c>
      <c r="AH201" s="35">
        <f t="shared" si="63"/>
        <v>0</v>
      </c>
      <c r="AI201" s="72">
        <f t="shared" si="46"/>
        <v>260888315.60999998</v>
      </c>
    </row>
    <row r="202" spans="1:35" outlineLevel="2" x14ac:dyDescent="0.2">
      <c r="A202" s="17" t="s">
        <v>103</v>
      </c>
      <c r="B202" s="17" t="s">
        <v>104</v>
      </c>
      <c r="C202" s="13" t="s">
        <v>105</v>
      </c>
      <c r="D202" s="35">
        <f>SUM(D203:D205)</f>
        <v>0</v>
      </c>
      <c r="E202" s="35">
        <f t="shared" ref="E202:AH202" si="64">SUM(E203:E205)</f>
        <v>0</v>
      </c>
      <c r="F202" s="35">
        <f t="shared" si="64"/>
        <v>0</v>
      </c>
      <c r="G202" s="35">
        <f t="shared" si="64"/>
        <v>0</v>
      </c>
      <c r="H202" s="35">
        <f t="shared" si="64"/>
        <v>0</v>
      </c>
      <c r="I202" s="35">
        <f t="shared" si="64"/>
        <v>0</v>
      </c>
      <c r="J202" s="35">
        <f t="shared" si="64"/>
        <v>0</v>
      </c>
      <c r="K202" s="35">
        <f t="shared" si="64"/>
        <v>0</v>
      </c>
      <c r="L202" s="35">
        <f t="shared" si="64"/>
        <v>0</v>
      </c>
      <c r="M202" s="35">
        <f t="shared" si="64"/>
        <v>0</v>
      </c>
      <c r="N202" s="35">
        <f t="shared" si="64"/>
        <v>0</v>
      </c>
      <c r="O202" s="35">
        <f t="shared" si="64"/>
        <v>0</v>
      </c>
      <c r="P202" s="35">
        <f t="shared" si="64"/>
        <v>0</v>
      </c>
      <c r="Q202" s="35">
        <f t="shared" si="64"/>
        <v>149268805.84</v>
      </c>
      <c r="R202" s="35">
        <f t="shared" si="64"/>
        <v>0</v>
      </c>
      <c r="S202" s="35">
        <f t="shared" si="64"/>
        <v>0</v>
      </c>
      <c r="T202" s="35">
        <f t="shared" si="64"/>
        <v>0</v>
      </c>
      <c r="U202" s="35">
        <f t="shared" si="64"/>
        <v>115353.1</v>
      </c>
      <c r="V202" s="35">
        <f t="shared" si="64"/>
        <v>4818408.209999999</v>
      </c>
      <c r="W202" s="35">
        <f t="shared" si="64"/>
        <v>0</v>
      </c>
      <c r="X202" s="35">
        <f t="shared" si="64"/>
        <v>0</v>
      </c>
      <c r="Y202" s="35">
        <f t="shared" si="64"/>
        <v>0</v>
      </c>
      <c r="Z202" s="35">
        <f t="shared" si="64"/>
        <v>0</v>
      </c>
      <c r="AA202" s="35">
        <f t="shared" si="64"/>
        <v>78535</v>
      </c>
      <c r="AB202" s="35">
        <f t="shared" si="64"/>
        <v>0</v>
      </c>
      <c r="AC202" s="35">
        <f t="shared" si="64"/>
        <v>11286396.18</v>
      </c>
      <c r="AD202" s="35">
        <f t="shared" si="64"/>
        <v>2829723.9</v>
      </c>
      <c r="AE202" s="35">
        <f t="shared" si="64"/>
        <v>75000000</v>
      </c>
      <c r="AF202" s="35">
        <f t="shared" si="64"/>
        <v>0</v>
      </c>
      <c r="AG202" s="35">
        <f t="shared" si="64"/>
        <v>0</v>
      </c>
      <c r="AH202" s="35">
        <f t="shared" si="64"/>
        <v>0</v>
      </c>
      <c r="AI202" s="72">
        <f t="shared" si="46"/>
        <v>243397222.23000002</v>
      </c>
    </row>
    <row r="203" spans="1:35" outlineLevel="2" x14ac:dyDescent="0.2">
      <c r="A203" s="17"/>
      <c r="B203" s="41" t="s">
        <v>708</v>
      </c>
      <c r="C203" s="13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  <c r="AA203" s="50"/>
      <c r="AB203" s="50"/>
      <c r="AC203" s="50"/>
      <c r="AD203" s="50"/>
      <c r="AE203" s="50"/>
      <c r="AF203" s="50"/>
      <c r="AG203" s="50"/>
      <c r="AH203" s="50"/>
      <c r="AI203" s="72">
        <f t="shared" ref="AI203:AI280" si="65">SUM(D203:AH203)</f>
        <v>0</v>
      </c>
    </row>
    <row r="204" spans="1:35" outlineLevel="2" x14ac:dyDescent="0.2">
      <c r="A204" s="17"/>
      <c r="B204" s="41" t="s">
        <v>709</v>
      </c>
      <c r="C204" s="13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>
        <v>149268805.84</v>
      </c>
      <c r="R204" s="50"/>
      <c r="S204" s="50"/>
      <c r="T204" s="50"/>
      <c r="U204" s="50">
        <v>115353.1</v>
      </c>
      <c r="V204" s="50">
        <v>4818408.209999999</v>
      </c>
      <c r="W204" s="50"/>
      <c r="X204" s="50"/>
      <c r="Y204" s="50"/>
      <c r="Z204" s="50"/>
      <c r="AA204" s="50">
        <v>78535</v>
      </c>
      <c r="AB204" s="50"/>
      <c r="AC204" s="50">
        <v>11286396.18</v>
      </c>
      <c r="AD204" s="50">
        <v>2829723.9</v>
      </c>
      <c r="AE204" s="50">
        <v>75000000</v>
      </c>
      <c r="AF204" s="50"/>
      <c r="AG204" s="50"/>
      <c r="AH204" s="50"/>
      <c r="AI204" s="72">
        <f t="shared" si="65"/>
        <v>243397222.23000002</v>
      </c>
    </row>
    <row r="205" spans="1:35" outlineLevel="2" x14ac:dyDescent="0.2">
      <c r="A205" s="17"/>
      <c r="B205" s="41" t="s">
        <v>710</v>
      </c>
      <c r="C205" s="13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  <c r="AA205" s="50"/>
      <c r="AB205" s="50"/>
      <c r="AC205" s="50"/>
      <c r="AD205" s="50"/>
      <c r="AE205" s="50"/>
      <c r="AF205" s="50"/>
      <c r="AG205" s="50"/>
      <c r="AH205" s="50"/>
      <c r="AI205" s="72">
        <f t="shared" si="65"/>
        <v>0</v>
      </c>
    </row>
    <row r="206" spans="1:35" outlineLevel="2" x14ac:dyDescent="0.2">
      <c r="A206" s="17" t="s">
        <v>106</v>
      </c>
      <c r="B206" s="17" t="s">
        <v>107</v>
      </c>
      <c r="C206" s="13" t="s">
        <v>108</v>
      </c>
      <c r="D206" s="35">
        <f>SUM(D207:D209)</f>
        <v>0</v>
      </c>
      <c r="E206" s="35">
        <f t="shared" ref="E206:AH206" si="66">SUM(E207:E209)</f>
        <v>0</v>
      </c>
      <c r="F206" s="35">
        <f t="shared" si="66"/>
        <v>0</v>
      </c>
      <c r="G206" s="35">
        <f t="shared" si="66"/>
        <v>0</v>
      </c>
      <c r="H206" s="35">
        <f t="shared" si="66"/>
        <v>0</v>
      </c>
      <c r="I206" s="35">
        <f t="shared" si="66"/>
        <v>0</v>
      </c>
      <c r="J206" s="35">
        <f t="shared" si="66"/>
        <v>0</v>
      </c>
      <c r="K206" s="35">
        <f t="shared" si="66"/>
        <v>0</v>
      </c>
      <c r="L206" s="35">
        <f t="shared" si="66"/>
        <v>0</v>
      </c>
      <c r="M206" s="35">
        <f t="shared" si="66"/>
        <v>0</v>
      </c>
      <c r="N206" s="35">
        <f t="shared" si="66"/>
        <v>0</v>
      </c>
      <c r="O206" s="35">
        <f t="shared" si="66"/>
        <v>0</v>
      </c>
      <c r="P206" s="35">
        <f t="shared" si="66"/>
        <v>0</v>
      </c>
      <c r="Q206" s="35">
        <f t="shared" si="66"/>
        <v>1028084.76</v>
      </c>
      <c r="R206" s="35">
        <f t="shared" si="66"/>
        <v>0</v>
      </c>
      <c r="S206" s="35">
        <f t="shared" si="66"/>
        <v>0</v>
      </c>
      <c r="T206" s="35">
        <f t="shared" si="66"/>
        <v>0</v>
      </c>
      <c r="U206" s="35">
        <f t="shared" si="66"/>
        <v>0</v>
      </c>
      <c r="V206" s="35">
        <f t="shared" si="66"/>
        <v>0</v>
      </c>
      <c r="W206" s="35">
        <f t="shared" si="66"/>
        <v>0</v>
      </c>
      <c r="X206" s="35">
        <f t="shared" si="66"/>
        <v>0</v>
      </c>
      <c r="Y206" s="35">
        <f t="shared" si="66"/>
        <v>0</v>
      </c>
      <c r="Z206" s="35">
        <f t="shared" si="66"/>
        <v>0</v>
      </c>
      <c r="AA206" s="35">
        <f t="shared" si="66"/>
        <v>681141.94</v>
      </c>
      <c r="AB206" s="35">
        <f t="shared" si="66"/>
        <v>0</v>
      </c>
      <c r="AC206" s="35">
        <f t="shared" si="66"/>
        <v>0</v>
      </c>
      <c r="AD206" s="35">
        <f t="shared" si="66"/>
        <v>11554011.199999999</v>
      </c>
      <c r="AE206" s="35">
        <f t="shared" si="66"/>
        <v>0</v>
      </c>
      <c r="AF206" s="35">
        <f t="shared" si="66"/>
        <v>0</v>
      </c>
      <c r="AG206" s="35">
        <f t="shared" si="66"/>
        <v>0</v>
      </c>
      <c r="AH206" s="35">
        <f t="shared" si="66"/>
        <v>0</v>
      </c>
      <c r="AI206" s="72">
        <f t="shared" si="65"/>
        <v>13263237.899999999</v>
      </c>
    </row>
    <row r="207" spans="1:35" outlineLevel="2" x14ac:dyDescent="0.2">
      <c r="A207" s="17"/>
      <c r="B207" s="41" t="s">
        <v>708</v>
      </c>
      <c r="C207" s="13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50"/>
      <c r="AB207" s="50"/>
      <c r="AC207" s="50"/>
      <c r="AD207" s="50"/>
      <c r="AE207" s="50"/>
      <c r="AF207" s="50"/>
      <c r="AG207" s="50"/>
      <c r="AH207" s="50"/>
      <c r="AI207" s="72">
        <f t="shared" si="65"/>
        <v>0</v>
      </c>
    </row>
    <row r="208" spans="1:35" outlineLevel="2" x14ac:dyDescent="0.2">
      <c r="A208" s="17"/>
      <c r="B208" s="41" t="s">
        <v>709</v>
      </c>
      <c r="C208" s="13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>
        <v>1028084.76</v>
      </c>
      <c r="R208" s="50"/>
      <c r="S208" s="50"/>
      <c r="T208" s="50"/>
      <c r="U208" s="50"/>
      <c r="V208" s="50"/>
      <c r="W208" s="50"/>
      <c r="X208" s="50"/>
      <c r="Y208" s="50"/>
      <c r="Z208" s="50"/>
      <c r="AA208" s="50">
        <v>681141.94</v>
      </c>
      <c r="AB208" s="50"/>
      <c r="AC208" s="50"/>
      <c r="AD208" s="50">
        <v>11554011.199999999</v>
      </c>
      <c r="AE208" s="50"/>
      <c r="AF208" s="50"/>
      <c r="AG208" s="50"/>
      <c r="AH208" s="50"/>
      <c r="AI208" s="72">
        <f t="shared" si="65"/>
        <v>13263237.899999999</v>
      </c>
    </row>
    <row r="209" spans="1:35" outlineLevel="2" x14ac:dyDescent="0.2">
      <c r="A209" s="17"/>
      <c r="B209" s="41" t="s">
        <v>710</v>
      </c>
      <c r="C209" s="13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50"/>
      <c r="AB209" s="50"/>
      <c r="AC209" s="50"/>
      <c r="AD209" s="50"/>
      <c r="AE209" s="50"/>
      <c r="AF209" s="50"/>
      <c r="AG209" s="50"/>
      <c r="AH209" s="50"/>
      <c r="AI209" s="72">
        <f t="shared" si="65"/>
        <v>0</v>
      </c>
    </row>
    <row r="210" spans="1:35" outlineLevel="2" x14ac:dyDescent="0.2">
      <c r="A210" s="17" t="s">
        <v>109</v>
      </c>
      <c r="B210" s="17" t="s">
        <v>110</v>
      </c>
      <c r="C210" s="13" t="s">
        <v>111</v>
      </c>
      <c r="D210" s="35">
        <f>SUM(D211:D213)</f>
        <v>0</v>
      </c>
      <c r="E210" s="35">
        <f t="shared" ref="E210:AH210" si="67">SUM(E211:E213)</f>
        <v>0</v>
      </c>
      <c r="F210" s="35">
        <f t="shared" si="67"/>
        <v>0</v>
      </c>
      <c r="G210" s="35">
        <f t="shared" si="67"/>
        <v>0</v>
      </c>
      <c r="H210" s="35">
        <f t="shared" si="67"/>
        <v>0</v>
      </c>
      <c r="I210" s="35">
        <f t="shared" si="67"/>
        <v>0</v>
      </c>
      <c r="J210" s="35">
        <f t="shared" si="67"/>
        <v>0</v>
      </c>
      <c r="K210" s="35">
        <f t="shared" si="67"/>
        <v>0</v>
      </c>
      <c r="L210" s="35">
        <f t="shared" si="67"/>
        <v>0</v>
      </c>
      <c r="M210" s="35">
        <f t="shared" si="67"/>
        <v>0</v>
      </c>
      <c r="N210" s="35">
        <f t="shared" si="67"/>
        <v>0</v>
      </c>
      <c r="O210" s="35">
        <f t="shared" si="67"/>
        <v>0</v>
      </c>
      <c r="P210" s="35">
        <f t="shared" si="67"/>
        <v>0</v>
      </c>
      <c r="Q210" s="35">
        <f t="shared" si="67"/>
        <v>3732891.4800000004</v>
      </c>
      <c r="R210" s="35">
        <f t="shared" si="67"/>
        <v>0</v>
      </c>
      <c r="S210" s="35">
        <f t="shared" si="67"/>
        <v>0</v>
      </c>
      <c r="T210" s="35">
        <f t="shared" si="67"/>
        <v>0</v>
      </c>
      <c r="U210" s="35">
        <f t="shared" si="67"/>
        <v>0</v>
      </c>
      <c r="V210" s="35">
        <f t="shared" si="67"/>
        <v>0</v>
      </c>
      <c r="W210" s="35">
        <f t="shared" si="67"/>
        <v>0</v>
      </c>
      <c r="X210" s="35">
        <f t="shared" si="67"/>
        <v>0</v>
      </c>
      <c r="Y210" s="35">
        <f t="shared" si="67"/>
        <v>0</v>
      </c>
      <c r="Z210" s="35">
        <f t="shared" si="67"/>
        <v>0</v>
      </c>
      <c r="AA210" s="35">
        <f t="shared" si="67"/>
        <v>0</v>
      </c>
      <c r="AB210" s="35">
        <f t="shared" si="67"/>
        <v>0</v>
      </c>
      <c r="AC210" s="35">
        <f t="shared" si="67"/>
        <v>0</v>
      </c>
      <c r="AD210" s="35">
        <f t="shared" si="67"/>
        <v>0</v>
      </c>
      <c r="AE210" s="35">
        <f t="shared" si="67"/>
        <v>315964</v>
      </c>
      <c r="AF210" s="35">
        <f t="shared" si="67"/>
        <v>0</v>
      </c>
      <c r="AG210" s="35">
        <f t="shared" si="67"/>
        <v>0</v>
      </c>
      <c r="AH210" s="35">
        <f t="shared" si="67"/>
        <v>0</v>
      </c>
      <c r="AI210" s="72">
        <f t="shared" si="65"/>
        <v>4048855.4800000004</v>
      </c>
    </row>
    <row r="211" spans="1:35" outlineLevel="2" x14ac:dyDescent="0.2">
      <c r="A211" s="17"/>
      <c r="B211" s="41" t="s">
        <v>708</v>
      </c>
      <c r="C211" s="13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50"/>
      <c r="AG211" s="50"/>
      <c r="AH211" s="50"/>
      <c r="AI211" s="72">
        <f t="shared" si="65"/>
        <v>0</v>
      </c>
    </row>
    <row r="212" spans="1:35" outlineLevel="2" x14ac:dyDescent="0.2">
      <c r="A212" s="17"/>
      <c r="B212" s="41" t="s">
        <v>709</v>
      </c>
      <c r="C212" s="13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>
        <v>3732891.4800000004</v>
      </c>
      <c r="R212" s="50"/>
      <c r="S212" s="50"/>
      <c r="T212" s="50"/>
      <c r="U212" s="50"/>
      <c r="V212" s="50"/>
      <c r="W212" s="50"/>
      <c r="X212" s="50"/>
      <c r="Y212" s="50"/>
      <c r="Z212" s="50"/>
      <c r="AA212" s="50"/>
      <c r="AB212" s="50"/>
      <c r="AC212" s="50"/>
      <c r="AD212" s="50"/>
      <c r="AE212" s="50">
        <v>315964</v>
      </c>
      <c r="AF212" s="50"/>
      <c r="AG212" s="50"/>
      <c r="AH212" s="50"/>
      <c r="AI212" s="72">
        <f t="shared" si="65"/>
        <v>4048855.4800000004</v>
      </c>
    </row>
    <row r="213" spans="1:35" outlineLevel="2" x14ac:dyDescent="0.2">
      <c r="A213" s="17"/>
      <c r="B213" s="41" t="s">
        <v>710</v>
      </c>
      <c r="C213" s="13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  <c r="AA213" s="50"/>
      <c r="AB213" s="50"/>
      <c r="AC213" s="50"/>
      <c r="AD213" s="50"/>
      <c r="AE213" s="50"/>
      <c r="AF213" s="50"/>
      <c r="AG213" s="50"/>
      <c r="AH213" s="50"/>
      <c r="AI213" s="72">
        <f t="shared" si="65"/>
        <v>0</v>
      </c>
    </row>
    <row r="214" spans="1:35" outlineLevel="2" x14ac:dyDescent="0.2">
      <c r="A214" s="17" t="s">
        <v>724</v>
      </c>
      <c r="B214" s="17" t="s">
        <v>725</v>
      </c>
      <c r="C214" s="13">
        <v>2220140000</v>
      </c>
      <c r="D214" s="49">
        <f>D215+D219</f>
        <v>0</v>
      </c>
      <c r="E214" s="49">
        <f t="shared" ref="E214:AH214" si="68">E215+E219</f>
        <v>0</v>
      </c>
      <c r="F214" s="49">
        <f t="shared" si="68"/>
        <v>0</v>
      </c>
      <c r="G214" s="49">
        <f t="shared" si="68"/>
        <v>0</v>
      </c>
      <c r="H214" s="49">
        <f t="shared" si="68"/>
        <v>0</v>
      </c>
      <c r="I214" s="49">
        <f t="shared" si="68"/>
        <v>0</v>
      </c>
      <c r="J214" s="49">
        <f t="shared" si="68"/>
        <v>0</v>
      </c>
      <c r="K214" s="49">
        <f t="shared" si="68"/>
        <v>0</v>
      </c>
      <c r="L214" s="49">
        <f t="shared" si="68"/>
        <v>0</v>
      </c>
      <c r="M214" s="49">
        <f t="shared" si="68"/>
        <v>0</v>
      </c>
      <c r="N214" s="49">
        <f t="shared" si="68"/>
        <v>0</v>
      </c>
      <c r="O214" s="49">
        <f t="shared" si="68"/>
        <v>0</v>
      </c>
      <c r="P214" s="49">
        <f t="shared" si="68"/>
        <v>0</v>
      </c>
      <c r="Q214" s="49">
        <f t="shared" si="68"/>
        <v>0</v>
      </c>
      <c r="R214" s="49">
        <f t="shared" si="68"/>
        <v>0</v>
      </c>
      <c r="S214" s="49">
        <f t="shared" si="68"/>
        <v>0</v>
      </c>
      <c r="T214" s="49">
        <f t="shared" si="68"/>
        <v>0</v>
      </c>
      <c r="U214" s="49">
        <f t="shared" si="68"/>
        <v>0</v>
      </c>
      <c r="V214" s="49">
        <f t="shared" si="68"/>
        <v>0</v>
      </c>
      <c r="W214" s="49">
        <f t="shared" si="68"/>
        <v>0</v>
      </c>
      <c r="X214" s="49">
        <f t="shared" si="68"/>
        <v>0</v>
      </c>
      <c r="Y214" s="49">
        <f t="shared" si="68"/>
        <v>0</v>
      </c>
      <c r="Z214" s="49">
        <f t="shared" si="68"/>
        <v>0</v>
      </c>
      <c r="AA214" s="49">
        <f t="shared" si="68"/>
        <v>0</v>
      </c>
      <c r="AB214" s="49">
        <f t="shared" si="68"/>
        <v>179000</v>
      </c>
      <c r="AC214" s="49">
        <f t="shared" si="68"/>
        <v>0</v>
      </c>
      <c r="AD214" s="49">
        <f t="shared" si="68"/>
        <v>0</v>
      </c>
      <c r="AE214" s="49">
        <f t="shared" si="68"/>
        <v>0</v>
      </c>
      <c r="AF214" s="49">
        <f t="shared" si="68"/>
        <v>0</v>
      </c>
      <c r="AG214" s="49">
        <f t="shared" si="68"/>
        <v>0</v>
      </c>
      <c r="AH214" s="49">
        <f t="shared" si="68"/>
        <v>0</v>
      </c>
      <c r="AI214" s="72">
        <f t="shared" si="65"/>
        <v>179000</v>
      </c>
    </row>
    <row r="215" spans="1:35" outlineLevel="3" x14ac:dyDescent="0.2">
      <c r="A215" s="20" t="s">
        <v>726</v>
      </c>
      <c r="B215" s="20" t="s">
        <v>727</v>
      </c>
      <c r="C215" s="13">
        <v>2220141000</v>
      </c>
      <c r="D215" s="49">
        <f>SUM(D216:D218)</f>
        <v>0</v>
      </c>
      <c r="E215" s="49">
        <f t="shared" ref="E215:AH215" si="69">SUM(E216:E218)</f>
        <v>0</v>
      </c>
      <c r="F215" s="49">
        <f t="shared" si="69"/>
        <v>0</v>
      </c>
      <c r="G215" s="49">
        <f t="shared" si="69"/>
        <v>0</v>
      </c>
      <c r="H215" s="49">
        <f t="shared" si="69"/>
        <v>0</v>
      </c>
      <c r="I215" s="49">
        <f t="shared" si="69"/>
        <v>0</v>
      </c>
      <c r="J215" s="49">
        <f t="shared" si="69"/>
        <v>0</v>
      </c>
      <c r="K215" s="49">
        <f t="shared" si="69"/>
        <v>0</v>
      </c>
      <c r="L215" s="49">
        <f t="shared" si="69"/>
        <v>0</v>
      </c>
      <c r="M215" s="49">
        <f t="shared" si="69"/>
        <v>0</v>
      </c>
      <c r="N215" s="49">
        <f t="shared" si="69"/>
        <v>0</v>
      </c>
      <c r="O215" s="49">
        <f t="shared" si="69"/>
        <v>0</v>
      </c>
      <c r="P215" s="49">
        <f t="shared" si="69"/>
        <v>0</v>
      </c>
      <c r="Q215" s="49">
        <f t="shared" si="69"/>
        <v>0</v>
      </c>
      <c r="R215" s="49">
        <f t="shared" si="69"/>
        <v>0</v>
      </c>
      <c r="S215" s="49">
        <f t="shared" si="69"/>
        <v>0</v>
      </c>
      <c r="T215" s="49">
        <f t="shared" si="69"/>
        <v>0</v>
      </c>
      <c r="U215" s="49">
        <f t="shared" si="69"/>
        <v>0</v>
      </c>
      <c r="V215" s="49">
        <f t="shared" si="69"/>
        <v>0</v>
      </c>
      <c r="W215" s="49">
        <f t="shared" si="69"/>
        <v>0</v>
      </c>
      <c r="X215" s="49">
        <f t="shared" si="69"/>
        <v>0</v>
      </c>
      <c r="Y215" s="49">
        <f t="shared" si="69"/>
        <v>0</v>
      </c>
      <c r="Z215" s="49">
        <f t="shared" si="69"/>
        <v>0</v>
      </c>
      <c r="AA215" s="49">
        <f t="shared" si="69"/>
        <v>0</v>
      </c>
      <c r="AB215" s="49">
        <f t="shared" si="69"/>
        <v>0</v>
      </c>
      <c r="AC215" s="49">
        <f t="shared" si="69"/>
        <v>0</v>
      </c>
      <c r="AD215" s="49">
        <f t="shared" si="69"/>
        <v>0</v>
      </c>
      <c r="AE215" s="49">
        <f t="shared" si="69"/>
        <v>0</v>
      </c>
      <c r="AF215" s="49">
        <f t="shared" si="69"/>
        <v>0</v>
      </c>
      <c r="AG215" s="49">
        <f t="shared" si="69"/>
        <v>0</v>
      </c>
      <c r="AH215" s="49">
        <f t="shared" si="69"/>
        <v>0</v>
      </c>
      <c r="AI215" s="72">
        <f t="shared" si="65"/>
        <v>0</v>
      </c>
    </row>
    <row r="216" spans="1:35" outlineLevel="3" x14ac:dyDescent="0.2">
      <c r="A216" s="17"/>
      <c r="B216" s="41" t="s">
        <v>708</v>
      </c>
      <c r="C216" s="13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D216" s="50"/>
      <c r="AE216" s="50"/>
      <c r="AF216" s="50"/>
      <c r="AG216" s="50"/>
      <c r="AH216" s="50"/>
      <c r="AI216" s="72">
        <f t="shared" si="65"/>
        <v>0</v>
      </c>
    </row>
    <row r="217" spans="1:35" outlineLevel="3" x14ac:dyDescent="0.2">
      <c r="A217" s="17"/>
      <c r="B217" s="41" t="s">
        <v>709</v>
      </c>
      <c r="C217" s="13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D217" s="50"/>
      <c r="AE217" s="50"/>
      <c r="AF217" s="50"/>
      <c r="AG217" s="50"/>
      <c r="AH217" s="50"/>
      <c r="AI217" s="72">
        <f t="shared" si="65"/>
        <v>0</v>
      </c>
    </row>
    <row r="218" spans="1:35" outlineLevel="3" x14ac:dyDescent="0.2">
      <c r="A218" s="17"/>
      <c r="B218" s="41" t="s">
        <v>710</v>
      </c>
      <c r="C218" s="13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D218" s="50"/>
      <c r="AE218" s="50"/>
      <c r="AF218" s="50"/>
      <c r="AG218" s="50"/>
      <c r="AH218" s="50"/>
      <c r="AI218" s="72">
        <f t="shared" si="65"/>
        <v>0</v>
      </c>
    </row>
    <row r="219" spans="1:35" outlineLevel="3" x14ac:dyDescent="0.2">
      <c r="A219" s="20" t="s">
        <v>728</v>
      </c>
      <c r="B219" s="20" t="s">
        <v>729</v>
      </c>
      <c r="C219" s="13">
        <v>2220142000</v>
      </c>
      <c r="D219" s="49">
        <f>SUM(D220:D222)</f>
        <v>0</v>
      </c>
      <c r="E219" s="49">
        <f t="shared" ref="E219:AH219" si="70">SUM(E220:E222)</f>
        <v>0</v>
      </c>
      <c r="F219" s="49">
        <f t="shared" si="70"/>
        <v>0</v>
      </c>
      <c r="G219" s="49">
        <f t="shared" si="70"/>
        <v>0</v>
      </c>
      <c r="H219" s="49">
        <f t="shared" si="70"/>
        <v>0</v>
      </c>
      <c r="I219" s="49">
        <f t="shared" si="70"/>
        <v>0</v>
      </c>
      <c r="J219" s="49">
        <f t="shared" si="70"/>
        <v>0</v>
      </c>
      <c r="K219" s="49">
        <f t="shared" si="70"/>
        <v>0</v>
      </c>
      <c r="L219" s="49">
        <f t="shared" si="70"/>
        <v>0</v>
      </c>
      <c r="M219" s="49">
        <f t="shared" si="70"/>
        <v>0</v>
      </c>
      <c r="N219" s="49">
        <f t="shared" si="70"/>
        <v>0</v>
      </c>
      <c r="O219" s="49">
        <f t="shared" si="70"/>
        <v>0</v>
      </c>
      <c r="P219" s="49">
        <f t="shared" si="70"/>
        <v>0</v>
      </c>
      <c r="Q219" s="49">
        <f t="shared" si="70"/>
        <v>0</v>
      </c>
      <c r="R219" s="49">
        <f t="shared" si="70"/>
        <v>0</v>
      </c>
      <c r="S219" s="49">
        <f t="shared" si="70"/>
        <v>0</v>
      </c>
      <c r="T219" s="49">
        <f t="shared" si="70"/>
        <v>0</v>
      </c>
      <c r="U219" s="49">
        <f t="shared" si="70"/>
        <v>0</v>
      </c>
      <c r="V219" s="49">
        <f t="shared" si="70"/>
        <v>0</v>
      </c>
      <c r="W219" s="49">
        <f t="shared" si="70"/>
        <v>0</v>
      </c>
      <c r="X219" s="49">
        <f t="shared" si="70"/>
        <v>0</v>
      </c>
      <c r="Y219" s="49">
        <f t="shared" si="70"/>
        <v>0</v>
      </c>
      <c r="Z219" s="49">
        <f t="shared" si="70"/>
        <v>0</v>
      </c>
      <c r="AA219" s="49">
        <f t="shared" si="70"/>
        <v>0</v>
      </c>
      <c r="AB219" s="49">
        <f t="shared" si="70"/>
        <v>179000</v>
      </c>
      <c r="AC219" s="49">
        <f t="shared" si="70"/>
        <v>0</v>
      </c>
      <c r="AD219" s="49">
        <f t="shared" si="70"/>
        <v>0</v>
      </c>
      <c r="AE219" s="49">
        <f t="shared" si="70"/>
        <v>0</v>
      </c>
      <c r="AF219" s="49">
        <f t="shared" si="70"/>
        <v>0</v>
      </c>
      <c r="AG219" s="49">
        <f t="shared" si="70"/>
        <v>0</v>
      </c>
      <c r="AH219" s="49">
        <f t="shared" si="70"/>
        <v>0</v>
      </c>
      <c r="AI219" s="72">
        <f t="shared" si="65"/>
        <v>179000</v>
      </c>
    </row>
    <row r="220" spans="1:35" outlineLevel="3" x14ac:dyDescent="0.2">
      <c r="A220" s="17"/>
      <c r="B220" s="41" t="s">
        <v>708</v>
      </c>
      <c r="C220" s="13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D220" s="50"/>
      <c r="AE220" s="50"/>
      <c r="AF220" s="50"/>
      <c r="AG220" s="50"/>
      <c r="AH220" s="50"/>
      <c r="AI220" s="72">
        <f t="shared" si="65"/>
        <v>0</v>
      </c>
    </row>
    <row r="221" spans="1:35" outlineLevel="3" x14ac:dyDescent="0.2">
      <c r="A221" s="17"/>
      <c r="B221" s="41" t="s">
        <v>709</v>
      </c>
      <c r="C221" s="13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0"/>
      <c r="AB221" s="50">
        <v>179000</v>
      </c>
      <c r="AC221" s="50"/>
      <c r="AD221" s="50"/>
      <c r="AE221" s="50"/>
      <c r="AF221" s="50"/>
      <c r="AG221" s="50"/>
      <c r="AH221" s="50"/>
      <c r="AI221" s="72">
        <f t="shared" si="65"/>
        <v>179000</v>
      </c>
    </row>
    <row r="222" spans="1:35" outlineLevel="3" x14ac:dyDescent="0.2">
      <c r="A222" s="85"/>
      <c r="B222" s="41" t="s">
        <v>710</v>
      </c>
      <c r="C222" s="13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D222" s="50"/>
      <c r="AE222" s="50"/>
      <c r="AF222" s="50"/>
      <c r="AG222" s="50"/>
      <c r="AH222" s="50"/>
      <c r="AI222" s="72">
        <f t="shared" si="65"/>
        <v>0</v>
      </c>
    </row>
    <row r="223" spans="1:35" outlineLevel="2" x14ac:dyDescent="0.2">
      <c r="A223" s="86" t="s">
        <v>112</v>
      </c>
      <c r="B223" s="86" t="s">
        <v>768</v>
      </c>
      <c r="C223" s="32" t="s">
        <v>113</v>
      </c>
      <c r="D223" s="35">
        <f>D224+D228</f>
        <v>0</v>
      </c>
      <c r="E223" s="35">
        <f t="shared" ref="E223:AH223" si="71">E224+E228</f>
        <v>0</v>
      </c>
      <c r="F223" s="35">
        <f t="shared" si="71"/>
        <v>0</v>
      </c>
      <c r="G223" s="35">
        <f t="shared" si="71"/>
        <v>0</v>
      </c>
      <c r="H223" s="35">
        <f t="shared" si="71"/>
        <v>0</v>
      </c>
      <c r="I223" s="35">
        <f t="shared" si="71"/>
        <v>0</v>
      </c>
      <c r="J223" s="35">
        <f t="shared" si="71"/>
        <v>0</v>
      </c>
      <c r="K223" s="35">
        <f t="shared" si="71"/>
        <v>0</v>
      </c>
      <c r="L223" s="35">
        <f t="shared" si="71"/>
        <v>0</v>
      </c>
      <c r="M223" s="35">
        <f t="shared" si="71"/>
        <v>0</v>
      </c>
      <c r="N223" s="35">
        <f t="shared" si="71"/>
        <v>0</v>
      </c>
      <c r="O223" s="35">
        <f t="shared" si="71"/>
        <v>0</v>
      </c>
      <c r="P223" s="35">
        <f t="shared" si="71"/>
        <v>0</v>
      </c>
      <c r="Q223" s="35">
        <f t="shared" si="71"/>
        <v>70300000</v>
      </c>
      <c r="R223" s="35">
        <f t="shared" si="71"/>
        <v>0</v>
      </c>
      <c r="S223" s="35">
        <f t="shared" si="71"/>
        <v>0</v>
      </c>
      <c r="T223" s="35">
        <f t="shared" si="71"/>
        <v>0</v>
      </c>
      <c r="U223" s="35">
        <f t="shared" si="71"/>
        <v>0</v>
      </c>
      <c r="V223" s="35">
        <f t="shared" si="71"/>
        <v>0</v>
      </c>
      <c r="W223" s="35">
        <f t="shared" si="71"/>
        <v>0</v>
      </c>
      <c r="X223" s="35">
        <f t="shared" si="71"/>
        <v>0</v>
      </c>
      <c r="Y223" s="35">
        <f t="shared" si="71"/>
        <v>0</v>
      </c>
      <c r="Z223" s="35">
        <f t="shared" si="71"/>
        <v>0</v>
      </c>
      <c r="AA223" s="35">
        <f t="shared" si="71"/>
        <v>0</v>
      </c>
      <c r="AB223" s="35">
        <f t="shared" si="71"/>
        <v>0</v>
      </c>
      <c r="AC223" s="35">
        <f t="shared" si="71"/>
        <v>0</v>
      </c>
      <c r="AD223" s="35">
        <f t="shared" si="71"/>
        <v>0</v>
      </c>
      <c r="AE223" s="35">
        <f t="shared" si="71"/>
        <v>0</v>
      </c>
      <c r="AF223" s="35">
        <f t="shared" si="71"/>
        <v>0</v>
      </c>
      <c r="AG223" s="35">
        <f t="shared" si="71"/>
        <v>0</v>
      </c>
      <c r="AH223" s="35">
        <f t="shared" si="71"/>
        <v>0</v>
      </c>
      <c r="AI223" s="72">
        <f t="shared" si="65"/>
        <v>70300000</v>
      </c>
    </row>
    <row r="224" spans="1:35" outlineLevel="3" x14ac:dyDescent="0.2">
      <c r="A224" s="87" t="s">
        <v>769</v>
      </c>
      <c r="B224" s="87" t="s">
        <v>770</v>
      </c>
      <c r="C224" s="32">
        <v>2220210000</v>
      </c>
      <c r="D224" s="35">
        <f>SUM(D225:D227)</f>
        <v>0</v>
      </c>
      <c r="E224" s="35">
        <f t="shared" ref="E224:AH224" si="72">SUM(E225:E227)</f>
        <v>0</v>
      </c>
      <c r="F224" s="35">
        <f t="shared" si="72"/>
        <v>0</v>
      </c>
      <c r="G224" s="35">
        <f t="shared" si="72"/>
        <v>0</v>
      </c>
      <c r="H224" s="35">
        <f t="shared" si="72"/>
        <v>0</v>
      </c>
      <c r="I224" s="35">
        <f t="shared" si="72"/>
        <v>0</v>
      </c>
      <c r="J224" s="35">
        <f t="shared" si="72"/>
        <v>0</v>
      </c>
      <c r="K224" s="35">
        <f t="shared" si="72"/>
        <v>0</v>
      </c>
      <c r="L224" s="35">
        <f t="shared" si="72"/>
        <v>0</v>
      </c>
      <c r="M224" s="35">
        <f t="shared" si="72"/>
        <v>0</v>
      </c>
      <c r="N224" s="35">
        <f t="shared" si="72"/>
        <v>0</v>
      </c>
      <c r="O224" s="35">
        <f t="shared" si="72"/>
        <v>0</v>
      </c>
      <c r="P224" s="35">
        <f t="shared" si="72"/>
        <v>0</v>
      </c>
      <c r="Q224" s="35">
        <f t="shared" si="72"/>
        <v>70000000</v>
      </c>
      <c r="R224" s="35">
        <f t="shared" si="72"/>
        <v>0</v>
      </c>
      <c r="S224" s="35">
        <f t="shared" si="72"/>
        <v>0</v>
      </c>
      <c r="T224" s="35">
        <f t="shared" si="72"/>
        <v>0</v>
      </c>
      <c r="U224" s="35">
        <f t="shared" si="72"/>
        <v>0</v>
      </c>
      <c r="V224" s="35">
        <f t="shared" si="72"/>
        <v>0</v>
      </c>
      <c r="W224" s="35">
        <f t="shared" si="72"/>
        <v>0</v>
      </c>
      <c r="X224" s="35">
        <f t="shared" si="72"/>
        <v>0</v>
      </c>
      <c r="Y224" s="35">
        <f t="shared" si="72"/>
        <v>0</v>
      </c>
      <c r="Z224" s="35">
        <f t="shared" si="72"/>
        <v>0</v>
      </c>
      <c r="AA224" s="35">
        <f t="shared" si="72"/>
        <v>0</v>
      </c>
      <c r="AB224" s="35">
        <f t="shared" si="72"/>
        <v>0</v>
      </c>
      <c r="AC224" s="35">
        <f t="shared" si="72"/>
        <v>0</v>
      </c>
      <c r="AD224" s="35">
        <f t="shared" si="72"/>
        <v>0</v>
      </c>
      <c r="AE224" s="35">
        <f t="shared" si="72"/>
        <v>0</v>
      </c>
      <c r="AF224" s="35">
        <f t="shared" si="72"/>
        <v>0</v>
      </c>
      <c r="AG224" s="35">
        <f t="shared" si="72"/>
        <v>0</v>
      </c>
      <c r="AH224" s="35">
        <f t="shared" si="72"/>
        <v>0</v>
      </c>
      <c r="AI224" s="72">
        <f t="shared" si="65"/>
        <v>70000000</v>
      </c>
    </row>
    <row r="225" spans="1:35" outlineLevel="3" x14ac:dyDescent="0.2">
      <c r="A225" s="87"/>
      <c r="B225" s="88" t="s">
        <v>708</v>
      </c>
      <c r="C225" s="32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D225" s="50"/>
      <c r="AE225" s="50"/>
      <c r="AF225" s="50"/>
      <c r="AG225" s="50"/>
      <c r="AH225" s="50"/>
      <c r="AI225" s="72">
        <f t="shared" si="65"/>
        <v>0</v>
      </c>
    </row>
    <row r="226" spans="1:35" outlineLevel="3" x14ac:dyDescent="0.2">
      <c r="A226" s="87"/>
      <c r="B226" s="88" t="s">
        <v>709</v>
      </c>
      <c r="C226" s="32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>
        <v>70000000</v>
      </c>
      <c r="R226" s="50"/>
      <c r="S226" s="50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D226" s="50"/>
      <c r="AE226" s="50"/>
      <c r="AF226" s="50"/>
      <c r="AG226" s="50"/>
      <c r="AH226" s="50"/>
      <c r="AI226" s="72"/>
    </row>
    <row r="227" spans="1:35" outlineLevel="3" x14ac:dyDescent="0.2">
      <c r="A227" s="87"/>
      <c r="B227" s="88" t="s">
        <v>710</v>
      </c>
      <c r="C227" s="32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50"/>
      <c r="AG227" s="50"/>
      <c r="AH227" s="50"/>
      <c r="AI227" s="72"/>
    </row>
    <row r="228" spans="1:35" outlineLevel="3" x14ac:dyDescent="0.2">
      <c r="A228" s="87" t="s">
        <v>771</v>
      </c>
      <c r="B228" s="87" t="s">
        <v>307</v>
      </c>
      <c r="C228" s="32">
        <v>2220220000</v>
      </c>
      <c r="D228" s="35">
        <f>SUM(D229:D231)</f>
        <v>0</v>
      </c>
      <c r="E228" s="35">
        <f t="shared" ref="E228:AH228" si="73">SUM(E229:E231)</f>
        <v>0</v>
      </c>
      <c r="F228" s="35">
        <f t="shared" si="73"/>
        <v>0</v>
      </c>
      <c r="G228" s="35">
        <f t="shared" si="73"/>
        <v>0</v>
      </c>
      <c r="H228" s="35">
        <f t="shared" si="73"/>
        <v>0</v>
      </c>
      <c r="I228" s="35">
        <f t="shared" si="73"/>
        <v>0</v>
      </c>
      <c r="J228" s="35">
        <f t="shared" si="73"/>
        <v>0</v>
      </c>
      <c r="K228" s="35">
        <f t="shared" si="73"/>
        <v>0</v>
      </c>
      <c r="L228" s="35">
        <f t="shared" si="73"/>
        <v>0</v>
      </c>
      <c r="M228" s="35">
        <f t="shared" si="73"/>
        <v>0</v>
      </c>
      <c r="N228" s="35">
        <f t="shared" si="73"/>
        <v>0</v>
      </c>
      <c r="O228" s="35">
        <f t="shared" si="73"/>
        <v>0</v>
      </c>
      <c r="P228" s="35">
        <f t="shared" si="73"/>
        <v>0</v>
      </c>
      <c r="Q228" s="35">
        <f t="shared" si="73"/>
        <v>300000</v>
      </c>
      <c r="R228" s="35">
        <f t="shared" si="73"/>
        <v>0</v>
      </c>
      <c r="S228" s="35">
        <f t="shared" si="73"/>
        <v>0</v>
      </c>
      <c r="T228" s="35">
        <f t="shared" si="73"/>
        <v>0</v>
      </c>
      <c r="U228" s="35">
        <f t="shared" si="73"/>
        <v>0</v>
      </c>
      <c r="V228" s="35">
        <f t="shared" si="73"/>
        <v>0</v>
      </c>
      <c r="W228" s="35">
        <f t="shared" si="73"/>
        <v>0</v>
      </c>
      <c r="X228" s="35">
        <f t="shared" si="73"/>
        <v>0</v>
      </c>
      <c r="Y228" s="35">
        <f t="shared" si="73"/>
        <v>0</v>
      </c>
      <c r="Z228" s="35">
        <f t="shared" si="73"/>
        <v>0</v>
      </c>
      <c r="AA228" s="35">
        <f t="shared" si="73"/>
        <v>0</v>
      </c>
      <c r="AB228" s="35">
        <f t="shared" si="73"/>
        <v>0</v>
      </c>
      <c r="AC228" s="35">
        <f t="shared" si="73"/>
        <v>0</v>
      </c>
      <c r="AD228" s="35">
        <f t="shared" si="73"/>
        <v>0</v>
      </c>
      <c r="AE228" s="35">
        <f t="shared" si="73"/>
        <v>0</v>
      </c>
      <c r="AF228" s="35">
        <f t="shared" si="73"/>
        <v>0</v>
      </c>
      <c r="AG228" s="35">
        <f t="shared" si="73"/>
        <v>0</v>
      </c>
      <c r="AH228" s="35">
        <f t="shared" si="73"/>
        <v>0</v>
      </c>
      <c r="AI228" s="72"/>
    </row>
    <row r="229" spans="1:35" outlineLevel="3" x14ac:dyDescent="0.2">
      <c r="A229" s="89"/>
      <c r="B229" s="88" t="s">
        <v>708</v>
      </c>
      <c r="C229" s="32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D229" s="50"/>
      <c r="AE229" s="50"/>
      <c r="AF229" s="50"/>
      <c r="AG229" s="50"/>
      <c r="AH229" s="50"/>
      <c r="AI229" s="72"/>
    </row>
    <row r="230" spans="1:35" outlineLevel="3" x14ac:dyDescent="0.2">
      <c r="A230" s="89"/>
      <c r="B230" s="88" t="s">
        <v>709</v>
      </c>
      <c r="C230" s="32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>
        <v>300000</v>
      </c>
      <c r="R230" s="50"/>
      <c r="S230" s="5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D230" s="50"/>
      <c r="AE230" s="50"/>
      <c r="AF230" s="50"/>
      <c r="AG230" s="50"/>
      <c r="AH230" s="50"/>
      <c r="AI230" s="72"/>
    </row>
    <row r="231" spans="1:35" outlineLevel="3" x14ac:dyDescent="0.2">
      <c r="A231" s="89"/>
      <c r="B231" s="88" t="s">
        <v>710</v>
      </c>
      <c r="C231" s="32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D231" s="50"/>
      <c r="AE231" s="50"/>
      <c r="AF231" s="50"/>
      <c r="AG231" s="50"/>
      <c r="AH231" s="50"/>
      <c r="AI231" s="72"/>
    </row>
    <row r="232" spans="1:35" outlineLevel="1" x14ac:dyDescent="0.2">
      <c r="A232" s="15" t="s">
        <v>114</v>
      </c>
      <c r="B232" s="15" t="s">
        <v>115</v>
      </c>
      <c r="C232" s="13" t="s">
        <v>116</v>
      </c>
      <c r="D232" s="35">
        <f>D233+D278</f>
        <v>0</v>
      </c>
      <c r="E232" s="35">
        <f t="shared" ref="E232:AH232" si="74">E233+E278</f>
        <v>0</v>
      </c>
      <c r="F232" s="35">
        <f t="shared" si="74"/>
        <v>0</v>
      </c>
      <c r="G232" s="35">
        <f t="shared" si="74"/>
        <v>0</v>
      </c>
      <c r="H232" s="35">
        <f t="shared" si="74"/>
        <v>0</v>
      </c>
      <c r="I232" s="35">
        <f t="shared" si="74"/>
        <v>0</v>
      </c>
      <c r="J232" s="35">
        <f t="shared" si="74"/>
        <v>0</v>
      </c>
      <c r="K232" s="35">
        <f t="shared" si="74"/>
        <v>0</v>
      </c>
      <c r="L232" s="35">
        <f t="shared" si="74"/>
        <v>0</v>
      </c>
      <c r="M232" s="35">
        <f t="shared" si="74"/>
        <v>0</v>
      </c>
      <c r="N232" s="35">
        <f t="shared" si="74"/>
        <v>0</v>
      </c>
      <c r="O232" s="35">
        <f t="shared" si="74"/>
        <v>0</v>
      </c>
      <c r="P232" s="35">
        <f t="shared" si="74"/>
        <v>0</v>
      </c>
      <c r="Q232" s="35">
        <f t="shared" si="74"/>
        <v>0</v>
      </c>
      <c r="R232" s="35">
        <f t="shared" si="74"/>
        <v>0</v>
      </c>
      <c r="S232" s="35">
        <f t="shared" si="74"/>
        <v>0</v>
      </c>
      <c r="T232" s="35">
        <f t="shared" si="74"/>
        <v>0</v>
      </c>
      <c r="U232" s="35">
        <f t="shared" si="74"/>
        <v>0</v>
      </c>
      <c r="V232" s="35">
        <f t="shared" si="74"/>
        <v>0</v>
      </c>
      <c r="W232" s="35">
        <f t="shared" si="74"/>
        <v>50064</v>
      </c>
      <c r="X232" s="35">
        <f t="shared" si="74"/>
        <v>0</v>
      </c>
      <c r="Y232" s="35">
        <f t="shared" si="74"/>
        <v>0</v>
      </c>
      <c r="Z232" s="35">
        <f t="shared" si="74"/>
        <v>0</v>
      </c>
      <c r="AA232" s="35">
        <f t="shared" si="74"/>
        <v>0</v>
      </c>
      <c r="AB232" s="35">
        <f t="shared" si="74"/>
        <v>681582</v>
      </c>
      <c r="AC232" s="35">
        <f t="shared" si="74"/>
        <v>0</v>
      </c>
      <c r="AD232" s="35">
        <f t="shared" si="74"/>
        <v>0</v>
      </c>
      <c r="AE232" s="35">
        <f t="shared" si="74"/>
        <v>0</v>
      </c>
      <c r="AF232" s="35">
        <f t="shared" si="74"/>
        <v>0</v>
      </c>
      <c r="AG232" s="35">
        <f t="shared" si="74"/>
        <v>0</v>
      </c>
      <c r="AH232" s="35">
        <f t="shared" si="74"/>
        <v>0</v>
      </c>
      <c r="AI232" s="72">
        <f t="shared" si="65"/>
        <v>731646</v>
      </c>
    </row>
    <row r="233" spans="1:35" outlineLevel="2" x14ac:dyDescent="0.2">
      <c r="A233" s="17" t="s">
        <v>117</v>
      </c>
      <c r="B233" s="17" t="s">
        <v>118</v>
      </c>
      <c r="C233" s="13" t="s">
        <v>119</v>
      </c>
      <c r="D233" s="35">
        <f>D234+D238+D242+D246+D250+D254+D258+D262+D266+D270+D274</f>
        <v>0</v>
      </c>
      <c r="E233" s="35">
        <f t="shared" ref="E233:AH233" si="75">E234+E238+E242+E246+E250+E254+E258+E262+E266+E270+E274</f>
        <v>0</v>
      </c>
      <c r="F233" s="35">
        <f t="shared" si="75"/>
        <v>0</v>
      </c>
      <c r="G233" s="35">
        <f t="shared" si="75"/>
        <v>0</v>
      </c>
      <c r="H233" s="35">
        <f t="shared" si="75"/>
        <v>0</v>
      </c>
      <c r="I233" s="35">
        <f t="shared" si="75"/>
        <v>0</v>
      </c>
      <c r="J233" s="35">
        <f t="shared" si="75"/>
        <v>0</v>
      </c>
      <c r="K233" s="35">
        <f t="shared" si="75"/>
        <v>0</v>
      </c>
      <c r="L233" s="35">
        <f t="shared" si="75"/>
        <v>0</v>
      </c>
      <c r="M233" s="35">
        <f t="shared" si="75"/>
        <v>0</v>
      </c>
      <c r="N233" s="35">
        <f t="shared" si="75"/>
        <v>0</v>
      </c>
      <c r="O233" s="35">
        <f t="shared" si="75"/>
        <v>0</v>
      </c>
      <c r="P233" s="35">
        <f t="shared" si="75"/>
        <v>0</v>
      </c>
      <c r="Q233" s="35">
        <f t="shared" si="75"/>
        <v>0</v>
      </c>
      <c r="R233" s="35">
        <f t="shared" si="75"/>
        <v>0</v>
      </c>
      <c r="S233" s="35">
        <f t="shared" si="75"/>
        <v>0</v>
      </c>
      <c r="T233" s="35">
        <f t="shared" si="75"/>
        <v>0</v>
      </c>
      <c r="U233" s="35">
        <f t="shared" si="75"/>
        <v>0</v>
      </c>
      <c r="V233" s="35">
        <f t="shared" si="75"/>
        <v>0</v>
      </c>
      <c r="W233" s="35">
        <f t="shared" si="75"/>
        <v>50064</v>
      </c>
      <c r="X233" s="35">
        <f t="shared" si="75"/>
        <v>0</v>
      </c>
      <c r="Y233" s="35">
        <f t="shared" si="75"/>
        <v>0</v>
      </c>
      <c r="Z233" s="35">
        <f t="shared" si="75"/>
        <v>0</v>
      </c>
      <c r="AA233" s="35">
        <f t="shared" si="75"/>
        <v>0</v>
      </c>
      <c r="AB233" s="35">
        <f t="shared" si="75"/>
        <v>681582</v>
      </c>
      <c r="AC233" s="35">
        <f t="shared" si="75"/>
        <v>0</v>
      </c>
      <c r="AD233" s="35">
        <f t="shared" si="75"/>
        <v>0</v>
      </c>
      <c r="AE233" s="35">
        <f t="shared" si="75"/>
        <v>0</v>
      </c>
      <c r="AF233" s="35">
        <f t="shared" si="75"/>
        <v>0</v>
      </c>
      <c r="AG233" s="35">
        <f t="shared" si="75"/>
        <v>0</v>
      </c>
      <c r="AH233" s="35">
        <f t="shared" si="75"/>
        <v>0</v>
      </c>
      <c r="AI233" s="72">
        <f t="shared" si="65"/>
        <v>731646</v>
      </c>
    </row>
    <row r="234" spans="1:35" outlineLevel="3" x14ac:dyDescent="0.2">
      <c r="A234" s="20" t="s">
        <v>120</v>
      </c>
      <c r="B234" s="20" t="s">
        <v>121</v>
      </c>
      <c r="C234" s="13" t="s">
        <v>122</v>
      </c>
      <c r="D234" s="35">
        <f>SUM(D235:D237)</f>
        <v>0</v>
      </c>
      <c r="E234" s="35">
        <f t="shared" ref="E234:AH234" si="76">SUM(E235:E237)</f>
        <v>0</v>
      </c>
      <c r="F234" s="35">
        <f t="shared" si="76"/>
        <v>0</v>
      </c>
      <c r="G234" s="35">
        <f t="shared" si="76"/>
        <v>0</v>
      </c>
      <c r="H234" s="35">
        <f t="shared" si="76"/>
        <v>0</v>
      </c>
      <c r="I234" s="35">
        <f t="shared" si="76"/>
        <v>0</v>
      </c>
      <c r="J234" s="35">
        <f t="shared" si="76"/>
        <v>0</v>
      </c>
      <c r="K234" s="35">
        <f t="shared" si="76"/>
        <v>0</v>
      </c>
      <c r="L234" s="35">
        <f t="shared" si="76"/>
        <v>0</v>
      </c>
      <c r="M234" s="35">
        <f t="shared" si="76"/>
        <v>0</v>
      </c>
      <c r="N234" s="35">
        <f t="shared" si="76"/>
        <v>0</v>
      </c>
      <c r="O234" s="35">
        <f t="shared" si="76"/>
        <v>0</v>
      </c>
      <c r="P234" s="35">
        <f t="shared" si="76"/>
        <v>0</v>
      </c>
      <c r="Q234" s="35">
        <f t="shared" si="76"/>
        <v>0</v>
      </c>
      <c r="R234" s="35">
        <f t="shared" si="76"/>
        <v>0</v>
      </c>
      <c r="S234" s="35">
        <f t="shared" si="76"/>
        <v>0</v>
      </c>
      <c r="T234" s="35">
        <f t="shared" si="76"/>
        <v>0</v>
      </c>
      <c r="U234" s="35">
        <f t="shared" si="76"/>
        <v>0</v>
      </c>
      <c r="V234" s="35">
        <f t="shared" si="76"/>
        <v>0</v>
      </c>
      <c r="W234" s="35">
        <f t="shared" si="76"/>
        <v>0</v>
      </c>
      <c r="X234" s="35">
        <f t="shared" si="76"/>
        <v>0</v>
      </c>
      <c r="Y234" s="35">
        <f t="shared" si="76"/>
        <v>0</v>
      </c>
      <c r="Z234" s="35">
        <f t="shared" si="76"/>
        <v>0</v>
      </c>
      <c r="AA234" s="35">
        <f t="shared" si="76"/>
        <v>0</v>
      </c>
      <c r="AB234" s="35">
        <f t="shared" si="76"/>
        <v>0</v>
      </c>
      <c r="AC234" s="35">
        <f t="shared" si="76"/>
        <v>0</v>
      </c>
      <c r="AD234" s="35">
        <f t="shared" si="76"/>
        <v>0</v>
      </c>
      <c r="AE234" s="35">
        <f t="shared" si="76"/>
        <v>0</v>
      </c>
      <c r="AF234" s="35">
        <f t="shared" si="76"/>
        <v>0</v>
      </c>
      <c r="AG234" s="35">
        <f t="shared" si="76"/>
        <v>0</v>
      </c>
      <c r="AH234" s="35">
        <f t="shared" si="76"/>
        <v>0</v>
      </c>
      <c r="AI234" s="72">
        <f t="shared" si="65"/>
        <v>0</v>
      </c>
    </row>
    <row r="235" spans="1:35" outlineLevel="3" x14ac:dyDescent="0.2">
      <c r="A235" s="20"/>
      <c r="B235" s="41" t="s">
        <v>708</v>
      </c>
      <c r="C235" s="13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D235" s="50"/>
      <c r="AE235" s="50"/>
      <c r="AF235" s="50"/>
      <c r="AG235" s="50"/>
      <c r="AH235" s="50"/>
      <c r="AI235" s="72">
        <f t="shared" si="65"/>
        <v>0</v>
      </c>
    </row>
    <row r="236" spans="1:35" outlineLevel="3" x14ac:dyDescent="0.2">
      <c r="A236" s="20"/>
      <c r="B236" s="41" t="s">
        <v>709</v>
      </c>
      <c r="C236" s="13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D236" s="50"/>
      <c r="AE236" s="50"/>
      <c r="AF236" s="50"/>
      <c r="AG236" s="50"/>
      <c r="AH236" s="50"/>
      <c r="AI236" s="72">
        <f t="shared" si="65"/>
        <v>0</v>
      </c>
    </row>
    <row r="237" spans="1:35" outlineLevel="3" x14ac:dyDescent="0.2">
      <c r="A237" s="20"/>
      <c r="B237" s="41" t="s">
        <v>710</v>
      </c>
      <c r="C237" s="13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D237" s="50"/>
      <c r="AE237" s="50"/>
      <c r="AF237" s="50"/>
      <c r="AG237" s="50"/>
      <c r="AH237" s="50"/>
      <c r="AI237" s="72">
        <f t="shared" si="65"/>
        <v>0</v>
      </c>
    </row>
    <row r="238" spans="1:35" outlineLevel="3" x14ac:dyDescent="0.2">
      <c r="A238" s="20" t="s">
        <v>123</v>
      </c>
      <c r="B238" s="20" t="s">
        <v>124</v>
      </c>
      <c r="C238" s="13" t="s">
        <v>125</v>
      </c>
      <c r="D238" s="35">
        <f>SUM(D239:D241)</f>
        <v>0</v>
      </c>
      <c r="E238" s="35">
        <f t="shared" ref="E238:AH238" si="77">SUM(E239:E241)</f>
        <v>0</v>
      </c>
      <c r="F238" s="35">
        <f t="shared" si="77"/>
        <v>0</v>
      </c>
      <c r="G238" s="35">
        <f t="shared" si="77"/>
        <v>0</v>
      </c>
      <c r="H238" s="35">
        <f t="shared" si="77"/>
        <v>0</v>
      </c>
      <c r="I238" s="35">
        <f t="shared" si="77"/>
        <v>0</v>
      </c>
      <c r="J238" s="35">
        <f t="shared" si="77"/>
        <v>0</v>
      </c>
      <c r="K238" s="35">
        <f t="shared" si="77"/>
        <v>0</v>
      </c>
      <c r="L238" s="35">
        <f t="shared" si="77"/>
        <v>0</v>
      </c>
      <c r="M238" s="35">
        <f t="shared" si="77"/>
        <v>0</v>
      </c>
      <c r="N238" s="35">
        <f t="shared" si="77"/>
        <v>0</v>
      </c>
      <c r="O238" s="35">
        <f t="shared" si="77"/>
        <v>0</v>
      </c>
      <c r="P238" s="35">
        <f t="shared" si="77"/>
        <v>0</v>
      </c>
      <c r="Q238" s="35">
        <f t="shared" si="77"/>
        <v>0</v>
      </c>
      <c r="R238" s="35">
        <f t="shared" si="77"/>
        <v>0</v>
      </c>
      <c r="S238" s="35">
        <f t="shared" si="77"/>
        <v>0</v>
      </c>
      <c r="T238" s="35">
        <f t="shared" si="77"/>
        <v>0</v>
      </c>
      <c r="U238" s="35">
        <f t="shared" si="77"/>
        <v>0</v>
      </c>
      <c r="V238" s="35">
        <f t="shared" si="77"/>
        <v>0</v>
      </c>
      <c r="W238" s="35">
        <f t="shared" si="77"/>
        <v>0</v>
      </c>
      <c r="X238" s="35">
        <f t="shared" si="77"/>
        <v>0</v>
      </c>
      <c r="Y238" s="35">
        <f t="shared" si="77"/>
        <v>0</v>
      </c>
      <c r="Z238" s="35">
        <f t="shared" si="77"/>
        <v>0</v>
      </c>
      <c r="AA238" s="35">
        <f t="shared" si="77"/>
        <v>0</v>
      </c>
      <c r="AB238" s="35">
        <f t="shared" si="77"/>
        <v>0</v>
      </c>
      <c r="AC238" s="35">
        <f t="shared" si="77"/>
        <v>0</v>
      </c>
      <c r="AD238" s="35">
        <f t="shared" si="77"/>
        <v>0</v>
      </c>
      <c r="AE238" s="35">
        <f t="shared" si="77"/>
        <v>0</v>
      </c>
      <c r="AF238" s="35">
        <f t="shared" si="77"/>
        <v>0</v>
      </c>
      <c r="AG238" s="35">
        <f t="shared" si="77"/>
        <v>0</v>
      </c>
      <c r="AH238" s="35">
        <f t="shared" si="77"/>
        <v>0</v>
      </c>
      <c r="AI238" s="72">
        <f t="shared" si="65"/>
        <v>0</v>
      </c>
    </row>
    <row r="239" spans="1:35" outlineLevel="3" x14ac:dyDescent="0.2">
      <c r="A239" s="20"/>
      <c r="B239" s="41" t="s">
        <v>708</v>
      </c>
      <c r="C239" s="13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D239" s="50"/>
      <c r="AE239" s="50"/>
      <c r="AF239" s="50"/>
      <c r="AG239" s="50"/>
      <c r="AH239" s="50"/>
      <c r="AI239" s="72">
        <f t="shared" si="65"/>
        <v>0</v>
      </c>
    </row>
    <row r="240" spans="1:35" outlineLevel="3" x14ac:dyDescent="0.2">
      <c r="A240" s="20"/>
      <c r="B240" s="41" t="s">
        <v>709</v>
      </c>
      <c r="C240" s="13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D240" s="50"/>
      <c r="AE240" s="50"/>
      <c r="AF240" s="50"/>
      <c r="AG240" s="50"/>
      <c r="AH240" s="50"/>
      <c r="AI240" s="72">
        <f t="shared" si="65"/>
        <v>0</v>
      </c>
    </row>
    <row r="241" spans="1:35" outlineLevel="3" x14ac:dyDescent="0.2">
      <c r="A241" s="20"/>
      <c r="B241" s="41" t="s">
        <v>710</v>
      </c>
      <c r="C241" s="13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D241" s="50"/>
      <c r="AE241" s="50"/>
      <c r="AF241" s="50"/>
      <c r="AG241" s="50"/>
      <c r="AH241" s="50"/>
      <c r="AI241" s="72">
        <f t="shared" si="65"/>
        <v>0</v>
      </c>
    </row>
    <row r="242" spans="1:35" outlineLevel="3" x14ac:dyDescent="0.2">
      <c r="A242" s="20" t="s">
        <v>126</v>
      </c>
      <c r="B242" s="20" t="s">
        <v>127</v>
      </c>
      <c r="C242" s="13" t="s">
        <v>128</v>
      </c>
      <c r="D242" s="35">
        <f>SUM(D243:D245)</f>
        <v>0</v>
      </c>
      <c r="E242" s="35">
        <f t="shared" ref="E242:AH242" si="78">SUM(E243:E245)</f>
        <v>0</v>
      </c>
      <c r="F242" s="35">
        <f t="shared" si="78"/>
        <v>0</v>
      </c>
      <c r="G242" s="35">
        <f t="shared" si="78"/>
        <v>0</v>
      </c>
      <c r="H242" s="35">
        <f t="shared" si="78"/>
        <v>0</v>
      </c>
      <c r="I242" s="35">
        <f t="shared" si="78"/>
        <v>0</v>
      </c>
      <c r="J242" s="35">
        <f t="shared" si="78"/>
        <v>0</v>
      </c>
      <c r="K242" s="35">
        <f t="shared" si="78"/>
        <v>0</v>
      </c>
      <c r="L242" s="35">
        <f t="shared" si="78"/>
        <v>0</v>
      </c>
      <c r="M242" s="35">
        <f t="shared" si="78"/>
        <v>0</v>
      </c>
      <c r="N242" s="35">
        <f t="shared" si="78"/>
        <v>0</v>
      </c>
      <c r="O242" s="35">
        <f t="shared" si="78"/>
        <v>0</v>
      </c>
      <c r="P242" s="35">
        <f t="shared" si="78"/>
        <v>0</v>
      </c>
      <c r="Q242" s="35">
        <f t="shared" si="78"/>
        <v>0</v>
      </c>
      <c r="R242" s="35">
        <f t="shared" si="78"/>
        <v>0</v>
      </c>
      <c r="S242" s="35">
        <f t="shared" si="78"/>
        <v>0</v>
      </c>
      <c r="T242" s="35">
        <f t="shared" si="78"/>
        <v>0</v>
      </c>
      <c r="U242" s="35">
        <f t="shared" si="78"/>
        <v>0</v>
      </c>
      <c r="V242" s="35">
        <f t="shared" si="78"/>
        <v>0</v>
      </c>
      <c r="W242" s="35">
        <f t="shared" si="78"/>
        <v>0</v>
      </c>
      <c r="X242" s="35">
        <f t="shared" si="78"/>
        <v>0</v>
      </c>
      <c r="Y242" s="35">
        <f t="shared" si="78"/>
        <v>0</v>
      </c>
      <c r="Z242" s="35">
        <f t="shared" si="78"/>
        <v>0</v>
      </c>
      <c r="AA242" s="35">
        <f t="shared" si="78"/>
        <v>0</v>
      </c>
      <c r="AB242" s="35">
        <f t="shared" si="78"/>
        <v>0</v>
      </c>
      <c r="AC242" s="35">
        <f t="shared" si="78"/>
        <v>0</v>
      </c>
      <c r="AD242" s="35">
        <f t="shared" si="78"/>
        <v>0</v>
      </c>
      <c r="AE242" s="35">
        <f t="shared" si="78"/>
        <v>0</v>
      </c>
      <c r="AF242" s="35">
        <f t="shared" si="78"/>
        <v>0</v>
      </c>
      <c r="AG242" s="35">
        <f t="shared" si="78"/>
        <v>0</v>
      </c>
      <c r="AH242" s="35">
        <f t="shared" si="78"/>
        <v>0</v>
      </c>
      <c r="AI242" s="72">
        <f t="shared" si="65"/>
        <v>0</v>
      </c>
    </row>
    <row r="243" spans="1:35" outlineLevel="3" x14ac:dyDescent="0.2">
      <c r="A243" s="20"/>
      <c r="B243" s="41" t="s">
        <v>708</v>
      </c>
      <c r="C243" s="13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D243" s="50"/>
      <c r="AE243" s="50"/>
      <c r="AF243" s="50"/>
      <c r="AG243" s="50"/>
      <c r="AH243" s="50"/>
      <c r="AI243" s="72">
        <f t="shared" si="65"/>
        <v>0</v>
      </c>
    </row>
    <row r="244" spans="1:35" outlineLevel="3" x14ac:dyDescent="0.2">
      <c r="A244" s="20"/>
      <c r="B244" s="41" t="s">
        <v>709</v>
      </c>
      <c r="C244" s="13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D244" s="50"/>
      <c r="AE244" s="50"/>
      <c r="AF244" s="50"/>
      <c r="AG244" s="50"/>
      <c r="AH244" s="50"/>
      <c r="AI244" s="72">
        <f t="shared" si="65"/>
        <v>0</v>
      </c>
    </row>
    <row r="245" spans="1:35" outlineLevel="3" x14ac:dyDescent="0.2">
      <c r="A245" s="20"/>
      <c r="B245" s="41" t="s">
        <v>710</v>
      </c>
      <c r="C245" s="13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D245" s="50"/>
      <c r="AE245" s="50"/>
      <c r="AF245" s="50"/>
      <c r="AG245" s="50"/>
      <c r="AH245" s="50"/>
      <c r="AI245" s="72">
        <f t="shared" si="65"/>
        <v>0</v>
      </c>
    </row>
    <row r="246" spans="1:35" outlineLevel="3" x14ac:dyDescent="0.2">
      <c r="A246" s="20" t="s">
        <v>129</v>
      </c>
      <c r="B246" s="20" t="s">
        <v>130</v>
      </c>
      <c r="C246" s="13" t="s">
        <v>131</v>
      </c>
      <c r="D246" s="35">
        <f>SUM(D247:D249)</f>
        <v>0</v>
      </c>
      <c r="E246" s="35">
        <f t="shared" ref="E246:AH246" si="79">SUM(E247:E249)</f>
        <v>0</v>
      </c>
      <c r="F246" s="35">
        <f t="shared" si="79"/>
        <v>0</v>
      </c>
      <c r="G246" s="35">
        <f t="shared" si="79"/>
        <v>0</v>
      </c>
      <c r="H246" s="35">
        <f t="shared" si="79"/>
        <v>0</v>
      </c>
      <c r="I246" s="35">
        <f t="shared" si="79"/>
        <v>0</v>
      </c>
      <c r="J246" s="35">
        <f t="shared" si="79"/>
        <v>0</v>
      </c>
      <c r="K246" s="35">
        <f t="shared" si="79"/>
        <v>0</v>
      </c>
      <c r="L246" s="35">
        <f t="shared" si="79"/>
        <v>0</v>
      </c>
      <c r="M246" s="35">
        <f t="shared" si="79"/>
        <v>0</v>
      </c>
      <c r="N246" s="35">
        <f t="shared" si="79"/>
        <v>0</v>
      </c>
      <c r="O246" s="35">
        <f t="shared" si="79"/>
        <v>0</v>
      </c>
      <c r="P246" s="35">
        <f t="shared" si="79"/>
        <v>0</v>
      </c>
      <c r="Q246" s="35">
        <f t="shared" si="79"/>
        <v>0</v>
      </c>
      <c r="R246" s="35">
        <f t="shared" si="79"/>
        <v>0</v>
      </c>
      <c r="S246" s="35">
        <f t="shared" si="79"/>
        <v>0</v>
      </c>
      <c r="T246" s="35">
        <f t="shared" si="79"/>
        <v>0</v>
      </c>
      <c r="U246" s="35">
        <f t="shared" si="79"/>
        <v>0</v>
      </c>
      <c r="V246" s="35">
        <f t="shared" si="79"/>
        <v>0</v>
      </c>
      <c r="W246" s="35">
        <f t="shared" si="79"/>
        <v>0</v>
      </c>
      <c r="X246" s="35">
        <f t="shared" si="79"/>
        <v>0</v>
      </c>
      <c r="Y246" s="35">
        <f t="shared" si="79"/>
        <v>0</v>
      </c>
      <c r="Z246" s="35">
        <f t="shared" si="79"/>
        <v>0</v>
      </c>
      <c r="AA246" s="35">
        <f t="shared" si="79"/>
        <v>0</v>
      </c>
      <c r="AB246" s="35">
        <f t="shared" si="79"/>
        <v>0</v>
      </c>
      <c r="AC246" s="35">
        <f t="shared" si="79"/>
        <v>0</v>
      </c>
      <c r="AD246" s="35">
        <f t="shared" si="79"/>
        <v>0</v>
      </c>
      <c r="AE246" s="35">
        <f t="shared" si="79"/>
        <v>0</v>
      </c>
      <c r="AF246" s="35">
        <f t="shared" si="79"/>
        <v>0</v>
      </c>
      <c r="AG246" s="35">
        <f t="shared" si="79"/>
        <v>0</v>
      </c>
      <c r="AH246" s="35">
        <f t="shared" si="79"/>
        <v>0</v>
      </c>
      <c r="AI246" s="72">
        <f t="shared" si="65"/>
        <v>0</v>
      </c>
    </row>
    <row r="247" spans="1:35" outlineLevel="3" x14ac:dyDescent="0.2">
      <c r="A247" s="20"/>
      <c r="B247" s="41" t="s">
        <v>708</v>
      </c>
      <c r="C247" s="13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50"/>
      <c r="AG247" s="50"/>
      <c r="AH247" s="50"/>
      <c r="AI247" s="72">
        <f t="shared" si="65"/>
        <v>0</v>
      </c>
    </row>
    <row r="248" spans="1:35" outlineLevel="3" x14ac:dyDescent="0.2">
      <c r="A248" s="20"/>
      <c r="B248" s="41" t="s">
        <v>709</v>
      </c>
      <c r="C248" s="13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D248" s="50"/>
      <c r="AE248" s="50"/>
      <c r="AF248" s="50"/>
      <c r="AG248" s="50"/>
      <c r="AH248" s="50"/>
      <c r="AI248" s="72">
        <f t="shared" si="65"/>
        <v>0</v>
      </c>
    </row>
    <row r="249" spans="1:35" outlineLevel="3" x14ac:dyDescent="0.2">
      <c r="A249" s="20"/>
      <c r="B249" s="41" t="s">
        <v>710</v>
      </c>
      <c r="C249" s="13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D249" s="50"/>
      <c r="AE249" s="50"/>
      <c r="AF249" s="50"/>
      <c r="AG249" s="50"/>
      <c r="AH249" s="50"/>
      <c r="AI249" s="72">
        <f t="shared" si="65"/>
        <v>0</v>
      </c>
    </row>
    <row r="250" spans="1:35" outlineLevel="3" x14ac:dyDescent="0.2">
      <c r="A250" s="20" t="s">
        <v>132</v>
      </c>
      <c r="B250" s="20" t="s">
        <v>133</v>
      </c>
      <c r="C250" s="13" t="s">
        <v>134</v>
      </c>
      <c r="D250" s="35">
        <f>SUM(D251:D253)</f>
        <v>0</v>
      </c>
      <c r="E250" s="35">
        <f t="shared" ref="E250:AH250" si="80">SUM(E251:E253)</f>
        <v>0</v>
      </c>
      <c r="F250" s="35">
        <f t="shared" si="80"/>
        <v>0</v>
      </c>
      <c r="G250" s="35">
        <f t="shared" si="80"/>
        <v>0</v>
      </c>
      <c r="H250" s="35">
        <f t="shared" si="80"/>
        <v>0</v>
      </c>
      <c r="I250" s="35">
        <f t="shared" si="80"/>
        <v>0</v>
      </c>
      <c r="J250" s="35">
        <f t="shared" si="80"/>
        <v>0</v>
      </c>
      <c r="K250" s="35">
        <f t="shared" si="80"/>
        <v>0</v>
      </c>
      <c r="L250" s="35">
        <f t="shared" si="80"/>
        <v>0</v>
      </c>
      <c r="M250" s="35">
        <f t="shared" si="80"/>
        <v>0</v>
      </c>
      <c r="N250" s="35">
        <f t="shared" si="80"/>
        <v>0</v>
      </c>
      <c r="O250" s="35">
        <f t="shared" si="80"/>
        <v>0</v>
      </c>
      <c r="P250" s="35">
        <f t="shared" si="80"/>
        <v>0</v>
      </c>
      <c r="Q250" s="35">
        <f t="shared" si="80"/>
        <v>0</v>
      </c>
      <c r="R250" s="35">
        <f t="shared" si="80"/>
        <v>0</v>
      </c>
      <c r="S250" s="35">
        <f t="shared" si="80"/>
        <v>0</v>
      </c>
      <c r="T250" s="35">
        <f t="shared" si="80"/>
        <v>0</v>
      </c>
      <c r="U250" s="35">
        <f t="shared" si="80"/>
        <v>0</v>
      </c>
      <c r="V250" s="35">
        <f t="shared" si="80"/>
        <v>0</v>
      </c>
      <c r="W250" s="35">
        <f t="shared" si="80"/>
        <v>0</v>
      </c>
      <c r="X250" s="35">
        <f t="shared" si="80"/>
        <v>0</v>
      </c>
      <c r="Y250" s="35">
        <f t="shared" si="80"/>
        <v>0</v>
      </c>
      <c r="Z250" s="35">
        <f t="shared" si="80"/>
        <v>0</v>
      </c>
      <c r="AA250" s="35">
        <f t="shared" si="80"/>
        <v>0</v>
      </c>
      <c r="AB250" s="35">
        <f t="shared" si="80"/>
        <v>0</v>
      </c>
      <c r="AC250" s="35">
        <f t="shared" si="80"/>
        <v>0</v>
      </c>
      <c r="AD250" s="35">
        <f t="shared" si="80"/>
        <v>0</v>
      </c>
      <c r="AE250" s="35">
        <f t="shared" si="80"/>
        <v>0</v>
      </c>
      <c r="AF250" s="35">
        <f t="shared" si="80"/>
        <v>0</v>
      </c>
      <c r="AG250" s="35">
        <f t="shared" si="80"/>
        <v>0</v>
      </c>
      <c r="AH250" s="35">
        <f t="shared" si="80"/>
        <v>0</v>
      </c>
      <c r="AI250" s="72">
        <f t="shared" si="65"/>
        <v>0</v>
      </c>
    </row>
    <row r="251" spans="1:35" outlineLevel="3" x14ac:dyDescent="0.2">
      <c r="A251" s="20"/>
      <c r="B251" s="41" t="s">
        <v>708</v>
      </c>
      <c r="C251" s="13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50"/>
      <c r="AG251" s="50"/>
      <c r="AH251" s="50"/>
      <c r="AI251" s="72">
        <f t="shared" si="65"/>
        <v>0</v>
      </c>
    </row>
    <row r="252" spans="1:35" outlineLevel="3" x14ac:dyDescent="0.2">
      <c r="A252" s="20"/>
      <c r="B252" s="41" t="s">
        <v>709</v>
      </c>
      <c r="C252" s="13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D252" s="50"/>
      <c r="AE252" s="50"/>
      <c r="AF252" s="50"/>
      <c r="AG252" s="50"/>
      <c r="AH252" s="50"/>
      <c r="AI252" s="72">
        <f t="shared" si="65"/>
        <v>0</v>
      </c>
    </row>
    <row r="253" spans="1:35" outlineLevel="3" x14ac:dyDescent="0.2">
      <c r="A253" s="20"/>
      <c r="B253" s="41" t="s">
        <v>710</v>
      </c>
      <c r="C253" s="13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D253" s="50"/>
      <c r="AE253" s="50"/>
      <c r="AF253" s="50"/>
      <c r="AG253" s="50"/>
      <c r="AH253" s="50"/>
      <c r="AI253" s="72">
        <f t="shared" si="65"/>
        <v>0</v>
      </c>
    </row>
    <row r="254" spans="1:35" outlineLevel="3" x14ac:dyDescent="0.2">
      <c r="A254" s="20" t="s">
        <v>135</v>
      </c>
      <c r="B254" s="20" t="s">
        <v>136</v>
      </c>
      <c r="C254" s="13" t="s">
        <v>137</v>
      </c>
      <c r="D254" s="35">
        <f>SUM(D255:D257)</f>
        <v>0</v>
      </c>
      <c r="E254" s="35">
        <f t="shared" ref="E254:AH254" si="81">SUM(E255:E257)</f>
        <v>0</v>
      </c>
      <c r="F254" s="35">
        <f t="shared" si="81"/>
        <v>0</v>
      </c>
      <c r="G254" s="35">
        <f t="shared" si="81"/>
        <v>0</v>
      </c>
      <c r="H254" s="35">
        <f t="shared" si="81"/>
        <v>0</v>
      </c>
      <c r="I254" s="35">
        <f t="shared" si="81"/>
        <v>0</v>
      </c>
      <c r="J254" s="35">
        <f t="shared" si="81"/>
        <v>0</v>
      </c>
      <c r="K254" s="35">
        <f t="shared" si="81"/>
        <v>0</v>
      </c>
      <c r="L254" s="35">
        <f t="shared" si="81"/>
        <v>0</v>
      </c>
      <c r="M254" s="35">
        <f t="shared" si="81"/>
        <v>0</v>
      </c>
      <c r="N254" s="35">
        <f t="shared" si="81"/>
        <v>0</v>
      </c>
      <c r="O254" s="35">
        <f t="shared" si="81"/>
        <v>0</v>
      </c>
      <c r="P254" s="35">
        <f t="shared" si="81"/>
        <v>0</v>
      </c>
      <c r="Q254" s="35">
        <f t="shared" si="81"/>
        <v>0</v>
      </c>
      <c r="R254" s="35">
        <f t="shared" si="81"/>
        <v>0</v>
      </c>
      <c r="S254" s="35">
        <f t="shared" si="81"/>
        <v>0</v>
      </c>
      <c r="T254" s="35">
        <f t="shared" si="81"/>
        <v>0</v>
      </c>
      <c r="U254" s="35">
        <f t="shared" si="81"/>
        <v>0</v>
      </c>
      <c r="V254" s="35">
        <f t="shared" si="81"/>
        <v>0</v>
      </c>
      <c r="W254" s="35">
        <f t="shared" si="81"/>
        <v>50064</v>
      </c>
      <c r="X254" s="35">
        <f t="shared" si="81"/>
        <v>0</v>
      </c>
      <c r="Y254" s="35">
        <f t="shared" si="81"/>
        <v>0</v>
      </c>
      <c r="Z254" s="35">
        <f t="shared" si="81"/>
        <v>0</v>
      </c>
      <c r="AA254" s="35">
        <f t="shared" si="81"/>
        <v>0</v>
      </c>
      <c r="AB254" s="35">
        <f t="shared" si="81"/>
        <v>681582</v>
      </c>
      <c r="AC254" s="35">
        <f t="shared" si="81"/>
        <v>0</v>
      </c>
      <c r="AD254" s="35">
        <f t="shared" si="81"/>
        <v>0</v>
      </c>
      <c r="AE254" s="35">
        <f t="shared" si="81"/>
        <v>0</v>
      </c>
      <c r="AF254" s="35">
        <f t="shared" si="81"/>
        <v>0</v>
      </c>
      <c r="AG254" s="35">
        <f t="shared" si="81"/>
        <v>0</v>
      </c>
      <c r="AH254" s="35">
        <f t="shared" si="81"/>
        <v>0</v>
      </c>
      <c r="AI254" s="72">
        <f t="shared" si="65"/>
        <v>731646</v>
      </c>
    </row>
    <row r="255" spans="1:35" outlineLevel="3" x14ac:dyDescent="0.2">
      <c r="A255" s="20"/>
      <c r="B255" s="41" t="s">
        <v>708</v>
      </c>
      <c r="C255" s="13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D255" s="50"/>
      <c r="AE255" s="50"/>
      <c r="AF255" s="50"/>
      <c r="AG255" s="50"/>
      <c r="AH255" s="50"/>
      <c r="AI255" s="72">
        <f t="shared" si="65"/>
        <v>0</v>
      </c>
    </row>
    <row r="256" spans="1:35" outlineLevel="3" x14ac:dyDescent="0.2">
      <c r="A256" s="20"/>
      <c r="B256" s="41" t="s">
        <v>709</v>
      </c>
      <c r="C256" s="13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>
        <v>50064</v>
      </c>
      <c r="X256" s="50"/>
      <c r="Y256" s="50"/>
      <c r="Z256" s="50"/>
      <c r="AA256" s="50"/>
      <c r="AB256" s="50">
        <v>681582</v>
      </c>
      <c r="AC256" s="50"/>
      <c r="AD256" s="50"/>
      <c r="AE256" s="50"/>
      <c r="AF256" s="50"/>
      <c r="AG256" s="50"/>
      <c r="AH256" s="50"/>
      <c r="AI256" s="72">
        <f t="shared" si="65"/>
        <v>731646</v>
      </c>
    </row>
    <row r="257" spans="1:35" outlineLevel="3" x14ac:dyDescent="0.2">
      <c r="A257" s="20"/>
      <c r="B257" s="41" t="s">
        <v>710</v>
      </c>
      <c r="C257" s="13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D257" s="50"/>
      <c r="AE257" s="50"/>
      <c r="AF257" s="50"/>
      <c r="AG257" s="50"/>
      <c r="AH257" s="50"/>
      <c r="AI257" s="72">
        <f t="shared" si="65"/>
        <v>0</v>
      </c>
    </row>
    <row r="258" spans="1:35" outlineLevel="3" x14ac:dyDescent="0.2">
      <c r="A258" s="20" t="s">
        <v>138</v>
      </c>
      <c r="B258" s="20" t="s">
        <v>139</v>
      </c>
      <c r="C258" s="13" t="s">
        <v>140</v>
      </c>
      <c r="D258" s="35">
        <f>SUM(D259:D261)</f>
        <v>0</v>
      </c>
      <c r="E258" s="35">
        <f t="shared" ref="E258:AH258" si="82">SUM(E259:E261)</f>
        <v>0</v>
      </c>
      <c r="F258" s="35">
        <f t="shared" si="82"/>
        <v>0</v>
      </c>
      <c r="G258" s="35">
        <f t="shared" si="82"/>
        <v>0</v>
      </c>
      <c r="H258" s="35">
        <f t="shared" si="82"/>
        <v>0</v>
      </c>
      <c r="I258" s="35">
        <f t="shared" si="82"/>
        <v>0</v>
      </c>
      <c r="J258" s="35">
        <f t="shared" si="82"/>
        <v>0</v>
      </c>
      <c r="K258" s="35">
        <f t="shared" si="82"/>
        <v>0</v>
      </c>
      <c r="L258" s="35">
        <f t="shared" si="82"/>
        <v>0</v>
      </c>
      <c r="M258" s="35">
        <f t="shared" si="82"/>
        <v>0</v>
      </c>
      <c r="N258" s="35">
        <f t="shared" si="82"/>
        <v>0</v>
      </c>
      <c r="O258" s="35">
        <f t="shared" si="82"/>
        <v>0</v>
      </c>
      <c r="P258" s="35">
        <f t="shared" si="82"/>
        <v>0</v>
      </c>
      <c r="Q258" s="35">
        <f t="shared" si="82"/>
        <v>0</v>
      </c>
      <c r="R258" s="35">
        <f t="shared" si="82"/>
        <v>0</v>
      </c>
      <c r="S258" s="35">
        <f t="shared" si="82"/>
        <v>0</v>
      </c>
      <c r="T258" s="35">
        <f t="shared" si="82"/>
        <v>0</v>
      </c>
      <c r="U258" s="35">
        <f t="shared" si="82"/>
        <v>0</v>
      </c>
      <c r="V258" s="35">
        <f t="shared" si="82"/>
        <v>0</v>
      </c>
      <c r="W258" s="35">
        <f t="shared" si="82"/>
        <v>0</v>
      </c>
      <c r="X258" s="35">
        <f t="shared" si="82"/>
        <v>0</v>
      </c>
      <c r="Y258" s="35">
        <f t="shared" si="82"/>
        <v>0</v>
      </c>
      <c r="Z258" s="35">
        <f t="shared" si="82"/>
        <v>0</v>
      </c>
      <c r="AA258" s="35">
        <f t="shared" si="82"/>
        <v>0</v>
      </c>
      <c r="AB258" s="35">
        <f t="shared" si="82"/>
        <v>0</v>
      </c>
      <c r="AC258" s="35">
        <f t="shared" si="82"/>
        <v>0</v>
      </c>
      <c r="AD258" s="35">
        <f t="shared" si="82"/>
        <v>0</v>
      </c>
      <c r="AE258" s="35">
        <f t="shared" si="82"/>
        <v>0</v>
      </c>
      <c r="AF258" s="35">
        <f t="shared" si="82"/>
        <v>0</v>
      </c>
      <c r="AG258" s="35">
        <f t="shared" si="82"/>
        <v>0</v>
      </c>
      <c r="AH258" s="35">
        <f t="shared" si="82"/>
        <v>0</v>
      </c>
      <c r="AI258" s="72">
        <f t="shared" si="65"/>
        <v>0</v>
      </c>
    </row>
    <row r="259" spans="1:35" outlineLevel="3" x14ac:dyDescent="0.2">
      <c r="A259" s="20"/>
      <c r="B259" s="41" t="s">
        <v>708</v>
      </c>
      <c r="C259" s="13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50"/>
      <c r="AG259" s="50"/>
      <c r="AH259" s="50"/>
      <c r="AI259" s="72">
        <f t="shared" si="65"/>
        <v>0</v>
      </c>
    </row>
    <row r="260" spans="1:35" outlineLevel="3" x14ac:dyDescent="0.2">
      <c r="A260" s="20"/>
      <c r="B260" s="41" t="s">
        <v>709</v>
      </c>
      <c r="C260" s="13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D260" s="50"/>
      <c r="AE260" s="50"/>
      <c r="AF260" s="50"/>
      <c r="AG260" s="50"/>
      <c r="AH260" s="50"/>
      <c r="AI260" s="72">
        <f t="shared" si="65"/>
        <v>0</v>
      </c>
    </row>
    <row r="261" spans="1:35" outlineLevel="3" x14ac:dyDescent="0.2">
      <c r="A261" s="20"/>
      <c r="B261" s="41" t="s">
        <v>710</v>
      </c>
      <c r="C261" s="13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50"/>
      <c r="AG261" s="50"/>
      <c r="AH261" s="50"/>
      <c r="AI261" s="72">
        <f t="shared" si="65"/>
        <v>0</v>
      </c>
    </row>
    <row r="262" spans="1:35" outlineLevel="3" x14ac:dyDescent="0.2">
      <c r="A262" s="20" t="s">
        <v>141</v>
      </c>
      <c r="B262" s="20" t="s">
        <v>142</v>
      </c>
      <c r="C262" s="13" t="s">
        <v>143</v>
      </c>
      <c r="D262" s="35">
        <f>SUM(D263:D265)</f>
        <v>0</v>
      </c>
      <c r="E262" s="35">
        <f t="shared" ref="E262:AH262" si="83">SUM(E263:E265)</f>
        <v>0</v>
      </c>
      <c r="F262" s="35">
        <f t="shared" si="83"/>
        <v>0</v>
      </c>
      <c r="G262" s="35">
        <f t="shared" si="83"/>
        <v>0</v>
      </c>
      <c r="H262" s="35">
        <f t="shared" si="83"/>
        <v>0</v>
      </c>
      <c r="I262" s="35">
        <f t="shared" si="83"/>
        <v>0</v>
      </c>
      <c r="J262" s="35">
        <f t="shared" si="83"/>
        <v>0</v>
      </c>
      <c r="K262" s="35">
        <f t="shared" si="83"/>
        <v>0</v>
      </c>
      <c r="L262" s="35">
        <f t="shared" si="83"/>
        <v>0</v>
      </c>
      <c r="M262" s="35">
        <f t="shared" si="83"/>
        <v>0</v>
      </c>
      <c r="N262" s="35">
        <f t="shared" si="83"/>
        <v>0</v>
      </c>
      <c r="O262" s="35">
        <f t="shared" si="83"/>
        <v>0</v>
      </c>
      <c r="P262" s="35">
        <f t="shared" si="83"/>
        <v>0</v>
      </c>
      <c r="Q262" s="35">
        <f t="shared" si="83"/>
        <v>0</v>
      </c>
      <c r="R262" s="35">
        <f t="shared" si="83"/>
        <v>0</v>
      </c>
      <c r="S262" s="35">
        <f t="shared" si="83"/>
        <v>0</v>
      </c>
      <c r="T262" s="35">
        <f t="shared" si="83"/>
        <v>0</v>
      </c>
      <c r="U262" s="35">
        <f t="shared" si="83"/>
        <v>0</v>
      </c>
      <c r="V262" s="35">
        <f t="shared" si="83"/>
        <v>0</v>
      </c>
      <c r="W262" s="35">
        <f t="shared" si="83"/>
        <v>0</v>
      </c>
      <c r="X262" s="35">
        <f t="shared" si="83"/>
        <v>0</v>
      </c>
      <c r="Y262" s="35">
        <f t="shared" si="83"/>
        <v>0</v>
      </c>
      <c r="Z262" s="35">
        <f t="shared" si="83"/>
        <v>0</v>
      </c>
      <c r="AA262" s="35">
        <f t="shared" si="83"/>
        <v>0</v>
      </c>
      <c r="AB262" s="35">
        <f t="shared" si="83"/>
        <v>0</v>
      </c>
      <c r="AC262" s="35">
        <f t="shared" si="83"/>
        <v>0</v>
      </c>
      <c r="AD262" s="35">
        <f t="shared" si="83"/>
        <v>0</v>
      </c>
      <c r="AE262" s="35">
        <f t="shared" si="83"/>
        <v>0</v>
      </c>
      <c r="AF262" s="35">
        <f t="shared" si="83"/>
        <v>0</v>
      </c>
      <c r="AG262" s="35">
        <f t="shared" si="83"/>
        <v>0</v>
      </c>
      <c r="AH262" s="35">
        <f t="shared" si="83"/>
        <v>0</v>
      </c>
      <c r="AI262" s="72">
        <f t="shared" si="65"/>
        <v>0</v>
      </c>
    </row>
    <row r="263" spans="1:35" outlineLevel="3" x14ac:dyDescent="0.2">
      <c r="A263" s="20"/>
      <c r="B263" s="41" t="s">
        <v>708</v>
      </c>
      <c r="C263" s="13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D263" s="50"/>
      <c r="AE263" s="50"/>
      <c r="AF263" s="50"/>
      <c r="AG263" s="50"/>
      <c r="AH263" s="50"/>
      <c r="AI263" s="72">
        <f t="shared" si="65"/>
        <v>0</v>
      </c>
    </row>
    <row r="264" spans="1:35" outlineLevel="3" x14ac:dyDescent="0.2">
      <c r="A264" s="20"/>
      <c r="B264" s="41" t="s">
        <v>709</v>
      </c>
      <c r="C264" s="13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D264" s="50"/>
      <c r="AE264" s="50"/>
      <c r="AF264" s="50"/>
      <c r="AG264" s="50"/>
      <c r="AH264" s="50"/>
      <c r="AI264" s="72">
        <f t="shared" si="65"/>
        <v>0</v>
      </c>
    </row>
    <row r="265" spans="1:35" outlineLevel="3" x14ac:dyDescent="0.2">
      <c r="A265" s="20"/>
      <c r="B265" s="41" t="s">
        <v>710</v>
      </c>
      <c r="C265" s="13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D265" s="50"/>
      <c r="AE265" s="50"/>
      <c r="AF265" s="50"/>
      <c r="AG265" s="50"/>
      <c r="AH265" s="50"/>
      <c r="AI265" s="72">
        <f t="shared" si="65"/>
        <v>0</v>
      </c>
    </row>
    <row r="266" spans="1:35" outlineLevel="3" x14ac:dyDescent="0.2">
      <c r="A266" s="20" t="s">
        <v>144</v>
      </c>
      <c r="B266" s="20" t="s">
        <v>145</v>
      </c>
      <c r="C266" s="13" t="s">
        <v>146</v>
      </c>
      <c r="D266" s="35">
        <f>SUM(D267:D269)</f>
        <v>0</v>
      </c>
      <c r="E266" s="35">
        <f t="shared" ref="E266:AH266" si="84">SUM(E267:E269)</f>
        <v>0</v>
      </c>
      <c r="F266" s="35">
        <f t="shared" si="84"/>
        <v>0</v>
      </c>
      <c r="G266" s="35">
        <f t="shared" si="84"/>
        <v>0</v>
      </c>
      <c r="H266" s="35">
        <f t="shared" si="84"/>
        <v>0</v>
      </c>
      <c r="I266" s="35">
        <f t="shared" si="84"/>
        <v>0</v>
      </c>
      <c r="J266" s="35">
        <f t="shared" si="84"/>
        <v>0</v>
      </c>
      <c r="K266" s="35">
        <f t="shared" si="84"/>
        <v>0</v>
      </c>
      <c r="L266" s="35">
        <f t="shared" si="84"/>
        <v>0</v>
      </c>
      <c r="M266" s="35">
        <f t="shared" si="84"/>
        <v>0</v>
      </c>
      <c r="N266" s="35">
        <f t="shared" si="84"/>
        <v>0</v>
      </c>
      <c r="O266" s="35">
        <f t="shared" si="84"/>
        <v>0</v>
      </c>
      <c r="P266" s="35">
        <f t="shared" si="84"/>
        <v>0</v>
      </c>
      <c r="Q266" s="35">
        <f t="shared" si="84"/>
        <v>0</v>
      </c>
      <c r="R266" s="35">
        <f t="shared" si="84"/>
        <v>0</v>
      </c>
      <c r="S266" s="35">
        <f t="shared" si="84"/>
        <v>0</v>
      </c>
      <c r="T266" s="35">
        <f t="shared" si="84"/>
        <v>0</v>
      </c>
      <c r="U266" s="35">
        <f t="shared" si="84"/>
        <v>0</v>
      </c>
      <c r="V266" s="35">
        <f t="shared" si="84"/>
        <v>0</v>
      </c>
      <c r="W266" s="35">
        <f t="shared" si="84"/>
        <v>0</v>
      </c>
      <c r="X266" s="35">
        <f t="shared" si="84"/>
        <v>0</v>
      </c>
      <c r="Y266" s="35">
        <f t="shared" si="84"/>
        <v>0</v>
      </c>
      <c r="Z266" s="35">
        <f t="shared" si="84"/>
        <v>0</v>
      </c>
      <c r="AA266" s="35">
        <f t="shared" si="84"/>
        <v>0</v>
      </c>
      <c r="AB266" s="35">
        <f t="shared" si="84"/>
        <v>0</v>
      </c>
      <c r="AC266" s="35">
        <f t="shared" si="84"/>
        <v>0</v>
      </c>
      <c r="AD266" s="35">
        <f t="shared" si="84"/>
        <v>0</v>
      </c>
      <c r="AE266" s="35">
        <f t="shared" si="84"/>
        <v>0</v>
      </c>
      <c r="AF266" s="35">
        <f t="shared" si="84"/>
        <v>0</v>
      </c>
      <c r="AG266" s="35">
        <f t="shared" si="84"/>
        <v>0</v>
      </c>
      <c r="AH266" s="35">
        <f t="shared" si="84"/>
        <v>0</v>
      </c>
      <c r="AI266" s="72">
        <f t="shared" si="65"/>
        <v>0</v>
      </c>
    </row>
    <row r="267" spans="1:35" outlineLevel="3" x14ac:dyDescent="0.2">
      <c r="A267" s="20"/>
      <c r="B267" s="41" t="s">
        <v>708</v>
      </c>
      <c r="C267" s="13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D267" s="50"/>
      <c r="AE267" s="50"/>
      <c r="AF267" s="50"/>
      <c r="AG267" s="50"/>
      <c r="AH267" s="50"/>
      <c r="AI267" s="72">
        <f t="shared" si="65"/>
        <v>0</v>
      </c>
    </row>
    <row r="268" spans="1:35" outlineLevel="3" x14ac:dyDescent="0.2">
      <c r="A268" s="20"/>
      <c r="B268" s="41" t="s">
        <v>709</v>
      </c>
      <c r="C268" s="13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D268" s="50"/>
      <c r="AE268" s="50"/>
      <c r="AF268" s="50"/>
      <c r="AG268" s="50"/>
      <c r="AH268" s="50"/>
      <c r="AI268" s="72">
        <f t="shared" si="65"/>
        <v>0</v>
      </c>
    </row>
    <row r="269" spans="1:35" outlineLevel="3" x14ac:dyDescent="0.2">
      <c r="A269" s="20"/>
      <c r="B269" s="41" t="s">
        <v>710</v>
      </c>
      <c r="C269" s="13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D269" s="50"/>
      <c r="AE269" s="50"/>
      <c r="AF269" s="50"/>
      <c r="AG269" s="50"/>
      <c r="AH269" s="50"/>
      <c r="AI269" s="72">
        <f t="shared" si="65"/>
        <v>0</v>
      </c>
    </row>
    <row r="270" spans="1:35" ht="13.5" customHeight="1" outlineLevel="3" x14ac:dyDescent="0.2">
      <c r="A270" s="20" t="s">
        <v>147</v>
      </c>
      <c r="B270" s="22" t="s">
        <v>148</v>
      </c>
      <c r="C270" s="13">
        <v>2220319100</v>
      </c>
      <c r="D270" s="35">
        <f>SUM(D271:D273)</f>
        <v>0</v>
      </c>
      <c r="E270" s="35">
        <f t="shared" ref="E270:AH270" si="85">SUM(E271:E273)</f>
        <v>0</v>
      </c>
      <c r="F270" s="35">
        <f t="shared" si="85"/>
        <v>0</v>
      </c>
      <c r="G270" s="35">
        <f t="shared" si="85"/>
        <v>0</v>
      </c>
      <c r="H270" s="35">
        <f t="shared" si="85"/>
        <v>0</v>
      </c>
      <c r="I270" s="35">
        <f t="shared" si="85"/>
        <v>0</v>
      </c>
      <c r="J270" s="35">
        <f t="shared" si="85"/>
        <v>0</v>
      </c>
      <c r="K270" s="35">
        <f t="shared" si="85"/>
        <v>0</v>
      </c>
      <c r="L270" s="35">
        <f t="shared" si="85"/>
        <v>0</v>
      </c>
      <c r="M270" s="35">
        <f t="shared" si="85"/>
        <v>0</v>
      </c>
      <c r="N270" s="35">
        <f t="shared" si="85"/>
        <v>0</v>
      </c>
      <c r="O270" s="35">
        <f t="shared" si="85"/>
        <v>0</v>
      </c>
      <c r="P270" s="35">
        <f t="shared" si="85"/>
        <v>0</v>
      </c>
      <c r="Q270" s="35">
        <f t="shared" si="85"/>
        <v>0</v>
      </c>
      <c r="R270" s="35">
        <f t="shared" si="85"/>
        <v>0</v>
      </c>
      <c r="S270" s="35">
        <f t="shared" si="85"/>
        <v>0</v>
      </c>
      <c r="T270" s="35">
        <f t="shared" si="85"/>
        <v>0</v>
      </c>
      <c r="U270" s="35">
        <f t="shared" si="85"/>
        <v>0</v>
      </c>
      <c r="V270" s="35">
        <f t="shared" si="85"/>
        <v>0</v>
      </c>
      <c r="W270" s="35">
        <f t="shared" si="85"/>
        <v>0</v>
      </c>
      <c r="X270" s="35">
        <f t="shared" si="85"/>
        <v>0</v>
      </c>
      <c r="Y270" s="35">
        <f t="shared" si="85"/>
        <v>0</v>
      </c>
      <c r="Z270" s="35">
        <f t="shared" si="85"/>
        <v>0</v>
      </c>
      <c r="AA270" s="35">
        <f t="shared" si="85"/>
        <v>0</v>
      </c>
      <c r="AB270" s="35">
        <f t="shared" si="85"/>
        <v>0</v>
      </c>
      <c r="AC270" s="35">
        <f t="shared" si="85"/>
        <v>0</v>
      </c>
      <c r="AD270" s="35">
        <f t="shared" si="85"/>
        <v>0</v>
      </c>
      <c r="AE270" s="35">
        <f t="shared" si="85"/>
        <v>0</v>
      </c>
      <c r="AF270" s="35">
        <f t="shared" si="85"/>
        <v>0</v>
      </c>
      <c r="AG270" s="35">
        <f t="shared" si="85"/>
        <v>0</v>
      </c>
      <c r="AH270" s="35">
        <f t="shared" si="85"/>
        <v>0</v>
      </c>
      <c r="AI270" s="72">
        <f t="shared" si="65"/>
        <v>0</v>
      </c>
    </row>
    <row r="271" spans="1:35" ht="13.5" customHeight="1" outlineLevel="3" x14ac:dyDescent="0.2">
      <c r="A271" s="20"/>
      <c r="B271" s="41" t="s">
        <v>708</v>
      </c>
      <c r="C271" s="13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D271" s="50"/>
      <c r="AE271" s="50"/>
      <c r="AF271" s="50"/>
      <c r="AG271" s="50"/>
      <c r="AH271" s="50"/>
      <c r="AI271" s="72">
        <f t="shared" si="65"/>
        <v>0</v>
      </c>
    </row>
    <row r="272" spans="1:35" ht="13.5" customHeight="1" outlineLevel="3" x14ac:dyDescent="0.2">
      <c r="A272" s="20"/>
      <c r="B272" s="41" t="s">
        <v>709</v>
      </c>
      <c r="C272" s="13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D272" s="50"/>
      <c r="AE272" s="50"/>
      <c r="AF272" s="50"/>
      <c r="AG272" s="50"/>
      <c r="AH272" s="50"/>
      <c r="AI272" s="72">
        <f t="shared" si="65"/>
        <v>0</v>
      </c>
    </row>
    <row r="273" spans="1:35" ht="13.5" customHeight="1" outlineLevel="3" x14ac:dyDescent="0.2">
      <c r="A273" s="20"/>
      <c r="B273" s="41" t="s">
        <v>710</v>
      </c>
      <c r="C273" s="13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D273" s="50"/>
      <c r="AE273" s="50"/>
      <c r="AF273" s="50"/>
      <c r="AG273" s="50"/>
      <c r="AH273" s="50"/>
      <c r="AI273" s="72">
        <f t="shared" si="65"/>
        <v>0</v>
      </c>
    </row>
    <row r="274" spans="1:35" outlineLevel="3" x14ac:dyDescent="0.2">
      <c r="A274" s="20" t="s">
        <v>149</v>
      </c>
      <c r="B274" s="20" t="s">
        <v>150</v>
      </c>
      <c r="C274" s="13">
        <v>2220319200</v>
      </c>
      <c r="D274" s="35">
        <f>SUM(D275:D277)</f>
        <v>0</v>
      </c>
      <c r="E274" s="35">
        <f t="shared" ref="E274:AH274" si="86">SUM(E275:E277)</f>
        <v>0</v>
      </c>
      <c r="F274" s="35">
        <f t="shared" si="86"/>
        <v>0</v>
      </c>
      <c r="G274" s="35">
        <f t="shared" si="86"/>
        <v>0</v>
      </c>
      <c r="H274" s="35">
        <f t="shared" si="86"/>
        <v>0</v>
      </c>
      <c r="I274" s="35">
        <f t="shared" si="86"/>
        <v>0</v>
      </c>
      <c r="J274" s="35">
        <f t="shared" si="86"/>
        <v>0</v>
      </c>
      <c r="K274" s="35">
        <f t="shared" si="86"/>
        <v>0</v>
      </c>
      <c r="L274" s="35">
        <f t="shared" si="86"/>
        <v>0</v>
      </c>
      <c r="M274" s="35">
        <f t="shared" si="86"/>
        <v>0</v>
      </c>
      <c r="N274" s="35">
        <f t="shared" si="86"/>
        <v>0</v>
      </c>
      <c r="O274" s="35">
        <f t="shared" si="86"/>
        <v>0</v>
      </c>
      <c r="P274" s="35">
        <f t="shared" si="86"/>
        <v>0</v>
      </c>
      <c r="Q274" s="35">
        <f t="shared" si="86"/>
        <v>0</v>
      </c>
      <c r="R274" s="35">
        <f t="shared" si="86"/>
        <v>0</v>
      </c>
      <c r="S274" s="35">
        <f t="shared" si="86"/>
        <v>0</v>
      </c>
      <c r="T274" s="35">
        <f t="shared" si="86"/>
        <v>0</v>
      </c>
      <c r="U274" s="35">
        <f t="shared" si="86"/>
        <v>0</v>
      </c>
      <c r="V274" s="35">
        <f t="shared" si="86"/>
        <v>0</v>
      </c>
      <c r="W274" s="35">
        <f t="shared" si="86"/>
        <v>0</v>
      </c>
      <c r="X274" s="35">
        <f t="shared" si="86"/>
        <v>0</v>
      </c>
      <c r="Y274" s="35">
        <f t="shared" si="86"/>
        <v>0</v>
      </c>
      <c r="Z274" s="35">
        <f t="shared" si="86"/>
        <v>0</v>
      </c>
      <c r="AA274" s="35">
        <f t="shared" si="86"/>
        <v>0</v>
      </c>
      <c r="AB274" s="35">
        <f t="shared" si="86"/>
        <v>0</v>
      </c>
      <c r="AC274" s="35">
        <f t="shared" si="86"/>
        <v>0</v>
      </c>
      <c r="AD274" s="35">
        <f t="shared" si="86"/>
        <v>0</v>
      </c>
      <c r="AE274" s="35">
        <f t="shared" si="86"/>
        <v>0</v>
      </c>
      <c r="AF274" s="35">
        <f t="shared" si="86"/>
        <v>0</v>
      </c>
      <c r="AG274" s="35">
        <f t="shared" si="86"/>
        <v>0</v>
      </c>
      <c r="AH274" s="35">
        <f t="shared" si="86"/>
        <v>0</v>
      </c>
      <c r="AI274" s="72">
        <f t="shared" si="65"/>
        <v>0</v>
      </c>
    </row>
    <row r="275" spans="1:35" outlineLevel="3" x14ac:dyDescent="0.2">
      <c r="A275" s="20"/>
      <c r="B275" s="41" t="s">
        <v>708</v>
      </c>
      <c r="C275" s="13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D275" s="50"/>
      <c r="AE275" s="50"/>
      <c r="AF275" s="50"/>
      <c r="AG275" s="50"/>
      <c r="AH275" s="50"/>
      <c r="AI275" s="72">
        <f t="shared" si="65"/>
        <v>0</v>
      </c>
    </row>
    <row r="276" spans="1:35" outlineLevel="3" x14ac:dyDescent="0.2">
      <c r="A276" s="20"/>
      <c r="B276" s="41" t="s">
        <v>709</v>
      </c>
      <c r="C276" s="13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D276" s="50"/>
      <c r="AE276" s="50"/>
      <c r="AF276" s="50"/>
      <c r="AG276" s="50"/>
      <c r="AH276" s="50"/>
      <c r="AI276" s="72">
        <f t="shared" si="65"/>
        <v>0</v>
      </c>
    </row>
    <row r="277" spans="1:35" outlineLevel="3" x14ac:dyDescent="0.2">
      <c r="A277" s="20"/>
      <c r="B277" s="41" t="s">
        <v>710</v>
      </c>
      <c r="C277" s="13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D277" s="50"/>
      <c r="AE277" s="50"/>
      <c r="AF277" s="50"/>
      <c r="AG277" s="50"/>
      <c r="AH277" s="50"/>
      <c r="AI277" s="72">
        <f t="shared" si="65"/>
        <v>0</v>
      </c>
    </row>
    <row r="278" spans="1:35" outlineLevel="2" x14ac:dyDescent="0.2">
      <c r="A278" s="17" t="s">
        <v>151</v>
      </c>
      <c r="B278" s="17" t="s">
        <v>152</v>
      </c>
      <c r="C278" s="13" t="s">
        <v>153</v>
      </c>
      <c r="D278" s="35">
        <f>D279+D283+D287+D291+D295+D299+D303+D307+D311</f>
        <v>0</v>
      </c>
      <c r="E278" s="35">
        <f t="shared" ref="E278:AH278" si="87">E279+E283+E287+E291+E295+E299+E303+E307+E311</f>
        <v>0</v>
      </c>
      <c r="F278" s="35">
        <f t="shared" si="87"/>
        <v>0</v>
      </c>
      <c r="G278" s="35">
        <f t="shared" si="87"/>
        <v>0</v>
      </c>
      <c r="H278" s="35">
        <f t="shared" si="87"/>
        <v>0</v>
      </c>
      <c r="I278" s="35">
        <f t="shared" si="87"/>
        <v>0</v>
      </c>
      <c r="J278" s="35">
        <f t="shared" si="87"/>
        <v>0</v>
      </c>
      <c r="K278" s="35">
        <f t="shared" si="87"/>
        <v>0</v>
      </c>
      <c r="L278" s="35">
        <f t="shared" si="87"/>
        <v>0</v>
      </c>
      <c r="M278" s="35">
        <f t="shared" si="87"/>
        <v>0</v>
      </c>
      <c r="N278" s="35">
        <f t="shared" si="87"/>
        <v>0</v>
      </c>
      <c r="O278" s="35">
        <f t="shared" si="87"/>
        <v>0</v>
      </c>
      <c r="P278" s="35">
        <f t="shared" si="87"/>
        <v>0</v>
      </c>
      <c r="Q278" s="35">
        <f t="shared" si="87"/>
        <v>0</v>
      </c>
      <c r="R278" s="35">
        <f t="shared" si="87"/>
        <v>0</v>
      </c>
      <c r="S278" s="35">
        <f t="shared" si="87"/>
        <v>0</v>
      </c>
      <c r="T278" s="35">
        <f t="shared" si="87"/>
        <v>0</v>
      </c>
      <c r="U278" s="35">
        <f t="shared" si="87"/>
        <v>0</v>
      </c>
      <c r="V278" s="35">
        <f t="shared" si="87"/>
        <v>0</v>
      </c>
      <c r="W278" s="35">
        <f t="shared" si="87"/>
        <v>0</v>
      </c>
      <c r="X278" s="35">
        <f t="shared" si="87"/>
        <v>0</v>
      </c>
      <c r="Y278" s="35">
        <f t="shared" si="87"/>
        <v>0</v>
      </c>
      <c r="Z278" s="35">
        <f t="shared" si="87"/>
        <v>0</v>
      </c>
      <c r="AA278" s="35">
        <f t="shared" si="87"/>
        <v>0</v>
      </c>
      <c r="AB278" s="35">
        <f t="shared" si="87"/>
        <v>0</v>
      </c>
      <c r="AC278" s="35">
        <f t="shared" si="87"/>
        <v>0</v>
      </c>
      <c r="AD278" s="35">
        <f t="shared" si="87"/>
        <v>0</v>
      </c>
      <c r="AE278" s="35">
        <f t="shared" si="87"/>
        <v>0</v>
      </c>
      <c r="AF278" s="35">
        <f t="shared" si="87"/>
        <v>0</v>
      </c>
      <c r="AG278" s="35">
        <f t="shared" si="87"/>
        <v>0</v>
      </c>
      <c r="AH278" s="35">
        <f t="shared" si="87"/>
        <v>0</v>
      </c>
      <c r="AI278" s="72">
        <f t="shared" si="65"/>
        <v>0</v>
      </c>
    </row>
    <row r="279" spans="1:35" outlineLevel="3" x14ac:dyDescent="0.2">
      <c r="A279" s="20" t="s">
        <v>154</v>
      </c>
      <c r="B279" s="20" t="s">
        <v>155</v>
      </c>
      <c r="C279" s="13" t="s">
        <v>156</v>
      </c>
      <c r="D279" s="35">
        <f>SUM(D280:D282)</f>
        <v>0</v>
      </c>
      <c r="E279" s="35">
        <f t="shared" ref="E279:AH279" si="88">SUM(E280:E282)</f>
        <v>0</v>
      </c>
      <c r="F279" s="35">
        <f t="shared" si="88"/>
        <v>0</v>
      </c>
      <c r="G279" s="35">
        <f t="shared" si="88"/>
        <v>0</v>
      </c>
      <c r="H279" s="35">
        <f t="shared" si="88"/>
        <v>0</v>
      </c>
      <c r="I279" s="35">
        <f t="shared" si="88"/>
        <v>0</v>
      </c>
      <c r="J279" s="35">
        <f t="shared" si="88"/>
        <v>0</v>
      </c>
      <c r="K279" s="35">
        <f t="shared" si="88"/>
        <v>0</v>
      </c>
      <c r="L279" s="35">
        <f t="shared" si="88"/>
        <v>0</v>
      </c>
      <c r="M279" s="35">
        <f t="shared" si="88"/>
        <v>0</v>
      </c>
      <c r="N279" s="35">
        <f t="shared" si="88"/>
        <v>0</v>
      </c>
      <c r="O279" s="35">
        <f t="shared" si="88"/>
        <v>0</v>
      </c>
      <c r="P279" s="35">
        <f t="shared" si="88"/>
        <v>0</v>
      </c>
      <c r="Q279" s="35">
        <f t="shared" si="88"/>
        <v>0</v>
      </c>
      <c r="R279" s="35">
        <f t="shared" si="88"/>
        <v>0</v>
      </c>
      <c r="S279" s="35">
        <f t="shared" si="88"/>
        <v>0</v>
      </c>
      <c r="T279" s="35">
        <f t="shared" si="88"/>
        <v>0</v>
      </c>
      <c r="U279" s="35">
        <f t="shared" si="88"/>
        <v>0</v>
      </c>
      <c r="V279" s="35">
        <f t="shared" si="88"/>
        <v>0</v>
      </c>
      <c r="W279" s="35">
        <f t="shared" si="88"/>
        <v>0</v>
      </c>
      <c r="X279" s="35">
        <f t="shared" si="88"/>
        <v>0</v>
      </c>
      <c r="Y279" s="35">
        <f t="shared" si="88"/>
        <v>0</v>
      </c>
      <c r="Z279" s="35">
        <f t="shared" si="88"/>
        <v>0</v>
      </c>
      <c r="AA279" s="35">
        <f t="shared" si="88"/>
        <v>0</v>
      </c>
      <c r="AB279" s="35">
        <f t="shared" si="88"/>
        <v>0</v>
      </c>
      <c r="AC279" s="35">
        <f t="shared" si="88"/>
        <v>0</v>
      </c>
      <c r="AD279" s="35">
        <f t="shared" si="88"/>
        <v>0</v>
      </c>
      <c r="AE279" s="35">
        <f t="shared" si="88"/>
        <v>0</v>
      </c>
      <c r="AF279" s="35">
        <f t="shared" si="88"/>
        <v>0</v>
      </c>
      <c r="AG279" s="35">
        <f t="shared" si="88"/>
        <v>0</v>
      </c>
      <c r="AH279" s="35">
        <f t="shared" si="88"/>
        <v>0</v>
      </c>
      <c r="AI279" s="72">
        <f t="shared" si="65"/>
        <v>0</v>
      </c>
    </row>
    <row r="280" spans="1:35" outlineLevel="3" x14ac:dyDescent="0.2">
      <c r="A280" s="20"/>
      <c r="B280" s="41" t="s">
        <v>708</v>
      </c>
      <c r="C280" s="13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D280" s="50"/>
      <c r="AE280" s="50"/>
      <c r="AF280" s="50"/>
      <c r="AG280" s="50"/>
      <c r="AH280" s="50"/>
      <c r="AI280" s="72">
        <f t="shared" si="65"/>
        <v>0</v>
      </c>
    </row>
    <row r="281" spans="1:35" outlineLevel="3" x14ac:dyDescent="0.2">
      <c r="A281" s="20"/>
      <c r="B281" s="41" t="s">
        <v>709</v>
      </c>
      <c r="C281" s="13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D281" s="50"/>
      <c r="AE281" s="50"/>
      <c r="AF281" s="50"/>
      <c r="AG281" s="50"/>
      <c r="AH281" s="50"/>
      <c r="AI281" s="72">
        <f t="shared" ref="AI281:AI344" si="89">SUM(D281:AH281)</f>
        <v>0</v>
      </c>
    </row>
    <row r="282" spans="1:35" outlineLevel="3" x14ac:dyDescent="0.2">
      <c r="A282" s="20"/>
      <c r="B282" s="41" t="s">
        <v>710</v>
      </c>
      <c r="C282" s="13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D282" s="50"/>
      <c r="AE282" s="50"/>
      <c r="AF282" s="50"/>
      <c r="AG282" s="50"/>
      <c r="AH282" s="50"/>
      <c r="AI282" s="72">
        <f t="shared" si="89"/>
        <v>0</v>
      </c>
    </row>
    <row r="283" spans="1:35" outlineLevel="3" x14ac:dyDescent="0.2">
      <c r="A283" s="20" t="s">
        <v>157</v>
      </c>
      <c r="B283" s="20" t="s">
        <v>158</v>
      </c>
      <c r="C283" s="13" t="s">
        <v>159</v>
      </c>
      <c r="D283" s="35">
        <f>SUM(D284:D286)</f>
        <v>0</v>
      </c>
      <c r="E283" s="35">
        <f t="shared" ref="E283:AH283" si="90">SUM(E284:E286)</f>
        <v>0</v>
      </c>
      <c r="F283" s="35">
        <f t="shared" si="90"/>
        <v>0</v>
      </c>
      <c r="G283" s="35">
        <f t="shared" si="90"/>
        <v>0</v>
      </c>
      <c r="H283" s="35">
        <f t="shared" si="90"/>
        <v>0</v>
      </c>
      <c r="I283" s="35">
        <f t="shared" si="90"/>
        <v>0</v>
      </c>
      <c r="J283" s="35">
        <f t="shared" si="90"/>
        <v>0</v>
      </c>
      <c r="K283" s="35">
        <f t="shared" si="90"/>
        <v>0</v>
      </c>
      <c r="L283" s="35">
        <f t="shared" si="90"/>
        <v>0</v>
      </c>
      <c r="M283" s="35">
        <f t="shared" si="90"/>
        <v>0</v>
      </c>
      <c r="N283" s="35">
        <f t="shared" si="90"/>
        <v>0</v>
      </c>
      <c r="O283" s="35">
        <f t="shared" si="90"/>
        <v>0</v>
      </c>
      <c r="P283" s="35">
        <f t="shared" si="90"/>
        <v>0</v>
      </c>
      <c r="Q283" s="35">
        <f t="shared" si="90"/>
        <v>0</v>
      </c>
      <c r="R283" s="35">
        <f t="shared" si="90"/>
        <v>0</v>
      </c>
      <c r="S283" s="35">
        <f t="shared" si="90"/>
        <v>0</v>
      </c>
      <c r="T283" s="35">
        <f t="shared" si="90"/>
        <v>0</v>
      </c>
      <c r="U283" s="35">
        <f t="shared" si="90"/>
        <v>0</v>
      </c>
      <c r="V283" s="35">
        <f t="shared" si="90"/>
        <v>0</v>
      </c>
      <c r="W283" s="35">
        <f t="shared" si="90"/>
        <v>0</v>
      </c>
      <c r="X283" s="35">
        <f t="shared" si="90"/>
        <v>0</v>
      </c>
      <c r="Y283" s="35">
        <f t="shared" si="90"/>
        <v>0</v>
      </c>
      <c r="Z283" s="35">
        <f t="shared" si="90"/>
        <v>0</v>
      </c>
      <c r="AA283" s="35">
        <f t="shared" si="90"/>
        <v>0</v>
      </c>
      <c r="AB283" s="35">
        <f t="shared" si="90"/>
        <v>0</v>
      </c>
      <c r="AC283" s="35">
        <f t="shared" si="90"/>
        <v>0</v>
      </c>
      <c r="AD283" s="35">
        <f t="shared" si="90"/>
        <v>0</v>
      </c>
      <c r="AE283" s="35">
        <f t="shared" si="90"/>
        <v>0</v>
      </c>
      <c r="AF283" s="35">
        <f t="shared" si="90"/>
        <v>0</v>
      </c>
      <c r="AG283" s="35">
        <f t="shared" si="90"/>
        <v>0</v>
      </c>
      <c r="AH283" s="35">
        <f t="shared" si="90"/>
        <v>0</v>
      </c>
      <c r="AI283" s="72">
        <f t="shared" si="89"/>
        <v>0</v>
      </c>
    </row>
    <row r="284" spans="1:35" outlineLevel="3" x14ac:dyDescent="0.2">
      <c r="A284" s="20"/>
      <c r="B284" s="41" t="s">
        <v>708</v>
      </c>
      <c r="C284" s="13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D284" s="50"/>
      <c r="AE284" s="50"/>
      <c r="AF284" s="50"/>
      <c r="AG284" s="50"/>
      <c r="AH284" s="50"/>
      <c r="AI284" s="72">
        <f t="shared" si="89"/>
        <v>0</v>
      </c>
    </row>
    <row r="285" spans="1:35" outlineLevel="3" x14ac:dyDescent="0.2">
      <c r="A285" s="20"/>
      <c r="B285" s="41" t="s">
        <v>709</v>
      </c>
      <c r="C285" s="13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D285" s="50"/>
      <c r="AE285" s="50"/>
      <c r="AF285" s="50"/>
      <c r="AG285" s="50"/>
      <c r="AH285" s="50"/>
      <c r="AI285" s="72">
        <f t="shared" si="89"/>
        <v>0</v>
      </c>
    </row>
    <row r="286" spans="1:35" outlineLevel="3" x14ac:dyDescent="0.2">
      <c r="A286" s="20"/>
      <c r="B286" s="41" t="s">
        <v>710</v>
      </c>
      <c r="C286" s="13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D286" s="50"/>
      <c r="AE286" s="50"/>
      <c r="AF286" s="50"/>
      <c r="AG286" s="50"/>
      <c r="AH286" s="50"/>
      <c r="AI286" s="72">
        <f t="shared" si="89"/>
        <v>0</v>
      </c>
    </row>
    <row r="287" spans="1:35" outlineLevel="3" x14ac:dyDescent="0.2">
      <c r="A287" s="20" t="s">
        <v>160</v>
      </c>
      <c r="B287" s="23" t="s">
        <v>161</v>
      </c>
      <c r="C287" s="13" t="s">
        <v>162</v>
      </c>
      <c r="D287" s="35">
        <f>SUM(D288:D290)</f>
        <v>0</v>
      </c>
      <c r="E287" s="35">
        <f t="shared" ref="E287:AH287" si="91">SUM(E288:E290)</f>
        <v>0</v>
      </c>
      <c r="F287" s="35">
        <f t="shared" si="91"/>
        <v>0</v>
      </c>
      <c r="G287" s="35">
        <f t="shared" si="91"/>
        <v>0</v>
      </c>
      <c r="H287" s="35">
        <f t="shared" si="91"/>
        <v>0</v>
      </c>
      <c r="I287" s="35">
        <f t="shared" si="91"/>
        <v>0</v>
      </c>
      <c r="J287" s="35">
        <f t="shared" si="91"/>
        <v>0</v>
      </c>
      <c r="K287" s="35">
        <f t="shared" si="91"/>
        <v>0</v>
      </c>
      <c r="L287" s="35">
        <f t="shared" si="91"/>
        <v>0</v>
      </c>
      <c r="M287" s="35">
        <f t="shared" si="91"/>
        <v>0</v>
      </c>
      <c r="N287" s="35">
        <f t="shared" si="91"/>
        <v>0</v>
      </c>
      <c r="O287" s="35">
        <f t="shared" si="91"/>
        <v>0</v>
      </c>
      <c r="P287" s="35">
        <f t="shared" si="91"/>
        <v>0</v>
      </c>
      <c r="Q287" s="35">
        <f t="shared" si="91"/>
        <v>0</v>
      </c>
      <c r="R287" s="35">
        <f t="shared" si="91"/>
        <v>0</v>
      </c>
      <c r="S287" s="35">
        <f t="shared" si="91"/>
        <v>0</v>
      </c>
      <c r="T287" s="35">
        <f t="shared" si="91"/>
        <v>0</v>
      </c>
      <c r="U287" s="35">
        <f t="shared" si="91"/>
        <v>0</v>
      </c>
      <c r="V287" s="35">
        <f t="shared" si="91"/>
        <v>0</v>
      </c>
      <c r="W287" s="35">
        <f t="shared" si="91"/>
        <v>0</v>
      </c>
      <c r="X287" s="35">
        <f t="shared" si="91"/>
        <v>0</v>
      </c>
      <c r="Y287" s="35">
        <f t="shared" si="91"/>
        <v>0</v>
      </c>
      <c r="Z287" s="35">
        <f t="shared" si="91"/>
        <v>0</v>
      </c>
      <c r="AA287" s="35">
        <f t="shared" si="91"/>
        <v>0</v>
      </c>
      <c r="AB287" s="35">
        <f t="shared" si="91"/>
        <v>0</v>
      </c>
      <c r="AC287" s="35">
        <f t="shared" si="91"/>
        <v>0</v>
      </c>
      <c r="AD287" s="35">
        <f t="shared" si="91"/>
        <v>0</v>
      </c>
      <c r="AE287" s="35">
        <f t="shared" si="91"/>
        <v>0</v>
      </c>
      <c r="AF287" s="35">
        <f t="shared" si="91"/>
        <v>0</v>
      </c>
      <c r="AG287" s="35">
        <f t="shared" si="91"/>
        <v>0</v>
      </c>
      <c r="AH287" s="35">
        <f t="shared" si="91"/>
        <v>0</v>
      </c>
      <c r="AI287" s="72">
        <f t="shared" si="89"/>
        <v>0</v>
      </c>
    </row>
    <row r="288" spans="1:35" outlineLevel="3" x14ac:dyDescent="0.2">
      <c r="A288" s="20"/>
      <c r="B288" s="41" t="s">
        <v>708</v>
      </c>
      <c r="C288" s="13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D288" s="50"/>
      <c r="AE288" s="50"/>
      <c r="AF288" s="50"/>
      <c r="AG288" s="50"/>
      <c r="AH288" s="50"/>
      <c r="AI288" s="72">
        <f t="shared" si="89"/>
        <v>0</v>
      </c>
    </row>
    <row r="289" spans="1:35" outlineLevel="3" x14ac:dyDescent="0.2">
      <c r="A289" s="20"/>
      <c r="B289" s="41" t="s">
        <v>709</v>
      </c>
      <c r="C289" s="13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D289" s="50"/>
      <c r="AE289" s="50"/>
      <c r="AF289" s="50"/>
      <c r="AG289" s="50"/>
      <c r="AH289" s="50"/>
      <c r="AI289" s="72">
        <f t="shared" si="89"/>
        <v>0</v>
      </c>
    </row>
    <row r="290" spans="1:35" outlineLevel="3" x14ac:dyDescent="0.2">
      <c r="A290" s="20"/>
      <c r="B290" s="41" t="s">
        <v>710</v>
      </c>
      <c r="C290" s="13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D290" s="50"/>
      <c r="AE290" s="50"/>
      <c r="AF290" s="50"/>
      <c r="AG290" s="50"/>
      <c r="AH290" s="50"/>
      <c r="AI290" s="72">
        <f t="shared" si="89"/>
        <v>0</v>
      </c>
    </row>
    <row r="291" spans="1:35" outlineLevel="3" x14ac:dyDescent="0.2">
      <c r="A291" s="20" t="s">
        <v>163</v>
      </c>
      <c r="B291" s="20" t="s">
        <v>164</v>
      </c>
      <c r="C291" s="13" t="s">
        <v>165</v>
      </c>
      <c r="D291" s="35">
        <f>SUM(D292:D294)</f>
        <v>0</v>
      </c>
      <c r="E291" s="35">
        <f t="shared" ref="E291:AH291" si="92">SUM(E292:E294)</f>
        <v>0</v>
      </c>
      <c r="F291" s="35">
        <f t="shared" si="92"/>
        <v>0</v>
      </c>
      <c r="G291" s="35">
        <f t="shared" si="92"/>
        <v>0</v>
      </c>
      <c r="H291" s="35">
        <f t="shared" si="92"/>
        <v>0</v>
      </c>
      <c r="I291" s="35">
        <f t="shared" si="92"/>
        <v>0</v>
      </c>
      <c r="J291" s="35">
        <f t="shared" si="92"/>
        <v>0</v>
      </c>
      <c r="K291" s="35">
        <f t="shared" si="92"/>
        <v>0</v>
      </c>
      <c r="L291" s="35">
        <f t="shared" si="92"/>
        <v>0</v>
      </c>
      <c r="M291" s="35">
        <f t="shared" si="92"/>
        <v>0</v>
      </c>
      <c r="N291" s="35">
        <f t="shared" si="92"/>
        <v>0</v>
      </c>
      <c r="O291" s="35">
        <f t="shared" si="92"/>
        <v>0</v>
      </c>
      <c r="P291" s="35">
        <f t="shared" si="92"/>
        <v>0</v>
      </c>
      <c r="Q291" s="35">
        <f t="shared" si="92"/>
        <v>0</v>
      </c>
      <c r="R291" s="35">
        <f t="shared" si="92"/>
        <v>0</v>
      </c>
      <c r="S291" s="35">
        <f t="shared" si="92"/>
        <v>0</v>
      </c>
      <c r="T291" s="35">
        <f t="shared" si="92"/>
        <v>0</v>
      </c>
      <c r="U291" s="35">
        <f t="shared" si="92"/>
        <v>0</v>
      </c>
      <c r="V291" s="35">
        <f t="shared" si="92"/>
        <v>0</v>
      </c>
      <c r="W291" s="35">
        <f t="shared" si="92"/>
        <v>0</v>
      </c>
      <c r="X291" s="35">
        <f t="shared" si="92"/>
        <v>0</v>
      </c>
      <c r="Y291" s="35">
        <f t="shared" si="92"/>
        <v>0</v>
      </c>
      <c r="Z291" s="35">
        <f t="shared" si="92"/>
        <v>0</v>
      </c>
      <c r="AA291" s="35">
        <f t="shared" si="92"/>
        <v>0</v>
      </c>
      <c r="AB291" s="35">
        <f t="shared" si="92"/>
        <v>0</v>
      </c>
      <c r="AC291" s="35">
        <f t="shared" si="92"/>
        <v>0</v>
      </c>
      <c r="AD291" s="35">
        <f t="shared" si="92"/>
        <v>0</v>
      </c>
      <c r="AE291" s="35">
        <f t="shared" si="92"/>
        <v>0</v>
      </c>
      <c r="AF291" s="35">
        <f t="shared" si="92"/>
        <v>0</v>
      </c>
      <c r="AG291" s="35">
        <f t="shared" si="92"/>
        <v>0</v>
      </c>
      <c r="AH291" s="35">
        <f t="shared" si="92"/>
        <v>0</v>
      </c>
      <c r="AI291" s="72">
        <f t="shared" si="89"/>
        <v>0</v>
      </c>
    </row>
    <row r="292" spans="1:35" outlineLevel="3" x14ac:dyDescent="0.2">
      <c r="A292" s="20"/>
      <c r="B292" s="41" t="s">
        <v>708</v>
      </c>
      <c r="C292" s="13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D292" s="50"/>
      <c r="AE292" s="50"/>
      <c r="AF292" s="50"/>
      <c r="AG292" s="50"/>
      <c r="AH292" s="50"/>
      <c r="AI292" s="72">
        <f t="shared" si="89"/>
        <v>0</v>
      </c>
    </row>
    <row r="293" spans="1:35" outlineLevel="3" x14ac:dyDescent="0.2">
      <c r="A293" s="20"/>
      <c r="B293" s="41" t="s">
        <v>709</v>
      </c>
      <c r="C293" s="13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  <c r="AA293" s="50"/>
      <c r="AB293" s="50"/>
      <c r="AC293" s="50"/>
      <c r="AD293" s="50"/>
      <c r="AE293" s="50"/>
      <c r="AF293" s="50"/>
      <c r="AG293" s="50"/>
      <c r="AH293" s="50"/>
      <c r="AI293" s="72">
        <f t="shared" si="89"/>
        <v>0</v>
      </c>
    </row>
    <row r="294" spans="1:35" outlineLevel="3" x14ac:dyDescent="0.2">
      <c r="A294" s="20"/>
      <c r="B294" s="41" t="s">
        <v>710</v>
      </c>
      <c r="C294" s="13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D294" s="50"/>
      <c r="AE294" s="50"/>
      <c r="AF294" s="50"/>
      <c r="AG294" s="50"/>
      <c r="AH294" s="50"/>
      <c r="AI294" s="72">
        <f t="shared" si="89"/>
        <v>0</v>
      </c>
    </row>
    <row r="295" spans="1:35" outlineLevel="3" x14ac:dyDescent="0.2">
      <c r="A295" s="20" t="s">
        <v>166</v>
      </c>
      <c r="B295" s="20" t="s">
        <v>167</v>
      </c>
      <c r="C295" s="13" t="s">
        <v>168</v>
      </c>
      <c r="D295" s="35">
        <f>SUM(D296:D298)</f>
        <v>0</v>
      </c>
      <c r="E295" s="35">
        <f t="shared" ref="E295:AH295" si="93">SUM(E296:E298)</f>
        <v>0</v>
      </c>
      <c r="F295" s="35">
        <f t="shared" si="93"/>
        <v>0</v>
      </c>
      <c r="G295" s="35">
        <f t="shared" si="93"/>
        <v>0</v>
      </c>
      <c r="H295" s="35">
        <f t="shared" si="93"/>
        <v>0</v>
      </c>
      <c r="I295" s="35">
        <f t="shared" si="93"/>
        <v>0</v>
      </c>
      <c r="J295" s="35">
        <f t="shared" si="93"/>
        <v>0</v>
      </c>
      <c r="K295" s="35">
        <f t="shared" si="93"/>
        <v>0</v>
      </c>
      <c r="L295" s="35">
        <f t="shared" si="93"/>
        <v>0</v>
      </c>
      <c r="M295" s="35">
        <f t="shared" si="93"/>
        <v>0</v>
      </c>
      <c r="N295" s="35">
        <f t="shared" si="93"/>
        <v>0</v>
      </c>
      <c r="O295" s="35">
        <f t="shared" si="93"/>
        <v>0</v>
      </c>
      <c r="P295" s="35">
        <f t="shared" si="93"/>
        <v>0</v>
      </c>
      <c r="Q295" s="35">
        <f t="shared" si="93"/>
        <v>0</v>
      </c>
      <c r="R295" s="35">
        <f t="shared" si="93"/>
        <v>0</v>
      </c>
      <c r="S295" s="35">
        <f t="shared" si="93"/>
        <v>0</v>
      </c>
      <c r="T295" s="35">
        <f t="shared" si="93"/>
        <v>0</v>
      </c>
      <c r="U295" s="35">
        <f t="shared" si="93"/>
        <v>0</v>
      </c>
      <c r="V295" s="35">
        <f t="shared" si="93"/>
        <v>0</v>
      </c>
      <c r="W295" s="35">
        <f t="shared" si="93"/>
        <v>0</v>
      </c>
      <c r="X295" s="35">
        <f t="shared" si="93"/>
        <v>0</v>
      </c>
      <c r="Y295" s="35">
        <f t="shared" si="93"/>
        <v>0</v>
      </c>
      <c r="Z295" s="35">
        <f t="shared" si="93"/>
        <v>0</v>
      </c>
      <c r="AA295" s="35">
        <f t="shared" si="93"/>
        <v>0</v>
      </c>
      <c r="AB295" s="35">
        <f t="shared" si="93"/>
        <v>0</v>
      </c>
      <c r="AC295" s="35">
        <f t="shared" si="93"/>
        <v>0</v>
      </c>
      <c r="AD295" s="35">
        <f t="shared" si="93"/>
        <v>0</v>
      </c>
      <c r="AE295" s="35">
        <f t="shared" si="93"/>
        <v>0</v>
      </c>
      <c r="AF295" s="35">
        <f t="shared" si="93"/>
        <v>0</v>
      </c>
      <c r="AG295" s="35">
        <f t="shared" si="93"/>
        <v>0</v>
      </c>
      <c r="AH295" s="35">
        <f t="shared" si="93"/>
        <v>0</v>
      </c>
      <c r="AI295" s="72">
        <f t="shared" si="89"/>
        <v>0</v>
      </c>
    </row>
    <row r="296" spans="1:35" outlineLevel="3" x14ac:dyDescent="0.2">
      <c r="A296" s="20"/>
      <c r="B296" s="41" t="s">
        <v>708</v>
      </c>
      <c r="C296" s="13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D296" s="50"/>
      <c r="AE296" s="50"/>
      <c r="AF296" s="50"/>
      <c r="AG296" s="50"/>
      <c r="AH296" s="50"/>
      <c r="AI296" s="72">
        <f t="shared" si="89"/>
        <v>0</v>
      </c>
    </row>
    <row r="297" spans="1:35" outlineLevel="3" x14ac:dyDescent="0.2">
      <c r="A297" s="20"/>
      <c r="B297" s="41" t="s">
        <v>709</v>
      </c>
      <c r="C297" s="13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D297" s="50"/>
      <c r="AE297" s="50"/>
      <c r="AF297" s="50"/>
      <c r="AG297" s="50"/>
      <c r="AH297" s="50"/>
      <c r="AI297" s="72">
        <f t="shared" si="89"/>
        <v>0</v>
      </c>
    </row>
    <row r="298" spans="1:35" outlineLevel="3" x14ac:dyDescent="0.2">
      <c r="A298" s="20"/>
      <c r="B298" s="41" t="s">
        <v>710</v>
      </c>
      <c r="C298" s="13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D298" s="50"/>
      <c r="AE298" s="50"/>
      <c r="AF298" s="50"/>
      <c r="AG298" s="50"/>
      <c r="AH298" s="50"/>
      <c r="AI298" s="72">
        <f t="shared" si="89"/>
        <v>0</v>
      </c>
    </row>
    <row r="299" spans="1:35" outlineLevel="3" x14ac:dyDescent="0.2">
      <c r="A299" s="20" t="s">
        <v>169</v>
      </c>
      <c r="B299" s="20" t="s">
        <v>170</v>
      </c>
      <c r="C299" s="13" t="s">
        <v>171</v>
      </c>
      <c r="D299" s="35">
        <f>SUM(D300:D302)</f>
        <v>0</v>
      </c>
      <c r="E299" s="35">
        <f t="shared" ref="E299:AH299" si="94">SUM(E300:E302)</f>
        <v>0</v>
      </c>
      <c r="F299" s="35">
        <f t="shared" si="94"/>
        <v>0</v>
      </c>
      <c r="G299" s="35">
        <f t="shared" si="94"/>
        <v>0</v>
      </c>
      <c r="H299" s="35">
        <f t="shared" si="94"/>
        <v>0</v>
      </c>
      <c r="I299" s="35">
        <f t="shared" si="94"/>
        <v>0</v>
      </c>
      <c r="J299" s="35">
        <f t="shared" si="94"/>
        <v>0</v>
      </c>
      <c r="K299" s="35">
        <f t="shared" si="94"/>
        <v>0</v>
      </c>
      <c r="L299" s="35">
        <f t="shared" si="94"/>
        <v>0</v>
      </c>
      <c r="M299" s="35">
        <f t="shared" si="94"/>
        <v>0</v>
      </c>
      <c r="N299" s="35">
        <f t="shared" si="94"/>
        <v>0</v>
      </c>
      <c r="O299" s="35">
        <f t="shared" si="94"/>
        <v>0</v>
      </c>
      <c r="P299" s="35">
        <f t="shared" si="94"/>
        <v>0</v>
      </c>
      <c r="Q299" s="35">
        <f t="shared" si="94"/>
        <v>0</v>
      </c>
      <c r="R299" s="35">
        <f t="shared" si="94"/>
        <v>0</v>
      </c>
      <c r="S299" s="35">
        <f t="shared" si="94"/>
        <v>0</v>
      </c>
      <c r="T299" s="35">
        <f t="shared" si="94"/>
        <v>0</v>
      </c>
      <c r="U299" s="35">
        <f t="shared" si="94"/>
        <v>0</v>
      </c>
      <c r="V299" s="35">
        <f t="shared" si="94"/>
        <v>0</v>
      </c>
      <c r="W299" s="35">
        <f t="shared" si="94"/>
        <v>0</v>
      </c>
      <c r="X299" s="35">
        <f t="shared" si="94"/>
        <v>0</v>
      </c>
      <c r="Y299" s="35">
        <f t="shared" si="94"/>
        <v>0</v>
      </c>
      <c r="Z299" s="35">
        <f t="shared" si="94"/>
        <v>0</v>
      </c>
      <c r="AA299" s="35">
        <f t="shared" si="94"/>
        <v>0</v>
      </c>
      <c r="AB299" s="35">
        <f t="shared" si="94"/>
        <v>0</v>
      </c>
      <c r="AC299" s="35">
        <f t="shared" si="94"/>
        <v>0</v>
      </c>
      <c r="AD299" s="35">
        <f t="shared" si="94"/>
        <v>0</v>
      </c>
      <c r="AE299" s="35">
        <f t="shared" si="94"/>
        <v>0</v>
      </c>
      <c r="AF299" s="35">
        <f t="shared" si="94"/>
        <v>0</v>
      </c>
      <c r="AG299" s="35">
        <f t="shared" si="94"/>
        <v>0</v>
      </c>
      <c r="AH299" s="35">
        <f t="shared" si="94"/>
        <v>0</v>
      </c>
      <c r="AI299" s="72">
        <f t="shared" si="89"/>
        <v>0</v>
      </c>
    </row>
    <row r="300" spans="1:35" outlineLevel="3" x14ac:dyDescent="0.2">
      <c r="A300" s="20"/>
      <c r="B300" s="41" t="s">
        <v>708</v>
      </c>
      <c r="C300" s="13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D300" s="50"/>
      <c r="AE300" s="50"/>
      <c r="AF300" s="50"/>
      <c r="AG300" s="50"/>
      <c r="AH300" s="50"/>
      <c r="AI300" s="72">
        <f t="shared" si="89"/>
        <v>0</v>
      </c>
    </row>
    <row r="301" spans="1:35" outlineLevel="3" x14ac:dyDescent="0.2">
      <c r="A301" s="20"/>
      <c r="B301" s="41" t="s">
        <v>709</v>
      </c>
      <c r="C301" s="13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  <c r="AA301" s="50"/>
      <c r="AB301" s="50"/>
      <c r="AC301" s="50"/>
      <c r="AD301" s="50"/>
      <c r="AE301" s="50"/>
      <c r="AF301" s="50"/>
      <c r="AG301" s="50"/>
      <c r="AH301" s="50"/>
      <c r="AI301" s="72">
        <f t="shared" si="89"/>
        <v>0</v>
      </c>
    </row>
    <row r="302" spans="1:35" outlineLevel="3" x14ac:dyDescent="0.2">
      <c r="A302" s="20"/>
      <c r="B302" s="41" t="s">
        <v>710</v>
      </c>
      <c r="C302" s="13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D302" s="50"/>
      <c r="AE302" s="50"/>
      <c r="AF302" s="50"/>
      <c r="AG302" s="50"/>
      <c r="AH302" s="50"/>
      <c r="AI302" s="72">
        <f t="shared" si="89"/>
        <v>0</v>
      </c>
    </row>
    <row r="303" spans="1:35" outlineLevel="3" x14ac:dyDescent="0.2">
      <c r="A303" s="20" t="s">
        <v>172</v>
      </c>
      <c r="B303" s="20" t="s">
        <v>173</v>
      </c>
      <c r="C303" s="13" t="s">
        <v>174</v>
      </c>
      <c r="D303" s="35">
        <f>SUM(D304:D306)</f>
        <v>0</v>
      </c>
      <c r="E303" s="35">
        <f t="shared" ref="E303:AH303" si="95">SUM(E304:E306)</f>
        <v>0</v>
      </c>
      <c r="F303" s="35">
        <f t="shared" si="95"/>
        <v>0</v>
      </c>
      <c r="G303" s="35">
        <f t="shared" si="95"/>
        <v>0</v>
      </c>
      <c r="H303" s="35">
        <f t="shared" si="95"/>
        <v>0</v>
      </c>
      <c r="I303" s="35">
        <f t="shared" si="95"/>
        <v>0</v>
      </c>
      <c r="J303" s="35">
        <f t="shared" si="95"/>
        <v>0</v>
      </c>
      <c r="K303" s="35">
        <f t="shared" si="95"/>
        <v>0</v>
      </c>
      <c r="L303" s="35">
        <f t="shared" si="95"/>
        <v>0</v>
      </c>
      <c r="M303" s="35">
        <f t="shared" si="95"/>
        <v>0</v>
      </c>
      <c r="N303" s="35">
        <f t="shared" si="95"/>
        <v>0</v>
      </c>
      <c r="O303" s="35">
        <f t="shared" si="95"/>
        <v>0</v>
      </c>
      <c r="P303" s="35">
        <f t="shared" si="95"/>
        <v>0</v>
      </c>
      <c r="Q303" s="35">
        <f t="shared" si="95"/>
        <v>0</v>
      </c>
      <c r="R303" s="35">
        <f t="shared" si="95"/>
        <v>0</v>
      </c>
      <c r="S303" s="35">
        <f t="shared" si="95"/>
        <v>0</v>
      </c>
      <c r="T303" s="35">
        <f t="shared" si="95"/>
        <v>0</v>
      </c>
      <c r="U303" s="35">
        <f t="shared" si="95"/>
        <v>0</v>
      </c>
      <c r="V303" s="35">
        <f t="shared" si="95"/>
        <v>0</v>
      </c>
      <c r="W303" s="35">
        <f t="shared" si="95"/>
        <v>0</v>
      </c>
      <c r="X303" s="35">
        <f t="shared" si="95"/>
        <v>0</v>
      </c>
      <c r="Y303" s="35">
        <f t="shared" si="95"/>
        <v>0</v>
      </c>
      <c r="Z303" s="35">
        <f t="shared" si="95"/>
        <v>0</v>
      </c>
      <c r="AA303" s="35">
        <f t="shared" si="95"/>
        <v>0</v>
      </c>
      <c r="AB303" s="35">
        <f t="shared" si="95"/>
        <v>0</v>
      </c>
      <c r="AC303" s="35">
        <f t="shared" si="95"/>
        <v>0</v>
      </c>
      <c r="AD303" s="35">
        <f t="shared" si="95"/>
        <v>0</v>
      </c>
      <c r="AE303" s="35">
        <f t="shared" si="95"/>
        <v>0</v>
      </c>
      <c r="AF303" s="35">
        <f t="shared" si="95"/>
        <v>0</v>
      </c>
      <c r="AG303" s="35">
        <f t="shared" si="95"/>
        <v>0</v>
      </c>
      <c r="AH303" s="35">
        <f t="shared" si="95"/>
        <v>0</v>
      </c>
      <c r="AI303" s="72">
        <f t="shared" si="89"/>
        <v>0</v>
      </c>
    </row>
    <row r="304" spans="1:35" outlineLevel="3" x14ac:dyDescent="0.2">
      <c r="A304" s="20"/>
      <c r="B304" s="41" t="s">
        <v>708</v>
      </c>
      <c r="C304" s="13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  <c r="AA304" s="50"/>
      <c r="AB304" s="50"/>
      <c r="AC304" s="50"/>
      <c r="AD304" s="50"/>
      <c r="AE304" s="50"/>
      <c r="AF304" s="50"/>
      <c r="AG304" s="50"/>
      <c r="AH304" s="50"/>
      <c r="AI304" s="72">
        <f t="shared" si="89"/>
        <v>0</v>
      </c>
    </row>
    <row r="305" spans="1:35" outlineLevel="3" x14ac:dyDescent="0.2">
      <c r="A305" s="20"/>
      <c r="B305" s="41" t="s">
        <v>709</v>
      </c>
      <c r="C305" s="13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D305" s="50"/>
      <c r="AE305" s="50"/>
      <c r="AF305" s="50"/>
      <c r="AG305" s="50"/>
      <c r="AH305" s="50"/>
      <c r="AI305" s="72">
        <f t="shared" si="89"/>
        <v>0</v>
      </c>
    </row>
    <row r="306" spans="1:35" outlineLevel="3" x14ac:dyDescent="0.2">
      <c r="A306" s="20"/>
      <c r="B306" s="41" t="s">
        <v>710</v>
      </c>
      <c r="C306" s="13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D306" s="50"/>
      <c r="AE306" s="50"/>
      <c r="AF306" s="50"/>
      <c r="AG306" s="50"/>
      <c r="AH306" s="50"/>
      <c r="AI306" s="72">
        <f t="shared" si="89"/>
        <v>0</v>
      </c>
    </row>
    <row r="307" spans="1:35" outlineLevel="3" x14ac:dyDescent="0.2">
      <c r="A307" s="20" t="s">
        <v>175</v>
      </c>
      <c r="B307" s="20" t="s">
        <v>176</v>
      </c>
      <c r="C307" s="13" t="s">
        <v>177</v>
      </c>
      <c r="D307" s="35">
        <f>SUM(D308:D310)</f>
        <v>0</v>
      </c>
      <c r="E307" s="35">
        <f t="shared" ref="E307:AH307" si="96">SUM(E308:E310)</f>
        <v>0</v>
      </c>
      <c r="F307" s="35">
        <f t="shared" si="96"/>
        <v>0</v>
      </c>
      <c r="G307" s="35">
        <f t="shared" si="96"/>
        <v>0</v>
      </c>
      <c r="H307" s="35">
        <f t="shared" si="96"/>
        <v>0</v>
      </c>
      <c r="I307" s="35">
        <f t="shared" si="96"/>
        <v>0</v>
      </c>
      <c r="J307" s="35">
        <f t="shared" si="96"/>
        <v>0</v>
      </c>
      <c r="K307" s="35">
        <f t="shared" si="96"/>
        <v>0</v>
      </c>
      <c r="L307" s="35">
        <f t="shared" si="96"/>
        <v>0</v>
      </c>
      <c r="M307" s="35">
        <f t="shared" si="96"/>
        <v>0</v>
      </c>
      <c r="N307" s="35">
        <f t="shared" si="96"/>
        <v>0</v>
      </c>
      <c r="O307" s="35">
        <f t="shared" si="96"/>
        <v>0</v>
      </c>
      <c r="P307" s="35">
        <f t="shared" si="96"/>
        <v>0</v>
      </c>
      <c r="Q307" s="35">
        <f t="shared" si="96"/>
        <v>0</v>
      </c>
      <c r="R307" s="35">
        <f t="shared" si="96"/>
        <v>0</v>
      </c>
      <c r="S307" s="35">
        <f t="shared" si="96"/>
        <v>0</v>
      </c>
      <c r="T307" s="35">
        <f t="shared" si="96"/>
        <v>0</v>
      </c>
      <c r="U307" s="35">
        <f t="shared" si="96"/>
        <v>0</v>
      </c>
      <c r="V307" s="35">
        <f t="shared" si="96"/>
        <v>0</v>
      </c>
      <c r="W307" s="35">
        <f t="shared" si="96"/>
        <v>0</v>
      </c>
      <c r="X307" s="35">
        <f t="shared" si="96"/>
        <v>0</v>
      </c>
      <c r="Y307" s="35">
        <f t="shared" si="96"/>
        <v>0</v>
      </c>
      <c r="Z307" s="35">
        <f t="shared" si="96"/>
        <v>0</v>
      </c>
      <c r="AA307" s="35">
        <f t="shared" si="96"/>
        <v>0</v>
      </c>
      <c r="AB307" s="35">
        <f t="shared" si="96"/>
        <v>0</v>
      </c>
      <c r="AC307" s="35">
        <f t="shared" si="96"/>
        <v>0</v>
      </c>
      <c r="AD307" s="35">
        <f t="shared" si="96"/>
        <v>0</v>
      </c>
      <c r="AE307" s="35">
        <f t="shared" si="96"/>
        <v>0</v>
      </c>
      <c r="AF307" s="35">
        <f t="shared" si="96"/>
        <v>0</v>
      </c>
      <c r="AG307" s="35">
        <f t="shared" si="96"/>
        <v>0</v>
      </c>
      <c r="AH307" s="35">
        <f t="shared" si="96"/>
        <v>0</v>
      </c>
      <c r="AI307" s="72">
        <f t="shared" si="89"/>
        <v>0</v>
      </c>
    </row>
    <row r="308" spans="1:35" outlineLevel="3" x14ac:dyDescent="0.2">
      <c r="A308" s="20"/>
      <c r="B308" s="41" t="s">
        <v>708</v>
      </c>
      <c r="C308" s="13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D308" s="50"/>
      <c r="AE308" s="50"/>
      <c r="AF308" s="50"/>
      <c r="AG308" s="50"/>
      <c r="AH308" s="50"/>
      <c r="AI308" s="72">
        <f t="shared" si="89"/>
        <v>0</v>
      </c>
    </row>
    <row r="309" spans="1:35" outlineLevel="3" x14ac:dyDescent="0.2">
      <c r="A309" s="20"/>
      <c r="B309" s="41" t="s">
        <v>709</v>
      </c>
      <c r="C309" s="13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D309" s="50"/>
      <c r="AE309" s="50"/>
      <c r="AF309" s="50"/>
      <c r="AG309" s="50"/>
      <c r="AH309" s="50"/>
      <c r="AI309" s="72">
        <f t="shared" si="89"/>
        <v>0</v>
      </c>
    </row>
    <row r="310" spans="1:35" outlineLevel="3" x14ac:dyDescent="0.2">
      <c r="A310" s="20"/>
      <c r="B310" s="41" t="s">
        <v>710</v>
      </c>
      <c r="C310" s="13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  <c r="AA310" s="50"/>
      <c r="AB310" s="50"/>
      <c r="AC310" s="50"/>
      <c r="AD310" s="50"/>
      <c r="AE310" s="50"/>
      <c r="AF310" s="50"/>
      <c r="AG310" s="50"/>
      <c r="AH310" s="50"/>
      <c r="AI310" s="72">
        <f t="shared" si="89"/>
        <v>0</v>
      </c>
    </row>
    <row r="311" spans="1:35" outlineLevel="3" x14ac:dyDescent="0.2">
      <c r="A311" s="20" t="s">
        <v>178</v>
      </c>
      <c r="B311" s="20" t="s">
        <v>179</v>
      </c>
      <c r="C311" s="13" t="s">
        <v>180</v>
      </c>
      <c r="D311" s="35">
        <f>SUM(D312:D314)</f>
        <v>0</v>
      </c>
      <c r="E311" s="35">
        <f t="shared" ref="E311:AH311" si="97">SUM(E312:E314)</f>
        <v>0</v>
      </c>
      <c r="F311" s="35">
        <f t="shared" si="97"/>
        <v>0</v>
      </c>
      <c r="G311" s="35">
        <f t="shared" si="97"/>
        <v>0</v>
      </c>
      <c r="H311" s="35">
        <f t="shared" si="97"/>
        <v>0</v>
      </c>
      <c r="I311" s="35">
        <f t="shared" si="97"/>
        <v>0</v>
      </c>
      <c r="J311" s="35">
        <f t="shared" si="97"/>
        <v>0</v>
      </c>
      <c r="K311" s="35">
        <f t="shared" si="97"/>
        <v>0</v>
      </c>
      <c r="L311" s="35">
        <f t="shared" si="97"/>
        <v>0</v>
      </c>
      <c r="M311" s="35">
        <f t="shared" si="97"/>
        <v>0</v>
      </c>
      <c r="N311" s="35">
        <f t="shared" si="97"/>
        <v>0</v>
      </c>
      <c r="O311" s="35">
        <f t="shared" si="97"/>
        <v>0</v>
      </c>
      <c r="P311" s="35">
        <f t="shared" si="97"/>
        <v>0</v>
      </c>
      <c r="Q311" s="35">
        <f t="shared" si="97"/>
        <v>0</v>
      </c>
      <c r="R311" s="35">
        <f t="shared" si="97"/>
        <v>0</v>
      </c>
      <c r="S311" s="35">
        <f t="shared" si="97"/>
        <v>0</v>
      </c>
      <c r="T311" s="35">
        <f t="shared" si="97"/>
        <v>0</v>
      </c>
      <c r="U311" s="35">
        <f t="shared" si="97"/>
        <v>0</v>
      </c>
      <c r="V311" s="35">
        <f t="shared" si="97"/>
        <v>0</v>
      </c>
      <c r="W311" s="35">
        <f t="shared" si="97"/>
        <v>0</v>
      </c>
      <c r="X311" s="35">
        <f t="shared" si="97"/>
        <v>0</v>
      </c>
      <c r="Y311" s="35">
        <f t="shared" si="97"/>
        <v>0</v>
      </c>
      <c r="Z311" s="35">
        <f t="shared" si="97"/>
        <v>0</v>
      </c>
      <c r="AA311" s="35">
        <f t="shared" si="97"/>
        <v>0</v>
      </c>
      <c r="AB311" s="35">
        <f t="shared" si="97"/>
        <v>0</v>
      </c>
      <c r="AC311" s="35">
        <f t="shared" si="97"/>
        <v>0</v>
      </c>
      <c r="AD311" s="35">
        <f t="shared" si="97"/>
        <v>0</v>
      </c>
      <c r="AE311" s="35">
        <f t="shared" si="97"/>
        <v>0</v>
      </c>
      <c r="AF311" s="35">
        <f t="shared" si="97"/>
        <v>0</v>
      </c>
      <c r="AG311" s="35">
        <f t="shared" si="97"/>
        <v>0</v>
      </c>
      <c r="AH311" s="35">
        <f t="shared" si="97"/>
        <v>0</v>
      </c>
      <c r="AI311" s="72">
        <f t="shared" si="89"/>
        <v>0</v>
      </c>
    </row>
    <row r="312" spans="1:35" outlineLevel="3" x14ac:dyDescent="0.2">
      <c r="A312" s="20"/>
      <c r="B312" s="41" t="s">
        <v>708</v>
      </c>
      <c r="C312" s="13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  <c r="AA312" s="50"/>
      <c r="AB312" s="50"/>
      <c r="AC312" s="50"/>
      <c r="AD312" s="50"/>
      <c r="AE312" s="50"/>
      <c r="AF312" s="50"/>
      <c r="AG312" s="50"/>
      <c r="AH312" s="50"/>
      <c r="AI312" s="72">
        <f t="shared" si="89"/>
        <v>0</v>
      </c>
    </row>
    <row r="313" spans="1:35" outlineLevel="3" x14ac:dyDescent="0.2">
      <c r="A313" s="20"/>
      <c r="B313" s="41" t="s">
        <v>709</v>
      </c>
      <c r="C313" s="13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D313" s="50"/>
      <c r="AE313" s="50"/>
      <c r="AF313" s="50"/>
      <c r="AG313" s="50"/>
      <c r="AH313" s="50"/>
      <c r="AI313" s="72">
        <f t="shared" si="89"/>
        <v>0</v>
      </c>
    </row>
    <row r="314" spans="1:35" outlineLevel="3" x14ac:dyDescent="0.2">
      <c r="A314" s="20"/>
      <c r="B314" s="41" t="s">
        <v>710</v>
      </c>
      <c r="C314" s="13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D314" s="50"/>
      <c r="AE314" s="50"/>
      <c r="AF314" s="50"/>
      <c r="AG314" s="50"/>
      <c r="AH314" s="50"/>
      <c r="AI314" s="72">
        <f t="shared" si="89"/>
        <v>0</v>
      </c>
    </row>
    <row r="315" spans="1:35" outlineLevel="1" x14ac:dyDescent="0.2">
      <c r="A315" s="15" t="s">
        <v>181</v>
      </c>
      <c r="B315" s="15" t="s">
        <v>182</v>
      </c>
      <c r="C315" s="13" t="s">
        <v>183</v>
      </c>
      <c r="D315" s="35">
        <f>D316+D320+D324</f>
        <v>0</v>
      </c>
      <c r="E315" s="35">
        <f t="shared" ref="E315:AH315" si="98">E316+E320+E324</f>
        <v>0</v>
      </c>
      <c r="F315" s="35">
        <f t="shared" si="98"/>
        <v>0</v>
      </c>
      <c r="G315" s="35">
        <f t="shared" si="98"/>
        <v>0</v>
      </c>
      <c r="H315" s="35">
        <f t="shared" si="98"/>
        <v>0</v>
      </c>
      <c r="I315" s="35">
        <f t="shared" si="98"/>
        <v>0</v>
      </c>
      <c r="J315" s="35">
        <f t="shared" si="98"/>
        <v>0</v>
      </c>
      <c r="K315" s="35">
        <f t="shared" si="98"/>
        <v>0</v>
      </c>
      <c r="L315" s="35">
        <f t="shared" si="98"/>
        <v>0</v>
      </c>
      <c r="M315" s="35">
        <f t="shared" si="98"/>
        <v>0</v>
      </c>
      <c r="N315" s="35">
        <f t="shared" si="98"/>
        <v>0</v>
      </c>
      <c r="O315" s="35">
        <f t="shared" si="98"/>
        <v>0</v>
      </c>
      <c r="P315" s="35">
        <f t="shared" si="98"/>
        <v>0</v>
      </c>
      <c r="Q315" s="35">
        <f t="shared" si="98"/>
        <v>0</v>
      </c>
      <c r="R315" s="35">
        <f t="shared" si="98"/>
        <v>0</v>
      </c>
      <c r="S315" s="35">
        <f t="shared" si="98"/>
        <v>0</v>
      </c>
      <c r="T315" s="35">
        <f t="shared" si="98"/>
        <v>0</v>
      </c>
      <c r="U315" s="35">
        <f t="shared" si="98"/>
        <v>0</v>
      </c>
      <c r="V315" s="35">
        <f t="shared" si="98"/>
        <v>0</v>
      </c>
      <c r="W315" s="35">
        <f t="shared" si="98"/>
        <v>0</v>
      </c>
      <c r="X315" s="35">
        <f t="shared" si="98"/>
        <v>0</v>
      </c>
      <c r="Y315" s="35">
        <f t="shared" si="98"/>
        <v>0</v>
      </c>
      <c r="Z315" s="35">
        <f t="shared" si="98"/>
        <v>0</v>
      </c>
      <c r="AA315" s="35">
        <f t="shared" si="98"/>
        <v>0</v>
      </c>
      <c r="AB315" s="35">
        <f t="shared" si="98"/>
        <v>0</v>
      </c>
      <c r="AC315" s="35">
        <f t="shared" si="98"/>
        <v>0</v>
      </c>
      <c r="AD315" s="35">
        <f t="shared" si="98"/>
        <v>0</v>
      </c>
      <c r="AE315" s="35">
        <f t="shared" si="98"/>
        <v>0</v>
      </c>
      <c r="AF315" s="35">
        <f t="shared" si="98"/>
        <v>0</v>
      </c>
      <c r="AG315" s="35">
        <f t="shared" si="98"/>
        <v>0</v>
      </c>
      <c r="AH315" s="35">
        <f t="shared" si="98"/>
        <v>0</v>
      </c>
      <c r="AI315" s="72">
        <f t="shared" si="89"/>
        <v>0</v>
      </c>
    </row>
    <row r="316" spans="1:35" outlineLevel="2" x14ac:dyDescent="0.2">
      <c r="A316" s="17" t="s">
        <v>184</v>
      </c>
      <c r="B316" s="17" t="s">
        <v>185</v>
      </c>
      <c r="C316" s="13" t="s">
        <v>186</v>
      </c>
      <c r="D316" s="35">
        <f>SUM(D317:D319)</f>
        <v>0</v>
      </c>
      <c r="E316" s="35">
        <f t="shared" ref="E316:AH316" si="99">SUM(E317:E319)</f>
        <v>0</v>
      </c>
      <c r="F316" s="35">
        <f t="shared" si="99"/>
        <v>0</v>
      </c>
      <c r="G316" s="35">
        <f t="shared" si="99"/>
        <v>0</v>
      </c>
      <c r="H316" s="35">
        <f t="shared" si="99"/>
        <v>0</v>
      </c>
      <c r="I316" s="35">
        <f t="shared" si="99"/>
        <v>0</v>
      </c>
      <c r="J316" s="35">
        <f t="shared" si="99"/>
        <v>0</v>
      </c>
      <c r="K316" s="35">
        <f t="shared" si="99"/>
        <v>0</v>
      </c>
      <c r="L316" s="35">
        <f t="shared" si="99"/>
        <v>0</v>
      </c>
      <c r="M316" s="35">
        <f t="shared" si="99"/>
        <v>0</v>
      </c>
      <c r="N316" s="35">
        <f t="shared" si="99"/>
        <v>0</v>
      </c>
      <c r="O316" s="35">
        <f t="shared" si="99"/>
        <v>0</v>
      </c>
      <c r="P316" s="35">
        <f t="shared" si="99"/>
        <v>0</v>
      </c>
      <c r="Q316" s="35">
        <f t="shared" si="99"/>
        <v>0</v>
      </c>
      <c r="R316" s="35">
        <f t="shared" si="99"/>
        <v>0</v>
      </c>
      <c r="S316" s="35">
        <f t="shared" si="99"/>
        <v>0</v>
      </c>
      <c r="T316" s="35">
        <f t="shared" si="99"/>
        <v>0</v>
      </c>
      <c r="U316" s="35">
        <f t="shared" si="99"/>
        <v>0</v>
      </c>
      <c r="V316" s="35">
        <f t="shared" si="99"/>
        <v>0</v>
      </c>
      <c r="W316" s="35">
        <f t="shared" si="99"/>
        <v>0</v>
      </c>
      <c r="X316" s="35">
        <f t="shared" si="99"/>
        <v>0</v>
      </c>
      <c r="Y316" s="35">
        <f t="shared" si="99"/>
        <v>0</v>
      </c>
      <c r="Z316" s="35">
        <f t="shared" si="99"/>
        <v>0</v>
      </c>
      <c r="AA316" s="35">
        <f t="shared" si="99"/>
        <v>0</v>
      </c>
      <c r="AB316" s="35">
        <f t="shared" si="99"/>
        <v>0</v>
      </c>
      <c r="AC316" s="35">
        <f t="shared" si="99"/>
        <v>0</v>
      </c>
      <c r="AD316" s="35">
        <f t="shared" si="99"/>
        <v>0</v>
      </c>
      <c r="AE316" s="35">
        <f t="shared" si="99"/>
        <v>0</v>
      </c>
      <c r="AF316" s="35">
        <f t="shared" si="99"/>
        <v>0</v>
      </c>
      <c r="AG316" s="35">
        <f t="shared" si="99"/>
        <v>0</v>
      </c>
      <c r="AH316" s="35">
        <f t="shared" si="99"/>
        <v>0</v>
      </c>
      <c r="AI316" s="72">
        <f t="shared" si="89"/>
        <v>0</v>
      </c>
    </row>
    <row r="317" spans="1:35" outlineLevel="2" x14ac:dyDescent="0.2">
      <c r="A317" s="17"/>
      <c r="B317" s="41" t="s">
        <v>708</v>
      </c>
      <c r="C317" s="13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D317" s="50"/>
      <c r="AE317" s="50"/>
      <c r="AF317" s="50"/>
      <c r="AG317" s="50"/>
      <c r="AH317" s="50"/>
      <c r="AI317" s="72">
        <f t="shared" si="89"/>
        <v>0</v>
      </c>
    </row>
    <row r="318" spans="1:35" outlineLevel="2" x14ac:dyDescent="0.2">
      <c r="A318" s="17"/>
      <c r="B318" s="41" t="s">
        <v>709</v>
      </c>
      <c r="C318" s="13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D318" s="50"/>
      <c r="AE318" s="50"/>
      <c r="AF318" s="50"/>
      <c r="AG318" s="50"/>
      <c r="AH318" s="50"/>
      <c r="AI318" s="72">
        <f t="shared" si="89"/>
        <v>0</v>
      </c>
    </row>
    <row r="319" spans="1:35" outlineLevel="2" x14ac:dyDescent="0.2">
      <c r="A319" s="17"/>
      <c r="B319" s="41" t="s">
        <v>710</v>
      </c>
      <c r="C319" s="13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  <c r="AA319" s="50"/>
      <c r="AB319" s="50"/>
      <c r="AC319" s="50"/>
      <c r="AD319" s="50"/>
      <c r="AE319" s="50"/>
      <c r="AF319" s="50"/>
      <c r="AG319" s="50"/>
      <c r="AH319" s="50"/>
      <c r="AI319" s="72">
        <f t="shared" si="89"/>
        <v>0</v>
      </c>
    </row>
    <row r="320" spans="1:35" outlineLevel="2" x14ac:dyDescent="0.2">
      <c r="A320" s="17" t="s">
        <v>187</v>
      </c>
      <c r="B320" s="17" t="s">
        <v>188</v>
      </c>
      <c r="C320" s="13" t="s">
        <v>189</v>
      </c>
      <c r="D320" s="35">
        <f>SUM(D321:D323)</f>
        <v>0</v>
      </c>
      <c r="E320" s="35">
        <f t="shared" ref="E320:AH320" si="100">SUM(E321:E323)</f>
        <v>0</v>
      </c>
      <c r="F320" s="35">
        <f t="shared" si="100"/>
        <v>0</v>
      </c>
      <c r="G320" s="35">
        <f t="shared" si="100"/>
        <v>0</v>
      </c>
      <c r="H320" s="35">
        <f t="shared" si="100"/>
        <v>0</v>
      </c>
      <c r="I320" s="35">
        <f t="shared" si="100"/>
        <v>0</v>
      </c>
      <c r="J320" s="35">
        <f t="shared" si="100"/>
        <v>0</v>
      </c>
      <c r="K320" s="35">
        <f t="shared" si="100"/>
        <v>0</v>
      </c>
      <c r="L320" s="35">
        <f t="shared" si="100"/>
        <v>0</v>
      </c>
      <c r="M320" s="35">
        <f t="shared" si="100"/>
        <v>0</v>
      </c>
      <c r="N320" s="35">
        <f t="shared" si="100"/>
        <v>0</v>
      </c>
      <c r="O320" s="35">
        <f t="shared" si="100"/>
        <v>0</v>
      </c>
      <c r="P320" s="35">
        <f t="shared" si="100"/>
        <v>0</v>
      </c>
      <c r="Q320" s="35">
        <f t="shared" si="100"/>
        <v>0</v>
      </c>
      <c r="R320" s="35">
        <f t="shared" si="100"/>
        <v>0</v>
      </c>
      <c r="S320" s="35">
        <f t="shared" si="100"/>
        <v>0</v>
      </c>
      <c r="T320" s="35">
        <f t="shared" si="100"/>
        <v>0</v>
      </c>
      <c r="U320" s="35">
        <f t="shared" si="100"/>
        <v>0</v>
      </c>
      <c r="V320" s="35">
        <f t="shared" si="100"/>
        <v>0</v>
      </c>
      <c r="W320" s="35">
        <f t="shared" si="100"/>
        <v>0</v>
      </c>
      <c r="X320" s="35">
        <f t="shared" si="100"/>
        <v>0</v>
      </c>
      <c r="Y320" s="35">
        <f t="shared" si="100"/>
        <v>0</v>
      </c>
      <c r="Z320" s="35">
        <f t="shared" si="100"/>
        <v>0</v>
      </c>
      <c r="AA320" s="35">
        <f t="shared" si="100"/>
        <v>0</v>
      </c>
      <c r="AB320" s="35">
        <f t="shared" si="100"/>
        <v>0</v>
      </c>
      <c r="AC320" s="35">
        <f t="shared" si="100"/>
        <v>0</v>
      </c>
      <c r="AD320" s="35">
        <f t="shared" si="100"/>
        <v>0</v>
      </c>
      <c r="AE320" s="35">
        <f t="shared" si="100"/>
        <v>0</v>
      </c>
      <c r="AF320" s="35">
        <f t="shared" si="100"/>
        <v>0</v>
      </c>
      <c r="AG320" s="35">
        <f t="shared" si="100"/>
        <v>0</v>
      </c>
      <c r="AH320" s="35">
        <f t="shared" si="100"/>
        <v>0</v>
      </c>
      <c r="AI320" s="72">
        <f t="shared" si="89"/>
        <v>0</v>
      </c>
    </row>
    <row r="321" spans="1:35" outlineLevel="2" x14ac:dyDescent="0.2">
      <c r="A321" s="17"/>
      <c r="B321" s="41" t="s">
        <v>708</v>
      </c>
      <c r="C321" s="13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D321" s="50"/>
      <c r="AE321" s="50"/>
      <c r="AF321" s="50"/>
      <c r="AG321" s="50"/>
      <c r="AH321" s="50"/>
      <c r="AI321" s="72">
        <f t="shared" si="89"/>
        <v>0</v>
      </c>
    </row>
    <row r="322" spans="1:35" outlineLevel="2" x14ac:dyDescent="0.2">
      <c r="A322" s="17"/>
      <c r="B322" s="41" t="s">
        <v>709</v>
      </c>
      <c r="C322" s="13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D322" s="50"/>
      <c r="AE322" s="50"/>
      <c r="AF322" s="50"/>
      <c r="AG322" s="50"/>
      <c r="AH322" s="50"/>
      <c r="AI322" s="72">
        <f t="shared" si="89"/>
        <v>0</v>
      </c>
    </row>
    <row r="323" spans="1:35" outlineLevel="2" x14ac:dyDescent="0.2">
      <c r="A323" s="17"/>
      <c r="B323" s="41" t="s">
        <v>710</v>
      </c>
      <c r="C323" s="13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D323" s="50"/>
      <c r="AE323" s="50"/>
      <c r="AF323" s="50"/>
      <c r="AG323" s="50"/>
      <c r="AH323" s="50"/>
      <c r="AI323" s="72">
        <f t="shared" si="89"/>
        <v>0</v>
      </c>
    </row>
    <row r="324" spans="1:35" outlineLevel="2" x14ac:dyDescent="0.2">
      <c r="A324" s="17" t="s">
        <v>190</v>
      </c>
      <c r="B324" s="24" t="s">
        <v>191</v>
      </c>
      <c r="C324" s="13">
        <v>2220430000</v>
      </c>
      <c r="D324" s="35">
        <f>SUM(D325:D327)</f>
        <v>0</v>
      </c>
      <c r="E324" s="35">
        <f t="shared" ref="E324:AH324" si="101">SUM(E325:E327)</f>
        <v>0</v>
      </c>
      <c r="F324" s="35">
        <f t="shared" si="101"/>
        <v>0</v>
      </c>
      <c r="G324" s="35">
        <f t="shared" si="101"/>
        <v>0</v>
      </c>
      <c r="H324" s="35">
        <f t="shared" si="101"/>
        <v>0</v>
      </c>
      <c r="I324" s="35">
        <f t="shared" si="101"/>
        <v>0</v>
      </c>
      <c r="J324" s="35">
        <f t="shared" si="101"/>
        <v>0</v>
      </c>
      <c r="K324" s="35">
        <f t="shared" si="101"/>
        <v>0</v>
      </c>
      <c r="L324" s="35">
        <f t="shared" si="101"/>
        <v>0</v>
      </c>
      <c r="M324" s="35">
        <f t="shared" si="101"/>
        <v>0</v>
      </c>
      <c r="N324" s="35">
        <f t="shared" si="101"/>
        <v>0</v>
      </c>
      <c r="O324" s="35">
        <f t="shared" si="101"/>
        <v>0</v>
      </c>
      <c r="P324" s="35">
        <f t="shared" si="101"/>
        <v>0</v>
      </c>
      <c r="Q324" s="35">
        <f t="shared" si="101"/>
        <v>0</v>
      </c>
      <c r="R324" s="35">
        <f t="shared" si="101"/>
        <v>0</v>
      </c>
      <c r="S324" s="35">
        <f t="shared" si="101"/>
        <v>0</v>
      </c>
      <c r="T324" s="35">
        <f t="shared" si="101"/>
        <v>0</v>
      </c>
      <c r="U324" s="35">
        <f t="shared" si="101"/>
        <v>0</v>
      </c>
      <c r="V324" s="35">
        <f t="shared" si="101"/>
        <v>0</v>
      </c>
      <c r="W324" s="35">
        <f t="shared" si="101"/>
        <v>0</v>
      </c>
      <c r="X324" s="35">
        <f t="shared" si="101"/>
        <v>0</v>
      </c>
      <c r="Y324" s="35">
        <f t="shared" si="101"/>
        <v>0</v>
      </c>
      <c r="Z324" s="35">
        <f t="shared" si="101"/>
        <v>0</v>
      </c>
      <c r="AA324" s="35">
        <f t="shared" si="101"/>
        <v>0</v>
      </c>
      <c r="AB324" s="35">
        <f t="shared" si="101"/>
        <v>0</v>
      </c>
      <c r="AC324" s="35">
        <f t="shared" si="101"/>
        <v>0</v>
      </c>
      <c r="AD324" s="35">
        <f t="shared" si="101"/>
        <v>0</v>
      </c>
      <c r="AE324" s="35">
        <f t="shared" si="101"/>
        <v>0</v>
      </c>
      <c r="AF324" s="35">
        <f t="shared" si="101"/>
        <v>0</v>
      </c>
      <c r="AG324" s="35">
        <f t="shared" si="101"/>
        <v>0</v>
      </c>
      <c r="AH324" s="35">
        <f t="shared" si="101"/>
        <v>0</v>
      </c>
      <c r="AI324" s="72">
        <f t="shared" si="89"/>
        <v>0</v>
      </c>
    </row>
    <row r="325" spans="1:35" outlineLevel="2" x14ac:dyDescent="0.2">
      <c r="A325" s="17"/>
      <c r="B325" s="41" t="s">
        <v>708</v>
      </c>
      <c r="C325" s="13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D325" s="50"/>
      <c r="AE325" s="50"/>
      <c r="AF325" s="50"/>
      <c r="AG325" s="50"/>
      <c r="AH325" s="50"/>
      <c r="AI325" s="72">
        <f t="shared" si="89"/>
        <v>0</v>
      </c>
    </row>
    <row r="326" spans="1:35" outlineLevel="2" x14ac:dyDescent="0.2">
      <c r="A326" s="17"/>
      <c r="B326" s="41" t="s">
        <v>709</v>
      </c>
      <c r="C326" s="13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D326" s="50"/>
      <c r="AE326" s="50"/>
      <c r="AF326" s="50"/>
      <c r="AG326" s="50"/>
      <c r="AH326" s="50"/>
      <c r="AI326" s="72">
        <f t="shared" si="89"/>
        <v>0</v>
      </c>
    </row>
    <row r="327" spans="1:35" outlineLevel="2" x14ac:dyDescent="0.2">
      <c r="A327" s="17"/>
      <c r="B327" s="41" t="s">
        <v>710</v>
      </c>
      <c r="C327" s="13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D327" s="50"/>
      <c r="AE327" s="50"/>
      <c r="AF327" s="50"/>
      <c r="AG327" s="50"/>
      <c r="AH327" s="50"/>
      <c r="AI327" s="72">
        <f t="shared" si="89"/>
        <v>0</v>
      </c>
    </row>
    <row r="328" spans="1:35" outlineLevel="1" x14ac:dyDescent="0.2">
      <c r="A328" s="15" t="s">
        <v>192</v>
      </c>
      <c r="B328" s="15" t="s">
        <v>193</v>
      </c>
      <c r="C328" s="13" t="s">
        <v>194</v>
      </c>
      <c r="D328" s="35">
        <f>D329+D333</f>
        <v>0</v>
      </c>
      <c r="E328" s="35">
        <f t="shared" ref="E328:AH328" si="102">E329+E333</f>
        <v>0</v>
      </c>
      <c r="F328" s="35">
        <f t="shared" si="102"/>
        <v>0</v>
      </c>
      <c r="G328" s="35">
        <f t="shared" si="102"/>
        <v>0</v>
      </c>
      <c r="H328" s="35">
        <f t="shared" si="102"/>
        <v>0</v>
      </c>
      <c r="I328" s="35">
        <f t="shared" si="102"/>
        <v>0</v>
      </c>
      <c r="J328" s="35">
        <f t="shared" si="102"/>
        <v>0</v>
      </c>
      <c r="K328" s="35">
        <f t="shared" si="102"/>
        <v>0</v>
      </c>
      <c r="L328" s="35">
        <f t="shared" si="102"/>
        <v>0</v>
      </c>
      <c r="M328" s="35">
        <f t="shared" si="102"/>
        <v>0</v>
      </c>
      <c r="N328" s="35">
        <f t="shared" si="102"/>
        <v>0</v>
      </c>
      <c r="O328" s="35">
        <f t="shared" si="102"/>
        <v>0</v>
      </c>
      <c r="P328" s="35">
        <f t="shared" si="102"/>
        <v>0</v>
      </c>
      <c r="Q328" s="35">
        <f t="shared" si="102"/>
        <v>0</v>
      </c>
      <c r="R328" s="35">
        <f t="shared" si="102"/>
        <v>0</v>
      </c>
      <c r="S328" s="35">
        <f t="shared" si="102"/>
        <v>0</v>
      </c>
      <c r="T328" s="35">
        <f t="shared" si="102"/>
        <v>0</v>
      </c>
      <c r="U328" s="35">
        <f t="shared" si="102"/>
        <v>0</v>
      </c>
      <c r="V328" s="35">
        <f t="shared" si="102"/>
        <v>0</v>
      </c>
      <c r="W328" s="35">
        <f t="shared" si="102"/>
        <v>0</v>
      </c>
      <c r="X328" s="35">
        <f t="shared" si="102"/>
        <v>0</v>
      </c>
      <c r="Y328" s="35">
        <f t="shared" si="102"/>
        <v>0</v>
      </c>
      <c r="Z328" s="35">
        <f t="shared" si="102"/>
        <v>0</v>
      </c>
      <c r="AA328" s="35">
        <f t="shared" si="102"/>
        <v>0</v>
      </c>
      <c r="AB328" s="35">
        <f t="shared" si="102"/>
        <v>0</v>
      </c>
      <c r="AC328" s="35">
        <f t="shared" si="102"/>
        <v>0</v>
      </c>
      <c r="AD328" s="35">
        <f t="shared" si="102"/>
        <v>0</v>
      </c>
      <c r="AE328" s="35">
        <f t="shared" si="102"/>
        <v>0</v>
      </c>
      <c r="AF328" s="35">
        <f t="shared" si="102"/>
        <v>0</v>
      </c>
      <c r="AG328" s="35">
        <f t="shared" si="102"/>
        <v>0</v>
      </c>
      <c r="AH328" s="35">
        <f t="shared" si="102"/>
        <v>24400000</v>
      </c>
      <c r="AI328" s="72">
        <f t="shared" si="89"/>
        <v>24400000</v>
      </c>
    </row>
    <row r="329" spans="1:35" ht="13.5" customHeight="1" outlineLevel="2" x14ac:dyDescent="0.2">
      <c r="A329" s="17" t="s">
        <v>195</v>
      </c>
      <c r="B329" s="17" t="s">
        <v>196</v>
      </c>
      <c r="C329" s="13" t="s">
        <v>197</v>
      </c>
      <c r="D329" s="35">
        <f>SUM(D330:D332)</f>
        <v>0</v>
      </c>
      <c r="E329" s="35">
        <f t="shared" ref="E329:AH329" si="103">SUM(E330:E332)</f>
        <v>0</v>
      </c>
      <c r="F329" s="35">
        <f t="shared" si="103"/>
        <v>0</v>
      </c>
      <c r="G329" s="35">
        <f t="shared" si="103"/>
        <v>0</v>
      </c>
      <c r="H329" s="35">
        <f t="shared" si="103"/>
        <v>0</v>
      </c>
      <c r="I329" s="35">
        <f t="shared" si="103"/>
        <v>0</v>
      </c>
      <c r="J329" s="35">
        <f t="shared" si="103"/>
        <v>0</v>
      </c>
      <c r="K329" s="35">
        <f t="shared" si="103"/>
        <v>0</v>
      </c>
      <c r="L329" s="35">
        <f t="shared" si="103"/>
        <v>0</v>
      </c>
      <c r="M329" s="35">
        <f t="shared" si="103"/>
        <v>0</v>
      </c>
      <c r="N329" s="35">
        <f t="shared" si="103"/>
        <v>0</v>
      </c>
      <c r="O329" s="35">
        <f t="shared" si="103"/>
        <v>0</v>
      </c>
      <c r="P329" s="35">
        <f t="shared" si="103"/>
        <v>0</v>
      </c>
      <c r="Q329" s="35">
        <f t="shared" si="103"/>
        <v>0</v>
      </c>
      <c r="R329" s="35">
        <f t="shared" si="103"/>
        <v>0</v>
      </c>
      <c r="S329" s="35">
        <f t="shared" si="103"/>
        <v>0</v>
      </c>
      <c r="T329" s="35">
        <f t="shared" si="103"/>
        <v>0</v>
      </c>
      <c r="U329" s="35">
        <f t="shared" si="103"/>
        <v>0</v>
      </c>
      <c r="V329" s="35">
        <f t="shared" si="103"/>
        <v>0</v>
      </c>
      <c r="W329" s="35">
        <f t="shared" si="103"/>
        <v>0</v>
      </c>
      <c r="X329" s="35">
        <f t="shared" si="103"/>
        <v>0</v>
      </c>
      <c r="Y329" s="35">
        <f t="shared" si="103"/>
        <v>0</v>
      </c>
      <c r="Z329" s="35">
        <f t="shared" si="103"/>
        <v>0</v>
      </c>
      <c r="AA329" s="35">
        <f t="shared" si="103"/>
        <v>0</v>
      </c>
      <c r="AB329" s="35">
        <f t="shared" si="103"/>
        <v>0</v>
      </c>
      <c r="AC329" s="35">
        <f t="shared" si="103"/>
        <v>0</v>
      </c>
      <c r="AD329" s="35">
        <f t="shared" si="103"/>
        <v>0</v>
      </c>
      <c r="AE329" s="35">
        <f t="shared" si="103"/>
        <v>0</v>
      </c>
      <c r="AF329" s="35">
        <f t="shared" si="103"/>
        <v>0</v>
      </c>
      <c r="AG329" s="35">
        <f t="shared" si="103"/>
        <v>0</v>
      </c>
      <c r="AH329" s="35">
        <f t="shared" si="103"/>
        <v>24400000</v>
      </c>
      <c r="AI329" s="72">
        <f t="shared" si="89"/>
        <v>24400000</v>
      </c>
    </row>
    <row r="330" spans="1:35" ht="13.5" customHeight="1" outlineLevel="2" x14ac:dyDescent="0.2">
      <c r="A330" s="17"/>
      <c r="B330" s="41" t="s">
        <v>708</v>
      </c>
      <c r="C330" s="13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D330" s="50"/>
      <c r="AE330" s="50"/>
      <c r="AF330" s="50"/>
      <c r="AG330" s="50"/>
      <c r="AH330" s="50"/>
      <c r="AI330" s="72">
        <f t="shared" si="89"/>
        <v>0</v>
      </c>
    </row>
    <row r="331" spans="1:35" ht="13.5" customHeight="1" outlineLevel="2" x14ac:dyDescent="0.2">
      <c r="A331" s="17"/>
      <c r="B331" s="41" t="s">
        <v>709</v>
      </c>
      <c r="C331" s="13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D331" s="50"/>
      <c r="AE331" s="50"/>
      <c r="AF331" s="50"/>
      <c r="AG331" s="50"/>
      <c r="AH331" s="50"/>
      <c r="AI331" s="72">
        <f t="shared" si="89"/>
        <v>0</v>
      </c>
    </row>
    <row r="332" spans="1:35" ht="13.5" customHeight="1" outlineLevel="2" x14ac:dyDescent="0.2">
      <c r="A332" s="17"/>
      <c r="B332" s="41" t="s">
        <v>710</v>
      </c>
      <c r="C332" s="13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D332" s="50"/>
      <c r="AE332" s="50"/>
      <c r="AF332" s="50"/>
      <c r="AG332" s="50"/>
      <c r="AH332" s="50">
        <v>24400000</v>
      </c>
      <c r="AI332" s="72">
        <f t="shared" si="89"/>
        <v>24400000</v>
      </c>
    </row>
    <row r="333" spans="1:35" outlineLevel="2" x14ac:dyDescent="0.2">
      <c r="A333" s="17" t="s">
        <v>198</v>
      </c>
      <c r="B333" s="17" t="s">
        <v>199</v>
      </c>
      <c r="C333" s="13" t="s">
        <v>200</v>
      </c>
      <c r="D333" s="35">
        <f>SUM(D334:D336)</f>
        <v>0</v>
      </c>
      <c r="E333" s="35">
        <f t="shared" ref="E333:AH333" si="104">SUM(E334:E336)</f>
        <v>0</v>
      </c>
      <c r="F333" s="35">
        <f t="shared" si="104"/>
        <v>0</v>
      </c>
      <c r="G333" s="35">
        <f t="shared" si="104"/>
        <v>0</v>
      </c>
      <c r="H333" s="35">
        <f t="shared" si="104"/>
        <v>0</v>
      </c>
      <c r="I333" s="35">
        <f t="shared" si="104"/>
        <v>0</v>
      </c>
      <c r="J333" s="35">
        <f t="shared" si="104"/>
        <v>0</v>
      </c>
      <c r="K333" s="35">
        <f t="shared" si="104"/>
        <v>0</v>
      </c>
      <c r="L333" s="35">
        <f t="shared" si="104"/>
        <v>0</v>
      </c>
      <c r="M333" s="35">
        <f t="shared" si="104"/>
        <v>0</v>
      </c>
      <c r="N333" s="35">
        <f t="shared" si="104"/>
        <v>0</v>
      </c>
      <c r="O333" s="35">
        <f t="shared" si="104"/>
        <v>0</v>
      </c>
      <c r="P333" s="35">
        <f t="shared" si="104"/>
        <v>0</v>
      </c>
      <c r="Q333" s="35">
        <f t="shared" si="104"/>
        <v>0</v>
      </c>
      <c r="R333" s="35">
        <f t="shared" si="104"/>
        <v>0</v>
      </c>
      <c r="S333" s="35">
        <f t="shared" si="104"/>
        <v>0</v>
      </c>
      <c r="T333" s="35">
        <f t="shared" si="104"/>
        <v>0</v>
      </c>
      <c r="U333" s="35">
        <f t="shared" si="104"/>
        <v>0</v>
      </c>
      <c r="V333" s="35">
        <f t="shared" si="104"/>
        <v>0</v>
      </c>
      <c r="W333" s="35">
        <f t="shared" si="104"/>
        <v>0</v>
      </c>
      <c r="X333" s="35">
        <f t="shared" si="104"/>
        <v>0</v>
      </c>
      <c r="Y333" s="35">
        <f t="shared" si="104"/>
        <v>0</v>
      </c>
      <c r="Z333" s="35">
        <f t="shared" si="104"/>
        <v>0</v>
      </c>
      <c r="AA333" s="35">
        <f t="shared" si="104"/>
        <v>0</v>
      </c>
      <c r="AB333" s="35">
        <f t="shared" si="104"/>
        <v>0</v>
      </c>
      <c r="AC333" s="35">
        <f t="shared" si="104"/>
        <v>0</v>
      </c>
      <c r="AD333" s="35">
        <f t="shared" si="104"/>
        <v>0</v>
      </c>
      <c r="AE333" s="35">
        <f t="shared" si="104"/>
        <v>0</v>
      </c>
      <c r="AF333" s="35">
        <f t="shared" si="104"/>
        <v>0</v>
      </c>
      <c r="AG333" s="35">
        <f t="shared" si="104"/>
        <v>0</v>
      </c>
      <c r="AH333" s="35">
        <f t="shared" si="104"/>
        <v>0</v>
      </c>
      <c r="AI333" s="72">
        <f t="shared" si="89"/>
        <v>0</v>
      </c>
    </row>
    <row r="334" spans="1:35" outlineLevel="2" x14ac:dyDescent="0.2">
      <c r="A334" s="17"/>
      <c r="B334" s="41" t="s">
        <v>708</v>
      </c>
      <c r="C334" s="13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D334" s="50"/>
      <c r="AE334" s="50"/>
      <c r="AF334" s="50"/>
      <c r="AG334" s="50"/>
      <c r="AH334" s="50"/>
      <c r="AI334" s="72">
        <f t="shared" si="89"/>
        <v>0</v>
      </c>
    </row>
    <row r="335" spans="1:35" outlineLevel="2" x14ac:dyDescent="0.2">
      <c r="A335" s="17"/>
      <c r="B335" s="41" t="s">
        <v>709</v>
      </c>
      <c r="C335" s="13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D335" s="50"/>
      <c r="AE335" s="50"/>
      <c r="AF335" s="50"/>
      <c r="AG335" s="50"/>
      <c r="AH335" s="50"/>
      <c r="AI335" s="72">
        <f t="shared" si="89"/>
        <v>0</v>
      </c>
    </row>
    <row r="336" spans="1:35" outlineLevel="2" x14ac:dyDescent="0.2">
      <c r="A336" s="17"/>
      <c r="B336" s="41" t="s">
        <v>710</v>
      </c>
      <c r="C336" s="13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D336" s="50"/>
      <c r="AE336" s="50"/>
      <c r="AF336" s="50"/>
      <c r="AG336" s="50"/>
      <c r="AH336" s="50"/>
      <c r="AI336" s="72">
        <f t="shared" si="89"/>
        <v>0</v>
      </c>
    </row>
    <row r="337" spans="1:35" outlineLevel="1" x14ac:dyDescent="0.2">
      <c r="A337" s="15" t="s">
        <v>201</v>
      </c>
      <c r="B337" s="15" t="s">
        <v>202</v>
      </c>
      <c r="C337" s="13" t="s">
        <v>203</v>
      </c>
      <c r="D337" s="35">
        <f>D338+D342+D346</f>
        <v>0</v>
      </c>
      <c r="E337" s="35">
        <f t="shared" ref="E337:AH337" si="105">E338+E342+E346</f>
        <v>0</v>
      </c>
      <c r="F337" s="35">
        <f t="shared" si="105"/>
        <v>0</v>
      </c>
      <c r="G337" s="35">
        <f t="shared" si="105"/>
        <v>0</v>
      </c>
      <c r="H337" s="35">
        <f t="shared" si="105"/>
        <v>0</v>
      </c>
      <c r="I337" s="35">
        <f t="shared" si="105"/>
        <v>0</v>
      </c>
      <c r="J337" s="35">
        <f t="shared" si="105"/>
        <v>0</v>
      </c>
      <c r="K337" s="35">
        <f t="shared" si="105"/>
        <v>0</v>
      </c>
      <c r="L337" s="35">
        <f t="shared" si="105"/>
        <v>0</v>
      </c>
      <c r="M337" s="35">
        <f t="shared" si="105"/>
        <v>0</v>
      </c>
      <c r="N337" s="35">
        <f t="shared" si="105"/>
        <v>0</v>
      </c>
      <c r="O337" s="35">
        <f t="shared" si="105"/>
        <v>0</v>
      </c>
      <c r="P337" s="35">
        <f t="shared" si="105"/>
        <v>0</v>
      </c>
      <c r="Q337" s="35">
        <f t="shared" si="105"/>
        <v>0</v>
      </c>
      <c r="R337" s="35">
        <f t="shared" si="105"/>
        <v>0</v>
      </c>
      <c r="S337" s="35">
        <f t="shared" si="105"/>
        <v>0</v>
      </c>
      <c r="T337" s="35">
        <f t="shared" si="105"/>
        <v>0</v>
      </c>
      <c r="U337" s="35">
        <f t="shared" si="105"/>
        <v>0</v>
      </c>
      <c r="V337" s="35">
        <f t="shared" si="105"/>
        <v>0</v>
      </c>
      <c r="W337" s="35">
        <f t="shared" si="105"/>
        <v>0</v>
      </c>
      <c r="X337" s="35">
        <f t="shared" si="105"/>
        <v>0</v>
      </c>
      <c r="Y337" s="35">
        <f t="shared" si="105"/>
        <v>0</v>
      </c>
      <c r="Z337" s="35">
        <f t="shared" si="105"/>
        <v>0</v>
      </c>
      <c r="AA337" s="35">
        <f t="shared" si="105"/>
        <v>1700000</v>
      </c>
      <c r="AB337" s="35">
        <f t="shared" si="105"/>
        <v>0</v>
      </c>
      <c r="AC337" s="35">
        <f t="shared" si="105"/>
        <v>0</v>
      </c>
      <c r="AD337" s="35">
        <f t="shared" si="105"/>
        <v>0</v>
      </c>
      <c r="AE337" s="35">
        <f t="shared" si="105"/>
        <v>300000</v>
      </c>
      <c r="AF337" s="35">
        <f t="shared" si="105"/>
        <v>0</v>
      </c>
      <c r="AG337" s="35">
        <f t="shared" si="105"/>
        <v>0</v>
      </c>
      <c r="AH337" s="35">
        <f t="shared" si="105"/>
        <v>0</v>
      </c>
      <c r="AI337" s="72">
        <f t="shared" si="89"/>
        <v>2000000</v>
      </c>
    </row>
    <row r="338" spans="1:35" outlineLevel="2" x14ac:dyDescent="0.2">
      <c r="A338" s="17" t="s">
        <v>204</v>
      </c>
      <c r="B338" s="17" t="s">
        <v>205</v>
      </c>
      <c r="C338" s="13" t="s">
        <v>206</v>
      </c>
      <c r="D338" s="35">
        <f>SUM(D339:D341)</f>
        <v>0</v>
      </c>
      <c r="E338" s="35">
        <f t="shared" ref="E338:AH338" si="106">SUM(E339:E341)</f>
        <v>0</v>
      </c>
      <c r="F338" s="35">
        <f t="shared" si="106"/>
        <v>0</v>
      </c>
      <c r="G338" s="35">
        <f t="shared" si="106"/>
        <v>0</v>
      </c>
      <c r="H338" s="35">
        <f t="shared" si="106"/>
        <v>0</v>
      </c>
      <c r="I338" s="35">
        <f t="shared" si="106"/>
        <v>0</v>
      </c>
      <c r="J338" s="35">
        <f t="shared" si="106"/>
        <v>0</v>
      </c>
      <c r="K338" s="35">
        <f t="shared" si="106"/>
        <v>0</v>
      </c>
      <c r="L338" s="35">
        <f t="shared" si="106"/>
        <v>0</v>
      </c>
      <c r="M338" s="35">
        <f t="shared" si="106"/>
        <v>0</v>
      </c>
      <c r="N338" s="35">
        <f t="shared" si="106"/>
        <v>0</v>
      </c>
      <c r="O338" s="35">
        <f t="shared" si="106"/>
        <v>0</v>
      </c>
      <c r="P338" s="35">
        <f t="shared" si="106"/>
        <v>0</v>
      </c>
      <c r="Q338" s="35">
        <f t="shared" si="106"/>
        <v>0</v>
      </c>
      <c r="R338" s="35">
        <f t="shared" si="106"/>
        <v>0</v>
      </c>
      <c r="S338" s="35">
        <f t="shared" si="106"/>
        <v>0</v>
      </c>
      <c r="T338" s="35">
        <f t="shared" si="106"/>
        <v>0</v>
      </c>
      <c r="U338" s="35">
        <f t="shared" si="106"/>
        <v>0</v>
      </c>
      <c r="V338" s="35">
        <f t="shared" si="106"/>
        <v>0</v>
      </c>
      <c r="W338" s="35">
        <f t="shared" si="106"/>
        <v>0</v>
      </c>
      <c r="X338" s="35">
        <f t="shared" si="106"/>
        <v>0</v>
      </c>
      <c r="Y338" s="35">
        <f t="shared" si="106"/>
        <v>0</v>
      </c>
      <c r="Z338" s="35">
        <f t="shared" si="106"/>
        <v>0</v>
      </c>
      <c r="AA338" s="35">
        <f t="shared" si="106"/>
        <v>842484.11</v>
      </c>
      <c r="AB338" s="35">
        <f t="shared" si="106"/>
        <v>0</v>
      </c>
      <c r="AC338" s="35">
        <f t="shared" si="106"/>
        <v>0</v>
      </c>
      <c r="AD338" s="35">
        <f t="shared" si="106"/>
        <v>0</v>
      </c>
      <c r="AE338" s="35">
        <f t="shared" si="106"/>
        <v>300000</v>
      </c>
      <c r="AF338" s="35">
        <f t="shared" si="106"/>
        <v>0</v>
      </c>
      <c r="AG338" s="35">
        <f t="shared" si="106"/>
        <v>0</v>
      </c>
      <c r="AH338" s="35">
        <f t="shared" si="106"/>
        <v>0</v>
      </c>
      <c r="AI338" s="72">
        <f t="shared" si="89"/>
        <v>1142484.1099999999</v>
      </c>
    </row>
    <row r="339" spans="1:35" outlineLevel="2" x14ac:dyDescent="0.2">
      <c r="A339" s="17"/>
      <c r="B339" s="41" t="s">
        <v>708</v>
      </c>
      <c r="C339" s="13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D339" s="50"/>
      <c r="AE339" s="50"/>
      <c r="AF339" s="50"/>
      <c r="AG339" s="50"/>
      <c r="AH339" s="50"/>
      <c r="AI339" s="72">
        <f t="shared" si="89"/>
        <v>0</v>
      </c>
    </row>
    <row r="340" spans="1:35" outlineLevel="2" x14ac:dyDescent="0.2">
      <c r="A340" s="17"/>
      <c r="B340" s="41" t="s">
        <v>709</v>
      </c>
      <c r="C340" s="13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  <c r="AA340" s="50">
        <v>842484.11</v>
      </c>
      <c r="AB340" s="50"/>
      <c r="AC340" s="50"/>
      <c r="AD340" s="50"/>
      <c r="AE340" s="50">
        <v>300000</v>
      </c>
      <c r="AF340" s="50"/>
      <c r="AG340" s="50"/>
      <c r="AH340" s="50"/>
      <c r="AI340" s="72">
        <f t="shared" si="89"/>
        <v>1142484.1099999999</v>
      </c>
    </row>
    <row r="341" spans="1:35" outlineLevel="2" x14ac:dyDescent="0.2">
      <c r="A341" s="17"/>
      <c r="B341" s="41" t="s">
        <v>710</v>
      </c>
      <c r="C341" s="13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D341" s="50"/>
      <c r="AE341" s="50"/>
      <c r="AF341" s="50"/>
      <c r="AG341" s="50"/>
      <c r="AH341" s="50"/>
      <c r="AI341" s="72">
        <f t="shared" si="89"/>
        <v>0</v>
      </c>
    </row>
    <row r="342" spans="1:35" outlineLevel="2" x14ac:dyDescent="0.2">
      <c r="A342" s="17" t="s">
        <v>207</v>
      </c>
      <c r="B342" s="17" t="s">
        <v>208</v>
      </c>
      <c r="C342" s="13" t="s">
        <v>209</v>
      </c>
      <c r="D342" s="35">
        <f>SUM(D343:D345)</f>
        <v>0</v>
      </c>
      <c r="E342" s="35">
        <f t="shared" ref="E342:AH342" si="107">SUM(E343:E345)</f>
        <v>0</v>
      </c>
      <c r="F342" s="35">
        <f t="shared" si="107"/>
        <v>0</v>
      </c>
      <c r="G342" s="35">
        <f t="shared" si="107"/>
        <v>0</v>
      </c>
      <c r="H342" s="35">
        <f t="shared" si="107"/>
        <v>0</v>
      </c>
      <c r="I342" s="35">
        <f t="shared" si="107"/>
        <v>0</v>
      </c>
      <c r="J342" s="35">
        <f t="shared" si="107"/>
        <v>0</v>
      </c>
      <c r="K342" s="35">
        <f t="shared" si="107"/>
        <v>0</v>
      </c>
      <c r="L342" s="35">
        <f t="shared" si="107"/>
        <v>0</v>
      </c>
      <c r="M342" s="35">
        <f t="shared" si="107"/>
        <v>0</v>
      </c>
      <c r="N342" s="35">
        <f t="shared" si="107"/>
        <v>0</v>
      </c>
      <c r="O342" s="35">
        <f t="shared" si="107"/>
        <v>0</v>
      </c>
      <c r="P342" s="35">
        <f t="shared" si="107"/>
        <v>0</v>
      </c>
      <c r="Q342" s="35">
        <f t="shared" si="107"/>
        <v>0</v>
      </c>
      <c r="R342" s="35">
        <f t="shared" si="107"/>
        <v>0</v>
      </c>
      <c r="S342" s="35">
        <f t="shared" si="107"/>
        <v>0</v>
      </c>
      <c r="T342" s="35">
        <f t="shared" si="107"/>
        <v>0</v>
      </c>
      <c r="U342" s="35">
        <f t="shared" si="107"/>
        <v>0</v>
      </c>
      <c r="V342" s="35">
        <f t="shared" si="107"/>
        <v>0</v>
      </c>
      <c r="W342" s="35">
        <f t="shared" si="107"/>
        <v>0</v>
      </c>
      <c r="X342" s="35">
        <f t="shared" si="107"/>
        <v>0</v>
      </c>
      <c r="Y342" s="35">
        <f t="shared" si="107"/>
        <v>0</v>
      </c>
      <c r="Z342" s="35">
        <f t="shared" si="107"/>
        <v>0</v>
      </c>
      <c r="AA342" s="35">
        <f t="shared" si="107"/>
        <v>857515.89</v>
      </c>
      <c r="AB342" s="35">
        <f t="shared" si="107"/>
        <v>0</v>
      </c>
      <c r="AC342" s="35">
        <f t="shared" si="107"/>
        <v>0</v>
      </c>
      <c r="AD342" s="35">
        <f t="shared" si="107"/>
        <v>0</v>
      </c>
      <c r="AE342" s="35">
        <f t="shared" si="107"/>
        <v>0</v>
      </c>
      <c r="AF342" s="35">
        <f t="shared" si="107"/>
        <v>0</v>
      </c>
      <c r="AG342" s="35">
        <f t="shared" si="107"/>
        <v>0</v>
      </c>
      <c r="AH342" s="35">
        <f t="shared" si="107"/>
        <v>0</v>
      </c>
      <c r="AI342" s="72">
        <f t="shared" si="89"/>
        <v>857515.89</v>
      </c>
    </row>
    <row r="343" spans="1:35" outlineLevel="2" x14ac:dyDescent="0.2">
      <c r="A343" s="17"/>
      <c r="B343" s="41" t="s">
        <v>708</v>
      </c>
      <c r="C343" s="13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D343" s="50"/>
      <c r="AE343" s="50"/>
      <c r="AF343" s="50"/>
      <c r="AG343" s="50"/>
      <c r="AH343" s="50"/>
      <c r="AI343" s="72">
        <f t="shared" si="89"/>
        <v>0</v>
      </c>
    </row>
    <row r="344" spans="1:35" outlineLevel="2" x14ac:dyDescent="0.2">
      <c r="A344" s="17"/>
      <c r="B344" s="41" t="s">
        <v>709</v>
      </c>
      <c r="C344" s="13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  <c r="AA344" s="50">
        <v>857515.89</v>
      </c>
      <c r="AB344" s="50"/>
      <c r="AC344" s="50"/>
      <c r="AD344" s="50"/>
      <c r="AE344" s="50"/>
      <c r="AF344" s="50"/>
      <c r="AG344" s="50"/>
      <c r="AH344" s="50"/>
      <c r="AI344" s="72">
        <f t="shared" si="89"/>
        <v>857515.89</v>
      </c>
    </row>
    <row r="345" spans="1:35" outlineLevel="2" x14ac:dyDescent="0.2">
      <c r="A345" s="17"/>
      <c r="B345" s="41" t="s">
        <v>710</v>
      </c>
      <c r="C345" s="13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D345" s="50"/>
      <c r="AE345" s="50"/>
      <c r="AF345" s="50"/>
      <c r="AG345" s="50"/>
      <c r="AH345" s="50"/>
      <c r="AI345" s="72">
        <f t="shared" ref="AI345:AI408" si="108">SUM(D345:AH345)</f>
        <v>0</v>
      </c>
    </row>
    <row r="346" spans="1:35" outlineLevel="2" x14ac:dyDescent="0.2">
      <c r="A346" s="17" t="s">
        <v>210</v>
      </c>
      <c r="B346" s="17" t="s">
        <v>211</v>
      </c>
      <c r="C346" s="13" t="s">
        <v>212</v>
      </c>
      <c r="D346" s="35">
        <f>SUM(D347:D349)</f>
        <v>0</v>
      </c>
      <c r="E346" s="35">
        <f t="shared" ref="E346:AH346" si="109">SUM(E347:E349)</f>
        <v>0</v>
      </c>
      <c r="F346" s="35">
        <f t="shared" si="109"/>
        <v>0</v>
      </c>
      <c r="G346" s="35">
        <f t="shared" si="109"/>
        <v>0</v>
      </c>
      <c r="H346" s="35">
        <f t="shared" si="109"/>
        <v>0</v>
      </c>
      <c r="I346" s="35">
        <f t="shared" si="109"/>
        <v>0</v>
      </c>
      <c r="J346" s="35">
        <f t="shared" si="109"/>
        <v>0</v>
      </c>
      <c r="K346" s="35">
        <f t="shared" si="109"/>
        <v>0</v>
      </c>
      <c r="L346" s="35">
        <f t="shared" si="109"/>
        <v>0</v>
      </c>
      <c r="M346" s="35">
        <f t="shared" si="109"/>
        <v>0</v>
      </c>
      <c r="N346" s="35">
        <f t="shared" si="109"/>
        <v>0</v>
      </c>
      <c r="O346" s="35">
        <f t="shared" si="109"/>
        <v>0</v>
      </c>
      <c r="P346" s="35">
        <f t="shared" si="109"/>
        <v>0</v>
      </c>
      <c r="Q346" s="35">
        <f t="shared" si="109"/>
        <v>0</v>
      </c>
      <c r="R346" s="35">
        <f t="shared" si="109"/>
        <v>0</v>
      </c>
      <c r="S346" s="35">
        <f t="shared" si="109"/>
        <v>0</v>
      </c>
      <c r="T346" s="35">
        <f t="shared" si="109"/>
        <v>0</v>
      </c>
      <c r="U346" s="35">
        <f t="shared" si="109"/>
        <v>0</v>
      </c>
      <c r="V346" s="35">
        <f t="shared" si="109"/>
        <v>0</v>
      </c>
      <c r="W346" s="35">
        <f t="shared" si="109"/>
        <v>0</v>
      </c>
      <c r="X346" s="35">
        <f t="shared" si="109"/>
        <v>0</v>
      </c>
      <c r="Y346" s="35">
        <f t="shared" si="109"/>
        <v>0</v>
      </c>
      <c r="Z346" s="35">
        <f t="shared" si="109"/>
        <v>0</v>
      </c>
      <c r="AA346" s="35">
        <f t="shared" si="109"/>
        <v>0</v>
      </c>
      <c r="AB346" s="35">
        <f t="shared" si="109"/>
        <v>0</v>
      </c>
      <c r="AC346" s="35">
        <f t="shared" si="109"/>
        <v>0</v>
      </c>
      <c r="AD346" s="35">
        <f t="shared" si="109"/>
        <v>0</v>
      </c>
      <c r="AE346" s="35">
        <f t="shared" si="109"/>
        <v>0</v>
      </c>
      <c r="AF346" s="35">
        <f t="shared" si="109"/>
        <v>0</v>
      </c>
      <c r="AG346" s="35">
        <f t="shared" si="109"/>
        <v>0</v>
      </c>
      <c r="AH346" s="35">
        <f t="shared" si="109"/>
        <v>0</v>
      </c>
      <c r="AI346" s="72">
        <f t="shared" si="108"/>
        <v>0</v>
      </c>
    </row>
    <row r="347" spans="1:35" outlineLevel="2" x14ac:dyDescent="0.2">
      <c r="A347" s="17"/>
      <c r="B347" s="41" t="s">
        <v>708</v>
      </c>
      <c r="C347" s="13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D347" s="50"/>
      <c r="AE347" s="50"/>
      <c r="AF347" s="50"/>
      <c r="AG347" s="50"/>
      <c r="AH347" s="50"/>
      <c r="AI347" s="72">
        <f t="shared" si="108"/>
        <v>0</v>
      </c>
    </row>
    <row r="348" spans="1:35" outlineLevel="2" x14ac:dyDescent="0.2">
      <c r="A348" s="17"/>
      <c r="B348" s="41" t="s">
        <v>709</v>
      </c>
      <c r="C348" s="13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D348" s="50"/>
      <c r="AE348" s="50"/>
      <c r="AF348" s="50"/>
      <c r="AG348" s="50"/>
      <c r="AH348" s="50"/>
      <c r="AI348" s="72">
        <f t="shared" si="108"/>
        <v>0</v>
      </c>
    </row>
    <row r="349" spans="1:35" outlineLevel="2" x14ac:dyDescent="0.2">
      <c r="A349" s="17"/>
      <c r="B349" s="41" t="s">
        <v>710</v>
      </c>
      <c r="C349" s="13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D349" s="50"/>
      <c r="AE349" s="50"/>
      <c r="AF349" s="50"/>
      <c r="AG349" s="50"/>
      <c r="AH349" s="50"/>
      <c r="AI349" s="72">
        <f t="shared" si="108"/>
        <v>0</v>
      </c>
    </row>
    <row r="350" spans="1:35" outlineLevel="1" x14ac:dyDescent="0.2">
      <c r="A350" s="15" t="s">
        <v>213</v>
      </c>
      <c r="B350" s="15" t="s">
        <v>214</v>
      </c>
      <c r="C350" s="13" t="s">
        <v>215</v>
      </c>
      <c r="D350" s="35">
        <f>D351+D355</f>
        <v>0</v>
      </c>
      <c r="E350" s="35">
        <f t="shared" ref="E350:AH350" si="110">E351+E355</f>
        <v>0</v>
      </c>
      <c r="F350" s="35">
        <f t="shared" si="110"/>
        <v>0</v>
      </c>
      <c r="G350" s="35">
        <f t="shared" si="110"/>
        <v>0</v>
      </c>
      <c r="H350" s="35">
        <f t="shared" si="110"/>
        <v>0</v>
      </c>
      <c r="I350" s="35">
        <f t="shared" si="110"/>
        <v>0</v>
      </c>
      <c r="J350" s="35">
        <f t="shared" si="110"/>
        <v>0</v>
      </c>
      <c r="K350" s="35">
        <f t="shared" si="110"/>
        <v>0</v>
      </c>
      <c r="L350" s="35">
        <f t="shared" si="110"/>
        <v>0</v>
      </c>
      <c r="M350" s="35">
        <f t="shared" si="110"/>
        <v>0</v>
      </c>
      <c r="N350" s="35">
        <f t="shared" si="110"/>
        <v>0</v>
      </c>
      <c r="O350" s="35">
        <f t="shared" si="110"/>
        <v>0</v>
      </c>
      <c r="P350" s="35">
        <f t="shared" si="110"/>
        <v>0</v>
      </c>
      <c r="Q350" s="35">
        <f t="shared" si="110"/>
        <v>0</v>
      </c>
      <c r="R350" s="35">
        <f t="shared" si="110"/>
        <v>0</v>
      </c>
      <c r="S350" s="35">
        <f t="shared" si="110"/>
        <v>0</v>
      </c>
      <c r="T350" s="35">
        <f t="shared" si="110"/>
        <v>0</v>
      </c>
      <c r="U350" s="35">
        <f t="shared" si="110"/>
        <v>0</v>
      </c>
      <c r="V350" s="35">
        <f t="shared" si="110"/>
        <v>0</v>
      </c>
      <c r="W350" s="35">
        <f t="shared" si="110"/>
        <v>0</v>
      </c>
      <c r="X350" s="35">
        <f t="shared" si="110"/>
        <v>0</v>
      </c>
      <c r="Y350" s="35">
        <f t="shared" si="110"/>
        <v>0</v>
      </c>
      <c r="Z350" s="35">
        <f t="shared" si="110"/>
        <v>0</v>
      </c>
      <c r="AA350" s="35">
        <f t="shared" si="110"/>
        <v>0</v>
      </c>
      <c r="AB350" s="35">
        <f t="shared" si="110"/>
        <v>0</v>
      </c>
      <c r="AC350" s="35">
        <f t="shared" si="110"/>
        <v>0</v>
      </c>
      <c r="AD350" s="35">
        <f t="shared" si="110"/>
        <v>0</v>
      </c>
      <c r="AE350" s="35">
        <f t="shared" si="110"/>
        <v>0</v>
      </c>
      <c r="AF350" s="35">
        <f t="shared" si="110"/>
        <v>0</v>
      </c>
      <c r="AG350" s="35">
        <f t="shared" si="110"/>
        <v>0</v>
      </c>
      <c r="AH350" s="35">
        <f t="shared" si="110"/>
        <v>0</v>
      </c>
      <c r="AI350" s="72">
        <f t="shared" si="108"/>
        <v>0</v>
      </c>
    </row>
    <row r="351" spans="1:35" outlineLevel="2" x14ac:dyDescent="0.2">
      <c r="A351" s="17" t="s">
        <v>216</v>
      </c>
      <c r="B351" s="17" t="s">
        <v>217</v>
      </c>
      <c r="C351" s="13">
        <v>2220710000</v>
      </c>
      <c r="D351" s="35">
        <f>SUM(D352:D354)</f>
        <v>0</v>
      </c>
      <c r="E351" s="35">
        <f t="shared" ref="E351:AH351" si="111">SUM(E352:E354)</f>
        <v>0</v>
      </c>
      <c r="F351" s="35">
        <f t="shared" si="111"/>
        <v>0</v>
      </c>
      <c r="G351" s="35">
        <f t="shared" si="111"/>
        <v>0</v>
      </c>
      <c r="H351" s="35">
        <f t="shared" si="111"/>
        <v>0</v>
      </c>
      <c r="I351" s="35">
        <f t="shared" si="111"/>
        <v>0</v>
      </c>
      <c r="J351" s="35">
        <f t="shared" si="111"/>
        <v>0</v>
      </c>
      <c r="K351" s="35">
        <f t="shared" si="111"/>
        <v>0</v>
      </c>
      <c r="L351" s="35">
        <f t="shared" si="111"/>
        <v>0</v>
      </c>
      <c r="M351" s="35">
        <f t="shared" si="111"/>
        <v>0</v>
      </c>
      <c r="N351" s="35">
        <f t="shared" si="111"/>
        <v>0</v>
      </c>
      <c r="O351" s="35">
        <f t="shared" si="111"/>
        <v>0</v>
      </c>
      <c r="P351" s="35">
        <f t="shared" si="111"/>
        <v>0</v>
      </c>
      <c r="Q351" s="35">
        <f t="shared" si="111"/>
        <v>0</v>
      </c>
      <c r="R351" s="35">
        <f t="shared" si="111"/>
        <v>0</v>
      </c>
      <c r="S351" s="35">
        <f t="shared" si="111"/>
        <v>0</v>
      </c>
      <c r="T351" s="35">
        <f t="shared" si="111"/>
        <v>0</v>
      </c>
      <c r="U351" s="35">
        <f t="shared" si="111"/>
        <v>0</v>
      </c>
      <c r="V351" s="35">
        <f t="shared" si="111"/>
        <v>0</v>
      </c>
      <c r="W351" s="35">
        <f t="shared" si="111"/>
        <v>0</v>
      </c>
      <c r="X351" s="35">
        <f t="shared" si="111"/>
        <v>0</v>
      </c>
      <c r="Y351" s="35">
        <f t="shared" si="111"/>
        <v>0</v>
      </c>
      <c r="Z351" s="35">
        <f t="shared" si="111"/>
        <v>0</v>
      </c>
      <c r="AA351" s="35">
        <f t="shared" si="111"/>
        <v>0</v>
      </c>
      <c r="AB351" s="35">
        <f t="shared" si="111"/>
        <v>0</v>
      </c>
      <c r="AC351" s="35">
        <f t="shared" si="111"/>
        <v>0</v>
      </c>
      <c r="AD351" s="35">
        <f t="shared" si="111"/>
        <v>0</v>
      </c>
      <c r="AE351" s="35">
        <f t="shared" si="111"/>
        <v>0</v>
      </c>
      <c r="AF351" s="35">
        <f t="shared" si="111"/>
        <v>0</v>
      </c>
      <c r="AG351" s="35">
        <f t="shared" si="111"/>
        <v>0</v>
      </c>
      <c r="AH351" s="35">
        <f t="shared" si="111"/>
        <v>0</v>
      </c>
      <c r="AI351" s="72">
        <f t="shared" si="108"/>
        <v>0</v>
      </c>
    </row>
    <row r="352" spans="1:35" outlineLevel="2" x14ac:dyDescent="0.2">
      <c r="A352" s="17"/>
      <c r="B352" s="41" t="s">
        <v>708</v>
      </c>
      <c r="C352" s="13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D352" s="50"/>
      <c r="AE352" s="50"/>
      <c r="AF352" s="50"/>
      <c r="AG352" s="50"/>
      <c r="AH352" s="50"/>
      <c r="AI352" s="72">
        <f t="shared" si="108"/>
        <v>0</v>
      </c>
    </row>
    <row r="353" spans="1:35" outlineLevel="2" x14ac:dyDescent="0.2">
      <c r="A353" s="17"/>
      <c r="B353" s="41" t="s">
        <v>709</v>
      </c>
      <c r="C353" s="13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D353" s="50"/>
      <c r="AE353" s="50"/>
      <c r="AF353" s="50"/>
      <c r="AG353" s="50"/>
      <c r="AH353" s="50"/>
      <c r="AI353" s="72">
        <f t="shared" si="108"/>
        <v>0</v>
      </c>
    </row>
    <row r="354" spans="1:35" outlineLevel="2" x14ac:dyDescent="0.2">
      <c r="A354" s="17"/>
      <c r="B354" s="41" t="s">
        <v>710</v>
      </c>
      <c r="C354" s="13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  <c r="AA354" s="50"/>
      <c r="AB354" s="50"/>
      <c r="AC354" s="50"/>
      <c r="AD354" s="50"/>
      <c r="AE354" s="50"/>
      <c r="AF354" s="50"/>
      <c r="AG354" s="50"/>
      <c r="AH354" s="50"/>
      <c r="AI354" s="72">
        <f t="shared" si="108"/>
        <v>0</v>
      </c>
    </row>
    <row r="355" spans="1:35" outlineLevel="2" x14ac:dyDescent="0.2">
      <c r="A355" s="17" t="s">
        <v>218</v>
      </c>
      <c r="B355" s="17" t="s">
        <v>219</v>
      </c>
      <c r="C355" s="13">
        <v>2220720000</v>
      </c>
      <c r="D355" s="35">
        <f>SUM(D356:D358)</f>
        <v>0</v>
      </c>
      <c r="E355" s="35">
        <f t="shared" ref="E355:AH355" si="112">SUM(E356:E358)</f>
        <v>0</v>
      </c>
      <c r="F355" s="35">
        <f t="shared" si="112"/>
        <v>0</v>
      </c>
      <c r="G355" s="35">
        <f t="shared" si="112"/>
        <v>0</v>
      </c>
      <c r="H355" s="35">
        <f t="shared" si="112"/>
        <v>0</v>
      </c>
      <c r="I355" s="35">
        <f t="shared" si="112"/>
        <v>0</v>
      </c>
      <c r="J355" s="35">
        <f t="shared" si="112"/>
        <v>0</v>
      </c>
      <c r="K355" s="35">
        <f t="shared" si="112"/>
        <v>0</v>
      </c>
      <c r="L355" s="35">
        <f t="shared" si="112"/>
        <v>0</v>
      </c>
      <c r="M355" s="35">
        <f t="shared" si="112"/>
        <v>0</v>
      </c>
      <c r="N355" s="35">
        <f t="shared" si="112"/>
        <v>0</v>
      </c>
      <c r="O355" s="35">
        <f t="shared" si="112"/>
        <v>0</v>
      </c>
      <c r="P355" s="35">
        <f t="shared" si="112"/>
        <v>0</v>
      </c>
      <c r="Q355" s="35">
        <f t="shared" si="112"/>
        <v>0</v>
      </c>
      <c r="R355" s="35">
        <f t="shared" si="112"/>
        <v>0</v>
      </c>
      <c r="S355" s="35">
        <f t="shared" si="112"/>
        <v>0</v>
      </c>
      <c r="T355" s="35">
        <f t="shared" si="112"/>
        <v>0</v>
      </c>
      <c r="U355" s="35">
        <f t="shared" si="112"/>
        <v>0</v>
      </c>
      <c r="V355" s="35">
        <f t="shared" si="112"/>
        <v>0</v>
      </c>
      <c r="W355" s="35">
        <f t="shared" si="112"/>
        <v>0</v>
      </c>
      <c r="X355" s="35">
        <f t="shared" si="112"/>
        <v>0</v>
      </c>
      <c r="Y355" s="35">
        <f t="shared" si="112"/>
        <v>0</v>
      </c>
      <c r="Z355" s="35">
        <f t="shared" si="112"/>
        <v>0</v>
      </c>
      <c r="AA355" s="35">
        <f t="shared" si="112"/>
        <v>0</v>
      </c>
      <c r="AB355" s="35">
        <f t="shared" si="112"/>
        <v>0</v>
      </c>
      <c r="AC355" s="35">
        <f t="shared" si="112"/>
        <v>0</v>
      </c>
      <c r="AD355" s="35">
        <f t="shared" si="112"/>
        <v>0</v>
      </c>
      <c r="AE355" s="35">
        <f t="shared" si="112"/>
        <v>0</v>
      </c>
      <c r="AF355" s="35">
        <f t="shared" si="112"/>
        <v>0</v>
      </c>
      <c r="AG355" s="35">
        <f t="shared" si="112"/>
        <v>0</v>
      </c>
      <c r="AH355" s="35">
        <f t="shared" si="112"/>
        <v>0</v>
      </c>
      <c r="AI355" s="72">
        <f t="shared" si="108"/>
        <v>0</v>
      </c>
    </row>
    <row r="356" spans="1:35" outlineLevel="2" x14ac:dyDescent="0.2">
      <c r="A356" s="17"/>
      <c r="B356" s="41" t="s">
        <v>708</v>
      </c>
      <c r="C356" s="13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D356" s="50"/>
      <c r="AE356" s="50"/>
      <c r="AF356" s="50"/>
      <c r="AG356" s="50"/>
      <c r="AH356" s="50"/>
      <c r="AI356" s="72">
        <f t="shared" si="108"/>
        <v>0</v>
      </c>
    </row>
    <row r="357" spans="1:35" outlineLevel="2" x14ac:dyDescent="0.2">
      <c r="A357" s="17"/>
      <c r="B357" s="41" t="s">
        <v>709</v>
      </c>
      <c r="C357" s="13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D357" s="50"/>
      <c r="AE357" s="50"/>
      <c r="AF357" s="50"/>
      <c r="AG357" s="50"/>
      <c r="AH357" s="50"/>
      <c r="AI357" s="72">
        <f t="shared" si="108"/>
        <v>0</v>
      </c>
    </row>
    <row r="358" spans="1:35" outlineLevel="2" x14ac:dyDescent="0.2">
      <c r="A358" s="17"/>
      <c r="B358" s="41" t="s">
        <v>710</v>
      </c>
      <c r="C358" s="13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D358" s="50"/>
      <c r="AE358" s="50"/>
      <c r="AF358" s="50"/>
      <c r="AG358" s="50"/>
      <c r="AH358" s="50"/>
      <c r="AI358" s="72">
        <f t="shared" si="108"/>
        <v>0</v>
      </c>
    </row>
    <row r="359" spans="1:35" outlineLevel="1" x14ac:dyDescent="0.2">
      <c r="A359" s="15" t="s">
        <v>220</v>
      </c>
      <c r="B359" s="15" t="s">
        <v>221</v>
      </c>
      <c r="C359" s="13" t="s">
        <v>222</v>
      </c>
      <c r="D359" s="35">
        <f>SUM(D360:D362)</f>
        <v>0</v>
      </c>
      <c r="E359" s="35">
        <f t="shared" ref="E359:AH359" si="113">SUM(E360:E362)</f>
        <v>0</v>
      </c>
      <c r="F359" s="35">
        <f t="shared" si="113"/>
        <v>0</v>
      </c>
      <c r="G359" s="35">
        <f t="shared" si="113"/>
        <v>0</v>
      </c>
      <c r="H359" s="35">
        <f t="shared" si="113"/>
        <v>0</v>
      </c>
      <c r="I359" s="35">
        <f t="shared" si="113"/>
        <v>0</v>
      </c>
      <c r="J359" s="35">
        <f t="shared" si="113"/>
        <v>0</v>
      </c>
      <c r="K359" s="35">
        <f t="shared" si="113"/>
        <v>0</v>
      </c>
      <c r="L359" s="35">
        <f t="shared" si="113"/>
        <v>0</v>
      </c>
      <c r="M359" s="35">
        <f t="shared" si="113"/>
        <v>0</v>
      </c>
      <c r="N359" s="35">
        <f t="shared" si="113"/>
        <v>0</v>
      </c>
      <c r="O359" s="35">
        <f t="shared" si="113"/>
        <v>0</v>
      </c>
      <c r="P359" s="35">
        <f t="shared" si="113"/>
        <v>0</v>
      </c>
      <c r="Q359" s="35">
        <f t="shared" si="113"/>
        <v>0</v>
      </c>
      <c r="R359" s="35">
        <f t="shared" si="113"/>
        <v>0</v>
      </c>
      <c r="S359" s="35">
        <f t="shared" si="113"/>
        <v>0</v>
      </c>
      <c r="T359" s="35">
        <f t="shared" si="113"/>
        <v>0</v>
      </c>
      <c r="U359" s="35">
        <f t="shared" si="113"/>
        <v>0</v>
      </c>
      <c r="V359" s="35">
        <f t="shared" si="113"/>
        <v>0</v>
      </c>
      <c r="W359" s="35">
        <f t="shared" si="113"/>
        <v>0</v>
      </c>
      <c r="X359" s="35">
        <f t="shared" si="113"/>
        <v>0</v>
      </c>
      <c r="Y359" s="35">
        <f t="shared" si="113"/>
        <v>0</v>
      </c>
      <c r="Z359" s="35">
        <f t="shared" si="113"/>
        <v>0</v>
      </c>
      <c r="AA359" s="35">
        <f t="shared" si="113"/>
        <v>0</v>
      </c>
      <c r="AB359" s="35">
        <f t="shared" si="113"/>
        <v>0</v>
      </c>
      <c r="AC359" s="35">
        <f t="shared" si="113"/>
        <v>0</v>
      </c>
      <c r="AD359" s="35">
        <f t="shared" si="113"/>
        <v>0</v>
      </c>
      <c r="AE359" s="35">
        <f t="shared" si="113"/>
        <v>0</v>
      </c>
      <c r="AF359" s="35">
        <f t="shared" si="113"/>
        <v>0</v>
      </c>
      <c r="AG359" s="35">
        <f t="shared" si="113"/>
        <v>0</v>
      </c>
      <c r="AH359" s="35">
        <f t="shared" si="113"/>
        <v>0</v>
      </c>
      <c r="AI359" s="72">
        <f t="shared" si="108"/>
        <v>0</v>
      </c>
    </row>
    <row r="360" spans="1:35" outlineLevel="2" x14ac:dyDescent="0.2">
      <c r="A360" s="15"/>
      <c r="B360" s="41" t="s">
        <v>708</v>
      </c>
      <c r="C360" s="13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D360" s="50"/>
      <c r="AE360" s="50"/>
      <c r="AF360" s="50"/>
      <c r="AG360" s="50"/>
      <c r="AH360" s="50"/>
      <c r="AI360" s="72">
        <f t="shared" si="108"/>
        <v>0</v>
      </c>
    </row>
    <row r="361" spans="1:35" outlineLevel="2" x14ac:dyDescent="0.2">
      <c r="A361" s="15"/>
      <c r="B361" s="41" t="s">
        <v>709</v>
      </c>
      <c r="C361" s="13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D361" s="50"/>
      <c r="AE361" s="50"/>
      <c r="AF361" s="50"/>
      <c r="AG361" s="50"/>
      <c r="AH361" s="50"/>
      <c r="AI361" s="72">
        <f t="shared" si="108"/>
        <v>0</v>
      </c>
    </row>
    <row r="362" spans="1:35" outlineLevel="2" x14ac:dyDescent="0.2">
      <c r="A362" s="15"/>
      <c r="B362" s="41" t="s">
        <v>710</v>
      </c>
      <c r="C362" s="13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D362" s="50"/>
      <c r="AE362" s="50"/>
      <c r="AF362" s="50"/>
      <c r="AG362" s="50"/>
      <c r="AH362" s="50"/>
      <c r="AI362" s="72">
        <f t="shared" si="108"/>
        <v>0</v>
      </c>
    </row>
    <row r="363" spans="1:35" outlineLevel="1" x14ac:dyDescent="0.2">
      <c r="A363" s="15" t="s">
        <v>223</v>
      </c>
      <c r="B363" s="15" t="s">
        <v>224</v>
      </c>
      <c r="C363" s="13" t="s">
        <v>225</v>
      </c>
      <c r="D363" s="35">
        <f>D364+D381+D385</f>
        <v>0</v>
      </c>
      <c r="E363" s="35">
        <f t="shared" ref="E363:AH363" si="114">E364+E381+E385</f>
        <v>0</v>
      </c>
      <c r="F363" s="35">
        <f t="shared" si="114"/>
        <v>0</v>
      </c>
      <c r="G363" s="35">
        <f t="shared" si="114"/>
        <v>0</v>
      </c>
      <c r="H363" s="35">
        <f t="shared" si="114"/>
        <v>0</v>
      </c>
      <c r="I363" s="35">
        <f t="shared" si="114"/>
        <v>0</v>
      </c>
      <c r="J363" s="35">
        <f t="shared" si="114"/>
        <v>0</v>
      </c>
      <c r="K363" s="35">
        <f t="shared" si="114"/>
        <v>0</v>
      </c>
      <c r="L363" s="35">
        <f t="shared" si="114"/>
        <v>0</v>
      </c>
      <c r="M363" s="35">
        <f t="shared" si="114"/>
        <v>0</v>
      </c>
      <c r="N363" s="35">
        <f t="shared" si="114"/>
        <v>0</v>
      </c>
      <c r="O363" s="35">
        <f t="shared" si="114"/>
        <v>0</v>
      </c>
      <c r="P363" s="35">
        <f t="shared" si="114"/>
        <v>0</v>
      </c>
      <c r="Q363" s="35">
        <f t="shared" si="114"/>
        <v>0</v>
      </c>
      <c r="R363" s="35">
        <f t="shared" si="114"/>
        <v>0</v>
      </c>
      <c r="S363" s="35">
        <f t="shared" si="114"/>
        <v>0</v>
      </c>
      <c r="T363" s="35">
        <f t="shared" si="114"/>
        <v>0</v>
      </c>
      <c r="U363" s="35">
        <f t="shared" si="114"/>
        <v>0</v>
      </c>
      <c r="V363" s="35">
        <f t="shared" si="114"/>
        <v>0</v>
      </c>
      <c r="W363" s="35">
        <f t="shared" si="114"/>
        <v>0</v>
      </c>
      <c r="X363" s="35">
        <f t="shared" si="114"/>
        <v>0</v>
      </c>
      <c r="Y363" s="35">
        <f t="shared" si="114"/>
        <v>0</v>
      </c>
      <c r="Z363" s="35">
        <f t="shared" si="114"/>
        <v>0</v>
      </c>
      <c r="AA363" s="35">
        <f t="shared" si="114"/>
        <v>0</v>
      </c>
      <c r="AB363" s="35">
        <f t="shared" si="114"/>
        <v>0</v>
      </c>
      <c r="AC363" s="35">
        <f t="shared" si="114"/>
        <v>0</v>
      </c>
      <c r="AD363" s="35">
        <f t="shared" si="114"/>
        <v>0</v>
      </c>
      <c r="AE363" s="35">
        <f t="shared" si="114"/>
        <v>0</v>
      </c>
      <c r="AF363" s="35">
        <f t="shared" si="114"/>
        <v>0</v>
      </c>
      <c r="AG363" s="35">
        <f t="shared" si="114"/>
        <v>0</v>
      </c>
      <c r="AH363" s="35">
        <f t="shared" si="114"/>
        <v>0</v>
      </c>
      <c r="AI363" s="72">
        <f t="shared" si="108"/>
        <v>0</v>
      </c>
    </row>
    <row r="364" spans="1:35" ht="25.5" outlineLevel="2" x14ac:dyDescent="0.2">
      <c r="A364" s="19" t="s">
        <v>226</v>
      </c>
      <c r="B364" s="19" t="s">
        <v>227</v>
      </c>
      <c r="C364" s="13" t="s">
        <v>228</v>
      </c>
      <c r="D364" s="35">
        <f>D365+D369+D373+D377</f>
        <v>0</v>
      </c>
      <c r="E364" s="35">
        <f t="shared" ref="E364:AH364" si="115">E365+E369+E373+E377</f>
        <v>0</v>
      </c>
      <c r="F364" s="35">
        <f t="shared" si="115"/>
        <v>0</v>
      </c>
      <c r="G364" s="35">
        <f t="shared" si="115"/>
        <v>0</v>
      </c>
      <c r="H364" s="35">
        <f t="shared" si="115"/>
        <v>0</v>
      </c>
      <c r="I364" s="35">
        <f t="shared" si="115"/>
        <v>0</v>
      </c>
      <c r="J364" s="35">
        <f t="shared" si="115"/>
        <v>0</v>
      </c>
      <c r="K364" s="35">
        <f t="shared" si="115"/>
        <v>0</v>
      </c>
      <c r="L364" s="35">
        <f t="shared" si="115"/>
        <v>0</v>
      </c>
      <c r="M364" s="35">
        <f t="shared" si="115"/>
        <v>0</v>
      </c>
      <c r="N364" s="35">
        <f t="shared" si="115"/>
        <v>0</v>
      </c>
      <c r="O364" s="35">
        <f t="shared" si="115"/>
        <v>0</v>
      </c>
      <c r="P364" s="35">
        <f t="shared" si="115"/>
        <v>0</v>
      </c>
      <c r="Q364" s="35">
        <f t="shared" si="115"/>
        <v>0</v>
      </c>
      <c r="R364" s="35">
        <f t="shared" si="115"/>
        <v>0</v>
      </c>
      <c r="S364" s="35">
        <f t="shared" si="115"/>
        <v>0</v>
      </c>
      <c r="T364" s="35">
        <f t="shared" si="115"/>
        <v>0</v>
      </c>
      <c r="U364" s="35">
        <f t="shared" si="115"/>
        <v>0</v>
      </c>
      <c r="V364" s="35">
        <f t="shared" si="115"/>
        <v>0</v>
      </c>
      <c r="W364" s="35">
        <f t="shared" si="115"/>
        <v>0</v>
      </c>
      <c r="X364" s="35">
        <f t="shared" si="115"/>
        <v>0</v>
      </c>
      <c r="Y364" s="35">
        <f t="shared" si="115"/>
        <v>0</v>
      </c>
      <c r="Z364" s="35">
        <f t="shared" si="115"/>
        <v>0</v>
      </c>
      <c r="AA364" s="35">
        <f t="shared" si="115"/>
        <v>0</v>
      </c>
      <c r="AB364" s="35">
        <f t="shared" si="115"/>
        <v>0</v>
      </c>
      <c r="AC364" s="35">
        <f t="shared" si="115"/>
        <v>0</v>
      </c>
      <c r="AD364" s="35">
        <f t="shared" si="115"/>
        <v>0</v>
      </c>
      <c r="AE364" s="35">
        <f t="shared" si="115"/>
        <v>0</v>
      </c>
      <c r="AF364" s="35">
        <f t="shared" si="115"/>
        <v>0</v>
      </c>
      <c r="AG364" s="35">
        <f t="shared" si="115"/>
        <v>0</v>
      </c>
      <c r="AH364" s="35">
        <f t="shared" si="115"/>
        <v>0</v>
      </c>
      <c r="AI364" s="72">
        <f t="shared" si="108"/>
        <v>0</v>
      </c>
    </row>
    <row r="365" spans="1:35" ht="25.5" outlineLevel="3" x14ac:dyDescent="0.2">
      <c r="A365" s="20" t="s">
        <v>229</v>
      </c>
      <c r="B365" s="20" t="s">
        <v>230</v>
      </c>
      <c r="C365" s="13" t="s">
        <v>231</v>
      </c>
      <c r="D365" s="49">
        <f>SUM(D366:D368)</f>
        <v>0</v>
      </c>
      <c r="E365" s="49">
        <f t="shared" ref="E365:AH365" si="116">SUM(E366:E368)</f>
        <v>0</v>
      </c>
      <c r="F365" s="49">
        <f t="shared" si="116"/>
        <v>0</v>
      </c>
      <c r="G365" s="49">
        <f t="shared" si="116"/>
        <v>0</v>
      </c>
      <c r="H365" s="49">
        <f t="shared" si="116"/>
        <v>0</v>
      </c>
      <c r="I365" s="49">
        <f t="shared" si="116"/>
        <v>0</v>
      </c>
      <c r="J365" s="49">
        <f t="shared" si="116"/>
        <v>0</v>
      </c>
      <c r="K365" s="49">
        <f t="shared" si="116"/>
        <v>0</v>
      </c>
      <c r="L365" s="49">
        <f t="shared" si="116"/>
        <v>0</v>
      </c>
      <c r="M365" s="49">
        <f t="shared" si="116"/>
        <v>0</v>
      </c>
      <c r="N365" s="49">
        <f t="shared" si="116"/>
        <v>0</v>
      </c>
      <c r="O365" s="49">
        <f t="shared" si="116"/>
        <v>0</v>
      </c>
      <c r="P365" s="49">
        <f t="shared" si="116"/>
        <v>0</v>
      </c>
      <c r="Q365" s="49">
        <f t="shared" si="116"/>
        <v>0</v>
      </c>
      <c r="R365" s="49">
        <f t="shared" si="116"/>
        <v>0</v>
      </c>
      <c r="S365" s="49">
        <f t="shared" si="116"/>
        <v>0</v>
      </c>
      <c r="T365" s="49">
        <f t="shared" si="116"/>
        <v>0</v>
      </c>
      <c r="U365" s="49">
        <f t="shared" si="116"/>
        <v>0</v>
      </c>
      <c r="V365" s="49">
        <f t="shared" si="116"/>
        <v>0</v>
      </c>
      <c r="W365" s="49">
        <f t="shared" si="116"/>
        <v>0</v>
      </c>
      <c r="X365" s="49">
        <f t="shared" si="116"/>
        <v>0</v>
      </c>
      <c r="Y365" s="49">
        <f t="shared" si="116"/>
        <v>0</v>
      </c>
      <c r="Z365" s="49">
        <f t="shared" si="116"/>
        <v>0</v>
      </c>
      <c r="AA365" s="49">
        <f t="shared" si="116"/>
        <v>0</v>
      </c>
      <c r="AB365" s="49">
        <f t="shared" si="116"/>
        <v>0</v>
      </c>
      <c r="AC365" s="49">
        <f t="shared" si="116"/>
        <v>0</v>
      </c>
      <c r="AD365" s="49">
        <f t="shared" si="116"/>
        <v>0</v>
      </c>
      <c r="AE365" s="49">
        <f t="shared" si="116"/>
        <v>0</v>
      </c>
      <c r="AF365" s="49">
        <f t="shared" si="116"/>
        <v>0</v>
      </c>
      <c r="AG365" s="49">
        <f t="shared" si="116"/>
        <v>0</v>
      </c>
      <c r="AH365" s="49">
        <f t="shared" si="116"/>
        <v>0</v>
      </c>
      <c r="AI365" s="72">
        <f t="shared" si="108"/>
        <v>0</v>
      </c>
    </row>
    <row r="366" spans="1:35" outlineLevel="3" x14ac:dyDescent="0.2">
      <c r="A366" s="20"/>
      <c r="B366" s="41" t="s">
        <v>708</v>
      </c>
      <c r="C366" s="13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D366" s="50"/>
      <c r="AE366" s="50"/>
      <c r="AF366" s="50"/>
      <c r="AG366" s="50"/>
      <c r="AH366" s="50"/>
      <c r="AI366" s="72">
        <f t="shared" si="108"/>
        <v>0</v>
      </c>
    </row>
    <row r="367" spans="1:35" outlineLevel="3" x14ac:dyDescent="0.2">
      <c r="A367" s="20"/>
      <c r="B367" s="41" t="s">
        <v>709</v>
      </c>
      <c r="C367" s="13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D367" s="50"/>
      <c r="AE367" s="50"/>
      <c r="AF367" s="50"/>
      <c r="AG367" s="50"/>
      <c r="AH367" s="50"/>
      <c r="AI367" s="72">
        <f t="shared" si="108"/>
        <v>0</v>
      </c>
    </row>
    <row r="368" spans="1:35" outlineLevel="3" x14ac:dyDescent="0.2">
      <c r="A368" s="20"/>
      <c r="B368" s="41" t="s">
        <v>710</v>
      </c>
      <c r="C368" s="13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D368" s="50"/>
      <c r="AE368" s="50"/>
      <c r="AF368" s="50"/>
      <c r="AG368" s="50"/>
      <c r="AH368" s="50"/>
      <c r="AI368" s="72">
        <f t="shared" si="108"/>
        <v>0</v>
      </c>
    </row>
    <row r="369" spans="1:35" ht="25.5" outlineLevel="3" x14ac:dyDescent="0.2">
      <c r="A369" s="20" t="s">
        <v>232</v>
      </c>
      <c r="B369" s="20" t="s">
        <v>233</v>
      </c>
      <c r="C369" s="13" t="s">
        <v>234</v>
      </c>
      <c r="D369" s="35">
        <f>SUM(D370:D372)</f>
        <v>0</v>
      </c>
      <c r="E369" s="35">
        <f t="shared" ref="E369:AH369" si="117">SUM(E370:E372)</f>
        <v>0</v>
      </c>
      <c r="F369" s="35">
        <f t="shared" si="117"/>
        <v>0</v>
      </c>
      <c r="G369" s="35">
        <f t="shared" si="117"/>
        <v>0</v>
      </c>
      <c r="H369" s="35">
        <f t="shared" si="117"/>
        <v>0</v>
      </c>
      <c r="I369" s="35">
        <f t="shared" si="117"/>
        <v>0</v>
      </c>
      <c r="J369" s="35">
        <f t="shared" si="117"/>
        <v>0</v>
      </c>
      <c r="K369" s="35">
        <f t="shared" si="117"/>
        <v>0</v>
      </c>
      <c r="L369" s="35">
        <f t="shared" si="117"/>
        <v>0</v>
      </c>
      <c r="M369" s="35">
        <f t="shared" si="117"/>
        <v>0</v>
      </c>
      <c r="N369" s="35">
        <f t="shared" si="117"/>
        <v>0</v>
      </c>
      <c r="O369" s="35">
        <f t="shared" si="117"/>
        <v>0</v>
      </c>
      <c r="P369" s="35">
        <f t="shared" si="117"/>
        <v>0</v>
      </c>
      <c r="Q369" s="35">
        <f t="shared" si="117"/>
        <v>0</v>
      </c>
      <c r="R369" s="35">
        <f t="shared" si="117"/>
        <v>0</v>
      </c>
      <c r="S369" s="35">
        <f t="shared" si="117"/>
        <v>0</v>
      </c>
      <c r="T369" s="35">
        <f t="shared" si="117"/>
        <v>0</v>
      </c>
      <c r="U369" s="35">
        <f t="shared" si="117"/>
        <v>0</v>
      </c>
      <c r="V369" s="35">
        <f t="shared" si="117"/>
        <v>0</v>
      </c>
      <c r="W369" s="35">
        <f t="shared" si="117"/>
        <v>0</v>
      </c>
      <c r="X369" s="35">
        <f t="shared" si="117"/>
        <v>0</v>
      </c>
      <c r="Y369" s="35">
        <f t="shared" si="117"/>
        <v>0</v>
      </c>
      <c r="Z369" s="35">
        <f t="shared" si="117"/>
        <v>0</v>
      </c>
      <c r="AA369" s="35">
        <f t="shared" si="117"/>
        <v>0</v>
      </c>
      <c r="AB369" s="35">
        <f t="shared" si="117"/>
        <v>0</v>
      </c>
      <c r="AC369" s="35">
        <f t="shared" si="117"/>
        <v>0</v>
      </c>
      <c r="AD369" s="35">
        <f t="shared" si="117"/>
        <v>0</v>
      </c>
      <c r="AE369" s="35">
        <f t="shared" si="117"/>
        <v>0</v>
      </c>
      <c r="AF369" s="35">
        <f t="shared" si="117"/>
        <v>0</v>
      </c>
      <c r="AG369" s="35">
        <f t="shared" si="117"/>
        <v>0</v>
      </c>
      <c r="AH369" s="35">
        <f t="shared" si="117"/>
        <v>0</v>
      </c>
      <c r="AI369" s="72">
        <f t="shared" si="108"/>
        <v>0</v>
      </c>
    </row>
    <row r="370" spans="1:35" outlineLevel="3" x14ac:dyDescent="0.2">
      <c r="A370" s="20"/>
      <c r="B370" s="41" t="s">
        <v>708</v>
      </c>
      <c r="C370" s="13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D370" s="50"/>
      <c r="AE370" s="50"/>
      <c r="AF370" s="50"/>
      <c r="AG370" s="50"/>
      <c r="AH370" s="50"/>
      <c r="AI370" s="72">
        <f t="shared" si="108"/>
        <v>0</v>
      </c>
    </row>
    <row r="371" spans="1:35" outlineLevel="3" x14ac:dyDescent="0.2">
      <c r="A371" s="20"/>
      <c r="B371" s="41" t="s">
        <v>709</v>
      </c>
      <c r="C371" s="13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50"/>
      <c r="AG371" s="50"/>
      <c r="AH371" s="50"/>
      <c r="AI371" s="72">
        <f t="shared" si="108"/>
        <v>0</v>
      </c>
    </row>
    <row r="372" spans="1:35" outlineLevel="3" x14ac:dyDescent="0.2">
      <c r="A372" s="20"/>
      <c r="B372" s="41" t="s">
        <v>710</v>
      </c>
      <c r="C372" s="13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D372" s="50"/>
      <c r="AE372" s="50"/>
      <c r="AF372" s="50"/>
      <c r="AG372" s="50"/>
      <c r="AH372" s="50"/>
      <c r="AI372" s="72">
        <f t="shared" si="108"/>
        <v>0</v>
      </c>
    </row>
    <row r="373" spans="1:35" outlineLevel="3" x14ac:dyDescent="0.2">
      <c r="A373" s="20" t="s">
        <v>235</v>
      </c>
      <c r="B373" s="20" t="s">
        <v>236</v>
      </c>
      <c r="C373" s="13" t="s">
        <v>237</v>
      </c>
      <c r="D373" s="35">
        <f>SUM(D374:D376)</f>
        <v>0</v>
      </c>
      <c r="E373" s="35">
        <f t="shared" ref="E373:AH373" si="118">SUM(E374:E376)</f>
        <v>0</v>
      </c>
      <c r="F373" s="35">
        <f t="shared" si="118"/>
        <v>0</v>
      </c>
      <c r="G373" s="35">
        <f t="shared" si="118"/>
        <v>0</v>
      </c>
      <c r="H373" s="35">
        <f t="shared" si="118"/>
        <v>0</v>
      </c>
      <c r="I373" s="35">
        <f t="shared" si="118"/>
        <v>0</v>
      </c>
      <c r="J373" s="35">
        <f t="shared" si="118"/>
        <v>0</v>
      </c>
      <c r="K373" s="35">
        <f t="shared" si="118"/>
        <v>0</v>
      </c>
      <c r="L373" s="35">
        <f t="shared" si="118"/>
        <v>0</v>
      </c>
      <c r="M373" s="35">
        <f t="shared" si="118"/>
        <v>0</v>
      </c>
      <c r="N373" s="35">
        <f t="shared" si="118"/>
        <v>0</v>
      </c>
      <c r="O373" s="35">
        <f t="shared" si="118"/>
        <v>0</v>
      </c>
      <c r="P373" s="35">
        <f t="shared" si="118"/>
        <v>0</v>
      </c>
      <c r="Q373" s="35">
        <f t="shared" si="118"/>
        <v>0</v>
      </c>
      <c r="R373" s="35">
        <f t="shared" si="118"/>
        <v>0</v>
      </c>
      <c r="S373" s="35">
        <f t="shared" si="118"/>
        <v>0</v>
      </c>
      <c r="T373" s="35">
        <f t="shared" si="118"/>
        <v>0</v>
      </c>
      <c r="U373" s="35">
        <f t="shared" si="118"/>
        <v>0</v>
      </c>
      <c r="V373" s="35">
        <f t="shared" si="118"/>
        <v>0</v>
      </c>
      <c r="W373" s="35">
        <f t="shared" si="118"/>
        <v>0</v>
      </c>
      <c r="X373" s="35">
        <f t="shared" si="118"/>
        <v>0</v>
      </c>
      <c r="Y373" s="35">
        <f t="shared" si="118"/>
        <v>0</v>
      </c>
      <c r="Z373" s="35">
        <f t="shared" si="118"/>
        <v>0</v>
      </c>
      <c r="AA373" s="35">
        <f t="shared" si="118"/>
        <v>0</v>
      </c>
      <c r="AB373" s="35">
        <f t="shared" si="118"/>
        <v>0</v>
      </c>
      <c r="AC373" s="35">
        <f t="shared" si="118"/>
        <v>0</v>
      </c>
      <c r="AD373" s="35">
        <f t="shared" si="118"/>
        <v>0</v>
      </c>
      <c r="AE373" s="35">
        <f t="shared" si="118"/>
        <v>0</v>
      </c>
      <c r="AF373" s="35">
        <f t="shared" si="118"/>
        <v>0</v>
      </c>
      <c r="AG373" s="35">
        <f t="shared" si="118"/>
        <v>0</v>
      </c>
      <c r="AH373" s="35">
        <f t="shared" si="118"/>
        <v>0</v>
      </c>
      <c r="AI373" s="72">
        <f t="shared" si="108"/>
        <v>0</v>
      </c>
    </row>
    <row r="374" spans="1:35" outlineLevel="3" x14ac:dyDescent="0.2">
      <c r="A374" s="20"/>
      <c r="B374" s="41" t="s">
        <v>708</v>
      </c>
      <c r="C374" s="13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  <c r="AA374" s="50"/>
      <c r="AB374" s="50"/>
      <c r="AC374" s="50"/>
      <c r="AD374" s="50"/>
      <c r="AE374" s="50"/>
      <c r="AF374" s="50"/>
      <c r="AG374" s="50"/>
      <c r="AH374" s="50"/>
      <c r="AI374" s="72">
        <f t="shared" si="108"/>
        <v>0</v>
      </c>
    </row>
    <row r="375" spans="1:35" outlineLevel="3" x14ac:dyDescent="0.2">
      <c r="A375" s="20"/>
      <c r="B375" s="41" t="s">
        <v>709</v>
      </c>
      <c r="C375" s="13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  <c r="AA375" s="50"/>
      <c r="AB375" s="50"/>
      <c r="AC375" s="50"/>
      <c r="AD375" s="50"/>
      <c r="AE375" s="50"/>
      <c r="AF375" s="50"/>
      <c r="AG375" s="50"/>
      <c r="AH375" s="50"/>
      <c r="AI375" s="72">
        <f t="shared" si="108"/>
        <v>0</v>
      </c>
    </row>
    <row r="376" spans="1:35" outlineLevel="3" x14ac:dyDescent="0.2">
      <c r="A376" s="20"/>
      <c r="B376" s="41" t="s">
        <v>710</v>
      </c>
      <c r="C376" s="13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  <c r="AA376" s="50"/>
      <c r="AB376" s="50"/>
      <c r="AC376" s="50"/>
      <c r="AD376" s="50"/>
      <c r="AE376" s="50"/>
      <c r="AF376" s="50"/>
      <c r="AG376" s="50"/>
      <c r="AH376" s="50"/>
      <c r="AI376" s="72">
        <f t="shared" si="108"/>
        <v>0</v>
      </c>
    </row>
    <row r="377" spans="1:35" outlineLevel="3" x14ac:dyDescent="0.2">
      <c r="A377" s="20" t="s">
        <v>238</v>
      </c>
      <c r="B377" s="22" t="s">
        <v>239</v>
      </c>
      <c r="C377" s="13">
        <v>2220914000</v>
      </c>
      <c r="D377" s="35">
        <f>SUM(D378:D380)</f>
        <v>0</v>
      </c>
      <c r="E377" s="35">
        <f t="shared" ref="E377:AH377" si="119">SUM(E378:E380)</f>
        <v>0</v>
      </c>
      <c r="F377" s="35">
        <f t="shared" si="119"/>
        <v>0</v>
      </c>
      <c r="G377" s="35">
        <f t="shared" si="119"/>
        <v>0</v>
      </c>
      <c r="H377" s="35">
        <f t="shared" si="119"/>
        <v>0</v>
      </c>
      <c r="I377" s="35">
        <f t="shared" si="119"/>
        <v>0</v>
      </c>
      <c r="J377" s="35">
        <f t="shared" si="119"/>
        <v>0</v>
      </c>
      <c r="K377" s="35">
        <f t="shared" si="119"/>
        <v>0</v>
      </c>
      <c r="L377" s="35">
        <f t="shared" si="119"/>
        <v>0</v>
      </c>
      <c r="M377" s="35">
        <f t="shared" si="119"/>
        <v>0</v>
      </c>
      <c r="N377" s="35">
        <f t="shared" si="119"/>
        <v>0</v>
      </c>
      <c r="O377" s="35">
        <f t="shared" si="119"/>
        <v>0</v>
      </c>
      <c r="P377" s="35">
        <f t="shared" si="119"/>
        <v>0</v>
      </c>
      <c r="Q377" s="35">
        <f t="shared" si="119"/>
        <v>0</v>
      </c>
      <c r="R377" s="35">
        <f t="shared" si="119"/>
        <v>0</v>
      </c>
      <c r="S377" s="35">
        <f t="shared" si="119"/>
        <v>0</v>
      </c>
      <c r="T377" s="35">
        <f t="shared" si="119"/>
        <v>0</v>
      </c>
      <c r="U377" s="35">
        <f t="shared" si="119"/>
        <v>0</v>
      </c>
      <c r="V377" s="35">
        <f t="shared" si="119"/>
        <v>0</v>
      </c>
      <c r="W377" s="35">
        <f t="shared" si="119"/>
        <v>0</v>
      </c>
      <c r="X377" s="35">
        <f t="shared" si="119"/>
        <v>0</v>
      </c>
      <c r="Y377" s="35">
        <f t="shared" si="119"/>
        <v>0</v>
      </c>
      <c r="Z377" s="35">
        <f t="shared" si="119"/>
        <v>0</v>
      </c>
      <c r="AA377" s="35">
        <f t="shared" si="119"/>
        <v>0</v>
      </c>
      <c r="AB377" s="35">
        <f t="shared" si="119"/>
        <v>0</v>
      </c>
      <c r="AC377" s="35">
        <f t="shared" si="119"/>
        <v>0</v>
      </c>
      <c r="AD377" s="35">
        <f t="shared" si="119"/>
        <v>0</v>
      </c>
      <c r="AE377" s="35">
        <f t="shared" si="119"/>
        <v>0</v>
      </c>
      <c r="AF377" s="35">
        <f t="shared" si="119"/>
        <v>0</v>
      </c>
      <c r="AG377" s="35">
        <f t="shared" si="119"/>
        <v>0</v>
      </c>
      <c r="AH377" s="35">
        <f t="shared" si="119"/>
        <v>0</v>
      </c>
      <c r="AI377" s="72">
        <f t="shared" si="108"/>
        <v>0</v>
      </c>
    </row>
    <row r="378" spans="1:35" outlineLevel="3" x14ac:dyDescent="0.2">
      <c r="A378" s="20"/>
      <c r="B378" s="41" t="s">
        <v>708</v>
      </c>
      <c r="C378" s="13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D378" s="50"/>
      <c r="AE378" s="50"/>
      <c r="AF378" s="50"/>
      <c r="AG378" s="50"/>
      <c r="AH378" s="50"/>
      <c r="AI378" s="72">
        <f t="shared" si="108"/>
        <v>0</v>
      </c>
    </row>
    <row r="379" spans="1:35" outlineLevel="3" x14ac:dyDescent="0.2">
      <c r="A379" s="20"/>
      <c r="B379" s="41" t="s">
        <v>709</v>
      </c>
      <c r="C379" s="13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D379" s="50"/>
      <c r="AE379" s="50"/>
      <c r="AF379" s="50"/>
      <c r="AG379" s="50"/>
      <c r="AH379" s="50"/>
      <c r="AI379" s="72">
        <f t="shared" si="108"/>
        <v>0</v>
      </c>
    </row>
    <row r="380" spans="1:35" outlineLevel="3" x14ac:dyDescent="0.2">
      <c r="A380" s="20"/>
      <c r="B380" s="41" t="s">
        <v>710</v>
      </c>
      <c r="C380" s="13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D380" s="50"/>
      <c r="AE380" s="50"/>
      <c r="AF380" s="50"/>
      <c r="AG380" s="50"/>
      <c r="AH380" s="50"/>
      <c r="AI380" s="72">
        <f t="shared" si="108"/>
        <v>0</v>
      </c>
    </row>
    <row r="381" spans="1:35" outlineLevel="2" x14ac:dyDescent="0.2">
      <c r="A381" s="19" t="s">
        <v>240</v>
      </c>
      <c r="B381" s="19" t="s">
        <v>241</v>
      </c>
      <c r="C381" s="13" t="s">
        <v>242</v>
      </c>
      <c r="D381" s="35">
        <f>SUM(D382:D384)</f>
        <v>0</v>
      </c>
      <c r="E381" s="35">
        <f t="shared" ref="E381:AH381" si="120">SUM(E382:E384)</f>
        <v>0</v>
      </c>
      <c r="F381" s="35">
        <f t="shared" si="120"/>
        <v>0</v>
      </c>
      <c r="G381" s="35">
        <f t="shared" si="120"/>
        <v>0</v>
      </c>
      <c r="H381" s="35">
        <f t="shared" si="120"/>
        <v>0</v>
      </c>
      <c r="I381" s="35">
        <f t="shared" si="120"/>
        <v>0</v>
      </c>
      <c r="J381" s="35">
        <f t="shared" si="120"/>
        <v>0</v>
      </c>
      <c r="K381" s="35">
        <f t="shared" si="120"/>
        <v>0</v>
      </c>
      <c r="L381" s="35">
        <f t="shared" si="120"/>
        <v>0</v>
      </c>
      <c r="M381" s="35">
        <f t="shared" si="120"/>
        <v>0</v>
      </c>
      <c r="N381" s="35">
        <f t="shared" si="120"/>
        <v>0</v>
      </c>
      <c r="O381" s="35">
        <f t="shared" si="120"/>
        <v>0</v>
      </c>
      <c r="P381" s="35">
        <f t="shared" si="120"/>
        <v>0</v>
      </c>
      <c r="Q381" s="35">
        <f t="shared" si="120"/>
        <v>0</v>
      </c>
      <c r="R381" s="35">
        <f t="shared" si="120"/>
        <v>0</v>
      </c>
      <c r="S381" s="35">
        <f t="shared" si="120"/>
        <v>0</v>
      </c>
      <c r="T381" s="35">
        <f t="shared" si="120"/>
        <v>0</v>
      </c>
      <c r="U381" s="35">
        <f t="shared" si="120"/>
        <v>0</v>
      </c>
      <c r="V381" s="35">
        <f t="shared" si="120"/>
        <v>0</v>
      </c>
      <c r="W381" s="35">
        <f t="shared" si="120"/>
        <v>0</v>
      </c>
      <c r="X381" s="35">
        <f t="shared" si="120"/>
        <v>0</v>
      </c>
      <c r="Y381" s="35">
        <f t="shared" si="120"/>
        <v>0</v>
      </c>
      <c r="Z381" s="35">
        <f t="shared" si="120"/>
        <v>0</v>
      </c>
      <c r="AA381" s="35">
        <f t="shared" si="120"/>
        <v>0</v>
      </c>
      <c r="AB381" s="35">
        <f t="shared" si="120"/>
        <v>0</v>
      </c>
      <c r="AC381" s="35">
        <f t="shared" si="120"/>
        <v>0</v>
      </c>
      <c r="AD381" s="35">
        <f t="shared" si="120"/>
        <v>0</v>
      </c>
      <c r="AE381" s="35">
        <f t="shared" si="120"/>
        <v>0</v>
      </c>
      <c r="AF381" s="35">
        <f t="shared" si="120"/>
        <v>0</v>
      </c>
      <c r="AG381" s="35">
        <f t="shared" si="120"/>
        <v>0</v>
      </c>
      <c r="AH381" s="35">
        <f t="shared" si="120"/>
        <v>0</v>
      </c>
      <c r="AI381" s="72">
        <f t="shared" si="108"/>
        <v>0</v>
      </c>
    </row>
    <row r="382" spans="1:35" outlineLevel="2" x14ac:dyDescent="0.2">
      <c r="A382" s="19"/>
      <c r="B382" s="41" t="s">
        <v>708</v>
      </c>
      <c r="C382" s="13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D382" s="50"/>
      <c r="AE382" s="50"/>
      <c r="AF382" s="50"/>
      <c r="AG382" s="50"/>
      <c r="AH382" s="50"/>
      <c r="AI382" s="72">
        <f t="shared" si="108"/>
        <v>0</v>
      </c>
    </row>
    <row r="383" spans="1:35" outlineLevel="2" x14ac:dyDescent="0.2">
      <c r="A383" s="19"/>
      <c r="B383" s="41" t="s">
        <v>709</v>
      </c>
      <c r="C383" s="13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D383" s="50"/>
      <c r="AE383" s="50"/>
      <c r="AF383" s="50"/>
      <c r="AG383" s="50"/>
      <c r="AH383" s="50"/>
      <c r="AI383" s="72">
        <f t="shared" si="108"/>
        <v>0</v>
      </c>
    </row>
    <row r="384" spans="1:35" outlineLevel="2" x14ac:dyDescent="0.2">
      <c r="A384" s="19"/>
      <c r="B384" s="41" t="s">
        <v>710</v>
      </c>
      <c r="C384" s="13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D384" s="50"/>
      <c r="AE384" s="50"/>
      <c r="AF384" s="50"/>
      <c r="AG384" s="50"/>
      <c r="AH384" s="50"/>
      <c r="AI384" s="72">
        <f t="shared" si="108"/>
        <v>0</v>
      </c>
    </row>
    <row r="385" spans="1:35" outlineLevel="2" x14ac:dyDescent="0.2">
      <c r="A385" s="19" t="s">
        <v>243</v>
      </c>
      <c r="B385" s="19" t="s">
        <v>244</v>
      </c>
      <c r="C385" s="13" t="s">
        <v>245</v>
      </c>
      <c r="D385" s="35">
        <f>SUM(D386:D388)</f>
        <v>0</v>
      </c>
      <c r="E385" s="35">
        <f t="shared" ref="E385:AH385" si="121">SUM(E386:E388)</f>
        <v>0</v>
      </c>
      <c r="F385" s="35">
        <f t="shared" si="121"/>
        <v>0</v>
      </c>
      <c r="G385" s="35">
        <f t="shared" si="121"/>
        <v>0</v>
      </c>
      <c r="H385" s="35">
        <f t="shared" si="121"/>
        <v>0</v>
      </c>
      <c r="I385" s="35">
        <f t="shared" si="121"/>
        <v>0</v>
      </c>
      <c r="J385" s="35">
        <f t="shared" si="121"/>
        <v>0</v>
      </c>
      <c r="K385" s="35">
        <f t="shared" si="121"/>
        <v>0</v>
      </c>
      <c r="L385" s="35">
        <f t="shared" si="121"/>
        <v>0</v>
      </c>
      <c r="M385" s="35">
        <f t="shared" si="121"/>
        <v>0</v>
      </c>
      <c r="N385" s="35">
        <f t="shared" si="121"/>
        <v>0</v>
      </c>
      <c r="O385" s="35">
        <f t="shared" si="121"/>
        <v>0</v>
      </c>
      <c r="P385" s="35">
        <f t="shared" si="121"/>
        <v>0</v>
      </c>
      <c r="Q385" s="35">
        <f t="shared" si="121"/>
        <v>0</v>
      </c>
      <c r="R385" s="35">
        <f t="shared" si="121"/>
        <v>0</v>
      </c>
      <c r="S385" s="35">
        <f t="shared" si="121"/>
        <v>0</v>
      </c>
      <c r="T385" s="35">
        <f t="shared" si="121"/>
        <v>0</v>
      </c>
      <c r="U385" s="35">
        <f t="shared" si="121"/>
        <v>0</v>
      </c>
      <c r="V385" s="35">
        <f t="shared" si="121"/>
        <v>0</v>
      </c>
      <c r="W385" s="35">
        <f t="shared" si="121"/>
        <v>0</v>
      </c>
      <c r="X385" s="35">
        <f t="shared" si="121"/>
        <v>0</v>
      </c>
      <c r="Y385" s="35">
        <f t="shared" si="121"/>
        <v>0</v>
      </c>
      <c r="Z385" s="35">
        <f t="shared" si="121"/>
        <v>0</v>
      </c>
      <c r="AA385" s="35">
        <f t="shared" si="121"/>
        <v>0</v>
      </c>
      <c r="AB385" s="35">
        <f t="shared" si="121"/>
        <v>0</v>
      </c>
      <c r="AC385" s="35">
        <f t="shared" si="121"/>
        <v>0</v>
      </c>
      <c r="AD385" s="35">
        <f t="shared" si="121"/>
        <v>0</v>
      </c>
      <c r="AE385" s="35">
        <f t="shared" si="121"/>
        <v>0</v>
      </c>
      <c r="AF385" s="35">
        <f t="shared" si="121"/>
        <v>0</v>
      </c>
      <c r="AG385" s="35">
        <f t="shared" si="121"/>
        <v>0</v>
      </c>
      <c r="AH385" s="35">
        <f t="shared" si="121"/>
        <v>0</v>
      </c>
      <c r="AI385" s="72">
        <f t="shared" si="108"/>
        <v>0</v>
      </c>
    </row>
    <row r="386" spans="1:35" outlineLevel="2" x14ac:dyDescent="0.2">
      <c r="A386" s="19"/>
      <c r="B386" s="41" t="s">
        <v>708</v>
      </c>
      <c r="C386" s="13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D386" s="50"/>
      <c r="AE386" s="50"/>
      <c r="AF386" s="50"/>
      <c r="AG386" s="50"/>
      <c r="AH386" s="50"/>
      <c r="AI386" s="72">
        <f t="shared" si="108"/>
        <v>0</v>
      </c>
    </row>
    <row r="387" spans="1:35" outlineLevel="2" x14ac:dyDescent="0.2">
      <c r="A387" s="19"/>
      <c r="B387" s="41" t="s">
        <v>709</v>
      </c>
      <c r="C387" s="13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50"/>
      <c r="AG387" s="50"/>
      <c r="AH387" s="50"/>
      <c r="AI387" s="72">
        <f t="shared" si="108"/>
        <v>0</v>
      </c>
    </row>
    <row r="388" spans="1:35" outlineLevel="2" x14ac:dyDescent="0.2">
      <c r="A388" s="19"/>
      <c r="B388" s="41" t="s">
        <v>710</v>
      </c>
      <c r="C388" s="13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D388" s="50"/>
      <c r="AE388" s="50"/>
      <c r="AF388" s="50"/>
      <c r="AG388" s="50"/>
      <c r="AH388" s="50"/>
      <c r="AI388" s="72">
        <f t="shared" si="108"/>
        <v>0</v>
      </c>
    </row>
    <row r="389" spans="1:35" outlineLevel="1" x14ac:dyDescent="0.2">
      <c r="A389" s="25" t="s">
        <v>246</v>
      </c>
      <c r="B389" s="15" t="s">
        <v>247</v>
      </c>
      <c r="C389" s="13" t="s">
        <v>248</v>
      </c>
      <c r="D389" s="35">
        <f>SUM(D390:D392)</f>
        <v>0</v>
      </c>
      <c r="E389" s="35">
        <f t="shared" ref="E389:AH389" si="122">SUM(E390:E392)</f>
        <v>0</v>
      </c>
      <c r="F389" s="35">
        <f t="shared" si="122"/>
        <v>0</v>
      </c>
      <c r="G389" s="35">
        <f t="shared" si="122"/>
        <v>0</v>
      </c>
      <c r="H389" s="35">
        <f t="shared" si="122"/>
        <v>0</v>
      </c>
      <c r="I389" s="35">
        <f t="shared" si="122"/>
        <v>0</v>
      </c>
      <c r="J389" s="35">
        <f t="shared" si="122"/>
        <v>0</v>
      </c>
      <c r="K389" s="35">
        <f t="shared" si="122"/>
        <v>0</v>
      </c>
      <c r="L389" s="35">
        <f t="shared" si="122"/>
        <v>0</v>
      </c>
      <c r="M389" s="35">
        <f t="shared" si="122"/>
        <v>0</v>
      </c>
      <c r="N389" s="35">
        <f t="shared" si="122"/>
        <v>0</v>
      </c>
      <c r="O389" s="35">
        <f t="shared" si="122"/>
        <v>0</v>
      </c>
      <c r="P389" s="35">
        <f t="shared" si="122"/>
        <v>0</v>
      </c>
      <c r="Q389" s="35">
        <f t="shared" si="122"/>
        <v>0</v>
      </c>
      <c r="R389" s="35">
        <f t="shared" si="122"/>
        <v>0</v>
      </c>
      <c r="S389" s="35">
        <f t="shared" si="122"/>
        <v>0</v>
      </c>
      <c r="T389" s="35">
        <f t="shared" si="122"/>
        <v>0</v>
      </c>
      <c r="U389" s="35">
        <f t="shared" si="122"/>
        <v>0</v>
      </c>
      <c r="V389" s="35">
        <f t="shared" si="122"/>
        <v>0</v>
      </c>
      <c r="W389" s="35">
        <f t="shared" si="122"/>
        <v>0</v>
      </c>
      <c r="X389" s="35">
        <f t="shared" si="122"/>
        <v>0</v>
      </c>
      <c r="Y389" s="35">
        <f t="shared" si="122"/>
        <v>0</v>
      </c>
      <c r="Z389" s="35">
        <f t="shared" si="122"/>
        <v>0</v>
      </c>
      <c r="AA389" s="35">
        <f t="shared" si="122"/>
        <v>0</v>
      </c>
      <c r="AB389" s="35">
        <f t="shared" si="122"/>
        <v>0</v>
      </c>
      <c r="AC389" s="35">
        <f t="shared" si="122"/>
        <v>0</v>
      </c>
      <c r="AD389" s="35">
        <f t="shared" si="122"/>
        <v>0</v>
      </c>
      <c r="AE389" s="35">
        <f t="shared" si="122"/>
        <v>0</v>
      </c>
      <c r="AF389" s="35">
        <f t="shared" si="122"/>
        <v>0</v>
      </c>
      <c r="AG389" s="35">
        <f t="shared" si="122"/>
        <v>0</v>
      </c>
      <c r="AH389" s="35">
        <f t="shared" si="122"/>
        <v>0</v>
      </c>
      <c r="AI389" s="72">
        <f t="shared" si="108"/>
        <v>0</v>
      </c>
    </row>
    <row r="390" spans="1:35" outlineLevel="2" x14ac:dyDescent="0.2">
      <c r="A390" s="25"/>
      <c r="B390" s="41" t="s">
        <v>708</v>
      </c>
      <c r="C390" s="13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D390" s="50"/>
      <c r="AE390" s="50"/>
      <c r="AF390" s="50"/>
      <c r="AG390" s="50"/>
      <c r="AH390" s="50"/>
      <c r="AI390" s="72">
        <f t="shared" si="108"/>
        <v>0</v>
      </c>
    </row>
    <row r="391" spans="1:35" outlineLevel="2" x14ac:dyDescent="0.2">
      <c r="A391" s="25"/>
      <c r="B391" s="41" t="s">
        <v>709</v>
      </c>
      <c r="C391" s="13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50"/>
      <c r="AG391" s="50"/>
      <c r="AH391" s="50"/>
      <c r="AI391" s="72">
        <f t="shared" si="108"/>
        <v>0</v>
      </c>
    </row>
    <row r="392" spans="1:35" outlineLevel="2" x14ac:dyDescent="0.2">
      <c r="A392" s="25"/>
      <c r="B392" s="41" t="s">
        <v>710</v>
      </c>
      <c r="C392" s="13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D392" s="50"/>
      <c r="AE392" s="50"/>
      <c r="AF392" s="50"/>
      <c r="AG392" s="50"/>
      <c r="AH392" s="50"/>
      <c r="AI392" s="72">
        <f t="shared" si="108"/>
        <v>0</v>
      </c>
    </row>
    <row r="393" spans="1:35" outlineLevel="1" x14ac:dyDescent="0.2">
      <c r="A393" s="15" t="s">
        <v>249</v>
      </c>
      <c r="B393" s="15" t="s">
        <v>250</v>
      </c>
      <c r="C393" s="13" t="s">
        <v>251</v>
      </c>
      <c r="D393" s="35">
        <f>D394+D398+D402+D406</f>
        <v>0</v>
      </c>
      <c r="E393" s="35">
        <f t="shared" ref="E393:AH393" si="123">E394+E398+E402+E406</f>
        <v>0</v>
      </c>
      <c r="F393" s="35">
        <f t="shared" si="123"/>
        <v>0</v>
      </c>
      <c r="G393" s="35">
        <f t="shared" si="123"/>
        <v>0</v>
      </c>
      <c r="H393" s="35">
        <f t="shared" si="123"/>
        <v>0</v>
      </c>
      <c r="I393" s="35">
        <f t="shared" si="123"/>
        <v>0</v>
      </c>
      <c r="J393" s="35">
        <f t="shared" si="123"/>
        <v>0</v>
      </c>
      <c r="K393" s="35">
        <f t="shared" si="123"/>
        <v>0</v>
      </c>
      <c r="L393" s="35">
        <f t="shared" si="123"/>
        <v>0</v>
      </c>
      <c r="M393" s="35">
        <f t="shared" si="123"/>
        <v>0</v>
      </c>
      <c r="N393" s="35">
        <f t="shared" si="123"/>
        <v>0</v>
      </c>
      <c r="O393" s="35">
        <f t="shared" si="123"/>
        <v>0</v>
      </c>
      <c r="P393" s="35">
        <f t="shared" si="123"/>
        <v>0</v>
      </c>
      <c r="Q393" s="35">
        <f t="shared" si="123"/>
        <v>0</v>
      </c>
      <c r="R393" s="35">
        <f t="shared" si="123"/>
        <v>0</v>
      </c>
      <c r="S393" s="35">
        <f t="shared" si="123"/>
        <v>0</v>
      </c>
      <c r="T393" s="35">
        <f t="shared" si="123"/>
        <v>0</v>
      </c>
      <c r="U393" s="35">
        <f t="shared" si="123"/>
        <v>0</v>
      </c>
      <c r="V393" s="35">
        <f t="shared" si="123"/>
        <v>0</v>
      </c>
      <c r="W393" s="35">
        <f t="shared" si="123"/>
        <v>0</v>
      </c>
      <c r="X393" s="35">
        <f t="shared" si="123"/>
        <v>0</v>
      </c>
      <c r="Y393" s="35">
        <f t="shared" si="123"/>
        <v>0</v>
      </c>
      <c r="Z393" s="35">
        <f t="shared" si="123"/>
        <v>0</v>
      </c>
      <c r="AA393" s="35">
        <f t="shared" si="123"/>
        <v>0</v>
      </c>
      <c r="AB393" s="35">
        <f t="shared" si="123"/>
        <v>0</v>
      </c>
      <c r="AC393" s="35">
        <f t="shared" si="123"/>
        <v>0</v>
      </c>
      <c r="AD393" s="35">
        <f t="shared" si="123"/>
        <v>0</v>
      </c>
      <c r="AE393" s="35">
        <f t="shared" si="123"/>
        <v>0</v>
      </c>
      <c r="AF393" s="35">
        <f t="shared" si="123"/>
        <v>0</v>
      </c>
      <c r="AG393" s="35">
        <f t="shared" si="123"/>
        <v>0</v>
      </c>
      <c r="AH393" s="35">
        <f t="shared" si="123"/>
        <v>0</v>
      </c>
      <c r="AI393" s="72">
        <f t="shared" si="108"/>
        <v>0</v>
      </c>
    </row>
    <row r="394" spans="1:35" outlineLevel="2" x14ac:dyDescent="0.2">
      <c r="A394" s="17" t="s">
        <v>252</v>
      </c>
      <c r="B394" s="17" t="s">
        <v>253</v>
      </c>
      <c r="C394" s="13" t="s">
        <v>254</v>
      </c>
      <c r="D394" s="35">
        <f>SUM(D395:D397)</f>
        <v>0</v>
      </c>
      <c r="E394" s="35">
        <f t="shared" ref="E394:AH394" si="124">SUM(E395:E397)</f>
        <v>0</v>
      </c>
      <c r="F394" s="35">
        <f t="shared" si="124"/>
        <v>0</v>
      </c>
      <c r="G394" s="35">
        <f t="shared" si="124"/>
        <v>0</v>
      </c>
      <c r="H394" s="35">
        <f t="shared" si="124"/>
        <v>0</v>
      </c>
      <c r="I394" s="35">
        <f t="shared" si="124"/>
        <v>0</v>
      </c>
      <c r="J394" s="35">
        <f t="shared" si="124"/>
        <v>0</v>
      </c>
      <c r="K394" s="35">
        <f t="shared" si="124"/>
        <v>0</v>
      </c>
      <c r="L394" s="35">
        <f t="shared" si="124"/>
        <v>0</v>
      </c>
      <c r="M394" s="35">
        <f t="shared" si="124"/>
        <v>0</v>
      </c>
      <c r="N394" s="35">
        <f t="shared" si="124"/>
        <v>0</v>
      </c>
      <c r="O394" s="35">
        <f t="shared" si="124"/>
        <v>0</v>
      </c>
      <c r="P394" s="35">
        <f t="shared" si="124"/>
        <v>0</v>
      </c>
      <c r="Q394" s="35">
        <f t="shared" si="124"/>
        <v>0</v>
      </c>
      <c r="R394" s="35">
        <f t="shared" si="124"/>
        <v>0</v>
      </c>
      <c r="S394" s="35">
        <f t="shared" si="124"/>
        <v>0</v>
      </c>
      <c r="T394" s="35">
        <f t="shared" si="124"/>
        <v>0</v>
      </c>
      <c r="U394" s="35">
        <f t="shared" si="124"/>
        <v>0</v>
      </c>
      <c r="V394" s="35">
        <f t="shared" si="124"/>
        <v>0</v>
      </c>
      <c r="W394" s="35">
        <f t="shared" si="124"/>
        <v>0</v>
      </c>
      <c r="X394" s="35">
        <f t="shared" si="124"/>
        <v>0</v>
      </c>
      <c r="Y394" s="35">
        <f t="shared" si="124"/>
        <v>0</v>
      </c>
      <c r="Z394" s="35">
        <f t="shared" si="124"/>
        <v>0</v>
      </c>
      <c r="AA394" s="35">
        <f t="shared" si="124"/>
        <v>0</v>
      </c>
      <c r="AB394" s="35">
        <f t="shared" si="124"/>
        <v>0</v>
      </c>
      <c r="AC394" s="35">
        <f t="shared" si="124"/>
        <v>0</v>
      </c>
      <c r="AD394" s="35">
        <f t="shared" si="124"/>
        <v>0</v>
      </c>
      <c r="AE394" s="35">
        <f t="shared" si="124"/>
        <v>0</v>
      </c>
      <c r="AF394" s="35">
        <f t="shared" si="124"/>
        <v>0</v>
      </c>
      <c r="AG394" s="35">
        <f t="shared" si="124"/>
        <v>0</v>
      </c>
      <c r="AH394" s="35">
        <f t="shared" si="124"/>
        <v>0</v>
      </c>
      <c r="AI394" s="72">
        <f t="shared" si="108"/>
        <v>0</v>
      </c>
    </row>
    <row r="395" spans="1:35" outlineLevel="2" x14ac:dyDescent="0.2">
      <c r="A395" s="17"/>
      <c r="B395" s="41" t="s">
        <v>708</v>
      </c>
      <c r="C395" s="13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D395" s="50"/>
      <c r="AE395" s="50"/>
      <c r="AF395" s="50"/>
      <c r="AG395" s="50"/>
      <c r="AH395" s="50"/>
      <c r="AI395" s="72">
        <f t="shared" si="108"/>
        <v>0</v>
      </c>
    </row>
    <row r="396" spans="1:35" outlineLevel="2" x14ac:dyDescent="0.2">
      <c r="A396" s="17"/>
      <c r="B396" s="41" t="s">
        <v>709</v>
      </c>
      <c r="C396" s="13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D396" s="50"/>
      <c r="AE396" s="50"/>
      <c r="AF396" s="50"/>
      <c r="AG396" s="50"/>
      <c r="AH396" s="50"/>
      <c r="AI396" s="72">
        <f t="shared" si="108"/>
        <v>0</v>
      </c>
    </row>
    <row r="397" spans="1:35" outlineLevel="2" x14ac:dyDescent="0.2">
      <c r="A397" s="17"/>
      <c r="B397" s="41" t="s">
        <v>710</v>
      </c>
      <c r="C397" s="13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D397" s="50"/>
      <c r="AE397" s="50"/>
      <c r="AF397" s="50"/>
      <c r="AG397" s="50"/>
      <c r="AH397" s="50"/>
      <c r="AI397" s="72">
        <f t="shared" si="108"/>
        <v>0</v>
      </c>
    </row>
    <row r="398" spans="1:35" outlineLevel="2" x14ac:dyDescent="0.2">
      <c r="A398" s="17" t="s">
        <v>255</v>
      </c>
      <c r="B398" s="17" t="s">
        <v>256</v>
      </c>
      <c r="C398" s="13" t="s">
        <v>257</v>
      </c>
      <c r="D398" s="35">
        <f>SUM(D399:D401)</f>
        <v>0</v>
      </c>
      <c r="E398" s="35">
        <f t="shared" ref="E398:AH398" si="125">SUM(E399:E401)</f>
        <v>0</v>
      </c>
      <c r="F398" s="35">
        <f t="shared" si="125"/>
        <v>0</v>
      </c>
      <c r="G398" s="35">
        <f t="shared" si="125"/>
        <v>0</v>
      </c>
      <c r="H398" s="35">
        <f t="shared" si="125"/>
        <v>0</v>
      </c>
      <c r="I398" s="35">
        <f t="shared" si="125"/>
        <v>0</v>
      </c>
      <c r="J398" s="35">
        <f t="shared" si="125"/>
        <v>0</v>
      </c>
      <c r="K398" s="35">
        <f t="shared" si="125"/>
        <v>0</v>
      </c>
      <c r="L398" s="35">
        <f t="shared" si="125"/>
        <v>0</v>
      </c>
      <c r="M398" s="35">
        <f t="shared" si="125"/>
        <v>0</v>
      </c>
      <c r="N398" s="35">
        <f t="shared" si="125"/>
        <v>0</v>
      </c>
      <c r="O398" s="35">
        <f t="shared" si="125"/>
        <v>0</v>
      </c>
      <c r="P398" s="35">
        <f t="shared" si="125"/>
        <v>0</v>
      </c>
      <c r="Q398" s="35">
        <f t="shared" si="125"/>
        <v>0</v>
      </c>
      <c r="R398" s="35">
        <f t="shared" si="125"/>
        <v>0</v>
      </c>
      <c r="S398" s="35">
        <f t="shared" si="125"/>
        <v>0</v>
      </c>
      <c r="T398" s="35">
        <f t="shared" si="125"/>
        <v>0</v>
      </c>
      <c r="U398" s="35">
        <f t="shared" si="125"/>
        <v>0</v>
      </c>
      <c r="V398" s="35">
        <f t="shared" si="125"/>
        <v>0</v>
      </c>
      <c r="W398" s="35">
        <f t="shared" si="125"/>
        <v>0</v>
      </c>
      <c r="X398" s="35">
        <f t="shared" si="125"/>
        <v>0</v>
      </c>
      <c r="Y398" s="35">
        <f t="shared" si="125"/>
        <v>0</v>
      </c>
      <c r="Z398" s="35">
        <f t="shared" si="125"/>
        <v>0</v>
      </c>
      <c r="AA398" s="35">
        <f t="shared" si="125"/>
        <v>0</v>
      </c>
      <c r="AB398" s="35">
        <f t="shared" si="125"/>
        <v>0</v>
      </c>
      <c r="AC398" s="35">
        <f t="shared" si="125"/>
        <v>0</v>
      </c>
      <c r="AD398" s="35">
        <f t="shared" si="125"/>
        <v>0</v>
      </c>
      <c r="AE398" s="35">
        <f t="shared" si="125"/>
        <v>0</v>
      </c>
      <c r="AF398" s="35">
        <f t="shared" si="125"/>
        <v>0</v>
      </c>
      <c r="AG398" s="35">
        <f t="shared" si="125"/>
        <v>0</v>
      </c>
      <c r="AH398" s="35">
        <f t="shared" si="125"/>
        <v>0</v>
      </c>
      <c r="AI398" s="72">
        <f t="shared" si="108"/>
        <v>0</v>
      </c>
    </row>
    <row r="399" spans="1:35" outlineLevel="2" x14ac:dyDescent="0.2">
      <c r="A399" s="17"/>
      <c r="B399" s="41" t="s">
        <v>708</v>
      </c>
      <c r="C399" s="13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D399" s="50"/>
      <c r="AE399" s="50"/>
      <c r="AF399" s="50"/>
      <c r="AG399" s="50"/>
      <c r="AH399" s="50"/>
      <c r="AI399" s="72">
        <f t="shared" si="108"/>
        <v>0</v>
      </c>
    </row>
    <row r="400" spans="1:35" outlineLevel="2" x14ac:dyDescent="0.2">
      <c r="A400" s="17"/>
      <c r="B400" s="41" t="s">
        <v>709</v>
      </c>
      <c r="C400" s="13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D400" s="50"/>
      <c r="AE400" s="50"/>
      <c r="AF400" s="50"/>
      <c r="AG400" s="50"/>
      <c r="AH400" s="50"/>
      <c r="AI400" s="72">
        <f t="shared" si="108"/>
        <v>0</v>
      </c>
    </row>
    <row r="401" spans="1:35" outlineLevel="2" x14ac:dyDescent="0.2">
      <c r="A401" s="17"/>
      <c r="B401" s="41" t="s">
        <v>710</v>
      </c>
      <c r="C401" s="13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D401" s="50"/>
      <c r="AE401" s="50"/>
      <c r="AF401" s="50"/>
      <c r="AG401" s="50"/>
      <c r="AH401" s="50"/>
      <c r="AI401" s="72">
        <f t="shared" si="108"/>
        <v>0</v>
      </c>
    </row>
    <row r="402" spans="1:35" outlineLevel="2" x14ac:dyDescent="0.2">
      <c r="A402" s="17" t="s">
        <v>258</v>
      </c>
      <c r="B402" s="17" t="s">
        <v>259</v>
      </c>
      <c r="C402" s="13" t="s">
        <v>260</v>
      </c>
      <c r="D402" s="35">
        <f>SUM(D403:D405)</f>
        <v>0</v>
      </c>
      <c r="E402" s="35">
        <f t="shared" ref="E402:AH402" si="126">SUM(E403:E405)</f>
        <v>0</v>
      </c>
      <c r="F402" s="35">
        <f t="shared" si="126"/>
        <v>0</v>
      </c>
      <c r="G402" s="35">
        <f t="shared" si="126"/>
        <v>0</v>
      </c>
      <c r="H402" s="35">
        <f t="shared" si="126"/>
        <v>0</v>
      </c>
      <c r="I402" s="35">
        <f t="shared" si="126"/>
        <v>0</v>
      </c>
      <c r="J402" s="35">
        <f t="shared" si="126"/>
        <v>0</v>
      </c>
      <c r="K402" s="35">
        <f t="shared" si="126"/>
        <v>0</v>
      </c>
      <c r="L402" s="35">
        <f t="shared" si="126"/>
        <v>0</v>
      </c>
      <c r="M402" s="35">
        <f t="shared" si="126"/>
        <v>0</v>
      </c>
      <c r="N402" s="35">
        <f t="shared" si="126"/>
        <v>0</v>
      </c>
      <c r="O402" s="35">
        <f t="shared" si="126"/>
        <v>0</v>
      </c>
      <c r="P402" s="35">
        <f t="shared" si="126"/>
        <v>0</v>
      </c>
      <c r="Q402" s="35">
        <f t="shared" si="126"/>
        <v>0</v>
      </c>
      <c r="R402" s="35">
        <f t="shared" si="126"/>
        <v>0</v>
      </c>
      <c r="S402" s="35">
        <f t="shared" si="126"/>
        <v>0</v>
      </c>
      <c r="T402" s="35">
        <f t="shared" si="126"/>
        <v>0</v>
      </c>
      <c r="U402" s="35">
        <f t="shared" si="126"/>
        <v>0</v>
      </c>
      <c r="V402" s="35">
        <f t="shared" si="126"/>
        <v>0</v>
      </c>
      <c r="W402" s="35">
        <f t="shared" si="126"/>
        <v>0</v>
      </c>
      <c r="X402" s="35">
        <f t="shared" si="126"/>
        <v>0</v>
      </c>
      <c r="Y402" s="35">
        <f t="shared" si="126"/>
        <v>0</v>
      </c>
      <c r="Z402" s="35">
        <f t="shared" si="126"/>
        <v>0</v>
      </c>
      <c r="AA402" s="35">
        <f t="shared" si="126"/>
        <v>0</v>
      </c>
      <c r="AB402" s="35">
        <f t="shared" si="126"/>
        <v>0</v>
      </c>
      <c r="AC402" s="35">
        <f t="shared" si="126"/>
        <v>0</v>
      </c>
      <c r="AD402" s="35">
        <f t="shared" si="126"/>
        <v>0</v>
      </c>
      <c r="AE402" s="35">
        <f t="shared" si="126"/>
        <v>0</v>
      </c>
      <c r="AF402" s="35">
        <f t="shared" si="126"/>
        <v>0</v>
      </c>
      <c r="AG402" s="35">
        <f t="shared" si="126"/>
        <v>0</v>
      </c>
      <c r="AH402" s="35">
        <f t="shared" si="126"/>
        <v>0</v>
      </c>
      <c r="AI402" s="72">
        <f t="shared" si="108"/>
        <v>0</v>
      </c>
    </row>
    <row r="403" spans="1:35" outlineLevel="2" x14ac:dyDescent="0.2">
      <c r="A403" s="17"/>
      <c r="B403" s="41" t="s">
        <v>708</v>
      </c>
      <c r="C403" s="13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D403" s="50"/>
      <c r="AE403" s="50"/>
      <c r="AF403" s="50"/>
      <c r="AG403" s="50"/>
      <c r="AH403" s="50"/>
      <c r="AI403" s="72">
        <f t="shared" si="108"/>
        <v>0</v>
      </c>
    </row>
    <row r="404" spans="1:35" outlineLevel="2" x14ac:dyDescent="0.2">
      <c r="A404" s="17"/>
      <c r="B404" s="41" t="s">
        <v>709</v>
      </c>
      <c r="C404" s="13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D404" s="50"/>
      <c r="AE404" s="50"/>
      <c r="AF404" s="50"/>
      <c r="AG404" s="50"/>
      <c r="AH404" s="50"/>
      <c r="AI404" s="72">
        <f t="shared" si="108"/>
        <v>0</v>
      </c>
    </row>
    <row r="405" spans="1:35" outlineLevel="2" x14ac:dyDescent="0.2">
      <c r="A405" s="17"/>
      <c r="B405" s="41" t="s">
        <v>710</v>
      </c>
      <c r="C405" s="13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72">
        <f t="shared" si="108"/>
        <v>0</v>
      </c>
    </row>
    <row r="406" spans="1:35" outlineLevel="2" x14ac:dyDescent="0.2">
      <c r="A406" s="17" t="s">
        <v>261</v>
      </c>
      <c r="B406" s="17" t="s">
        <v>262</v>
      </c>
      <c r="C406" s="13" t="s">
        <v>263</v>
      </c>
      <c r="D406" s="35">
        <f>SUM(D407:D409)</f>
        <v>0</v>
      </c>
      <c r="E406" s="35">
        <f t="shared" ref="E406:AH406" si="127">SUM(E407:E409)</f>
        <v>0</v>
      </c>
      <c r="F406" s="35">
        <f t="shared" si="127"/>
        <v>0</v>
      </c>
      <c r="G406" s="35">
        <f t="shared" si="127"/>
        <v>0</v>
      </c>
      <c r="H406" s="35">
        <f t="shared" si="127"/>
        <v>0</v>
      </c>
      <c r="I406" s="35">
        <f t="shared" si="127"/>
        <v>0</v>
      </c>
      <c r="J406" s="35">
        <f t="shared" si="127"/>
        <v>0</v>
      </c>
      <c r="K406" s="35">
        <f t="shared" si="127"/>
        <v>0</v>
      </c>
      <c r="L406" s="35">
        <f t="shared" si="127"/>
        <v>0</v>
      </c>
      <c r="M406" s="35">
        <f t="shared" si="127"/>
        <v>0</v>
      </c>
      <c r="N406" s="35">
        <f t="shared" si="127"/>
        <v>0</v>
      </c>
      <c r="O406" s="35">
        <f t="shared" si="127"/>
        <v>0</v>
      </c>
      <c r="P406" s="35">
        <f t="shared" si="127"/>
        <v>0</v>
      </c>
      <c r="Q406" s="35">
        <f t="shared" si="127"/>
        <v>0</v>
      </c>
      <c r="R406" s="35">
        <f t="shared" si="127"/>
        <v>0</v>
      </c>
      <c r="S406" s="35">
        <f t="shared" si="127"/>
        <v>0</v>
      </c>
      <c r="T406" s="35">
        <f t="shared" si="127"/>
        <v>0</v>
      </c>
      <c r="U406" s="35">
        <f t="shared" si="127"/>
        <v>0</v>
      </c>
      <c r="V406" s="35">
        <f t="shared" si="127"/>
        <v>0</v>
      </c>
      <c r="W406" s="35">
        <f t="shared" si="127"/>
        <v>0</v>
      </c>
      <c r="X406" s="35">
        <f t="shared" si="127"/>
        <v>0</v>
      </c>
      <c r="Y406" s="35">
        <f t="shared" si="127"/>
        <v>0</v>
      </c>
      <c r="Z406" s="35">
        <f t="shared" si="127"/>
        <v>0</v>
      </c>
      <c r="AA406" s="35">
        <f t="shared" si="127"/>
        <v>0</v>
      </c>
      <c r="AB406" s="35">
        <f t="shared" si="127"/>
        <v>0</v>
      </c>
      <c r="AC406" s="35">
        <f t="shared" si="127"/>
        <v>0</v>
      </c>
      <c r="AD406" s="35">
        <f t="shared" si="127"/>
        <v>0</v>
      </c>
      <c r="AE406" s="35">
        <f t="shared" si="127"/>
        <v>0</v>
      </c>
      <c r="AF406" s="35">
        <f t="shared" si="127"/>
        <v>0</v>
      </c>
      <c r="AG406" s="35">
        <f t="shared" si="127"/>
        <v>0</v>
      </c>
      <c r="AH406" s="35">
        <f t="shared" si="127"/>
        <v>0</v>
      </c>
      <c r="AI406" s="72">
        <f t="shared" si="108"/>
        <v>0</v>
      </c>
    </row>
    <row r="407" spans="1:35" outlineLevel="2" x14ac:dyDescent="0.2">
      <c r="A407" s="17"/>
      <c r="B407" s="41" t="s">
        <v>708</v>
      </c>
      <c r="C407" s="13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  <c r="AA407" s="50"/>
      <c r="AB407" s="50"/>
      <c r="AC407" s="50"/>
      <c r="AD407" s="50"/>
      <c r="AE407" s="50"/>
      <c r="AF407" s="50"/>
      <c r="AG407" s="50"/>
      <c r="AH407" s="50"/>
      <c r="AI407" s="72">
        <f t="shared" si="108"/>
        <v>0</v>
      </c>
    </row>
    <row r="408" spans="1:35" outlineLevel="2" x14ac:dyDescent="0.2">
      <c r="A408" s="17"/>
      <c r="B408" s="41" t="s">
        <v>709</v>
      </c>
      <c r="C408" s="13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D408" s="50"/>
      <c r="AE408" s="50"/>
      <c r="AF408" s="50"/>
      <c r="AG408" s="50"/>
      <c r="AH408" s="50"/>
      <c r="AI408" s="72">
        <f t="shared" si="108"/>
        <v>0</v>
      </c>
    </row>
    <row r="409" spans="1:35" outlineLevel="2" x14ac:dyDescent="0.2">
      <c r="A409" s="17"/>
      <c r="B409" s="41" t="s">
        <v>710</v>
      </c>
      <c r="C409" s="13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D409" s="50"/>
      <c r="AE409" s="50"/>
      <c r="AF409" s="50"/>
      <c r="AG409" s="50"/>
      <c r="AH409" s="50"/>
      <c r="AI409" s="72">
        <f t="shared" ref="AI409:AI472" si="128">SUM(D409:AH409)</f>
        <v>0</v>
      </c>
    </row>
    <row r="410" spans="1:35" outlineLevel="1" x14ac:dyDescent="0.2">
      <c r="A410" s="15" t="s">
        <v>264</v>
      </c>
      <c r="B410" s="15" t="s">
        <v>265</v>
      </c>
      <c r="C410" s="13" t="s">
        <v>266</v>
      </c>
      <c r="D410" s="35">
        <f>SUM(D411:D413)</f>
        <v>0</v>
      </c>
      <c r="E410" s="35">
        <f t="shared" ref="E410:AH410" si="129">SUM(E411:E413)</f>
        <v>0</v>
      </c>
      <c r="F410" s="35">
        <f t="shared" si="129"/>
        <v>0</v>
      </c>
      <c r="G410" s="35">
        <f t="shared" si="129"/>
        <v>0</v>
      </c>
      <c r="H410" s="35">
        <f t="shared" si="129"/>
        <v>0</v>
      </c>
      <c r="I410" s="35">
        <f t="shared" si="129"/>
        <v>0</v>
      </c>
      <c r="J410" s="35">
        <f t="shared" si="129"/>
        <v>0</v>
      </c>
      <c r="K410" s="35">
        <f t="shared" si="129"/>
        <v>0</v>
      </c>
      <c r="L410" s="35">
        <f t="shared" si="129"/>
        <v>0</v>
      </c>
      <c r="M410" s="35">
        <f t="shared" si="129"/>
        <v>0</v>
      </c>
      <c r="N410" s="35">
        <f t="shared" si="129"/>
        <v>0</v>
      </c>
      <c r="O410" s="35">
        <f t="shared" si="129"/>
        <v>0</v>
      </c>
      <c r="P410" s="35">
        <f t="shared" si="129"/>
        <v>0</v>
      </c>
      <c r="Q410" s="35">
        <f t="shared" si="129"/>
        <v>0</v>
      </c>
      <c r="R410" s="35">
        <f t="shared" si="129"/>
        <v>0</v>
      </c>
      <c r="S410" s="35">
        <f t="shared" si="129"/>
        <v>0</v>
      </c>
      <c r="T410" s="35">
        <f t="shared" si="129"/>
        <v>0</v>
      </c>
      <c r="U410" s="35">
        <f t="shared" si="129"/>
        <v>0</v>
      </c>
      <c r="V410" s="35">
        <f t="shared" si="129"/>
        <v>0</v>
      </c>
      <c r="W410" s="35">
        <f t="shared" si="129"/>
        <v>0</v>
      </c>
      <c r="X410" s="35">
        <f t="shared" si="129"/>
        <v>0</v>
      </c>
      <c r="Y410" s="35">
        <f t="shared" si="129"/>
        <v>0</v>
      </c>
      <c r="Z410" s="35">
        <f t="shared" si="129"/>
        <v>0</v>
      </c>
      <c r="AA410" s="35">
        <f t="shared" si="129"/>
        <v>0</v>
      </c>
      <c r="AB410" s="35">
        <f t="shared" si="129"/>
        <v>0</v>
      </c>
      <c r="AC410" s="35">
        <f t="shared" si="129"/>
        <v>0</v>
      </c>
      <c r="AD410" s="35">
        <f t="shared" si="129"/>
        <v>0</v>
      </c>
      <c r="AE410" s="35">
        <f t="shared" si="129"/>
        <v>0</v>
      </c>
      <c r="AF410" s="35">
        <f t="shared" si="129"/>
        <v>0</v>
      </c>
      <c r="AG410" s="35">
        <f t="shared" si="129"/>
        <v>0</v>
      </c>
      <c r="AH410" s="35">
        <f t="shared" si="129"/>
        <v>0</v>
      </c>
      <c r="AI410" s="72">
        <f t="shared" si="128"/>
        <v>0</v>
      </c>
    </row>
    <row r="411" spans="1:35" outlineLevel="2" x14ac:dyDescent="0.2">
      <c r="A411" s="15"/>
      <c r="B411" s="41" t="s">
        <v>708</v>
      </c>
      <c r="C411" s="13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D411" s="50"/>
      <c r="AE411" s="50"/>
      <c r="AF411" s="50"/>
      <c r="AG411" s="50"/>
      <c r="AH411" s="50"/>
      <c r="AI411" s="72">
        <f t="shared" si="128"/>
        <v>0</v>
      </c>
    </row>
    <row r="412" spans="1:35" outlineLevel="2" x14ac:dyDescent="0.2">
      <c r="A412" s="15"/>
      <c r="B412" s="41" t="s">
        <v>709</v>
      </c>
      <c r="C412" s="13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D412" s="50"/>
      <c r="AE412" s="50"/>
      <c r="AF412" s="50"/>
      <c r="AG412" s="50"/>
      <c r="AH412" s="50">
        <v>0</v>
      </c>
      <c r="AI412" s="72">
        <f t="shared" si="128"/>
        <v>0</v>
      </c>
    </row>
    <row r="413" spans="1:35" outlineLevel="2" x14ac:dyDescent="0.2">
      <c r="A413" s="15"/>
      <c r="B413" s="41" t="s">
        <v>710</v>
      </c>
      <c r="C413" s="13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D413" s="50"/>
      <c r="AE413" s="50"/>
      <c r="AF413" s="50"/>
      <c r="AG413" s="50"/>
      <c r="AH413" s="50"/>
      <c r="AI413" s="72">
        <f t="shared" si="128"/>
        <v>0</v>
      </c>
    </row>
    <row r="414" spans="1:35" outlineLevel="1" x14ac:dyDescent="0.2">
      <c r="A414" s="15" t="s">
        <v>267</v>
      </c>
      <c r="B414" s="15" t="s">
        <v>268</v>
      </c>
      <c r="C414" s="13" t="s">
        <v>269</v>
      </c>
      <c r="D414" s="35">
        <f>SUM(D415:D417)</f>
        <v>0</v>
      </c>
      <c r="E414" s="35">
        <f t="shared" ref="E414:AH414" si="130">SUM(E415:E417)</f>
        <v>0</v>
      </c>
      <c r="F414" s="35">
        <f t="shared" si="130"/>
        <v>0</v>
      </c>
      <c r="G414" s="35">
        <f t="shared" si="130"/>
        <v>0</v>
      </c>
      <c r="H414" s="35">
        <f t="shared" si="130"/>
        <v>0</v>
      </c>
      <c r="I414" s="35">
        <f t="shared" si="130"/>
        <v>0</v>
      </c>
      <c r="J414" s="35">
        <f t="shared" si="130"/>
        <v>0</v>
      </c>
      <c r="K414" s="35">
        <f t="shared" si="130"/>
        <v>0</v>
      </c>
      <c r="L414" s="35">
        <f t="shared" si="130"/>
        <v>0</v>
      </c>
      <c r="M414" s="35">
        <f t="shared" si="130"/>
        <v>0</v>
      </c>
      <c r="N414" s="35">
        <f t="shared" si="130"/>
        <v>0</v>
      </c>
      <c r="O414" s="35">
        <f t="shared" si="130"/>
        <v>0</v>
      </c>
      <c r="P414" s="35">
        <f t="shared" si="130"/>
        <v>0</v>
      </c>
      <c r="Q414" s="35">
        <f t="shared" si="130"/>
        <v>0</v>
      </c>
      <c r="R414" s="35">
        <f t="shared" si="130"/>
        <v>0</v>
      </c>
      <c r="S414" s="35">
        <f t="shared" si="130"/>
        <v>0</v>
      </c>
      <c r="T414" s="35">
        <f t="shared" si="130"/>
        <v>0</v>
      </c>
      <c r="U414" s="35">
        <f t="shared" si="130"/>
        <v>0</v>
      </c>
      <c r="V414" s="35">
        <f t="shared" si="130"/>
        <v>0</v>
      </c>
      <c r="W414" s="35">
        <f t="shared" si="130"/>
        <v>0</v>
      </c>
      <c r="X414" s="35">
        <f t="shared" si="130"/>
        <v>0</v>
      </c>
      <c r="Y414" s="35">
        <f t="shared" si="130"/>
        <v>0</v>
      </c>
      <c r="Z414" s="35">
        <f t="shared" si="130"/>
        <v>0</v>
      </c>
      <c r="AA414" s="35">
        <f t="shared" si="130"/>
        <v>0</v>
      </c>
      <c r="AB414" s="35">
        <f t="shared" si="130"/>
        <v>0</v>
      </c>
      <c r="AC414" s="35">
        <f t="shared" si="130"/>
        <v>0</v>
      </c>
      <c r="AD414" s="35">
        <f t="shared" si="130"/>
        <v>0</v>
      </c>
      <c r="AE414" s="35">
        <f t="shared" si="130"/>
        <v>0</v>
      </c>
      <c r="AF414" s="35">
        <f t="shared" si="130"/>
        <v>0</v>
      </c>
      <c r="AG414" s="35">
        <f t="shared" si="130"/>
        <v>0</v>
      </c>
      <c r="AH414" s="35">
        <f t="shared" si="130"/>
        <v>0</v>
      </c>
      <c r="AI414" s="72">
        <f t="shared" si="128"/>
        <v>0</v>
      </c>
    </row>
    <row r="415" spans="1:35" outlineLevel="2" x14ac:dyDescent="0.2">
      <c r="A415" s="15"/>
      <c r="B415" s="41" t="s">
        <v>708</v>
      </c>
      <c r="C415" s="13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72">
        <f t="shared" si="128"/>
        <v>0</v>
      </c>
    </row>
    <row r="416" spans="1:35" outlineLevel="2" x14ac:dyDescent="0.2">
      <c r="A416" s="15"/>
      <c r="B416" s="41" t="s">
        <v>709</v>
      </c>
      <c r="C416" s="13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D416" s="50"/>
      <c r="AE416" s="50"/>
      <c r="AF416" s="50"/>
      <c r="AG416" s="50"/>
      <c r="AH416" s="50"/>
      <c r="AI416" s="72">
        <f t="shared" si="128"/>
        <v>0</v>
      </c>
    </row>
    <row r="417" spans="1:35" outlineLevel="2" x14ac:dyDescent="0.2">
      <c r="A417" s="15"/>
      <c r="B417" s="41" t="s">
        <v>710</v>
      </c>
      <c r="C417" s="13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D417" s="50"/>
      <c r="AE417" s="50"/>
      <c r="AF417" s="50"/>
      <c r="AG417" s="50"/>
      <c r="AH417" s="50"/>
      <c r="AI417" s="72">
        <f t="shared" si="128"/>
        <v>0</v>
      </c>
    </row>
    <row r="418" spans="1:35" outlineLevel="1" x14ac:dyDescent="0.2">
      <c r="A418" s="15" t="s">
        <v>270</v>
      </c>
      <c r="B418" s="15" t="s">
        <v>271</v>
      </c>
      <c r="C418" s="13" t="s">
        <v>272</v>
      </c>
      <c r="D418" s="35">
        <f>D419+D423+D427+D431+D435+D439+D443+D447+D451+D455+D459+D463+D467</f>
        <v>0</v>
      </c>
      <c r="E418" s="35">
        <f t="shared" ref="E418:AH418" si="131">E419+E423+E427+E431+E435+E439+E443+E447+E451+E455+E459+E463+E467</f>
        <v>0</v>
      </c>
      <c r="F418" s="35">
        <f t="shared" si="131"/>
        <v>0</v>
      </c>
      <c r="G418" s="35">
        <f t="shared" si="131"/>
        <v>0</v>
      </c>
      <c r="H418" s="35">
        <f t="shared" si="131"/>
        <v>0</v>
      </c>
      <c r="I418" s="35">
        <f t="shared" si="131"/>
        <v>0</v>
      </c>
      <c r="J418" s="35">
        <f t="shared" si="131"/>
        <v>0</v>
      </c>
      <c r="K418" s="35">
        <f t="shared" si="131"/>
        <v>0</v>
      </c>
      <c r="L418" s="35">
        <f t="shared" si="131"/>
        <v>0</v>
      </c>
      <c r="M418" s="35">
        <f t="shared" si="131"/>
        <v>0</v>
      </c>
      <c r="N418" s="35">
        <f t="shared" si="131"/>
        <v>0</v>
      </c>
      <c r="O418" s="35">
        <f t="shared" si="131"/>
        <v>0</v>
      </c>
      <c r="P418" s="35">
        <f t="shared" si="131"/>
        <v>0</v>
      </c>
      <c r="Q418" s="35">
        <f t="shared" si="131"/>
        <v>0</v>
      </c>
      <c r="R418" s="35">
        <f t="shared" si="131"/>
        <v>0</v>
      </c>
      <c r="S418" s="35">
        <f t="shared" si="131"/>
        <v>0</v>
      </c>
      <c r="T418" s="35">
        <f t="shared" si="131"/>
        <v>0</v>
      </c>
      <c r="U418" s="35">
        <f t="shared" si="131"/>
        <v>0</v>
      </c>
      <c r="V418" s="35">
        <f t="shared" si="131"/>
        <v>0</v>
      </c>
      <c r="W418" s="35">
        <f t="shared" si="131"/>
        <v>0</v>
      </c>
      <c r="X418" s="35">
        <f t="shared" si="131"/>
        <v>0</v>
      </c>
      <c r="Y418" s="35">
        <f t="shared" si="131"/>
        <v>0</v>
      </c>
      <c r="Z418" s="35">
        <f t="shared" si="131"/>
        <v>0</v>
      </c>
      <c r="AA418" s="35">
        <f t="shared" si="131"/>
        <v>0</v>
      </c>
      <c r="AB418" s="35">
        <f t="shared" si="131"/>
        <v>0</v>
      </c>
      <c r="AC418" s="35">
        <f t="shared" si="131"/>
        <v>0</v>
      </c>
      <c r="AD418" s="35">
        <f t="shared" si="131"/>
        <v>0</v>
      </c>
      <c r="AE418" s="35">
        <f t="shared" si="131"/>
        <v>0</v>
      </c>
      <c r="AF418" s="35">
        <f t="shared" si="131"/>
        <v>0</v>
      </c>
      <c r="AG418" s="35">
        <f t="shared" si="131"/>
        <v>0</v>
      </c>
      <c r="AH418" s="35">
        <f t="shared" si="131"/>
        <v>0</v>
      </c>
      <c r="AI418" s="72">
        <f t="shared" si="128"/>
        <v>0</v>
      </c>
    </row>
    <row r="419" spans="1:35" outlineLevel="2" x14ac:dyDescent="0.2">
      <c r="A419" s="19" t="s">
        <v>273</v>
      </c>
      <c r="B419" s="19" t="s">
        <v>274</v>
      </c>
      <c r="C419" s="13" t="s">
        <v>275</v>
      </c>
      <c r="D419" s="35">
        <f>SUM(D420:D422)</f>
        <v>0</v>
      </c>
      <c r="E419" s="35">
        <f t="shared" ref="E419:AH419" si="132">SUM(E420:E422)</f>
        <v>0</v>
      </c>
      <c r="F419" s="35">
        <f t="shared" si="132"/>
        <v>0</v>
      </c>
      <c r="G419" s="35">
        <f t="shared" si="132"/>
        <v>0</v>
      </c>
      <c r="H419" s="35">
        <f t="shared" si="132"/>
        <v>0</v>
      </c>
      <c r="I419" s="35">
        <f t="shared" si="132"/>
        <v>0</v>
      </c>
      <c r="J419" s="35">
        <f t="shared" si="132"/>
        <v>0</v>
      </c>
      <c r="K419" s="35">
        <f t="shared" si="132"/>
        <v>0</v>
      </c>
      <c r="L419" s="35">
        <f t="shared" si="132"/>
        <v>0</v>
      </c>
      <c r="M419" s="35">
        <f t="shared" si="132"/>
        <v>0</v>
      </c>
      <c r="N419" s="35">
        <f t="shared" si="132"/>
        <v>0</v>
      </c>
      <c r="O419" s="35">
        <f t="shared" si="132"/>
        <v>0</v>
      </c>
      <c r="P419" s="35">
        <f t="shared" si="132"/>
        <v>0</v>
      </c>
      <c r="Q419" s="35">
        <f t="shared" si="132"/>
        <v>0</v>
      </c>
      <c r="R419" s="35">
        <f t="shared" si="132"/>
        <v>0</v>
      </c>
      <c r="S419" s="35">
        <f t="shared" si="132"/>
        <v>0</v>
      </c>
      <c r="T419" s="35">
        <f t="shared" si="132"/>
        <v>0</v>
      </c>
      <c r="U419" s="35">
        <f t="shared" si="132"/>
        <v>0</v>
      </c>
      <c r="V419" s="35">
        <f t="shared" si="132"/>
        <v>0</v>
      </c>
      <c r="W419" s="35">
        <f t="shared" si="132"/>
        <v>0</v>
      </c>
      <c r="X419" s="35">
        <f t="shared" si="132"/>
        <v>0</v>
      </c>
      <c r="Y419" s="35">
        <f t="shared" si="132"/>
        <v>0</v>
      </c>
      <c r="Z419" s="35">
        <f t="shared" si="132"/>
        <v>0</v>
      </c>
      <c r="AA419" s="35">
        <f t="shared" si="132"/>
        <v>0</v>
      </c>
      <c r="AB419" s="35">
        <f t="shared" si="132"/>
        <v>0</v>
      </c>
      <c r="AC419" s="35">
        <f t="shared" si="132"/>
        <v>0</v>
      </c>
      <c r="AD419" s="35">
        <f t="shared" si="132"/>
        <v>0</v>
      </c>
      <c r="AE419" s="35">
        <f t="shared" si="132"/>
        <v>0</v>
      </c>
      <c r="AF419" s="35">
        <f t="shared" si="132"/>
        <v>0</v>
      </c>
      <c r="AG419" s="35">
        <f t="shared" si="132"/>
        <v>0</v>
      </c>
      <c r="AH419" s="35">
        <f t="shared" si="132"/>
        <v>0</v>
      </c>
      <c r="AI419" s="72">
        <f t="shared" si="128"/>
        <v>0</v>
      </c>
    </row>
    <row r="420" spans="1:35" outlineLevel="2" x14ac:dyDescent="0.2">
      <c r="A420" s="19"/>
      <c r="B420" s="41" t="s">
        <v>708</v>
      </c>
      <c r="C420" s="13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D420" s="50"/>
      <c r="AE420" s="50"/>
      <c r="AF420" s="50"/>
      <c r="AG420" s="50"/>
      <c r="AH420" s="50"/>
      <c r="AI420" s="72">
        <f t="shared" si="128"/>
        <v>0</v>
      </c>
    </row>
    <row r="421" spans="1:35" outlineLevel="2" x14ac:dyDescent="0.2">
      <c r="A421" s="19"/>
      <c r="B421" s="41" t="s">
        <v>709</v>
      </c>
      <c r="C421" s="13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D421" s="50"/>
      <c r="AE421" s="50"/>
      <c r="AF421" s="50"/>
      <c r="AG421" s="50"/>
      <c r="AH421" s="50"/>
      <c r="AI421" s="72">
        <f t="shared" si="128"/>
        <v>0</v>
      </c>
    </row>
    <row r="422" spans="1:35" outlineLevel="2" x14ac:dyDescent="0.2">
      <c r="A422" s="19"/>
      <c r="B422" s="41" t="s">
        <v>710</v>
      </c>
      <c r="C422" s="13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D422" s="50"/>
      <c r="AE422" s="50"/>
      <c r="AF422" s="50"/>
      <c r="AG422" s="50"/>
      <c r="AH422" s="50"/>
      <c r="AI422" s="72">
        <f t="shared" si="128"/>
        <v>0</v>
      </c>
    </row>
    <row r="423" spans="1:35" outlineLevel="2" x14ac:dyDescent="0.2">
      <c r="A423" s="19" t="s">
        <v>276</v>
      </c>
      <c r="B423" s="19" t="s">
        <v>277</v>
      </c>
      <c r="C423" s="13" t="s">
        <v>278</v>
      </c>
      <c r="D423" s="35">
        <f>SUM(D424:D426)</f>
        <v>0</v>
      </c>
      <c r="E423" s="35">
        <f t="shared" ref="E423:AH423" si="133">SUM(E424:E426)</f>
        <v>0</v>
      </c>
      <c r="F423" s="35">
        <f t="shared" si="133"/>
        <v>0</v>
      </c>
      <c r="G423" s="35">
        <f t="shared" si="133"/>
        <v>0</v>
      </c>
      <c r="H423" s="35">
        <f t="shared" si="133"/>
        <v>0</v>
      </c>
      <c r="I423" s="35">
        <f t="shared" si="133"/>
        <v>0</v>
      </c>
      <c r="J423" s="35">
        <f t="shared" si="133"/>
        <v>0</v>
      </c>
      <c r="K423" s="35">
        <f t="shared" si="133"/>
        <v>0</v>
      </c>
      <c r="L423" s="35">
        <f t="shared" si="133"/>
        <v>0</v>
      </c>
      <c r="M423" s="35">
        <f t="shared" si="133"/>
        <v>0</v>
      </c>
      <c r="N423" s="35">
        <f t="shared" si="133"/>
        <v>0</v>
      </c>
      <c r="O423" s="35">
        <f t="shared" si="133"/>
        <v>0</v>
      </c>
      <c r="P423" s="35">
        <f t="shared" si="133"/>
        <v>0</v>
      </c>
      <c r="Q423" s="35">
        <f t="shared" si="133"/>
        <v>0</v>
      </c>
      <c r="R423" s="35">
        <f t="shared" si="133"/>
        <v>0</v>
      </c>
      <c r="S423" s="35">
        <f t="shared" si="133"/>
        <v>0</v>
      </c>
      <c r="T423" s="35">
        <f t="shared" si="133"/>
        <v>0</v>
      </c>
      <c r="U423" s="35">
        <f t="shared" si="133"/>
        <v>0</v>
      </c>
      <c r="V423" s="35">
        <f t="shared" si="133"/>
        <v>0</v>
      </c>
      <c r="W423" s="35">
        <f t="shared" si="133"/>
        <v>0</v>
      </c>
      <c r="X423" s="35">
        <f t="shared" si="133"/>
        <v>0</v>
      </c>
      <c r="Y423" s="35">
        <f t="shared" si="133"/>
        <v>0</v>
      </c>
      <c r="Z423" s="35">
        <f t="shared" si="133"/>
        <v>0</v>
      </c>
      <c r="AA423" s="35">
        <f t="shared" si="133"/>
        <v>0</v>
      </c>
      <c r="AB423" s="35">
        <f t="shared" si="133"/>
        <v>0</v>
      </c>
      <c r="AC423" s="35">
        <f t="shared" si="133"/>
        <v>0</v>
      </c>
      <c r="AD423" s="35">
        <f t="shared" si="133"/>
        <v>0</v>
      </c>
      <c r="AE423" s="35">
        <f t="shared" si="133"/>
        <v>0</v>
      </c>
      <c r="AF423" s="35">
        <f t="shared" si="133"/>
        <v>0</v>
      </c>
      <c r="AG423" s="35">
        <f t="shared" si="133"/>
        <v>0</v>
      </c>
      <c r="AH423" s="35">
        <f t="shared" si="133"/>
        <v>0</v>
      </c>
      <c r="AI423" s="72">
        <f t="shared" si="128"/>
        <v>0</v>
      </c>
    </row>
    <row r="424" spans="1:35" outlineLevel="2" x14ac:dyDescent="0.2">
      <c r="A424" s="19"/>
      <c r="B424" s="41" t="s">
        <v>708</v>
      </c>
      <c r="C424" s="13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D424" s="50"/>
      <c r="AE424" s="50"/>
      <c r="AF424" s="50"/>
      <c r="AG424" s="50"/>
      <c r="AH424" s="50"/>
      <c r="AI424" s="72">
        <f t="shared" si="128"/>
        <v>0</v>
      </c>
    </row>
    <row r="425" spans="1:35" outlineLevel="2" x14ac:dyDescent="0.2">
      <c r="A425" s="19"/>
      <c r="B425" s="41" t="s">
        <v>709</v>
      </c>
      <c r="C425" s="13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72">
        <f t="shared" si="128"/>
        <v>0</v>
      </c>
    </row>
    <row r="426" spans="1:35" outlineLevel="2" x14ac:dyDescent="0.2">
      <c r="A426" s="19"/>
      <c r="B426" s="41" t="s">
        <v>710</v>
      </c>
      <c r="C426" s="13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72">
        <f t="shared" si="128"/>
        <v>0</v>
      </c>
    </row>
    <row r="427" spans="1:35" outlineLevel="2" x14ac:dyDescent="0.2">
      <c r="A427" s="19" t="s">
        <v>279</v>
      </c>
      <c r="B427" s="19" t="s">
        <v>280</v>
      </c>
      <c r="C427" s="13" t="s">
        <v>281</v>
      </c>
      <c r="D427" s="35">
        <f>SUM(D428:D430)</f>
        <v>0</v>
      </c>
      <c r="E427" s="35">
        <f t="shared" ref="E427:AH427" si="134">SUM(E428:E430)</f>
        <v>0</v>
      </c>
      <c r="F427" s="35">
        <f t="shared" si="134"/>
        <v>0</v>
      </c>
      <c r="G427" s="35">
        <f t="shared" si="134"/>
        <v>0</v>
      </c>
      <c r="H427" s="35">
        <f t="shared" si="134"/>
        <v>0</v>
      </c>
      <c r="I427" s="35">
        <f t="shared" si="134"/>
        <v>0</v>
      </c>
      <c r="J427" s="35">
        <f t="shared" si="134"/>
        <v>0</v>
      </c>
      <c r="K427" s="35">
        <f t="shared" si="134"/>
        <v>0</v>
      </c>
      <c r="L427" s="35">
        <f t="shared" si="134"/>
        <v>0</v>
      </c>
      <c r="M427" s="35">
        <f t="shared" si="134"/>
        <v>0</v>
      </c>
      <c r="N427" s="35">
        <f t="shared" si="134"/>
        <v>0</v>
      </c>
      <c r="O427" s="35">
        <f t="shared" si="134"/>
        <v>0</v>
      </c>
      <c r="P427" s="35">
        <f t="shared" si="134"/>
        <v>0</v>
      </c>
      <c r="Q427" s="35">
        <f t="shared" si="134"/>
        <v>0</v>
      </c>
      <c r="R427" s="35">
        <f t="shared" si="134"/>
        <v>0</v>
      </c>
      <c r="S427" s="35">
        <f t="shared" si="134"/>
        <v>0</v>
      </c>
      <c r="T427" s="35">
        <f t="shared" si="134"/>
        <v>0</v>
      </c>
      <c r="U427" s="35">
        <f t="shared" si="134"/>
        <v>0</v>
      </c>
      <c r="V427" s="35">
        <f t="shared" si="134"/>
        <v>0</v>
      </c>
      <c r="W427" s="35">
        <f t="shared" si="134"/>
        <v>0</v>
      </c>
      <c r="X427" s="35">
        <f t="shared" si="134"/>
        <v>0</v>
      </c>
      <c r="Y427" s="35">
        <f t="shared" si="134"/>
        <v>0</v>
      </c>
      <c r="Z427" s="35">
        <f t="shared" si="134"/>
        <v>0</v>
      </c>
      <c r="AA427" s="35">
        <f t="shared" si="134"/>
        <v>0</v>
      </c>
      <c r="AB427" s="35">
        <f t="shared" si="134"/>
        <v>0</v>
      </c>
      <c r="AC427" s="35">
        <f t="shared" si="134"/>
        <v>0</v>
      </c>
      <c r="AD427" s="35">
        <f t="shared" si="134"/>
        <v>0</v>
      </c>
      <c r="AE427" s="35">
        <f t="shared" si="134"/>
        <v>0</v>
      </c>
      <c r="AF427" s="35">
        <f t="shared" si="134"/>
        <v>0</v>
      </c>
      <c r="AG427" s="35">
        <f t="shared" si="134"/>
        <v>0</v>
      </c>
      <c r="AH427" s="35">
        <f t="shared" si="134"/>
        <v>0</v>
      </c>
      <c r="AI427" s="72">
        <f t="shared" si="128"/>
        <v>0</v>
      </c>
    </row>
    <row r="428" spans="1:35" outlineLevel="2" x14ac:dyDescent="0.2">
      <c r="A428" s="19"/>
      <c r="B428" s="41" t="s">
        <v>708</v>
      </c>
      <c r="C428" s="13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D428" s="50"/>
      <c r="AE428" s="50"/>
      <c r="AF428" s="50"/>
      <c r="AG428" s="50"/>
      <c r="AH428" s="50"/>
      <c r="AI428" s="72">
        <f t="shared" si="128"/>
        <v>0</v>
      </c>
    </row>
    <row r="429" spans="1:35" outlineLevel="2" x14ac:dyDescent="0.2">
      <c r="A429" s="19"/>
      <c r="B429" s="41" t="s">
        <v>709</v>
      </c>
      <c r="C429" s="13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D429" s="50"/>
      <c r="AE429" s="50"/>
      <c r="AF429" s="50"/>
      <c r="AG429" s="50"/>
      <c r="AH429" s="50"/>
      <c r="AI429" s="72">
        <f t="shared" si="128"/>
        <v>0</v>
      </c>
    </row>
    <row r="430" spans="1:35" outlineLevel="2" x14ac:dyDescent="0.2">
      <c r="A430" s="19"/>
      <c r="B430" s="41" t="s">
        <v>710</v>
      </c>
      <c r="C430" s="13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D430" s="50"/>
      <c r="AE430" s="50"/>
      <c r="AF430" s="50"/>
      <c r="AG430" s="50"/>
      <c r="AH430" s="50"/>
      <c r="AI430" s="72">
        <f t="shared" si="128"/>
        <v>0</v>
      </c>
    </row>
    <row r="431" spans="1:35" outlineLevel="2" x14ac:dyDescent="0.2">
      <c r="A431" s="19" t="s">
        <v>282</v>
      </c>
      <c r="B431" s="19" t="s">
        <v>283</v>
      </c>
      <c r="C431" s="13" t="s">
        <v>284</v>
      </c>
      <c r="D431" s="35">
        <f>SUM(D432:D434)</f>
        <v>0</v>
      </c>
      <c r="E431" s="35">
        <f t="shared" ref="E431:AH431" si="135">SUM(E432:E434)</f>
        <v>0</v>
      </c>
      <c r="F431" s="35">
        <f t="shared" si="135"/>
        <v>0</v>
      </c>
      <c r="G431" s="35">
        <f t="shared" si="135"/>
        <v>0</v>
      </c>
      <c r="H431" s="35">
        <f t="shared" si="135"/>
        <v>0</v>
      </c>
      <c r="I431" s="35">
        <f t="shared" si="135"/>
        <v>0</v>
      </c>
      <c r="J431" s="35">
        <f t="shared" si="135"/>
        <v>0</v>
      </c>
      <c r="K431" s="35">
        <f t="shared" si="135"/>
        <v>0</v>
      </c>
      <c r="L431" s="35">
        <f t="shared" si="135"/>
        <v>0</v>
      </c>
      <c r="M431" s="35">
        <f t="shared" si="135"/>
        <v>0</v>
      </c>
      <c r="N431" s="35">
        <f t="shared" si="135"/>
        <v>0</v>
      </c>
      <c r="O431" s="35">
        <f t="shared" si="135"/>
        <v>0</v>
      </c>
      <c r="P431" s="35">
        <f t="shared" si="135"/>
        <v>0</v>
      </c>
      <c r="Q431" s="35">
        <f t="shared" si="135"/>
        <v>0</v>
      </c>
      <c r="R431" s="35">
        <f t="shared" si="135"/>
        <v>0</v>
      </c>
      <c r="S431" s="35">
        <f t="shared" si="135"/>
        <v>0</v>
      </c>
      <c r="T431" s="35">
        <f t="shared" si="135"/>
        <v>0</v>
      </c>
      <c r="U431" s="35">
        <f t="shared" si="135"/>
        <v>0</v>
      </c>
      <c r="V431" s="35">
        <f t="shared" si="135"/>
        <v>0</v>
      </c>
      <c r="W431" s="35">
        <f t="shared" si="135"/>
        <v>0</v>
      </c>
      <c r="X431" s="35">
        <f t="shared" si="135"/>
        <v>0</v>
      </c>
      <c r="Y431" s="35">
        <f t="shared" si="135"/>
        <v>0</v>
      </c>
      <c r="Z431" s="35">
        <f t="shared" si="135"/>
        <v>0</v>
      </c>
      <c r="AA431" s="35">
        <f t="shared" si="135"/>
        <v>0</v>
      </c>
      <c r="AB431" s="35">
        <f t="shared" si="135"/>
        <v>0</v>
      </c>
      <c r="AC431" s="35">
        <f t="shared" si="135"/>
        <v>0</v>
      </c>
      <c r="AD431" s="35">
        <f t="shared" si="135"/>
        <v>0</v>
      </c>
      <c r="AE431" s="35">
        <f t="shared" si="135"/>
        <v>0</v>
      </c>
      <c r="AF431" s="35">
        <f t="shared" si="135"/>
        <v>0</v>
      </c>
      <c r="AG431" s="35">
        <f t="shared" si="135"/>
        <v>0</v>
      </c>
      <c r="AH431" s="35">
        <f t="shared" si="135"/>
        <v>0</v>
      </c>
      <c r="AI431" s="72">
        <f t="shared" si="128"/>
        <v>0</v>
      </c>
    </row>
    <row r="432" spans="1:35" outlineLevel="2" x14ac:dyDescent="0.2">
      <c r="A432" s="19"/>
      <c r="B432" s="41" t="s">
        <v>708</v>
      </c>
      <c r="C432" s="13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72">
        <f t="shared" si="128"/>
        <v>0</v>
      </c>
    </row>
    <row r="433" spans="1:35" outlineLevel="2" x14ac:dyDescent="0.2">
      <c r="A433" s="19"/>
      <c r="B433" s="41" t="s">
        <v>709</v>
      </c>
      <c r="C433" s="13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72">
        <f t="shared" si="128"/>
        <v>0</v>
      </c>
    </row>
    <row r="434" spans="1:35" outlineLevel="2" x14ac:dyDescent="0.2">
      <c r="A434" s="19"/>
      <c r="B434" s="41" t="s">
        <v>710</v>
      </c>
      <c r="C434" s="13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72">
        <f t="shared" si="128"/>
        <v>0</v>
      </c>
    </row>
    <row r="435" spans="1:35" outlineLevel="2" x14ac:dyDescent="0.2">
      <c r="A435" s="19" t="s">
        <v>285</v>
      </c>
      <c r="B435" s="19" t="s">
        <v>286</v>
      </c>
      <c r="C435" s="13" t="s">
        <v>287</v>
      </c>
      <c r="D435" s="35">
        <f>SUM(D436:D438)</f>
        <v>0</v>
      </c>
      <c r="E435" s="35">
        <f t="shared" ref="E435:AH435" si="136">SUM(E436:E438)</f>
        <v>0</v>
      </c>
      <c r="F435" s="35">
        <f t="shared" si="136"/>
        <v>0</v>
      </c>
      <c r="G435" s="35">
        <f t="shared" si="136"/>
        <v>0</v>
      </c>
      <c r="H435" s="35">
        <f t="shared" si="136"/>
        <v>0</v>
      </c>
      <c r="I435" s="35">
        <f t="shared" si="136"/>
        <v>0</v>
      </c>
      <c r="J435" s="35">
        <f t="shared" si="136"/>
        <v>0</v>
      </c>
      <c r="K435" s="35">
        <f t="shared" si="136"/>
        <v>0</v>
      </c>
      <c r="L435" s="35">
        <f t="shared" si="136"/>
        <v>0</v>
      </c>
      <c r="M435" s="35">
        <f t="shared" si="136"/>
        <v>0</v>
      </c>
      <c r="N435" s="35">
        <f t="shared" si="136"/>
        <v>0</v>
      </c>
      <c r="O435" s="35">
        <f t="shared" si="136"/>
        <v>0</v>
      </c>
      <c r="P435" s="35">
        <f t="shared" si="136"/>
        <v>0</v>
      </c>
      <c r="Q435" s="35">
        <f t="shared" si="136"/>
        <v>0</v>
      </c>
      <c r="R435" s="35">
        <f t="shared" si="136"/>
        <v>0</v>
      </c>
      <c r="S435" s="35">
        <f t="shared" si="136"/>
        <v>0</v>
      </c>
      <c r="T435" s="35">
        <f t="shared" si="136"/>
        <v>0</v>
      </c>
      <c r="U435" s="35">
        <f t="shared" si="136"/>
        <v>0</v>
      </c>
      <c r="V435" s="35">
        <f t="shared" si="136"/>
        <v>0</v>
      </c>
      <c r="W435" s="35">
        <f t="shared" si="136"/>
        <v>0</v>
      </c>
      <c r="X435" s="35">
        <f t="shared" si="136"/>
        <v>0</v>
      </c>
      <c r="Y435" s="35">
        <f t="shared" si="136"/>
        <v>0</v>
      </c>
      <c r="Z435" s="35">
        <f t="shared" si="136"/>
        <v>0</v>
      </c>
      <c r="AA435" s="35">
        <f t="shared" si="136"/>
        <v>0</v>
      </c>
      <c r="AB435" s="35">
        <f t="shared" si="136"/>
        <v>0</v>
      </c>
      <c r="AC435" s="35">
        <f t="shared" si="136"/>
        <v>0</v>
      </c>
      <c r="AD435" s="35">
        <f t="shared" si="136"/>
        <v>0</v>
      </c>
      <c r="AE435" s="35">
        <f t="shared" si="136"/>
        <v>0</v>
      </c>
      <c r="AF435" s="35">
        <f t="shared" si="136"/>
        <v>0</v>
      </c>
      <c r="AG435" s="35">
        <f t="shared" si="136"/>
        <v>0</v>
      </c>
      <c r="AH435" s="35">
        <f t="shared" si="136"/>
        <v>0</v>
      </c>
      <c r="AI435" s="72">
        <f t="shared" si="128"/>
        <v>0</v>
      </c>
    </row>
    <row r="436" spans="1:35" outlineLevel="2" x14ac:dyDescent="0.2">
      <c r="A436" s="19"/>
      <c r="B436" s="41" t="s">
        <v>708</v>
      </c>
      <c r="C436" s="13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D436" s="50"/>
      <c r="AE436" s="50"/>
      <c r="AF436" s="50"/>
      <c r="AG436" s="50"/>
      <c r="AH436" s="50"/>
      <c r="AI436" s="72">
        <f t="shared" si="128"/>
        <v>0</v>
      </c>
    </row>
    <row r="437" spans="1:35" outlineLevel="2" x14ac:dyDescent="0.2">
      <c r="A437" s="19"/>
      <c r="B437" s="41" t="s">
        <v>709</v>
      </c>
      <c r="C437" s="13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D437" s="50"/>
      <c r="AE437" s="50"/>
      <c r="AF437" s="50"/>
      <c r="AG437" s="50"/>
      <c r="AH437" s="50"/>
      <c r="AI437" s="72">
        <f t="shared" si="128"/>
        <v>0</v>
      </c>
    </row>
    <row r="438" spans="1:35" outlineLevel="2" x14ac:dyDescent="0.2">
      <c r="A438" s="19"/>
      <c r="B438" s="41" t="s">
        <v>710</v>
      </c>
      <c r="C438" s="13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D438" s="50"/>
      <c r="AE438" s="50"/>
      <c r="AF438" s="50"/>
      <c r="AG438" s="50"/>
      <c r="AH438" s="50"/>
      <c r="AI438" s="72">
        <f t="shared" si="128"/>
        <v>0</v>
      </c>
    </row>
    <row r="439" spans="1:35" outlineLevel="2" x14ac:dyDescent="0.2">
      <c r="A439" s="19" t="s">
        <v>288</v>
      </c>
      <c r="B439" s="19" t="s">
        <v>289</v>
      </c>
      <c r="C439" s="13" t="s">
        <v>290</v>
      </c>
      <c r="D439" s="35">
        <f>SUM(D440:D442)</f>
        <v>0</v>
      </c>
      <c r="E439" s="35">
        <f t="shared" ref="E439:AH439" si="137">SUM(E440:E442)</f>
        <v>0</v>
      </c>
      <c r="F439" s="35">
        <f t="shared" si="137"/>
        <v>0</v>
      </c>
      <c r="G439" s="35">
        <f t="shared" si="137"/>
        <v>0</v>
      </c>
      <c r="H439" s="35">
        <f t="shared" si="137"/>
        <v>0</v>
      </c>
      <c r="I439" s="35">
        <f t="shared" si="137"/>
        <v>0</v>
      </c>
      <c r="J439" s="35">
        <f t="shared" si="137"/>
        <v>0</v>
      </c>
      <c r="K439" s="35">
        <f t="shared" si="137"/>
        <v>0</v>
      </c>
      <c r="L439" s="35">
        <f t="shared" si="137"/>
        <v>0</v>
      </c>
      <c r="M439" s="35">
        <f t="shared" si="137"/>
        <v>0</v>
      </c>
      <c r="N439" s="35">
        <f t="shared" si="137"/>
        <v>0</v>
      </c>
      <c r="O439" s="35">
        <f t="shared" si="137"/>
        <v>0</v>
      </c>
      <c r="P439" s="35">
        <f t="shared" si="137"/>
        <v>0</v>
      </c>
      <c r="Q439" s="35">
        <f t="shared" si="137"/>
        <v>0</v>
      </c>
      <c r="R439" s="35">
        <f t="shared" si="137"/>
        <v>0</v>
      </c>
      <c r="S439" s="35">
        <f t="shared" si="137"/>
        <v>0</v>
      </c>
      <c r="T439" s="35">
        <f t="shared" si="137"/>
        <v>0</v>
      </c>
      <c r="U439" s="35">
        <f t="shared" si="137"/>
        <v>0</v>
      </c>
      <c r="V439" s="35">
        <f t="shared" si="137"/>
        <v>0</v>
      </c>
      <c r="W439" s="35">
        <f t="shared" si="137"/>
        <v>0</v>
      </c>
      <c r="X439" s="35">
        <f t="shared" si="137"/>
        <v>0</v>
      </c>
      <c r="Y439" s="35">
        <f t="shared" si="137"/>
        <v>0</v>
      </c>
      <c r="Z439" s="35">
        <f t="shared" si="137"/>
        <v>0</v>
      </c>
      <c r="AA439" s="35">
        <f t="shared" si="137"/>
        <v>0</v>
      </c>
      <c r="AB439" s="35">
        <f t="shared" si="137"/>
        <v>0</v>
      </c>
      <c r="AC439" s="35">
        <f t="shared" si="137"/>
        <v>0</v>
      </c>
      <c r="AD439" s="35">
        <f t="shared" si="137"/>
        <v>0</v>
      </c>
      <c r="AE439" s="35">
        <f t="shared" si="137"/>
        <v>0</v>
      </c>
      <c r="AF439" s="35">
        <f t="shared" si="137"/>
        <v>0</v>
      </c>
      <c r="AG439" s="35">
        <f t="shared" si="137"/>
        <v>0</v>
      </c>
      <c r="AH439" s="35">
        <f t="shared" si="137"/>
        <v>0</v>
      </c>
      <c r="AI439" s="72">
        <f t="shared" si="128"/>
        <v>0</v>
      </c>
    </row>
    <row r="440" spans="1:35" outlineLevel="2" x14ac:dyDescent="0.2">
      <c r="A440" s="19"/>
      <c r="B440" s="41" t="s">
        <v>708</v>
      </c>
      <c r="C440" s="13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72">
        <f t="shared" si="128"/>
        <v>0</v>
      </c>
    </row>
    <row r="441" spans="1:35" outlineLevel="2" x14ac:dyDescent="0.2">
      <c r="A441" s="19"/>
      <c r="B441" s="41" t="s">
        <v>709</v>
      </c>
      <c r="C441" s="13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72">
        <f t="shared" si="128"/>
        <v>0</v>
      </c>
    </row>
    <row r="442" spans="1:35" outlineLevel="2" x14ac:dyDescent="0.2">
      <c r="A442" s="19"/>
      <c r="B442" s="41" t="s">
        <v>710</v>
      </c>
      <c r="C442" s="13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D442" s="50"/>
      <c r="AE442" s="50"/>
      <c r="AF442" s="50"/>
      <c r="AG442" s="50"/>
      <c r="AH442" s="50"/>
      <c r="AI442" s="72">
        <f t="shared" si="128"/>
        <v>0</v>
      </c>
    </row>
    <row r="443" spans="1:35" outlineLevel="2" x14ac:dyDescent="0.2">
      <c r="A443" s="19" t="s">
        <v>291</v>
      </c>
      <c r="B443" s="19" t="s">
        <v>292</v>
      </c>
      <c r="C443" s="13" t="s">
        <v>293</v>
      </c>
      <c r="D443" s="35">
        <f>SUM(D444:D446)</f>
        <v>0</v>
      </c>
      <c r="E443" s="35">
        <f t="shared" ref="E443:AH443" si="138">SUM(E444:E446)</f>
        <v>0</v>
      </c>
      <c r="F443" s="35">
        <f t="shared" si="138"/>
        <v>0</v>
      </c>
      <c r="G443" s="35">
        <f t="shared" si="138"/>
        <v>0</v>
      </c>
      <c r="H443" s="35">
        <f t="shared" si="138"/>
        <v>0</v>
      </c>
      <c r="I443" s="35">
        <f t="shared" si="138"/>
        <v>0</v>
      </c>
      <c r="J443" s="35">
        <f t="shared" si="138"/>
        <v>0</v>
      </c>
      <c r="K443" s="35">
        <f t="shared" si="138"/>
        <v>0</v>
      </c>
      <c r="L443" s="35">
        <f t="shared" si="138"/>
        <v>0</v>
      </c>
      <c r="M443" s="35">
        <f t="shared" si="138"/>
        <v>0</v>
      </c>
      <c r="N443" s="35">
        <f t="shared" si="138"/>
        <v>0</v>
      </c>
      <c r="O443" s="35">
        <f t="shared" si="138"/>
        <v>0</v>
      </c>
      <c r="P443" s="35">
        <f t="shared" si="138"/>
        <v>0</v>
      </c>
      <c r="Q443" s="35">
        <f t="shared" si="138"/>
        <v>0</v>
      </c>
      <c r="R443" s="35">
        <f t="shared" si="138"/>
        <v>0</v>
      </c>
      <c r="S443" s="35">
        <f t="shared" si="138"/>
        <v>0</v>
      </c>
      <c r="T443" s="35">
        <f t="shared" si="138"/>
        <v>0</v>
      </c>
      <c r="U443" s="35">
        <f t="shared" si="138"/>
        <v>0</v>
      </c>
      <c r="V443" s="35">
        <f t="shared" si="138"/>
        <v>0</v>
      </c>
      <c r="W443" s="35">
        <f t="shared" si="138"/>
        <v>0</v>
      </c>
      <c r="X443" s="35">
        <f t="shared" si="138"/>
        <v>0</v>
      </c>
      <c r="Y443" s="35">
        <f t="shared" si="138"/>
        <v>0</v>
      </c>
      <c r="Z443" s="35">
        <f t="shared" si="138"/>
        <v>0</v>
      </c>
      <c r="AA443" s="35">
        <f t="shared" si="138"/>
        <v>0</v>
      </c>
      <c r="AB443" s="35">
        <f t="shared" si="138"/>
        <v>0</v>
      </c>
      <c r="AC443" s="35">
        <f t="shared" si="138"/>
        <v>0</v>
      </c>
      <c r="AD443" s="35">
        <f t="shared" si="138"/>
        <v>0</v>
      </c>
      <c r="AE443" s="35">
        <f t="shared" si="138"/>
        <v>0</v>
      </c>
      <c r="AF443" s="35">
        <f t="shared" si="138"/>
        <v>0</v>
      </c>
      <c r="AG443" s="35">
        <f t="shared" si="138"/>
        <v>0</v>
      </c>
      <c r="AH443" s="35">
        <f t="shared" si="138"/>
        <v>0</v>
      </c>
      <c r="AI443" s="72">
        <f t="shared" si="128"/>
        <v>0</v>
      </c>
    </row>
    <row r="444" spans="1:35" outlineLevel="2" x14ac:dyDescent="0.2">
      <c r="A444" s="19"/>
      <c r="B444" s="41" t="s">
        <v>708</v>
      </c>
      <c r="C444" s="13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D444" s="50"/>
      <c r="AE444" s="50"/>
      <c r="AF444" s="50"/>
      <c r="AG444" s="50"/>
      <c r="AH444" s="50"/>
      <c r="AI444" s="72">
        <f t="shared" si="128"/>
        <v>0</v>
      </c>
    </row>
    <row r="445" spans="1:35" outlineLevel="2" x14ac:dyDescent="0.2">
      <c r="A445" s="19"/>
      <c r="B445" s="41" t="s">
        <v>709</v>
      </c>
      <c r="C445" s="13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72">
        <f t="shared" si="128"/>
        <v>0</v>
      </c>
    </row>
    <row r="446" spans="1:35" outlineLevel="2" x14ac:dyDescent="0.2">
      <c r="A446" s="19"/>
      <c r="B446" s="41" t="s">
        <v>710</v>
      </c>
      <c r="C446" s="13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72">
        <f t="shared" si="128"/>
        <v>0</v>
      </c>
    </row>
    <row r="447" spans="1:35" outlineLevel="2" x14ac:dyDescent="0.2">
      <c r="A447" s="19" t="s">
        <v>294</v>
      </c>
      <c r="B447" s="19" t="s">
        <v>295</v>
      </c>
      <c r="C447" s="13" t="s">
        <v>296</v>
      </c>
      <c r="D447" s="35">
        <f>SUM(D448:D450)</f>
        <v>0</v>
      </c>
      <c r="E447" s="35">
        <f t="shared" ref="E447:AH447" si="139">SUM(E448:E450)</f>
        <v>0</v>
      </c>
      <c r="F447" s="35">
        <f t="shared" si="139"/>
        <v>0</v>
      </c>
      <c r="G447" s="35">
        <f t="shared" si="139"/>
        <v>0</v>
      </c>
      <c r="H447" s="35">
        <f t="shared" si="139"/>
        <v>0</v>
      </c>
      <c r="I447" s="35">
        <f t="shared" si="139"/>
        <v>0</v>
      </c>
      <c r="J447" s="35">
        <f t="shared" si="139"/>
        <v>0</v>
      </c>
      <c r="K447" s="35">
        <f t="shared" si="139"/>
        <v>0</v>
      </c>
      <c r="L447" s="35">
        <f t="shared" si="139"/>
        <v>0</v>
      </c>
      <c r="M447" s="35">
        <f t="shared" si="139"/>
        <v>0</v>
      </c>
      <c r="N447" s="35">
        <f t="shared" si="139"/>
        <v>0</v>
      </c>
      <c r="O447" s="35">
        <f t="shared" si="139"/>
        <v>0</v>
      </c>
      <c r="P447" s="35">
        <f t="shared" si="139"/>
        <v>0</v>
      </c>
      <c r="Q447" s="35">
        <f t="shared" si="139"/>
        <v>0</v>
      </c>
      <c r="R447" s="35">
        <f t="shared" si="139"/>
        <v>0</v>
      </c>
      <c r="S447" s="35">
        <f t="shared" si="139"/>
        <v>0</v>
      </c>
      <c r="T447" s="35">
        <f t="shared" si="139"/>
        <v>0</v>
      </c>
      <c r="U447" s="35">
        <f t="shared" si="139"/>
        <v>0</v>
      </c>
      <c r="V447" s="35">
        <f t="shared" si="139"/>
        <v>0</v>
      </c>
      <c r="W447" s="35">
        <f t="shared" si="139"/>
        <v>0</v>
      </c>
      <c r="X447" s="35">
        <f t="shared" si="139"/>
        <v>0</v>
      </c>
      <c r="Y447" s="35">
        <f t="shared" si="139"/>
        <v>0</v>
      </c>
      <c r="Z447" s="35">
        <f t="shared" si="139"/>
        <v>0</v>
      </c>
      <c r="AA447" s="35">
        <f t="shared" si="139"/>
        <v>0</v>
      </c>
      <c r="AB447" s="35">
        <f t="shared" si="139"/>
        <v>0</v>
      </c>
      <c r="AC447" s="35">
        <f t="shared" si="139"/>
        <v>0</v>
      </c>
      <c r="AD447" s="35">
        <f t="shared" si="139"/>
        <v>0</v>
      </c>
      <c r="AE447" s="35">
        <f t="shared" si="139"/>
        <v>0</v>
      </c>
      <c r="AF447" s="35">
        <f t="shared" si="139"/>
        <v>0</v>
      </c>
      <c r="AG447" s="35">
        <f t="shared" si="139"/>
        <v>0</v>
      </c>
      <c r="AH447" s="35">
        <f t="shared" si="139"/>
        <v>0</v>
      </c>
      <c r="AI447" s="72">
        <f t="shared" si="128"/>
        <v>0</v>
      </c>
    </row>
    <row r="448" spans="1:35" outlineLevel="2" x14ac:dyDescent="0.2">
      <c r="A448" s="19"/>
      <c r="B448" s="41" t="s">
        <v>708</v>
      </c>
      <c r="C448" s="13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D448" s="50"/>
      <c r="AE448" s="50"/>
      <c r="AF448" s="50"/>
      <c r="AG448" s="50"/>
      <c r="AH448" s="50"/>
      <c r="AI448" s="72">
        <f t="shared" si="128"/>
        <v>0</v>
      </c>
    </row>
    <row r="449" spans="1:35" outlineLevel="2" x14ac:dyDescent="0.2">
      <c r="A449" s="19"/>
      <c r="B449" s="41" t="s">
        <v>709</v>
      </c>
      <c r="C449" s="13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D449" s="50"/>
      <c r="AE449" s="50"/>
      <c r="AF449" s="50"/>
      <c r="AG449" s="50"/>
      <c r="AH449" s="50"/>
      <c r="AI449" s="72">
        <f t="shared" si="128"/>
        <v>0</v>
      </c>
    </row>
    <row r="450" spans="1:35" outlineLevel="2" x14ac:dyDescent="0.2">
      <c r="A450" s="19"/>
      <c r="B450" s="41" t="s">
        <v>710</v>
      </c>
      <c r="C450" s="13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72">
        <f t="shared" si="128"/>
        <v>0</v>
      </c>
    </row>
    <row r="451" spans="1:35" outlineLevel="2" x14ac:dyDescent="0.2">
      <c r="A451" s="19" t="s">
        <v>297</v>
      </c>
      <c r="B451" s="19" t="s">
        <v>298</v>
      </c>
      <c r="C451" s="13" t="s">
        <v>299</v>
      </c>
      <c r="D451" s="35">
        <f>SUM(D452:D454)</f>
        <v>0</v>
      </c>
      <c r="E451" s="35">
        <f t="shared" ref="E451:AH451" si="140">SUM(E452:E454)</f>
        <v>0</v>
      </c>
      <c r="F451" s="35">
        <f t="shared" si="140"/>
        <v>0</v>
      </c>
      <c r="G451" s="35">
        <f t="shared" si="140"/>
        <v>0</v>
      </c>
      <c r="H451" s="35">
        <f t="shared" si="140"/>
        <v>0</v>
      </c>
      <c r="I451" s="35">
        <f t="shared" si="140"/>
        <v>0</v>
      </c>
      <c r="J451" s="35">
        <f t="shared" si="140"/>
        <v>0</v>
      </c>
      <c r="K451" s="35">
        <f t="shared" si="140"/>
        <v>0</v>
      </c>
      <c r="L451" s="35">
        <f t="shared" si="140"/>
        <v>0</v>
      </c>
      <c r="M451" s="35">
        <f t="shared" si="140"/>
        <v>0</v>
      </c>
      <c r="N451" s="35">
        <f t="shared" si="140"/>
        <v>0</v>
      </c>
      <c r="O451" s="35">
        <f t="shared" si="140"/>
        <v>0</v>
      </c>
      <c r="P451" s="35">
        <f t="shared" si="140"/>
        <v>0</v>
      </c>
      <c r="Q451" s="35">
        <f t="shared" si="140"/>
        <v>0</v>
      </c>
      <c r="R451" s="35">
        <f t="shared" si="140"/>
        <v>0</v>
      </c>
      <c r="S451" s="35">
        <f t="shared" si="140"/>
        <v>0</v>
      </c>
      <c r="T451" s="35">
        <f t="shared" si="140"/>
        <v>0</v>
      </c>
      <c r="U451" s="35">
        <f t="shared" si="140"/>
        <v>0</v>
      </c>
      <c r="V451" s="35">
        <f t="shared" si="140"/>
        <v>0</v>
      </c>
      <c r="W451" s="35">
        <f t="shared" si="140"/>
        <v>0</v>
      </c>
      <c r="X451" s="35">
        <f t="shared" si="140"/>
        <v>0</v>
      </c>
      <c r="Y451" s="35">
        <f t="shared" si="140"/>
        <v>0</v>
      </c>
      <c r="Z451" s="35">
        <f t="shared" si="140"/>
        <v>0</v>
      </c>
      <c r="AA451" s="35">
        <f t="shared" si="140"/>
        <v>0</v>
      </c>
      <c r="AB451" s="35">
        <f t="shared" si="140"/>
        <v>0</v>
      </c>
      <c r="AC451" s="35">
        <f t="shared" si="140"/>
        <v>0</v>
      </c>
      <c r="AD451" s="35">
        <f t="shared" si="140"/>
        <v>0</v>
      </c>
      <c r="AE451" s="35">
        <f t="shared" si="140"/>
        <v>0</v>
      </c>
      <c r="AF451" s="35">
        <f t="shared" si="140"/>
        <v>0</v>
      </c>
      <c r="AG451" s="35">
        <f t="shared" si="140"/>
        <v>0</v>
      </c>
      <c r="AH451" s="35">
        <f t="shared" si="140"/>
        <v>0</v>
      </c>
      <c r="AI451" s="72">
        <f t="shared" si="128"/>
        <v>0</v>
      </c>
    </row>
    <row r="452" spans="1:35" outlineLevel="2" x14ac:dyDescent="0.2">
      <c r="A452" s="19"/>
      <c r="B452" s="41" t="s">
        <v>708</v>
      </c>
      <c r="C452" s="13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D452" s="50"/>
      <c r="AE452" s="50"/>
      <c r="AF452" s="50"/>
      <c r="AG452" s="50"/>
      <c r="AH452" s="50"/>
      <c r="AI452" s="72">
        <f t="shared" si="128"/>
        <v>0</v>
      </c>
    </row>
    <row r="453" spans="1:35" outlineLevel="2" x14ac:dyDescent="0.2">
      <c r="A453" s="19"/>
      <c r="B453" s="41" t="s">
        <v>709</v>
      </c>
      <c r="C453" s="13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D453" s="50"/>
      <c r="AE453" s="50"/>
      <c r="AF453" s="50"/>
      <c r="AG453" s="50"/>
      <c r="AH453" s="50"/>
      <c r="AI453" s="72">
        <f t="shared" si="128"/>
        <v>0</v>
      </c>
    </row>
    <row r="454" spans="1:35" outlineLevel="2" x14ac:dyDescent="0.2">
      <c r="A454" s="19"/>
      <c r="B454" s="41" t="s">
        <v>710</v>
      </c>
      <c r="C454" s="13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D454" s="50"/>
      <c r="AE454" s="50"/>
      <c r="AF454" s="50"/>
      <c r="AG454" s="50"/>
      <c r="AH454" s="50"/>
      <c r="AI454" s="72">
        <f t="shared" si="128"/>
        <v>0</v>
      </c>
    </row>
    <row r="455" spans="1:35" outlineLevel="2" x14ac:dyDescent="0.2">
      <c r="A455" s="19" t="s">
        <v>300</v>
      </c>
      <c r="B455" s="19" t="s">
        <v>301</v>
      </c>
      <c r="C455" s="13" t="s">
        <v>302</v>
      </c>
      <c r="D455" s="35">
        <f>SUM(D456:D458)</f>
        <v>0</v>
      </c>
      <c r="E455" s="35">
        <f t="shared" ref="E455:AH455" si="141">SUM(E456:E458)</f>
        <v>0</v>
      </c>
      <c r="F455" s="35">
        <f t="shared" si="141"/>
        <v>0</v>
      </c>
      <c r="G455" s="35">
        <f t="shared" si="141"/>
        <v>0</v>
      </c>
      <c r="H455" s="35">
        <f t="shared" si="141"/>
        <v>0</v>
      </c>
      <c r="I455" s="35">
        <f t="shared" si="141"/>
        <v>0</v>
      </c>
      <c r="J455" s="35">
        <f t="shared" si="141"/>
        <v>0</v>
      </c>
      <c r="K455" s="35">
        <f t="shared" si="141"/>
        <v>0</v>
      </c>
      <c r="L455" s="35">
        <f t="shared" si="141"/>
        <v>0</v>
      </c>
      <c r="M455" s="35">
        <f t="shared" si="141"/>
        <v>0</v>
      </c>
      <c r="N455" s="35">
        <f t="shared" si="141"/>
        <v>0</v>
      </c>
      <c r="O455" s="35">
        <f t="shared" si="141"/>
        <v>0</v>
      </c>
      <c r="P455" s="35">
        <f t="shared" si="141"/>
        <v>0</v>
      </c>
      <c r="Q455" s="35">
        <f t="shared" si="141"/>
        <v>0</v>
      </c>
      <c r="R455" s="35">
        <f t="shared" si="141"/>
        <v>0</v>
      </c>
      <c r="S455" s="35">
        <f t="shared" si="141"/>
        <v>0</v>
      </c>
      <c r="T455" s="35">
        <f t="shared" si="141"/>
        <v>0</v>
      </c>
      <c r="U455" s="35">
        <f t="shared" si="141"/>
        <v>0</v>
      </c>
      <c r="V455" s="35">
        <f t="shared" si="141"/>
        <v>0</v>
      </c>
      <c r="W455" s="35">
        <f t="shared" si="141"/>
        <v>0</v>
      </c>
      <c r="X455" s="35">
        <f t="shared" si="141"/>
        <v>0</v>
      </c>
      <c r="Y455" s="35">
        <f t="shared" si="141"/>
        <v>0</v>
      </c>
      <c r="Z455" s="35">
        <f t="shared" si="141"/>
        <v>0</v>
      </c>
      <c r="AA455" s="35">
        <f t="shared" si="141"/>
        <v>0</v>
      </c>
      <c r="AB455" s="35">
        <f t="shared" si="141"/>
        <v>0</v>
      </c>
      <c r="AC455" s="35">
        <f t="shared" si="141"/>
        <v>0</v>
      </c>
      <c r="AD455" s="35">
        <f t="shared" si="141"/>
        <v>0</v>
      </c>
      <c r="AE455" s="35">
        <f t="shared" si="141"/>
        <v>0</v>
      </c>
      <c r="AF455" s="35">
        <f t="shared" si="141"/>
        <v>0</v>
      </c>
      <c r="AG455" s="35">
        <f t="shared" si="141"/>
        <v>0</v>
      </c>
      <c r="AH455" s="35">
        <f t="shared" si="141"/>
        <v>0</v>
      </c>
      <c r="AI455" s="72">
        <f t="shared" si="128"/>
        <v>0</v>
      </c>
    </row>
    <row r="456" spans="1:35" outlineLevel="2" x14ac:dyDescent="0.2">
      <c r="A456" s="19"/>
      <c r="B456" s="41" t="s">
        <v>708</v>
      </c>
      <c r="C456" s="13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72">
        <f t="shared" si="128"/>
        <v>0</v>
      </c>
    </row>
    <row r="457" spans="1:35" outlineLevel="2" x14ac:dyDescent="0.2">
      <c r="A457" s="19"/>
      <c r="B457" s="41" t="s">
        <v>709</v>
      </c>
      <c r="C457" s="13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D457" s="50"/>
      <c r="AE457" s="50"/>
      <c r="AF457" s="50"/>
      <c r="AG457" s="50"/>
      <c r="AH457" s="50"/>
      <c r="AI457" s="72">
        <f t="shared" si="128"/>
        <v>0</v>
      </c>
    </row>
    <row r="458" spans="1:35" outlineLevel="2" x14ac:dyDescent="0.2">
      <c r="A458" s="19"/>
      <c r="B458" s="41" t="s">
        <v>710</v>
      </c>
      <c r="C458" s="13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D458" s="50"/>
      <c r="AE458" s="50"/>
      <c r="AF458" s="50"/>
      <c r="AG458" s="50"/>
      <c r="AH458" s="50"/>
      <c r="AI458" s="72">
        <f t="shared" si="128"/>
        <v>0</v>
      </c>
    </row>
    <row r="459" spans="1:35" outlineLevel="2" x14ac:dyDescent="0.2">
      <c r="A459" s="19" t="s">
        <v>303</v>
      </c>
      <c r="B459" s="19" t="s">
        <v>304</v>
      </c>
      <c r="C459" s="13" t="s">
        <v>305</v>
      </c>
      <c r="D459" s="35">
        <f>SUM(D460:D462)</f>
        <v>0</v>
      </c>
      <c r="E459" s="35">
        <f t="shared" ref="E459:AH459" si="142">SUM(E460:E462)</f>
        <v>0</v>
      </c>
      <c r="F459" s="35">
        <f t="shared" si="142"/>
        <v>0</v>
      </c>
      <c r="G459" s="35">
        <f t="shared" si="142"/>
        <v>0</v>
      </c>
      <c r="H459" s="35">
        <f t="shared" si="142"/>
        <v>0</v>
      </c>
      <c r="I459" s="35">
        <f t="shared" si="142"/>
        <v>0</v>
      </c>
      <c r="J459" s="35">
        <f t="shared" si="142"/>
        <v>0</v>
      </c>
      <c r="K459" s="35">
        <f t="shared" si="142"/>
        <v>0</v>
      </c>
      <c r="L459" s="35">
        <f t="shared" si="142"/>
        <v>0</v>
      </c>
      <c r="M459" s="35">
        <f t="shared" si="142"/>
        <v>0</v>
      </c>
      <c r="N459" s="35">
        <f t="shared" si="142"/>
        <v>0</v>
      </c>
      <c r="O459" s="35">
        <f t="shared" si="142"/>
        <v>0</v>
      </c>
      <c r="P459" s="35">
        <f t="shared" si="142"/>
        <v>0</v>
      </c>
      <c r="Q459" s="35">
        <f t="shared" si="142"/>
        <v>0</v>
      </c>
      <c r="R459" s="35">
        <f t="shared" si="142"/>
        <v>0</v>
      </c>
      <c r="S459" s="35">
        <f t="shared" si="142"/>
        <v>0</v>
      </c>
      <c r="T459" s="35">
        <f t="shared" si="142"/>
        <v>0</v>
      </c>
      <c r="U459" s="35">
        <f t="shared" si="142"/>
        <v>0</v>
      </c>
      <c r="V459" s="35">
        <f t="shared" si="142"/>
        <v>0</v>
      </c>
      <c r="W459" s="35">
        <f t="shared" si="142"/>
        <v>0</v>
      </c>
      <c r="X459" s="35">
        <f t="shared" si="142"/>
        <v>0</v>
      </c>
      <c r="Y459" s="35">
        <f t="shared" si="142"/>
        <v>0</v>
      </c>
      <c r="Z459" s="35">
        <f t="shared" si="142"/>
        <v>0</v>
      </c>
      <c r="AA459" s="35">
        <f t="shared" si="142"/>
        <v>0</v>
      </c>
      <c r="AB459" s="35">
        <f t="shared" si="142"/>
        <v>0</v>
      </c>
      <c r="AC459" s="35">
        <f t="shared" si="142"/>
        <v>0</v>
      </c>
      <c r="AD459" s="35">
        <f t="shared" si="142"/>
        <v>0</v>
      </c>
      <c r="AE459" s="35">
        <f t="shared" si="142"/>
        <v>0</v>
      </c>
      <c r="AF459" s="35">
        <f t="shared" si="142"/>
        <v>0</v>
      </c>
      <c r="AG459" s="35">
        <f t="shared" si="142"/>
        <v>0</v>
      </c>
      <c r="AH459" s="35">
        <f t="shared" si="142"/>
        <v>0</v>
      </c>
      <c r="AI459" s="72">
        <f t="shared" si="128"/>
        <v>0</v>
      </c>
    </row>
    <row r="460" spans="1:35" outlineLevel="2" x14ac:dyDescent="0.2">
      <c r="A460" s="19"/>
      <c r="B460" s="41" t="s">
        <v>708</v>
      </c>
      <c r="C460" s="13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72">
        <f t="shared" si="128"/>
        <v>0</v>
      </c>
    </row>
    <row r="461" spans="1:35" outlineLevel="2" x14ac:dyDescent="0.2">
      <c r="A461" s="19"/>
      <c r="B461" s="41" t="s">
        <v>709</v>
      </c>
      <c r="C461" s="13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D461" s="50"/>
      <c r="AE461" s="50"/>
      <c r="AF461" s="50"/>
      <c r="AG461" s="50"/>
      <c r="AH461" s="50"/>
      <c r="AI461" s="72">
        <f t="shared" si="128"/>
        <v>0</v>
      </c>
    </row>
    <row r="462" spans="1:35" outlineLevel="2" x14ac:dyDescent="0.2">
      <c r="A462" s="19"/>
      <c r="B462" s="41" t="s">
        <v>710</v>
      </c>
      <c r="C462" s="13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72">
        <f t="shared" si="128"/>
        <v>0</v>
      </c>
    </row>
    <row r="463" spans="1:35" outlineLevel="2" x14ac:dyDescent="0.2">
      <c r="A463" s="19" t="s">
        <v>306</v>
      </c>
      <c r="B463" s="19" t="s">
        <v>360</v>
      </c>
      <c r="C463" s="13">
        <v>2221516000</v>
      </c>
      <c r="D463" s="35">
        <f>SUM(D464:D466)</f>
        <v>0</v>
      </c>
      <c r="E463" s="35">
        <f t="shared" ref="E463:AH463" si="143">SUM(E464:E466)</f>
        <v>0</v>
      </c>
      <c r="F463" s="35">
        <f t="shared" si="143"/>
        <v>0</v>
      </c>
      <c r="G463" s="35">
        <f t="shared" si="143"/>
        <v>0</v>
      </c>
      <c r="H463" s="35">
        <f t="shared" si="143"/>
        <v>0</v>
      </c>
      <c r="I463" s="35">
        <f t="shared" si="143"/>
        <v>0</v>
      </c>
      <c r="J463" s="35">
        <f t="shared" si="143"/>
        <v>0</v>
      </c>
      <c r="K463" s="35">
        <f t="shared" si="143"/>
        <v>0</v>
      </c>
      <c r="L463" s="35">
        <f t="shared" si="143"/>
        <v>0</v>
      </c>
      <c r="M463" s="35">
        <f t="shared" si="143"/>
        <v>0</v>
      </c>
      <c r="N463" s="35">
        <f t="shared" si="143"/>
        <v>0</v>
      </c>
      <c r="O463" s="35">
        <f t="shared" si="143"/>
        <v>0</v>
      </c>
      <c r="P463" s="35">
        <f t="shared" si="143"/>
        <v>0</v>
      </c>
      <c r="Q463" s="35">
        <f t="shared" si="143"/>
        <v>0</v>
      </c>
      <c r="R463" s="35">
        <f t="shared" si="143"/>
        <v>0</v>
      </c>
      <c r="S463" s="35">
        <f t="shared" si="143"/>
        <v>0</v>
      </c>
      <c r="T463" s="35">
        <f t="shared" si="143"/>
        <v>0</v>
      </c>
      <c r="U463" s="35">
        <f t="shared" si="143"/>
        <v>0</v>
      </c>
      <c r="V463" s="35">
        <f t="shared" si="143"/>
        <v>0</v>
      </c>
      <c r="W463" s="35">
        <f t="shared" si="143"/>
        <v>0</v>
      </c>
      <c r="X463" s="35">
        <f t="shared" si="143"/>
        <v>0</v>
      </c>
      <c r="Y463" s="35">
        <f t="shared" si="143"/>
        <v>0</v>
      </c>
      <c r="Z463" s="35">
        <f t="shared" si="143"/>
        <v>0</v>
      </c>
      <c r="AA463" s="35">
        <f t="shared" si="143"/>
        <v>0</v>
      </c>
      <c r="AB463" s="35">
        <f t="shared" si="143"/>
        <v>0</v>
      </c>
      <c r="AC463" s="35">
        <f t="shared" si="143"/>
        <v>0</v>
      </c>
      <c r="AD463" s="35">
        <f t="shared" si="143"/>
        <v>0</v>
      </c>
      <c r="AE463" s="35">
        <f t="shared" si="143"/>
        <v>0</v>
      </c>
      <c r="AF463" s="35">
        <f t="shared" si="143"/>
        <v>0</v>
      </c>
      <c r="AG463" s="35">
        <f t="shared" si="143"/>
        <v>0</v>
      </c>
      <c r="AH463" s="35">
        <f t="shared" si="143"/>
        <v>0</v>
      </c>
      <c r="AI463" s="72">
        <f t="shared" si="128"/>
        <v>0</v>
      </c>
    </row>
    <row r="464" spans="1:35" outlineLevel="2" x14ac:dyDescent="0.2">
      <c r="A464" s="19"/>
      <c r="B464" s="41" t="s">
        <v>708</v>
      </c>
      <c r="C464" s="13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D464" s="50"/>
      <c r="AE464" s="50"/>
      <c r="AF464" s="50"/>
      <c r="AG464" s="50"/>
      <c r="AH464" s="50"/>
      <c r="AI464" s="72">
        <f t="shared" si="128"/>
        <v>0</v>
      </c>
    </row>
    <row r="465" spans="1:35" outlineLevel="2" x14ac:dyDescent="0.2">
      <c r="A465" s="19"/>
      <c r="B465" s="41" t="s">
        <v>709</v>
      </c>
      <c r="C465" s="13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D465" s="50"/>
      <c r="AE465" s="50"/>
      <c r="AF465" s="50"/>
      <c r="AG465" s="50"/>
      <c r="AH465" s="50"/>
      <c r="AI465" s="72">
        <f t="shared" si="128"/>
        <v>0</v>
      </c>
    </row>
    <row r="466" spans="1:35" outlineLevel="2" x14ac:dyDescent="0.2">
      <c r="A466" s="19"/>
      <c r="B466" s="41" t="s">
        <v>710</v>
      </c>
      <c r="C466" s="13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D466" s="50"/>
      <c r="AE466" s="50"/>
      <c r="AF466" s="50"/>
      <c r="AG466" s="50"/>
      <c r="AH466" s="50"/>
      <c r="AI466" s="72">
        <f t="shared" si="128"/>
        <v>0</v>
      </c>
    </row>
    <row r="467" spans="1:35" outlineLevel="2" x14ac:dyDescent="0.2">
      <c r="A467" s="19" t="s">
        <v>308</v>
      </c>
      <c r="B467" s="19" t="s">
        <v>309</v>
      </c>
      <c r="C467" s="13" t="s">
        <v>310</v>
      </c>
      <c r="D467" s="35">
        <f>SUM(D468:D470)</f>
        <v>0</v>
      </c>
      <c r="E467" s="35">
        <f t="shared" ref="E467:AH467" si="144">SUM(E468:E470)</f>
        <v>0</v>
      </c>
      <c r="F467" s="35">
        <f t="shared" si="144"/>
        <v>0</v>
      </c>
      <c r="G467" s="35">
        <f t="shared" si="144"/>
        <v>0</v>
      </c>
      <c r="H467" s="35">
        <f t="shared" si="144"/>
        <v>0</v>
      </c>
      <c r="I467" s="35">
        <f t="shared" si="144"/>
        <v>0</v>
      </c>
      <c r="J467" s="35">
        <f t="shared" si="144"/>
        <v>0</v>
      </c>
      <c r="K467" s="35">
        <f t="shared" si="144"/>
        <v>0</v>
      </c>
      <c r="L467" s="35">
        <f t="shared" si="144"/>
        <v>0</v>
      </c>
      <c r="M467" s="35">
        <f t="shared" si="144"/>
        <v>0</v>
      </c>
      <c r="N467" s="35">
        <f t="shared" si="144"/>
        <v>0</v>
      </c>
      <c r="O467" s="35">
        <f t="shared" si="144"/>
        <v>0</v>
      </c>
      <c r="P467" s="35">
        <f t="shared" si="144"/>
        <v>0</v>
      </c>
      <c r="Q467" s="35">
        <f t="shared" si="144"/>
        <v>0</v>
      </c>
      <c r="R467" s="35">
        <f t="shared" si="144"/>
        <v>0</v>
      </c>
      <c r="S467" s="35">
        <f t="shared" si="144"/>
        <v>0</v>
      </c>
      <c r="T467" s="35">
        <f t="shared" si="144"/>
        <v>0</v>
      </c>
      <c r="U467" s="35">
        <f t="shared" si="144"/>
        <v>0</v>
      </c>
      <c r="V467" s="35">
        <f t="shared" si="144"/>
        <v>0</v>
      </c>
      <c r="W467" s="35">
        <f t="shared" si="144"/>
        <v>0</v>
      </c>
      <c r="X467" s="35">
        <f t="shared" si="144"/>
        <v>0</v>
      </c>
      <c r="Y467" s="35">
        <f t="shared" si="144"/>
        <v>0</v>
      </c>
      <c r="Z467" s="35">
        <f t="shared" si="144"/>
        <v>0</v>
      </c>
      <c r="AA467" s="35">
        <f t="shared" si="144"/>
        <v>0</v>
      </c>
      <c r="AB467" s="35">
        <f t="shared" si="144"/>
        <v>0</v>
      </c>
      <c r="AC467" s="35">
        <f t="shared" si="144"/>
        <v>0</v>
      </c>
      <c r="AD467" s="35">
        <f t="shared" si="144"/>
        <v>0</v>
      </c>
      <c r="AE467" s="35">
        <f t="shared" si="144"/>
        <v>0</v>
      </c>
      <c r="AF467" s="35">
        <f t="shared" si="144"/>
        <v>0</v>
      </c>
      <c r="AG467" s="35">
        <f t="shared" si="144"/>
        <v>0</v>
      </c>
      <c r="AH467" s="35">
        <f t="shared" si="144"/>
        <v>0</v>
      </c>
      <c r="AI467" s="72">
        <f t="shared" si="128"/>
        <v>0</v>
      </c>
    </row>
    <row r="468" spans="1:35" outlineLevel="2" x14ac:dyDescent="0.2">
      <c r="A468" s="19"/>
      <c r="B468" s="41" t="s">
        <v>708</v>
      </c>
      <c r="C468" s="13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D468" s="50"/>
      <c r="AE468" s="50"/>
      <c r="AF468" s="50"/>
      <c r="AG468" s="50"/>
      <c r="AH468" s="50"/>
      <c r="AI468" s="72">
        <f t="shared" si="128"/>
        <v>0</v>
      </c>
    </row>
    <row r="469" spans="1:35" outlineLevel="2" x14ac:dyDescent="0.2">
      <c r="A469" s="19"/>
      <c r="B469" s="41" t="s">
        <v>709</v>
      </c>
      <c r="C469" s="13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D469" s="50"/>
      <c r="AE469" s="50"/>
      <c r="AF469" s="50"/>
      <c r="AG469" s="50"/>
      <c r="AH469" s="50"/>
      <c r="AI469" s="72">
        <f t="shared" si="128"/>
        <v>0</v>
      </c>
    </row>
    <row r="470" spans="1:35" outlineLevel="2" x14ac:dyDescent="0.2">
      <c r="A470" s="19"/>
      <c r="B470" s="41" t="s">
        <v>710</v>
      </c>
      <c r="C470" s="13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D470" s="50"/>
      <c r="AE470" s="50"/>
      <c r="AF470" s="50"/>
      <c r="AG470" s="50"/>
      <c r="AH470" s="50"/>
      <c r="AI470" s="72">
        <f t="shared" si="128"/>
        <v>0</v>
      </c>
    </row>
    <row r="471" spans="1:35" outlineLevel="1" x14ac:dyDescent="0.2">
      <c r="A471" s="15" t="s">
        <v>311</v>
      </c>
      <c r="B471" s="15" t="s">
        <v>312</v>
      </c>
      <c r="C471" s="13" t="s">
        <v>313</v>
      </c>
      <c r="D471" s="35">
        <f>D472+D476+D480+D484+D488+D492+D496+D500+D504+D508+D512+D516+D520+D524+D528+D532</f>
        <v>0</v>
      </c>
      <c r="E471" s="35">
        <f t="shared" ref="E471:AH471" si="145">E472+E476+E480+E484+E488+E492+E496+E500+E504+E508+E512+E516+E520+E524+E528+E532</f>
        <v>0</v>
      </c>
      <c r="F471" s="35">
        <f t="shared" si="145"/>
        <v>0</v>
      </c>
      <c r="G471" s="35">
        <f t="shared" si="145"/>
        <v>0</v>
      </c>
      <c r="H471" s="35">
        <f t="shared" si="145"/>
        <v>0</v>
      </c>
      <c r="I471" s="35">
        <f t="shared" si="145"/>
        <v>0</v>
      </c>
      <c r="J471" s="35">
        <f t="shared" si="145"/>
        <v>0</v>
      </c>
      <c r="K471" s="35">
        <f t="shared" si="145"/>
        <v>0</v>
      </c>
      <c r="L471" s="35">
        <f t="shared" si="145"/>
        <v>0</v>
      </c>
      <c r="M471" s="35">
        <f t="shared" si="145"/>
        <v>0</v>
      </c>
      <c r="N471" s="35">
        <f t="shared" si="145"/>
        <v>0</v>
      </c>
      <c r="O471" s="35">
        <f t="shared" si="145"/>
        <v>0</v>
      </c>
      <c r="P471" s="35">
        <f t="shared" si="145"/>
        <v>917000</v>
      </c>
      <c r="Q471" s="35">
        <f t="shared" si="145"/>
        <v>0</v>
      </c>
      <c r="R471" s="35">
        <f t="shared" si="145"/>
        <v>0</v>
      </c>
      <c r="S471" s="35">
        <f t="shared" si="145"/>
        <v>0</v>
      </c>
      <c r="T471" s="35">
        <f t="shared" si="145"/>
        <v>18066.059999999998</v>
      </c>
      <c r="U471" s="35">
        <f t="shared" si="145"/>
        <v>4257.63</v>
      </c>
      <c r="V471" s="35">
        <f t="shared" si="145"/>
        <v>150701</v>
      </c>
      <c r="W471" s="35">
        <f t="shared" si="145"/>
        <v>26000</v>
      </c>
      <c r="X471" s="35">
        <f t="shared" si="145"/>
        <v>1618833.8</v>
      </c>
      <c r="Y471" s="35">
        <f t="shared" si="145"/>
        <v>0</v>
      </c>
      <c r="Z471" s="35">
        <f t="shared" si="145"/>
        <v>0</v>
      </c>
      <c r="AA471" s="35">
        <f t="shared" si="145"/>
        <v>3200</v>
      </c>
      <c r="AB471" s="35">
        <f t="shared" si="145"/>
        <v>0</v>
      </c>
      <c r="AC471" s="35">
        <f t="shared" si="145"/>
        <v>472603.76</v>
      </c>
      <c r="AD471" s="35">
        <f t="shared" si="145"/>
        <v>28618</v>
      </c>
      <c r="AE471" s="35">
        <f t="shared" si="145"/>
        <v>140056.18</v>
      </c>
      <c r="AF471" s="35">
        <f t="shared" si="145"/>
        <v>0</v>
      </c>
      <c r="AG471" s="35">
        <f t="shared" si="145"/>
        <v>0</v>
      </c>
      <c r="AH471" s="35">
        <f t="shared" si="145"/>
        <v>132500</v>
      </c>
      <c r="AI471" s="72">
        <f t="shared" si="128"/>
        <v>3511836.43</v>
      </c>
    </row>
    <row r="472" spans="1:35" outlineLevel="2" x14ac:dyDescent="0.2">
      <c r="A472" s="19" t="s">
        <v>314</v>
      </c>
      <c r="B472" s="19" t="s">
        <v>315</v>
      </c>
      <c r="C472" s="13" t="s">
        <v>316</v>
      </c>
      <c r="D472" s="35">
        <f>SUM(D473:D475)</f>
        <v>0</v>
      </c>
      <c r="E472" s="35">
        <f t="shared" ref="E472:AH472" si="146">SUM(E473:E475)</f>
        <v>0</v>
      </c>
      <c r="F472" s="35">
        <f t="shared" si="146"/>
        <v>0</v>
      </c>
      <c r="G472" s="35">
        <f t="shared" si="146"/>
        <v>0</v>
      </c>
      <c r="H472" s="35">
        <f t="shared" si="146"/>
        <v>0</v>
      </c>
      <c r="I472" s="35">
        <f t="shared" si="146"/>
        <v>0</v>
      </c>
      <c r="J472" s="35">
        <f t="shared" si="146"/>
        <v>0</v>
      </c>
      <c r="K472" s="35">
        <f t="shared" si="146"/>
        <v>0</v>
      </c>
      <c r="L472" s="35">
        <f t="shared" si="146"/>
        <v>0</v>
      </c>
      <c r="M472" s="35">
        <f t="shared" si="146"/>
        <v>0</v>
      </c>
      <c r="N472" s="35">
        <f t="shared" si="146"/>
        <v>0</v>
      </c>
      <c r="O472" s="35">
        <f t="shared" si="146"/>
        <v>0</v>
      </c>
      <c r="P472" s="35">
        <f t="shared" si="146"/>
        <v>0</v>
      </c>
      <c r="Q472" s="35">
        <f t="shared" si="146"/>
        <v>0</v>
      </c>
      <c r="R472" s="35">
        <f t="shared" si="146"/>
        <v>0</v>
      </c>
      <c r="S472" s="35">
        <f t="shared" si="146"/>
        <v>0</v>
      </c>
      <c r="T472" s="35">
        <f t="shared" si="146"/>
        <v>0</v>
      </c>
      <c r="U472" s="35">
        <f t="shared" si="146"/>
        <v>0</v>
      </c>
      <c r="V472" s="35">
        <f t="shared" si="146"/>
        <v>0</v>
      </c>
      <c r="W472" s="35">
        <f t="shared" si="146"/>
        <v>0</v>
      </c>
      <c r="X472" s="35">
        <f t="shared" si="146"/>
        <v>0</v>
      </c>
      <c r="Y472" s="35">
        <f t="shared" si="146"/>
        <v>0</v>
      </c>
      <c r="Z472" s="35">
        <f t="shared" si="146"/>
        <v>0</v>
      </c>
      <c r="AA472" s="35">
        <f t="shared" si="146"/>
        <v>0</v>
      </c>
      <c r="AB472" s="35">
        <f t="shared" si="146"/>
        <v>0</v>
      </c>
      <c r="AC472" s="35">
        <f t="shared" si="146"/>
        <v>0</v>
      </c>
      <c r="AD472" s="35">
        <f t="shared" si="146"/>
        <v>0</v>
      </c>
      <c r="AE472" s="35">
        <f t="shared" si="146"/>
        <v>0</v>
      </c>
      <c r="AF472" s="35">
        <f t="shared" si="146"/>
        <v>0</v>
      </c>
      <c r="AG472" s="35">
        <f t="shared" si="146"/>
        <v>0</v>
      </c>
      <c r="AH472" s="35">
        <f t="shared" si="146"/>
        <v>0</v>
      </c>
      <c r="AI472" s="72">
        <f t="shared" si="128"/>
        <v>0</v>
      </c>
    </row>
    <row r="473" spans="1:35" outlineLevel="2" x14ac:dyDescent="0.2">
      <c r="A473" s="19"/>
      <c r="B473" s="41" t="s">
        <v>708</v>
      </c>
      <c r="C473" s="13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D473" s="50"/>
      <c r="AE473" s="50"/>
      <c r="AF473" s="50"/>
      <c r="AG473" s="50"/>
      <c r="AH473" s="50"/>
      <c r="AI473" s="72">
        <f t="shared" ref="AI473:AI536" si="147">SUM(D473:AH473)</f>
        <v>0</v>
      </c>
    </row>
    <row r="474" spans="1:35" outlineLevel="2" x14ac:dyDescent="0.2">
      <c r="A474" s="19"/>
      <c r="B474" s="41" t="s">
        <v>709</v>
      </c>
      <c r="C474" s="13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D474" s="50"/>
      <c r="AE474" s="50"/>
      <c r="AF474" s="50"/>
      <c r="AG474" s="50"/>
      <c r="AH474" s="50"/>
      <c r="AI474" s="72">
        <f t="shared" si="147"/>
        <v>0</v>
      </c>
    </row>
    <row r="475" spans="1:35" outlineLevel="2" x14ac:dyDescent="0.2">
      <c r="A475" s="19"/>
      <c r="B475" s="41" t="s">
        <v>710</v>
      </c>
      <c r="C475" s="13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D475" s="50"/>
      <c r="AE475" s="50"/>
      <c r="AF475" s="50"/>
      <c r="AG475" s="50"/>
      <c r="AH475" s="50"/>
      <c r="AI475" s="72">
        <f t="shared" si="147"/>
        <v>0</v>
      </c>
    </row>
    <row r="476" spans="1:35" outlineLevel="2" x14ac:dyDescent="0.2">
      <c r="A476" s="19" t="s">
        <v>317</v>
      </c>
      <c r="B476" s="19" t="s">
        <v>318</v>
      </c>
      <c r="C476" s="13" t="s">
        <v>319</v>
      </c>
      <c r="D476" s="35">
        <f>SUM(D477:D479)</f>
        <v>0</v>
      </c>
      <c r="E476" s="35">
        <f t="shared" ref="E476:AH476" si="148">SUM(E477:E479)</f>
        <v>0</v>
      </c>
      <c r="F476" s="35">
        <f t="shared" si="148"/>
        <v>0</v>
      </c>
      <c r="G476" s="35">
        <f t="shared" si="148"/>
        <v>0</v>
      </c>
      <c r="H476" s="35">
        <f t="shared" si="148"/>
        <v>0</v>
      </c>
      <c r="I476" s="35">
        <f t="shared" si="148"/>
        <v>0</v>
      </c>
      <c r="J476" s="35">
        <f t="shared" si="148"/>
        <v>0</v>
      </c>
      <c r="K476" s="35">
        <f t="shared" si="148"/>
        <v>0</v>
      </c>
      <c r="L476" s="35">
        <f t="shared" si="148"/>
        <v>0</v>
      </c>
      <c r="M476" s="35">
        <f t="shared" si="148"/>
        <v>0</v>
      </c>
      <c r="N476" s="35">
        <f t="shared" si="148"/>
        <v>0</v>
      </c>
      <c r="O476" s="35">
        <f t="shared" si="148"/>
        <v>0</v>
      </c>
      <c r="P476" s="35">
        <f t="shared" si="148"/>
        <v>0</v>
      </c>
      <c r="Q476" s="35">
        <f t="shared" si="148"/>
        <v>0</v>
      </c>
      <c r="R476" s="35">
        <f t="shared" si="148"/>
        <v>0</v>
      </c>
      <c r="S476" s="35">
        <f t="shared" si="148"/>
        <v>0</v>
      </c>
      <c r="T476" s="35">
        <f t="shared" si="148"/>
        <v>0</v>
      </c>
      <c r="U476" s="35">
        <f t="shared" si="148"/>
        <v>0</v>
      </c>
      <c r="V476" s="35">
        <f t="shared" si="148"/>
        <v>0</v>
      </c>
      <c r="W476" s="35">
        <f t="shared" si="148"/>
        <v>0</v>
      </c>
      <c r="X476" s="35">
        <f t="shared" si="148"/>
        <v>0</v>
      </c>
      <c r="Y476" s="35">
        <f t="shared" si="148"/>
        <v>0</v>
      </c>
      <c r="Z476" s="35">
        <f t="shared" si="148"/>
        <v>0</v>
      </c>
      <c r="AA476" s="35">
        <f t="shared" si="148"/>
        <v>0</v>
      </c>
      <c r="AB476" s="35">
        <f t="shared" si="148"/>
        <v>0</v>
      </c>
      <c r="AC476" s="35">
        <f t="shared" si="148"/>
        <v>0</v>
      </c>
      <c r="AD476" s="35">
        <f t="shared" si="148"/>
        <v>0</v>
      </c>
      <c r="AE476" s="35">
        <f t="shared" si="148"/>
        <v>0</v>
      </c>
      <c r="AF476" s="35">
        <f t="shared" si="148"/>
        <v>0</v>
      </c>
      <c r="AG476" s="35">
        <f t="shared" si="148"/>
        <v>0</v>
      </c>
      <c r="AH476" s="35">
        <f t="shared" si="148"/>
        <v>0</v>
      </c>
      <c r="AI476" s="72">
        <f t="shared" si="147"/>
        <v>0</v>
      </c>
    </row>
    <row r="477" spans="1:35" outlineLevel="2" x14ac:dyDescent="0.2">
      <c r="A477" s="19"/>
      <c r="B477" s="41" t="s">
        <v>708</v>
      </c>
      <c r="C477" s="13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D477" s="50"/>
      <c r="AE477" s="50"/>
      <c r="AF477" s="50"/>
      <c r="AG477" s="50"/>
      <c r="AH477" s="50"/>
      <c r="AI477" s="72">
        <f t="shared" si="147"/>
        <v>0</v>
      </c>
    </row>
    <row r="478" spans="1:35" outlineLevel="2" x14ac:dyDescent="0.2">
      <c r="A478" s="19"/>
      <c r="B478" s="41" t="s">
        <v>709</v>
      </c>
      <c r="C478" s="13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D478" s="50"/>
      <c r="AE478" s="50"/>
      <c r="AF478" s="50"/>
      <c r="AG478" s="50"/>
      <c r="AH478" s="50"/>
      <c r="AI478" s="72">
        <f t="shared" si="147"/>
        <v>0</v>
      </c>
    </row>
    <row r="479" spans="1:35" outlineLevel="2" x14ac:dyDescent="0.2">
      <c r="A479" s="19"/>
      <c r="B479" s="41" t="s">
        <v>710</v>
      </c>
      <c r="C479" s="13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D479" s="50"/>
      <c r="AE479" s="50"/>
      <c r="AF479" s="50"/>
      <c r="AG479" s="50"/>
      <c r="AH479" s="50"/>
      <c r="AI479" s="72">
        <f t="shared" si="147"/>
        <v>0</v>
      </c>
    </row>
    <row r="480" spans="1:35" outlineLevel="2" x14ac:dyDescent="0.2">
      <c r="A480" s="19" t="s">
        <v>320</v>
      </c>
      <c r="B480" s="19" t="s">
        <v>321</v>
      </c>
      <c r="C480" s="13" t="s">
        <v>322</v>
      </c>
      <c r="D480" s="35">
        <f>SUM(D481:D483)</f>
        <v>0</v>
      </c>
      <c r="E480" s="35">
        <f t="shared" ref="E480:AH480" si="149">SUM(E481:E483)</f>
        <v>0</v>
      </c>
      <c r="F480" s="35">
        <f t="shared" si="149"/>
        <v>0</v>
      </c>
      <c r="G480" s="35">
        <f t="shared" si="149"/>
        <v>0</v>
      </c>
      <c r="H480" s="35">
        <f t="shared" si="149"/>
        <v>0</v>
      </c>
      <c r="I480" s="35">
        <f t="shared" si="149"/>
        <v>0</v>
      </c>
      <c r="J480" s="35">
        <f t="shared" si="149"/>
        <v>0</v>
      </c>
      <c r="K480" s="35">
        <f t="shared" si="149"/>
        <v>0</v>
      </c>
      <c r="L480" s="35">
        <f t="shared" si="149"/>
        <v>0</v>
      </c>
      <c r="M480" s="35">
        <f t="shared" si="149"/>
        <v>0</v>
      </c>
      <c r="N480" s="35">
        <f t="shared" si="149"/>
        <v>0</v>
      </c>
      <c r="O480" s="35">
        <f t="shared" si="149"/>
        <v>0</v>
      </c>
      <c r="P480" s="35">
        <f t="shared" si="149"/>
        <v>0</v>
      </c>
      <c r="Q480" s="35">
        <f t="shared" si="149"/>
        <v>0</v>
      </c>
      <c r="R480" s="35">
        <f t="shared" si="149"/>
        <v>0</v>
      </c>
      <c r="S480" s="35">
        <f t="shared" si="149"/>
        <v>0</v>
      </c>
      <c r="T480" s="35">
        <f t="shared" si="149"/>
        <v>0</v>
      </c>
      <c r="U480" s="35">
        <f t="shared" si="149"/>
        <v>0</v>
      </c>
      <c r="V480" s="35">
        <f t="shared" si="149"/>
        <v>0</v>
      </c>
      <c r="W480" s="35">
        <f t="shared" si="149"/>
        <v>0</v>
      </c>
      <c r="X480" s="35">
        <f t="shared" si="149"/>
        <v>0</v>
      </c>
      <c r="Y480" s="35">
        <f t="shared" si="149"/>
        <v>0</v>
      </c>
      <c r="Z480" s="35">
        <f t="shared" si="149"/>
        <v>0</v>
      </c>
      <c r="AA480" s="35">
        <f t="shared" si="149"/>
        <v>0</v>
      </c>
      <c r="AB480" s="35">
        <f t="shared" si="149"/>
        <v>0</v>
      </c>
      <c r="AC480" s="35">
        <f t="shared" si="149"/>
        <v>0</v>
      </c>
      <c r="AD480" s="35">
        <f t="shared" si="149"/>
        <v>0</v>
      </c>
      <c r="AE480" s="35">
        <f t="shared" si="149"/>
        <v>0</v>
      </c>
      <c r="AF480" s="35">
        <f t="shared" si="149"/>
        <v>0</v>
      </c>
      <c r="AG480" s="35">
        <f t="shared" si="149"/>
        <v>0</v>
      </c>
      <c r="AH480" s="35">
        <f t="shared" si="149"/>
        <v>0</v>
      </c>
      <c r="AI480" s="72">
        <f t="shared" si="147"/>
        <v>0</v>
      </c>
    </row>
    <row r="481" spans="1:35" outlineLevel="2" x14ac:dyDescent="0.2">
      <c r="A481" s="19"/>
      <c r="B481" s="41" t="s">
        <v>708</v>
      </c>
      <c r="C481" s="13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D481" s="50"/>
      <c r="AE481" s="50"/>
      <c r="AF481" s="50"/>
      <c r="AG481" s="50"/>
      <c r="AH481" s="50"/>
      <c r="AI481" s="72">
        <f t="shared" si="147"/>
        <v>0</v>
      </c>
    </row>
    <row r="482" spans="1:35" outlineLevel="2" x14ac:dyDescent="0.2">
      <c r="A482" s="19"/>
      <c r="B482" s="41" t="s">
        <v>709</v>
      </c>
      <c r="C482" s="13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D482" s="50"/>
      <c r="AE482" s="50"/>
      <c r="AF482" s="50"/>
      <c r="AG482" s="50"/>
      <c r="AH482" s="50"/>
      <c r="AI482" s="72">
        <f t="shared" si="147"/>
        <v>0</v>
      </c>
    </row>
    <row r="483" spans="1:35" outlineLevel="2" x14ac:dyDescent="0.2">
      <c r="A483" s="19"/>
      <c r="B483" s="41" t="s">
        <v>710</v>
      </c>
      <c r="C483" s="13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D483" s="50"/>
      <c r="AE483" s="50"/>
      <c r="AF483" s="50"/>
      <c r="AG483" s="50"/>
      <c r="AH483" s="50"/>
      <c r="AI483" s="72">
        <f t="shared" si="147"/>
        <v>0</v>
      </c>
    </row>
    <row r="484" spans="1:35" outlineLevel="2" x14ac:dyDescent="0.2">
      <c r="A484" s="19" t="s">
        <v>323</v>
      </c>
      <c r="B484" s="19" t="s">
        <v>324</v>
      </c>
      <c r="C484" s="13" t="s">
        <v>325</v>
      </c>
      <c r="D484" s="35">
        <f>SUM(D485:D487)</f>
        <v>0</v>
      </c>
      <c r="E484" s="35">
        <f t="shared" ref="E484:AH484" si="150">SUM(E485:E487)</f>
        <v>0</v>
      </c>
      <c r="F484" s="35">
        <f t="shared" si="150"/>
        <v>0</v>
      </c>
      <c r="G484" s="35">
        <f t="shared" si="150"/>
        <v>0</v>
      </c>
      <c r="H484" s="35">
        <f t="shared" si="150"/>
        <v>0</v>
      </c>
      <c r="I484" s="35">
        <f t="shared" si="150"/>
        <v>0</v>
      </c>
      <c r="J484" s="35">
        <f t="shared" si="150"/>
        <v>0</v>
      </c>
      <c r="K484" s="35">
        <f t="shared" si="150"/>
        <v>0</v>
      </c>
      <c r="L484" s="35">
        <f t="shared" si="150"/>
        <v>0</v>
      </c>
      <c r="M484" s="35">
        <f t="shared" si="150"/>
        <v>0</v>
      </c>
      <c r="N484" s="35">
        <f t="shared" si="150"/>
        <v>0</v>
      </c>
      <c r="O484" s="35">
        <f t="shared" si="150"/>
        <v>0</v>
      </c>
      <c r="P484" s="35">
        <f t="shared" si="150"/>
        <v>0</v>
      </c>
      <c r="Q484" s="35">
        <f t="shared" si="150"/>
        <v>0</v>
      </c>
      <c r="R484" s="35">
        <f t="shared" si="150"/>
        <v>0</v>
      </c>
      <c r="S484" s="35">
        <f t="shared" si="150"/>
        <v>0</v>
      </c>
      <c r="T484" s="35">
        <f t="shared" si="150"/>
        <v>0</v>
      </c>
      <c r="U484" s="35">
        <f t="shared" si="150"/>
        <v>0</v>
      </c>
      <c r="V484" s="35">
        <f t="shared" si="150"/>
        <v>0</v>
      </c>
      <c r="W484" s="35">
        <f t="shared" si="150"/>
        <v>0</v>
      </c>
      <c r="X484" s="35">
        <f t="shared" si="150"/>
        <v>0</v>
      </c>
      <c r="Y484" s="35">
        <f t="shared" si="150"/>
        <v>0</v>
      </c>
      <c r="Z484" s="35">
        <f t="shared" si="150"/>
        <v>0</v>
      </c>
      <c r="AA484" s="35">
        <f t="shared" si="150"/>
        <v>0</v>
      </c>
      <c r="AB484" s="35">
        <f t="shared" si="150"/>
        <v>0</v>
      </c>
      <c r="AC484" s="35">
        <f t="shared" si="150"/>
        <v>0</v>
      </c>
      <c r="AD484" s="35">
        <f t="shared" si="150"/>
        <v>0</v>
      </c>
      <c r="AE484" s="35">
        <f t="shared" si="150"/>
        <v>0</v>
      </c>
      <c r="AF484" s="35">
        <f t="shared" si="150"/>
        <v>0</v>
      </c>
      <c r="AG484" s="35">
        <f t="shared" si="150"/>
        <v>0</v>
      </c>
      <c r="AH484" s="35">
        <f t="shared" si="150"/>
        <v>0</v>
      </c>
      <c r="AI484" s="72">
        <f t="shared" si="147"/>
        <v>0</v>
      </c>
    </row>
    <row r="485" spans="1:35" outlineLevel="2" x14ac:dyDescent="0.2">
      <c r="A485" s="19"/>
      <c r="B485" s="41" t="s">
        <v>708</v>
      </c>
      <c r="C485" s="13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D485" s="50"/>
      <c r="AE485" s="50"/>
      <c r="AF485" s="50"/>
      <c r="AG485" s="50"/>
      <c r="AH485" s="50"/>
      <c r="AI485" s="72">
        <f t="shared" si="147"/>
        <v>0</v>
      </c>
    </row>
    <row r="486" spans="1:35" outlineLevel="2" x14ac:dyDescent="0.2">
      <c r="A486" s="19"/>
      <c r="B486" s="41" t="s">
        <v>709</v>
      </c>
      <c r="C486" s="13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D486" s="50"/>
      <c r="AE486" s="50"/>
      <c r="AF486" s="50"/>
      <c r="AG486" s="50"/>
      <c r="AH486" s="50"/>
      <c r="AI486" s="72">
        <f t="shared" si="147"/>
        <v>0</v>
      </c>
    </row>
    <row r="487" spans="1:35" outlineLevel="2" x14ac:dyDescent="0.2">
      <c r="A487" s="19"/>
      <c r="B487" s="41" t="s">
        <v>710</v>
      </c>
      <c r="C487" s="13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D487" s="50"/>
      <c r="AE487" s="50"/>
      <c r="AF487" s="50"/>
      <c r="AG487" s="50"/>
      <c r="AH487" s="50"/>
      <c r="AI487" s="72">
        <f t="shared" si="147"/>
        <v>0</v>
      </c>
    </row>
    <row r="488" spans="1:35" outlineLevel="2" x14ac:dyDescent="0.2">
      <c r="A488" s="19" t="s">
        <v>326</v>
      </c>
      <c r="B488" s="19" t="s">
        <v>327</v>
      </c>
      <c r="C488" s="13" t="s">
        <v>328</v>
      </c>
      <c r="D488" s="35">
        <f>SUM(D489:D491)</f>
        <v>0</v>
      </c>
      <c r="E488" s="35">
        <f t="shared" ref="E488:AH488" si="151">SUM(E489:E491)</f>
        <v>0</v>
      </c>
      <c r="F488" s="35">
        <f t="shared" si="151"/>
        <v>0</v>
      </c>
      <c r="G488" s="35">
        <f t="shared" si="151"/>
        <v>0</v>
      </c>
      <c r="H488" s="35">
        <f t="shared" si="151"/>
        <v>0</v>
      </c>
      <c r="I488" s="35">
        <f t="shared" si="151"/>
        <v>0</v>
      </c>
      <c r="J488" s="35">
        <f t="shared" si="151"/>
        <v>0</v>
      </c>
      <c r="K488" s="35">
        <f t="shared" si="151"/>
        <v>0</v>
      </c>
      <c r="L488" s="35">
        <f t="shared" si="151"/>
        <v>0</v>
      </c>
      <c r="M488" s="35">
        <f t="shared" si="151"/>
        <v>0</v>
      </c>
      <c r="N488" s="35">
        <f t="shared" si="151"/>
        <v>0</v>
      </c>
      <c r="O488" s="35">
        <f t="shared" si="151"/>
        <v>0</v>
      </c>
      <c r="P488" s="35">
        <f t="shared" si="151"/>
        <v>0</v>
      </c>
      <c r="Q488" s="35">
        <f t="shared" si="151"/>
        <v>0</v>
      </c>
      <c r="R488" s="35">
        <f t="shared" si="151"/>
        <v>0</v>
      </c>
      <c r="S488" s="35">
        <f t="shared" si="151"/>
        <v>0</v>
      </c>
      <c r="T488" s="35">
        <f t="shared" si="151"/>
        <v>0</v>
      </c>
      <c r="U488" s="35">
        <f t="shared" si="151"/>
        <v>0</v>
      </c>
      <c r="V488" s="35">
        <f t="shared" si="151"/>
        <v>0</v>
      </c>
      <c r="W488" s="35">
        <f t="shared" si="151"/>
        <v>0</v>
      </c>
      <c r="X488" s="35">
        <f t="shared" si="151"/>
        <v>0</v>
      </c>
      <c r="Y488" s="35">
        <f t="shared" si="151"/>
        <v>0</v>
      </c>
      <c r="Z488" s="35">
        <f t="shared" si="151"/>
        <v>0</v>
      </c>
      <c r="AA488" s="35">
        <f t="shared" si="151"/>
        <v>0</v>
      </c>
      <c r="AB488" s="35">
        <f t="shared" si="151"/>
        <v>0</v>
      </c>
      <c r="AC488" s="35">
        <f t="shared" si="151"/>
        <v>0</v>
      </c>
      <c r="AD488" s="35">
        <f t="shared" si="151"/>
        <v>0</v>
      </c>
      <c r="AE488" s="35">
        <f t="shared" si="151"/>
        <v>0</v>
      </c>
      <c r="AF488" s="35">
        <f t="shared" si="151"/>
        <v>0</v>
      </c>
      <c r="AG488" s="35">
        <f t="shared" si="151"/>
        <v>0</v>
      </c>
      <c r="AH488" s="35">
        <f t="shared" si="151"/>
        <v>0</v>
      </c>
      <c r="AI488" s="72">
        <f t="shared" si="147"/>
        <v>0</v>
      </c>
    </row>
    <row r="489" spans="1:35" outlineLevel="2" x14ac:dyDescent="0.2">
      <c r="A489" s="19"/>
      <c r="B489" s="41" t="s">
        <v>708</v>
      </c>
      <c r="C489" s="13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D489" s="50"/>
      <c r="AE489" s="50"/>
      <c r="AF489" s="50"/>
      <c r="AG489" s="50"/>
      <c r="AH489" s="50"/>
      <c r="AI489" s="72">
        <f t="shared" si="147"/>
        <v>0</v>
      </c>
    </row>
    <row r="490" spans="1:35" outlineLevel="2" x14ac:dyDescent="0.2">
      <c r="A490" s="19"/>
      <c r="B490" s="41" t="s">
        <v>709</v>
      </c>
      <c r="C490" s="13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D490" s="50"/>
      <c r="AE490" s="50"/>
      <c r="AF490" s="50"/>
      <c r="AG490" s="50"/>
      <c r="AH490" s="50"/>
      <c r="AI490" s="72">
        <f t="shared" si="147"/>
        <v>0</v>
      </c>
    </row>
    <row r="491" spans="1:35" outlineLevel="2" x14ac:dyDescent="0.2">
      <c r="A491" s="19"/>
      <c r="B491" s="41" t="s">
        <v>710</v>
      </c>
      <c r="C491" s="13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D491" s="50"/>
      <c r="AE491" s="50"/>
      <c r="AF491" s="50"/>
      <c r="AG491" s="50"/>
      <c r="AH491" s="50"/>
      <c r="AI491" s="72">
        <f t="shared" si="147"/>
        <v>0</v>
      </c>
    </row>
    <row r="492" spans="1:35" outlineLevel="2" x14ac:dyDescent="0.2">
      <c r="A492" s="19" t="s">
        <v>329</v>
      </c>
      <c r="B492" s="19" t="s">
        <v>330</v>
      </c>
      <c r="C492" s="13" t="s">
        <v>331</v>
      </c>
      <c r="D492" s="35">
        <f>SUM(D493:D495)</f>
        <v>0</v>
      </c>
      <c r="E492" s="35">
        <f t="shared" ref="E492:AH492" si="152">SUM(E493:E495)</f>
        <v>0</v>
      </c>
      <c r="F492" s="35">
        <f t="shared" si="152"/>
        <v>0</v>
      </c>
      <c r="G492" s="35">
        <f t="shared" si="152"/>
        <v>0</v>
      </c>
      <c r="H492" s="35">
        <f t="shared" si="152"/>
        <v>0</v>
      </c>
      <c r="I492" s="35">
        <f t="shared" si="152"/>
        <v>0</v>
      </c>
      <c r="J492" s="35">
        <f t="shared" si="152"/>
        <v>0</v>
      </c>
      <c r="K492" s="35">
        <f t="shared" si="152"/>
        <v>0</v>
      </c>
      <c r="L492" s="35">
        <f t="shared" si="152"/>
        <v>0</v>
      </c>
      <c r="M492" s="35">
        <f t="shared" si="152"/>
        <v>0</v>
      </c>
      <c r="N492" s="35">
        <f t="shared" si="152"/>
        <v>0</v>
      </c>
      <c r="O492" s="35">
        <f t="shared" si="152"/>
        <v>0</v>
      </c>
      <c r="P492" s="35">
        <f t="shared" si="152"/>
        <v>0</v>
      </c>
      <c r="Q492" s="35">
        <f t="shared" si="152"/>
        <v>0</v>
      </c>
      <c r="R492" s="35">
        <f t="shared" si="152"/>
        <v>0</v>
      </c>
      <c r="S492" s="35">
        <f t="shared" si="152"/>
        <v>0</v>
      </c>
      <c r="T492" s="35">
        <f t="shared" si="152"/>
        <v>0</v>
      </c>
      <c r="U492" s="35">
        <f t="shared" si="152"/>
        <v>0</v>
      </c>
      <c r="V492" s="35">
        <f t="shared" si="152"/>
        <v>5500</v>
      </c>
      <c r="W492" s="35">
        <f t="shared" si="152"/>
        <v>0</v>
      </c>
      <c r="X492" s="35">
        <f t="shared" si="152"/>
        <v>0</v>
      </c>
      <c r="Y492" s="35">
        <f t="shared" si="152"/>
        <v>0</v>
      </c>
      <c r="Z492" s="35">
        <f t="shared" si="152"/>
        <v>0</v>
      </c>
      <c r="AA492" s="35">
        <f t="shared" si="152"/>
        <v>0</v>
      </c>
      <c r="AB492" s="35">
        <f t="shared" si="152"/>
        <v>0</v>
      </c>
      <c r="AC492" s="35">
        <f t="shared" si="152"/>
        <v>17240</v>
      </c>
      <c r="AD492" s="35">
        <f t="shared" si="152"/>
        <v>0</v>
      </c>
      <c r="AE492" s="35">
        <f t="shared" si="152"/>
        <v>0</v>
      </c>
      <c r="AF492" s="35">
        <f t="shared" si="152"/>
        <v>0</v>
      </c>
      <c r="AG492" s="35">
        <f t="shared" si="152"/>
        <v>0</v>
      </c>
      <c r="AH492" s="35">
        <f t="shared" si="152"/>
        <v>0</v>
      </c>
      <c r="AI492" s="72">
        <f t="shared" si="147"/>
        <v>22740</v>
      </c>
    </row>
    <row r="493" spans="1:35" outlineLevel="2" x14ac:dyDescent="0.2">
      <c r="A493" s="19"/>
      <c r="B493" s="41" t="s">
        <v>708</v>
      </c>
      <c r="C493" s="13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D493" s="50"/>
      <c r="AE493" s="50"/>
      <c r="AF493" s="50"/>
      <c r="AG493" s="50"/>
      <c r="AH493" s="50"/>
      <c r="AI493" s="72">
        <f t="shared" si="147"/>
        <v>0</v>
      </c>
    </row>
    <row r="494" spans="1:35" outlineLevel="2" x14ac:dyDescent="0.2">
      <c r="A494" s="19"/>
      <c r="B494" s="41" t="s">
        <v>709</v>
      </c>
      <c r="C494" s="13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>
        <v>5500</v>
      </c>
      <c r="W494" s="50"/>
      <c r="X494" s="50"/>
      <c r="Y494" s="50"/>
      <c r="Z494" s="50"/>
      <c r="AA494" s="50"/>
      <c r="AB494" s="50"/>
      <c r="AC494" s="50">
        <v>17240</v>
      </c>
      <c r="AD494" s="50"/>
      <c r="AE494" s="50"/>
      <c r="AF494" s="50"/>
      <c r="AG494" s="50"/>
      <c r="AH494" s="50"/>
      <c r="AI494" s="72">
        <f t="shared" si="147"/>
        <v>22740</v>
      </c>
    </row>
    <row r="495" spans="1:35" outlineLevel="2" x14ac:dyDescent="0.2">
      <c r="A495" s="19"/>
      <c r="B495" s="41" t="s">
        <v>710</v>
      </c>
      <c r="C495" s="13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D495" s="50"/>
      <c r="AE495" s="50"/>
      <c r="AF495" s="50"/>
      <c r="AG495" s="50"/>
      <c r="AH495" s="50"/>
      <c r="AI495" s="72">
        <f t="shared" si="147"/>
        <v>0</v>
      </c>
    </row>
    <row r="496" spans="1:35" outlineLevel="2" x14ac:dyDescent="0.2">
      <c r="A496" s="19" t="s">
        <v>332</v>
      </c>
      <c r="B496" s="19" t="s">
        <v>333</v>
      </c>
      <c r="C496" s="13" t="s">
        <v>334</v>
      </c>
      <c r="D496" s="35">
        <f>SUM(D497:D499)</f>
        <v>0</v>
      </c>
      <c r="E496" s="35">
        <f t="shared" ref="E496:AH496" si="153">SUM(E497:E499)</f>
        <v>0</v>
      </c>
      <c r="F496" s="35">
        <f t="shared" si="153"/>
        <v>0</v>
      </c>
      <c r="G496" s="35">
        <f t="shared" si="153"/>
        <v>0</v>
      </c>
      <c r="H496" s="35">
        <f t="shared" si="153"/>
        <v>0</v>
      </c>
      <c r="I496" s="35">
        <f t="shared" si="153"/>
        <v>0</v>
      </c>
      <c r="J496" s="35">
        <f t="shared" si="153"/>
        <v>0</v>
      </c>
      <c r="K496" s="35">
        <f t="shared" si="153"/>
        <v>0</v>
      </c>
      <c r="L496" s="35">
        <f t="shared" si="153"/>
        <v>0</v>
      </c>
      <c r="M496" s="35">
        <f t="shared" si="153"/>
        <v>0</v>
      </c>
      <c r="N496" s="35">
        <f t="shared" si="153"/>
        <v>0</v>
      </c>
      <c r="O496" s="35">
        <f t="shared" si="153"/>
        <v>0</v>
      </c>
      <c r="P496" s="35">
        <f t="shared" si="153"/>
        <v>0</v>
      </c>
      <c r="Q496" s="35">
        <f t="shared" si="153"/>
        <v>0</v>
      </c>
      <c r="R496" s="35">
        <f t="shared" si="153"/>
        <v>0</v>
      </c>
      <c r="S496" s="35">
        <f t="shared" si="153"/>
        <v>0</v>
      </c>
      <c r="T496" s="35">
        <f t="shared" si="153"/>
        <v>0</v>
      </c>
      <c r="U496" s="35">
        <f t="shared" si="153"/>
        <v>0</v>
      </c>
      <c r="V496" s="35">
        <f t="shared" si="153"/>
        <v>0</v>
      </c>
      <c r="W496" s="35">
        <f t="shared" si="153"/>
        <v>0</v>
      </c>
      <c r="X496" s="35">
        <f t="shared" si="153"/>
        <v>0</v>
      </c>
      <c r="Y496" s="35">
        <f t="shared" si="153"/>
        <v>0</v>
      </c>
      <c r="Z496" s="35">
        <f t="shared" si="153"/>
        <v>0</v>
      </c>
      <c r="AA496" s="35">
        <f t="shared" si="153"/>
        <v>0</v>
      </c>
      <c r="AB496" s="35">
        <f t="shared" si="153"/>
        <v>0</v>
      </c>
      <c r="AC496" s="35">
        <f t="shared" si="153"/>
        <v>0</v>
      </c>
      <c r="AD496" s="35">
        <f t="shared" si="153"/>
        <v>0</v>
      </c>
      <c r="AE496" s="35">
        <f t="shared" si="153"/>
        <v>0</v>
      </c>
      <c r="AF496" s="35">
        <f t="shared" si="153"/>
        <v>0</v>
      </c>
      <c r="AG496" s="35">
        <f t="shared" si="153"/>
        <v>0</v>
      </c>
      <c r="AH496" s="35">
        <f t="shared" si="153"/>
        <v>0</v>
      </c>
      <c r="AI496" s="72">
        <f t="shared" si="147"/>
        <v>0</v>
      </c>
    </row>
    <row r="497" spans="1:35" outlineLevel="2" x14ac:dyDescent="0.2">
      <c r="A497" s="19"/>
      <c r="B497" s="41" t="s">
        <v>708</v>
      </c>
      <c r="C497" s="13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D497" s="50"/>
      <c r="AE497" s="50"/>
      <c r="AF497" s="50"/>
      <c r="AG497" s="50"/>
      <c r="AH497" s="50"/>
      <c r="AI497" s="72">
        <f t="shared" si="147"/>
        <v>0</v>
      </c>
    </row>
    <row r="498" spans="1:35" outlineLevel="2" x14ac:dyDescent="0.2">
      <c r="A498" s="19"/>
      <c r="B498" s="41" t="s">
        <v>709</v>
      </c>
      <c r="C498" s="13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D498" s="50"/>
      <c r="AE498" s="50"/>
      <c r="AF498" s="50"/>
      <c r="AG498" s="50"/>
      <c r="AH498" s="50"/>
      <c r="AI498" s="72">
        <f t="shared" si="147"/>
        <v>0</v>
      </c>
    </row>
    <row r="499" spans="1:35" outlineLevel="2" x14ac:dyDescent="0.2">
      <c r="A499" s="19"/>
      <c r="B499" s="41" t="s">
        <v>710</v>
      </c>
      <c r="C499" s="13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D499" s="50"/>
      <c r="AE499" s="50"/>
      <c r="AF499" s="50"/>
      <c r="AG499" s="50"/>
      <c r="AH499" s="50"/>
      <c r="AI499" s="72">
        <f t="shared" si="147"/>
        <v>0</v>
      </c>
    </row>
    <row r="500" spans="1:35" outlineLevel="2" x14ac:dyDescent="0.2">
      <c r="A500" s="19" t="s">
        <v>335</v>
      </c>
      <c r="B500" s="19" t="s">
        <v>336</v>
      </c>
      <c r="C500" s="13" t="s">
        <v>337</v>
      </c>
      <c r="D500" s="35">
        <f>SUM(D501:D503)</f>
        <v>0</v>
      </c>
      <c r="E500" s="35">
        <f t="shared" ref="E500:AH500" si="154">SUM(E501:E503)</f>
        <v>0</v>
      </c>
      <c r="F500" s="35">
        <f t="shared" si="154"/>
        <v>0</v>
      </c>
      <c r="G500" s="35">
        <f t="shared" si="154"/>
        <v>0</v>
      </c>
      <c r="H500" s="35">
        <f t="shared" si="154"/>
        <v>0</v>
      </c>
      <c r="I500" s="35">
        <f t="shared" si="154"/>
        <v>0</v>
      </c>
      <c r="J500" s="35">
        <f t="shared" si="154"/>
        <v>0</v>
      </c>
      <c r="K500" s="35">
        <f t="shared" si="154"/>
        <v>0</v>
      </c>
      <c r="L500" s="35">
        <f t="shared" si="154"/>
        <v>0</v>
      </c>
      <c r="M500" s="35">
        <f t="shared" si="154"/>
        <v>0</v>
      </c>
      <c r="N500" s="35">
        <f t="shared" si="154"/>
        <v>0</v>
      </c>
      <c r="O500" s="35">
        <f t="shared" si="154"/>
        <v>0</v>
      </c>
      <c r="P500" s="35">
        <f t="shared" si="154"/>
        <v>0</v>
      </c>
      <c r="Q500" s="35">
        <f t="shared" si="154"/>
        <v>0</v>
      </c>
      <c r="R500" s="35">
        <f t="shared" si="154"/>
        <v>0</v>
      </c>
      <c r="S500" s="35">
        <f t="shared" si="154"/>
        <v>0</v>
      </c>
      <c r="T500" s="35">
        <f t="shared" si="154"/>
        <v>0</v>
      </c>
      <c r="U500" s="35">
        <f t="shared" si="154"/>
        <v>0</v>
      </c>
      <c r="V500" s="35">
        <f t="shared" si="154"/>
        <v>0</v>
      </c>
      <c r="W500" s="35">
        <f t="shared" si="154"/>
        <v>0</v>
      </c>
      <c r="X500" s="35">
        <f t="shared" si="154"/>
        <v>0</v>
      </c>
      <c r="Y500" s="35">
        <f t="shared" si="154"/>
        <v>0</v>
      </c>
      <c r="Z500" s="35">
        <f t="shared" si="154"/>
        <v>0</v>
      </c>
      <c r="AA500" s="35">
        <f t="shared" si="154"/>
        <v>0</v>
      </c>
      <c r="AB500" s="35">
        <f t="shared" si="154"/>
        <v>0</v>
      </c>
      <c r="AC500" s="35">
        <f t="shared" si="154"/>
        <v>0</v>
      </c>
      <c r="AD500" s="35">
        <f t="shared" si="154"/>
        <v>0</v>
      </c>
      <c r="AE500" s="35">
        <f t="shared" si="154"/>
        <v>0</v>
      </c>
      <c r="AF500" s="35">
        <f t="shared" si="154"/>
        <v>0</v>
      </c>
      <c r="AG500" s="35">
        <f t="shared" si="154"/>
        <v>0</v>
      </c>
      <c r="AH500" s="35">
        <f t="shared" si="154"/>
        <v>0</v>
      </c>
      <c r="AI500" s="72">
        <f t="shared" si="147"/>
        <v>0</v>
      </c>
    </row>
    <row r="501" spans="1:35" outlineLevel="2" x14ac:dyDescent="0.2">
      <c r="A501" s="19"/>
      <c r="B501" s="41" t="s">
        <v>708</v>
      </c>
      <c r="C501" s="13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D501" s="50"/>
      <c r="AE501" s="50"/>
      <c r="AF501" s="50"/>
      <c r="AG501" s="50"/>
      <c r="AH501" s="50"/>
      <c r="AI501" s="72">
        <f t="shared" si="147"/>
        <v>0</v>
      </c>
    </row>
    <row r="502" spans="1:35" outlineLevel="2" x14ac:dyDescent="0.2">
      <c r="A502" s="19"/>
      <c r="B502" s="41" t="s">
        <v>709</v>
      </c>
      <c r="C502" s="13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D502" s="50"/>
      <c r="AE502" s="50"/>
      <c r="AF502" s="50"/>
      <c r="AG502" s="50"/>
      <c r="AH502" s="50"/>
      <c r="AI502" s="72">
        <f t="shared" si="147"/>
        <v>0</v>
      </c>
    </row>
    <row r="503" spans="1:35" outlineLevel="2" x14ac:dyDescent="0.2">
      <c r="A503" s="19"/>
      <c r="B503" s="41" t="s">
        <v>710</v>
      </c>
      <c r="C503" s="13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D503" s="50"/>
      <c r="AE503" s="50"/>
      <c r="AF503" s="50"/>
      <c r="AG503" s="50"/>
      <c r="AH503" s="50"/>
      <c r="AI503" s="72">
        <f t="shared" si="147"/>
        <v>0</v>
      </c>
    </row>
    <row r="504" spans="1:35" outlineLevel="2" x14ac:dyDescent="0.2">
      <c r="A504" s="19" t="s">
        <v>338</v>
      </c>
      <c r="B504" s="19" t="s">
        <v>339</v>
      </c>
      <c r="C504" s="13" t="s">
        <v>340</v>
      </c>
      <c r="D504" s="35">
        <f>SUM(D505:D507)</f>
        <v>0</v>
      </c>
      <c r="E504" s="35">
        <f t="shared" ref="E504:AH504" si="155">SUM(E505:E507)</f>
        <v>0</v>
      </c>
      <c r="F504" s="35">
        <f t="shared" si="155"/>
        <v>0</v>
      </c>
      <c r="G504" s="35">
        <f t="shared" si="155"/>
        <v>0</v>
      </c>
      <c r="H504" s="35">
        <f t="shared" si="155"/>
        <v>0</v>
      </c>
      <c r="I504" s="35">
        <f t="shared" si="155"/>
        <v>0</v>
      </c>
      <c r="J504" s="35">
        <f t="shared" si="155"/>
        <v>0</v>
      </c>
      <c r="K504" s="35">
        <f t="shared" si="155"/>
        <v>0</v>
      </c>
      <c r="L504" s="35">
        <f t="shared" si="155"/>
        <v>0</v>
      </c>
      <c r="M504" s="35">
        <f t="shared" si="155"/>
        <v>0</v>
      </c>
      <c r="N504" s="35">
        <f t="shared" si="155"/>
        <v>0</v>
      </c>
      <c r="O504" s="35">
        <f t="shared" si="155"/>
        <v>0</v>
      </c>
      <c r="P504" s="35">
        <f t="shared" si="155"/>
        <v>0</v>
      </c>
      <c r="Q504" s="35">
        <f t="shared" si="155"/>
        <v>0</v>
      </c>
      <c r="R504" s="35">
        <f t="shared" si="155"/>
        <v>0</v>
      </c>
      <c r="S504" s="35">
        <f t="shared" si="155"/>
        <v>0</v>
      </c>
      <c r="T504" s="35">
        <f t="shared" si="155"/>
        <v>0</v>
      </c>
      <c r="U504" s="35">
        <f t="shared" si="155"/>
        <v>0</v>
      </c>
      <c r="V504" s="35">
        <f t="shared" si="155"/>
        <v>0</v>
      </c>
      <c r="W504" s="35">
        <f t="shared" si="155"/>
        <v>0</v>
      </c>
      <c r="X504" s="35">
        <f t="shared" si="155"/>
        <v>0</v>
      </c>
      <c r="Y504" s="35">
        <f t="shared" si="155"/>
        <v>0</v>
      </c>
      <c r="Z504" s="35">
        <f t="shared" si="155"/>
        <v>0</v>
      </c>
      <c r="AA504" s="35">
        <f t="shared" si="155"/>
        <v>0</v>
      </c>
      <c r="AB504" s="35">
        <f t="shared" si="155"/>
        <v>0</v>
      </c>
      <c r="AC504" s="35">
        <f t="shared" si="155"/>
        <v>0</v>
      </c>
      <c r="AD504" s="35">
        <f t="shared" si="155"/>
        <v>0</v>
      </c>
      <c r="AE504" s="35">
        <f t="shared" si="155"/>
        <v>0</v>
      </c>
      <c r="AF504" s="35">
        <f t="shared" si="155"/>
        <v>0</v>
      </c>
      <c r="AG504" s="35">
        <f t="shared" si="155"/>
        <v>0</v>
      </c>
      <c r="AH504" s="35">
        <f t="shared" si="155"/>
        <v>0</v>
      </c>
      <c r="AI504" s="72">
        <f t="shared" si="147"/>
        <v>0</v>
      </c>
    </row>
    <row r="505" spans="1:35" outlineLevel="2" x14ac:dyDescent="0.2">
      <c r="A505" s="19"/>
      <c r="B505" s="41" t="s">
        <v>708</v>
      </c>
      <c r="C505" s="13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D505" s="50"/>
      <c r="AE505" s="50"/>
      <c r="AF505" s="50"/>
      <c r="AG505" s="50"/>
      <c r="AH505" s="50"/>
      <c r="AI505" s="72">
        <f t="shared" si="147"/>
        <v>0</v>
      </c>
    </row>
    <row r="506" spans="1:35" outlineLevel="2" x14ac:dyDescent="0.2">
      <c r="A506" s="19"/>
      <c r="B506" s="41" t="s">
        <v>709</v>
      </c>
      <c r="C506" s="13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D506" s="50"/>
      <c r="AE506" s="50"/>
      <c r="AF506" s="50"/>
      <c r="AG506" s="50"/>
      <c r="AH506" s="50"/>
      <c r="AI506" s="72">
        <f t="shared" si="147"/>
        <v>0</v>
      </c>
    </row>
    <row r="507" spans="1:35" outlineLevel="2" x14ac:dyDescent="0.2">
      <c r="A507" s="19"/>
      <c r="B507" s="41" t="s">
        <v>710</v>
      </c>
      <c r="C507" s="13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D507" s="50"/>
      <c r="AE507" s="50"/>
      <c r="AF507" s="50"/>
      <c r="AG507" s="50"/>
      <c r="AH507" s="50"/>
      <c r="AI507" s="72">
        <f t="shared" si="147"/>
        <v>0</v>
      </c>
    </row>
    <row r="508" spans="1:35" outlineLevel="2" x14ac:dyDescent="0.2">
      <c r="A508" s="19" t="s">
        <v>341</v>
      </c>
      <c r="B508" s="19" t="s">
        <v>342</v>
      </c>
      <c r="C508" s="13" t="s">
        <v>343</v>
      </c>
      <c r="D508" s="35">
        <f>SUM(D509:D511)</f>
        <v>0</v>
      </c>
      <c r="E508" s="35">
        <f t="shared" ref="E508:AH508" si="156">SUM(E509:E511)</f>
        <v>0</v>
      </c>
      <c r="F508" s="35">
        <f t="shared" si="156"/>
        <v>0</v>
      </c>
      <c r="G508" s="35">
        <f t="shared" si="156"/>
        <v>0</v>
      </c>
      <c r="H508" s="35">
        <f t="shared" si="156"/>
        <v>0</v>
      </c>
      <c r="I508" s="35">
        <f t="shared" si="156"/>
        <v>0</v>
      </c>
      <c r="J508" s="35">
        <f t="shared" si="156"/>
        <v>0</v>
      </c>
      <c r="K508" s="35">
        <f t="shared" si="156"/>
        <v>0</v>
      </c>
      <c r="L508" s="35">
        <f t="shared" si="156"/>
        <v>0</v>
      </c>
      <c r="M508" s="35">
        <f t="shared" si="156"/>
        <v>0</v>
      </c>
      <c r="N508" s="35">
        <f t="shared" si="156"/>
        <v>0</v>
      </c>
      <c r="O508" s="35">
        <f t="shared" si="156"/>
        <v>0</v>
      </c>
      <c r="P508" s="35">
        <f t="shared" si="156"/>
        <v>0</v>
      </c>
      <c r="Q508" s="35">
        <f t="shared" si="156"/>
        <v>0</v>
      </c>
      <c r="R508" s="35">
        <f t="shared" si="156"/>
        <v>0</v>
      </c>
      <c r="S508" s="35">
        <f t="shared" si="156"/>
        <v>0</v>
      </c>
      <c r="T508" s="35">
        <f t="shared" si="156"/>
        <v>0</v>
      </c>
      <c r="U508" s="35">
        <f t="shared" si="156"/>
        <v>0</v>
      </c>
      <c r="V508" s="35">
        <f t="shared" si="156"/>
        <v>0</v>
      </c>
      <c r="W508" s="35">
        <f t="shared" si="156"/>
        <v>0</v>
      </c>
      <c r="X508" s="35">
        <f t="shared" si="156"/>
        <v>0</v>
      </c>
      <c r="Y508" s="35">
        <f t="shared" si="156"/>
        <v>0</v>
      </c>
      <c r="Z508" s="35">
        <f t="shared" si="156"/>
        <v>0</v>
      </c>
      <c r="AA508" s="35">
        <f t="shared" si="156"/>
        <v>0</v>
      </c>
      <c r="AB508" s="35">
        <f t="shared" si="156"/>
        <v>0</v>
      </c>
      <c r="AC508" s="35">
        <f t="shared" si="156"/>
        <v>0</v>
      </c>
      <c r="AD508" s="35">
        <f t="shared" si="156"/>
        <v>0</v>
      </c>
      <c r="AE508" s="35">
        <f t="shared" si="156"/>
        <v>0</v>
      </c>
      <c r="AF508" s="35">
        <f t="shared" si="156"/>
        <v>0</v>
      </c>
      <c r="AG508" s="35">
        <f t="shared" si="156"/>
        <v>0</v>
      </c>
      <c r="AH508" s="35">
        <f t="shared" si="156"/>
        <v>0</v>
      </c>
      <c r="AI508" s="72">
        <f t="shared" si="147"/>
        <v>0</v>
      </c>
    </row>
    <row r="509" spans="1:35" outlineLevel="2" x14ac:dyDescent="0.2">
      <c r="A509" s="19"/>
      <c r="B509" s="41" t="s">
        <v>708</v>
      </c>
      <c r="C509" s="13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D509" s="50"/>
      <c r="AE509" s="50"/>
      <c r="AF509" s="50"/>
      <c r="AG509" s="50"/>
      <c r="AH509" s="50"/>
      <c r="AI509" s="72">
        <f t="shared" si="147"/>
        <v>0</v>
      </c>
    </row>
    <row r="510" spans="1:35" outlineLevel="2" x14ac:dyDescent="0.2">
      <c r="A510" s="19"/>
      <c r="B510" s="41" t="s">
        <v>709</v>
      </c>
      <c r="C510" s="13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D510" s="50"/>
      <c r="AE510" s="50"/>
      <c r="AF510" s="50"/>
      <c r="AG510" s="50"/>
      <c r="AH510" s="50"/>
      <c r="AI510" s="72">
        <f t="shared" si="147"/>
        <v>0</v>
      </c>
    </row>
    <row r="511" spans="1:35" outlineLevel="2" x14ac:dyDescent="0.2">
      <c r="A511" s="19"/>
      <c r="B511" s="41" t="s">
        <v>710</v>
      </c>
      <c r="C511" s="13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D511" s="50"/>
      <c r="AE511" s="50"/>
      <c r="AF511" s="50"/>
      <c r="AG511" s="50"/>
      <c r="AH511" s="50"/>
      <c r="AI511" s="72">
        <f t="shared" si="147"/>
        <v>0</v>
      </c>
    </row>
    <row r="512" spans="1:35" outlineLevel="2" x14ac:dyDescent="0.2">
      <c r="A512" s="19" t="s">
        <v>344</v>
      </c>
      <c r="B512" s="19" t="s">
        <v>345</v>
      </c>
      <c r="C512" s="13" t="s">
        <v>346</v>
      </c>
      <c r="D512" s="35">
        <f>SUM(D513:D515)</f>
        <v>0</v>
      </c>
      <c r="E512" s="35">
        <f t="shared" ref="E512:AH512" si="157">SUM(E513:E515)</f>
        <v>0</v>
      </c>
      <c r="F512" s="35">
        <f t="shared" si="157"/>
        <v>0</v>
      </c>
      <c r="G512" s="35">
        <f t="shared" si="157"/>
        <v>0</v>
      </c>
      <c r="H512" s="35">
        <f t="shared" si="157"/>
        <v>0</v>
      </c>
      <c r="I512" s="35">
        <f t="shared" si="157"/>
        <v>0</v>
      </c>
      <c r="J512" s="35">
        <f t="shared" si="157"/>
        <v>0</v>
      </c>
      <c r="K512" s="35">
        <f t="shared" si="157"/>
        <v>0</v>
      </c>
      <c r="L512" s="35">
        <f t="shared" si="157"/>
        <v>0</v>
      </c>
      <c r="M512" s="35">
        <f t="shared" si="157"/>
        <v>0</v>
      </c>
      <c r="N512" s="35">
        <f t="shared" si="157"/>
        <v>0</v>
      </c>
      <c r="O512" s="35">
        <f t="shared" si="157"/>
        <v>0</v>
      </c>
      <c r="P512" s="35">
        <f t="shared" si="157"/>
        <v>0</v>
      </c>
      <c r="Q512" s="35">
        <f t="shared" si="157"/>
        <v>0</v>
      </c>
      <c r="R512" s="35">
        <f t="shared" si="157"/>
        <v>0</v>
      </c>
      <c r="S512" s="35">
        <f t="shared" si="157"/>
        <v>0</v>
      </c>
      <c r="T512" s="35">
        <f t="shared" si="157"/>
        <v>12036.06</v>
      </c>
      <c r="U512" s="35">
        <f t="shared" si="157"/>
        <v>4257.63</v>
      </c>
      <c r="V512" s="35">
        <f t="shared" si="157"/>
        <v>0</v>
      </c>
      <c r="W512" s="35">
        <f t="shared" si="157"/>
        <v>0</v>
      </c>
      <c r="X512" s="35">
        <f t="shared" si="157"/>
        <v>6685.86</v>
      </c>
      <c r="Y512" s="35">
        <f t="shared" si="157"/>
        <v>0</v>
      </c>
      <c r="Z512" s="35">
        <f t="shared" si="157"/>
        <v>0</v>
      </c>
      <c r="AA512" s="35">
        <f t="shared" si="157"/>
        <v>3200</v>
      </c>
      <c r="AB512" s="35">
        <f t="shared" si="157"/>
        <v>0</v>
      </c>
      <c r="AC512" s="35">
        <f t="shared" si="157"/>
        <v>45630</v>
      </c>
      <c r="AD512" s="35">
        <f t="shared" si="157"/>
        <v>28618</v>
      </c>
      <c r="AE512" s="35">
        <f t="shared" si="157"/>
        <v>0</v>
      </c>
      <c r="AF512" s="35">
        <f t="shared" si="157"/>
        <v>0</v>
      </c>
      <c r="AG512" s="35">
        <f t="shared" si="157"/>
        <v>0</v>
      </c>
      <c r="AH512" s="35">
        <f t="shared" si="157"/>
        <v>0</v>
      </c>
      <c r="AI512" s="72">
        <f t="shared" si="147"/>
        <v>100427.55</v>
      </c>
    </row>
    <row r="513" spans="1:35" outlineLevel="2" x14ac:dyDescent="0.2">
      <c r="A513" s="19"/>
      <c r="B513" s="41" t="s">
        <v>708</v>
      </c>
      <c r="C513" s="13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D513" s="50"/>
      <c r="AE513" s="50"/>
      <c r="AF513" s="50"/>
      <c r="AG513" s="50"/>
      <c r="AH513" s="50"/>
      <c r="AI513" s="72">
        <f t="shared" si="147"/>
        <v>0</v>
      </c>
    </row>
    <row r="514" spans="1:35" outlineLevel="2" x14ac:dyDescent="0.2">
      <c r="A514" s="19"/>
      <c r="B514" s="41" t="s">
        <v>709</v>
      </c>
      <c r="C514" s="13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>
        <v>12036.06</v>
      </c>
      <c r="U514" s="50">
        <v>4257.63</v>
      </c>
      <c r="V514" s="50"/>
      <c r="W514" s="50"/>
      <c r="X514" s="50">
        <v>6685.86</v>
      </c>
      <c r="Y514" s="50"/>
      <c r="Z514" s="50"/>
      <c r="AA514" s="50">
        <v>3200</v>
      </c>
      <c r="AB514" s="50"/>
      <c r="AC514" s="50">
        <v>45630</v>
      </c>
      <c r="AD514" s="50">
        <v>28618</v>
      </c>
      <c r="AE514" s="50"/>
      <c r="AF514" s="50"/>
      <c r="AG514" s="50"/>
      <c r="AH514" s="50"/>
      <c r="AI514" s="72">
        <f t="shared" si="147"/>
        <v>100427.55</v>
      </c>
    </row>
    <row r="515" spans="1:35" outlineLevel="2" x14ac:dyDescent="0.2">
      <c r="A515" s="19"/>
      <c r="B515" s="41" t="s">
        <v>710</v>
      </c>
      <c r="C515" s="13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D515" s="50"/>
      <c r="AE515" s="50"/>
      <c r="AF515" s="50"/>
      <c r="AG515" s="50"/>
      <c r="AH515" s="50"/>
      <c r="AI515" s="72">
        <f t="shared" si="147"/>
        <v>0</v>
      </c>
    </row>
    <row r="516" spans="1:35" outlineLevel="2" x14ac:dyDescent="0.2">
      <c r="A516" s="19" t="s">
        <v>347</v>
      </c>
      <c r="B516" s="19" t="s">
        <v>348</v>
      </c>
      <c r="C516" s="13" t="s">
        <v>349</v>
      </c>
      <c r="D516" s="35">
        <f>SUM(D517:D519)</f>
        <v>0</v>
      </c>
      <c r="E516" s="35">
        <f t="shared" ref="E516:AH516" si="158">SUM(E517:E519)</f>
        <v>0</v>
      </c>
      <c r="F516" s="35">
        <f t="shared" si="158"/>
        <v>0</v>
      </c>
      <c r="G516" s="35">
        <f t="shared" si="158"/>
        <v>0</v>
      </c>
      <c r="H516" s="35">
        <f t="shared" si="158"/>
        <v>0</v>
      </c>
      <c r="I516" s="35">
        <f t="shared" si="158"/>
        <v>0</v>
      </c>
      <c r="J516" s="35">
        <f t="shared" si="158"/>
        <v>0</v>
      </c>
      <c r="K516" s="35">
        <f t="shared" si="158"/>
        <v>0</v>
      </c>
      <c r="L516" s="35">
        <f t="shared" si="158"/>
        <v>0</v>
      </c>
      <c r="M516" s="35">
        <f t="shared" si="158"/>
        <v>0</v>
      </c>
      <c r="N516" s="35">
        <f t="shared" si="158"/>
        <v>0</v>
      </c>
      <c r="O516" s="35">
        <f t="shared" si="158"/>
        <v>0</v>
      </c>
      <c r="P516" s="35">
        <f t="shared" si="158"/>
        <v>0</v>
      </c>
      <c r="Q516" s="35">
        <f t="shared" si="158"/>
        <v>0</v>
      </c>
      <c r="R516" s="35">
        <f t="shared" si="158"/>
        <v>0</v>
      </c>
      <c r="S516" s="35">
        <f t="shared" si="158"/>
        <v>0</v>
      </c>
      <c r="T516" s="35">
        <f t="shared" si="158"/>
        <v>0</v>
      </c>
      <c r="U516" s="35">
        <f t="shared" si="158"/>
        <v>0</v>
      </c>
      <c r="V516" s="35">
        <f t="shared" si="158"/>
        <v>0</v>
      </c>
      <c r="W516" s="35">
        <f t="shared" si="158"/>
        <v>0</v>
      </c>
      <c r="X516" s="35">
        <f t="shared" si="158"/>
        <v>0</v>
      </c>
      <c r="Y516" s="35">
        <f t="shared" si="158"/>
        <v>0</v>
      </c>
      <c r="Z516" s="35">
        <f t="shared" si="158"/>
        <v>0</v>
      </c>
      <c r="AA516" s="35">
        <f t="shared" si="158"/>
        <v>0</v>
      </c>
      <c r="AB516" s="35">
        <f t="shared" si="158"/>
        <v>0</v>
      </c>
      <c r="AC516" s="35">
        <f t="shared" si="158"/>
        <v>0</v>
      </c>
      <c r="AD516" s="35">
        <f t="shared" si="158"/>
        <v>0</v>
      </c>
      <c r="AE516" s="35">
        <f t="shared" si="158"/>
        <v>0</v>
      </c>
      <c r="AF516" s="35">
        <f t="shared" si="158"/>
        <v>0</v>
      </c>
      <c r="AG516" s="35">
        <f t="shared" si="158"/>
        <v>0</v>
      </c>
      <c r="AH516" s="35">
        <f t="shared" si="158"/>
        <v>0</v>
      </c>
      <c r="AI516" s="72">
        <f t="shared" si="147"/>
        <v>0</v>
      </c>
    </row>
    <row r="517" spans="1:35" outlineLevel="2" x14ac:dyDescent="0.2">
      <c r="A517" s="19"/>
      <c r="B517" s="41" t="s">
        <v>708</v>
      </c>
      <c r="C517" s="13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D517" s="50"/>
      <c r="AE517" s="50"/>
      <c r="AF517" s="50"/>
      <c r="AG517" s="50"/>
      <c r="AH517" s="50"/>
      <c r="AI517" s="72">
        <f t="shared" si="147"/>
        <v>0</v>
      </c>
    </row>
    <row r="518" spans="1:35" outlineLevel="2" x14ac:dyDescent="0.2">
      <c r="A518" s="19"/>
      <c r="B518" s="41" t="s">
        <v>709</v>
      </c>
      <c r="C518" s="13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D518" s="50"/>
      <c r="AE518" s="50"/>
      <c r="AF518" s="50"/>
      <c r="AG518" s="50"/>
      <c r="AH518" s="50"/>
      <c r="AI518" s="72">
        <f t="shared" si="147"/>
        <v>0</v>
      </c>
    </row>
    <row r="519" spans="1:35" outlineLevel="2" x14ac:dyDescent="0.2">
      <c r="A519" s="19"/>
      <c r="B519" s="41" t="s">
        <v>710</v>
      </c>
      <c r="C519" s="13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D519" s="50"/>
      <c r="AE519" s="50"/>
      <c r="AF519" s="50"/>
      <c r="AG519" s="50"/>
      <c r="AH519" s="50"/>
      <c r="AI519" s="72">
        <f t="shared" si="147"/>
        <v>0</v>
      </c>
    </row>
    <row r="520" spans="1:35" outlineLevel="2" x14ac:dyDescent="0.2">
      <c r="A520" s="19" t="s">
        <v>350</v>
      </c>
      <c r="B520" s="19" t="s">
        <v>351</v>
      </c>
      <c r="C520" s="13" t="s">
        <v>352</v>
      </c>
      <c r="D520" s="35">
        <f>SUM(D521:D523)</f>
        <v>0</v>
      </c>
      <c r="E520" s="35">
        <f t="shared" ref="E520:AH520" si="159">SUM(E521:E523)</f>
        <v>0</v>
      </c>
      <c r="F520" s="35">
        <f t="shared" si="159"/>
        <v>0</v>
      </c>
      <c r="G520" s="35">
        <f t="shared" si="159"/>
        <v>0</v>
      </c>
      <c r="H520" s="35">
        <f t="shared" si="159"/>
        <v>0</v>
      </c>
      <c r="I520" s="35">
        <f t="shared" si="159"/>
        <v>0</v>
      </c>
      <c r="J520" s="35">
        <f t="shared" si="159"/>
        <v>0</v>
      </c>
      <c r="K520" s="35">
        <f t="shared" si="159"/>
        <v>0</v>
      </c>
      <c r="L520" s="35">
        <f t="shared" si="159"/>
        <v>0</v>
      </c>
      <c r="M520" s="35">
        <f t="shared" si="159"/>
        <v>0</v>
      </c>
      <c r="N520" s="35">
        <f t="shared" si="159"/>
        <v>0</v>
      </c>
      <c r="O520" s="35">
        <f t="shared" si="159"/>
        <v>0</v>
      </c>
      <c r="P520" s="35">
        <f t="shared" si="159"/>
        <v>917000</v>
      </c>
      <c r="Q520" s="35">
        <f t="shared" si="159"/>
        <v>0</v>
      </c>
      <c r="R520" s="35">
        <f t="shared" si="159"/>
        <v>0</v>
      </c>
      <c r="S520" s="35">
        <f t="shared" si="159"/>
        <v>0</v>
      </c>
      <c r="T520" s="35">
        <f t="shared" si="159"/>
        <v>0</v>
      </c>
      <c r="U520" s="35">
        <f t="shared" si="159"/>
        <v>0</v>
      </c>
      <c r="V520" s="35">
        <f t="shared" si="159"/>
        <v>145201</v>
      </c>
      <c r="W520" s="35">
        <f t="shared" si="159"/>
        <v>0</v>
      </c>
      <c r="X520" s="35">
        <f t="shared" si="159"/>
        <v>1112147.94</v>
      </c>
      <c r="Y520" s="35">
        <f t="shared" si="159"/>
        <v>0</v>
      </c>
      <c r="Z520" s="35">
        <f t="shared" si="159"/>
        <v>0</v>
      </c>
      <c r="AA520" s="35">
        <f t="shared" si="159"/>
        <v>0</v>
      </c>
      <c r="AB520" s="35">
        <f t="shared" si="159"/>
        <v>0</v>
      </c>
      <c r="AC520" s="35">
        <f t="shared" si="159"/>
        <v>172699.4</v>
      </c>
      <c r="AD520" s="35">
        <f t="shared" si="159"/>
        <v>0</v>
      </c>
      <c r="AE520" s="35">
        <f t="shared" si="159"/>
        <v>0</v>
      </c>
      <c r="AF520" s="35">
        <f t="shared" si="159"/>
        <v>0</v>
      </c>
      <c r="AG520" s="35">
        <f t="shared" si="159"/>
        <v>0</v>
      </c>
      <c r="AH520" s="35">
        <f t="shared" si="159"/>
        <v>0</v>
      </c>
      <c r="AI520" s="72">
        <f t="shared" si="147"/>
        <v>2347048.34</v>
      </c>
    </row>
    <row r="521" spans="1:35" outlineLevel="2" x14ac:dyDescent="0.2">
      <c r="A521" s="19"/>
      <c r="B521" s="41" t="s">
        <v>708</v>
      </c>
      <c r="C521" s="13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D521" s="50"/>
      <c r="AE521" s="50"/>
      <c r="AF521" s="50"/>
      <c r="AG521" s="50"/>
      <c r="AH521" s="50"/>
      <c r="AI521" s="72">
        <f t="shared" si="147"/>
        <v>0</v>
      </c>
    </row>
    <row r="522" spans="1:35" outlineLevel="2" x14ac:dyDescent="0.2">
      <c r="A522" s="19"/>
      <c r="B522" s="41" t="s">
        <v>709</v>
      </c>
      <c r="C522" s="13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>
        <v>917000</v>
      </c>
      <c r="Q522" s="50"/>
      <c r="R522" s="50"/>
      <c r="S522" s="50"/>
      <c r="T522" s="50"/>
      <c r="U522" s="50"/>
      <c r="V522" s="50">
        <v>145201</v>
      </c>
      <c r="W522" s="50"/>
      <c r="X522" s="50">
        <v>1112147.94</v>
      </c>
      <c r="Y522" s="50"/>
      <c r="Z522" s="50"/>
      <c r="AA522" s="50"/>
      <c r="AB522" s="50"/>
      <c r="AC522" s="50">
        <v>172699.4</v>
      </c>
      <c r="AD522" s="50"/>
      <c r="AE522" s="50"/>
      <c r="AF522" s="50"/>
      <c r="AG522" s="50"/>
      <c r="AH522" s="50"/>
      <c r="AI522" s="72">
        <f t="shared" si="147"/>
        <v>2347048.34</v>
      </c>
    </row>
    <row r="523" spans="1:35" outlineLevel="2" x14ac:dyDescent="0.2">
      <c r="A523" s="19"/>
      <c r="B523" s="41" t="s">
        <v>710</v>
      </c>
      <c r="C523" s="13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D523" s="50"/>
      <c r="AE523" s="50"/>
      <c r="AF523" s="50"/>
      <c r="AG523" s="50"/>
      <c r="AH523" s="50"/>
      <c r="AI523" s="72">
        <f t="shared" si="147"/>
        <v>0</v>
      </c>
    </row>
    <row r="524" spans="1:35" outlineLevel="2" x14ac:dyDescent="0.2">
      <c r="A524" s="19" t="s">
        <v>353</v>
      </c>
      <c r="B524" s="19" t="s">
        <v>354</v>
      </c>
      <c r="C524" s="13" t="s">
        <v>355</v>
      </c>
      <c r="D524" s="35">
        <f>SUM(D525:D527)</f>
        <v>0</v>
      </c>
      <c r="E524" s="35">
        <f t="shared" ref="E524:AH524" si="160">SUM(E525:E527)</f>
        <v>0</v>
      </c>
      <c r="F524" s="35">
        <f t="shared" si="160"/>
        <v>0</v>
      </c>
      <c r="G524" s="35">
        <f t="shared" si="160"/>
        <v>0</v>
      </c>
      <c r="H524" s="35">
        <f t="shared" si="160"/>
        <v>0</v>
      </c>
      <c r="I524" s="35">
        <f t="shared" si="160"/>
        <v>0</v>
      </c>
      <c r="J524" s="35">
        <f t="shared" si="160"/>
        <v>0</v>
      </c>
      <c r="K524" s="35">
        <f t="shared" si="160"/>
        <v>0</v>
      </c>
      <c r="L524" s="35">
        <f t="shared" si="160"/>
        <v>0</v>
      </c>
      <c r="M524" s="35">
        <f t="shared" si="160"/>
        <v>0</v>
      </c>
      <c r="N524" s="35">
        <f t="shared" si="160"/>
        <v>0</v>
      </c>
      <c r="O524" s="35">
        <f t="shared" si="160"/>
        <v>0</v>
      </c>
      <c r="P524" s="35">
        <f t="shared" si="160"/>
        <v>0</v>
      </c>
      <c r="Q524" s="35">
        <f t="shared" si="160"/>
        <v>0</v>
      </c>
      <c r="R524" s="35">
        <f t="shared" si="160"/>
        <v>0</v>
      </c>
      <c r="S524" s="35">
        <f t="shared" si="160"/>
        <v>0</v>
      </c>
      <c r="T524" s="35">
        <f t="shared" si="160"/>
        <v>0</v>
      </c>
      <c r="U524" s="35">
        <f t="shared" si="160"/>
        <v>0</v>
      </c>
      <c r="V524" s="35">
        <f t="shared" si="160"/>
        <v>0</v>
      </c>
      <c r="W524" s="35">
        <f t="shared" si="160"/>
        <v>0</v>
      </c>
      <c r="X524" s="35">
        <f t="shared" si="160"/>
        <v>0</v>
      </c>
      <c r="Y524" s="35">
        <f t="shared" si="160"/>
        <v>0</v>
      </c>
      <c r="Z524" s="35">
        <f t="shared" si="160"/>
        <v>0</v>
      </c>
      <c r="AA524" s="35">
        <f t="shared" si="160"/>
        <v>0</v>
      </c>
      <c r="AB524" s="35">
        <f t="shared" si="160"/>
        <v>0</v>
      </c>
      <c r="AC524" s="35">
        <f t="shared" si="160"/>
        <v>0</v>
      </c>
      <c r="AD524" s="35">
        <f t="shared" si="160"/>
        <v>0</v>
      </c>
      <c r="AE524" s="35">
        <f t="shared" si="160"/>
        <v>0</v>
      </c>
      <c r="AF524" s="35">
        <f t="shared" si="160"/>
        <v>0</v>
      </c>
      <c r="AG524" s="35">
        <f t="shared" si="160"/>
        <v>0</v>
      </c>
      <c r="AH524" s="35">
        <f t="shared" si="160"/>
        <v>0</v>
      </c>
      <c r="AI524" s="72">
        <f t="shared" si="147"/>
        <v>0</v>
      </c>
    </row>
    <row r="525" spans="1:35" outlineLevel="2" x14ac:dyDescent="0.2">
      <c r="A525" s="19"/>
      <c r="B525" s="41" t="s">
        <v>708</v>
      </c>
      <c r="C525" s="13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D525" s="50"/>
      <c r="AE525" s="50"/>
      <c r="AF525" s="50"/>
      <c r="AG525" s="50"/>
      <c r="AH525" s="50"/>
      <c r="AI525" s="72">
        <f t="shared" si="147"/>
        <v>0</v>
      </c>
    </row>
    <row r="526" spans="1:35" outlineLevel="2" x14ac:dyDescent="0.2">
      <c r="A526" s="19"/>
      <c r="B526" s="41" t="s">
        <v>709</v>
      </c>
      <c r="C526" s="13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D526" s="50"/>
      <c r="AE526" s="50"/>
      <c r="AF526" s="50"/>
      <c r="AG526" s="50"/>
      <c r="AH526" s="50"/>
      <c r="AI526" s="72">
        <f t="shared" si="147"/>
        <v>0</v>
      </c>
    </row>
    <row r="527" spans="1:35" outlineLevel="2" x14ac:dyDescent="0.2">
      <c r="A527" s="19"/>
      <c r="B527" s="41" t="s">
        <v>710</v>
      </c>
      <c r="C527" s="13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D527" s="50"/>
      <c r="AE527" s="50"/>
      <c r="AF527" s="50"/>
      <c r="AG527" s="50"/>
      <c r="AH527" s="50"/>
      <c r="AI527" s="72">
        <f t="shared" si="147"/>
        <v>0</v>
      </c>
    </row>
    <row r="528" spans="1:35" outlineLevel="2" x14ac:dyDescent="0.2">
      <c r="A528" s="19" t="s">
        <v>356</v>
      </c>
      <c r="B528" s="19" t="s">
        <v>357</v>
      </c>
      <c r="C528" s="13" t="s">
        <v>358</v>
      </c>
      <c r="D528" s="35">
        <f>SUM(D529:D531)</f>
        <v>0</v>
      </c>
      <c r="E528" s="35">
        <f t="shared" ref="E528:AH528" si="161">SUM(E529:E531)</f>
        <v>0</v>
      </c>
      <c r="F528" s="35">
        <f t="shared" si="161"/>
        <v>0</v>
      </c>
      <c r="G528" s="35">
        <f t="shared" si="161"/>
        <v>0</v>
      </c>
      <c r="H528" s="35">
        <f t="shared" si="161"/>
        <v>0</v>
      </c>
      <c r="I528" s="35">
        <f t="shared" si="161"/>
        <v>0</v>
      </c>
      <c r="J528" s="35">
        <f t="shared" si="161"/>
        <v>0</v>
      </c>
      <c r="K528" s="35">
        <f t="shared" si="161"/>
        <v>0</v>
      </c>
      <c r="L528" s="35">
        <f t="shared" si="161"/>
        <v>0</v>
      </c>
      <c r="M528" s="35">
        <f t="shared" si="161"/>
        <v>0</v>
      </c>
      <c r="N528" s="35">
        <f t="shared" si="161"/>
        <v>0</v>
      </c>
      <c r="O528" s="35">
        <f t="shared" si="161"/>
        <v>0</v>
      </c>
      <c r="P528" s="35">
        <f t="shared" si="161"/>
        <v>0</v>
      </c>
      <c r="Q528" s="35">
        <f t="shared" si="161"/>
        <v>0</v>
      </c>
      <c r="R528" s="35">
        <f t="shared" si="161"/>
        <v>0</v>
      </c>
      <c r="S528" s="35">
        <f t="shared" si="161"/>
        <v>0</v>
      </c>
      <c r="T528" s="35">
        <f t="shared" si="161"/>
        <v>0</v>
      </c>
      <c r="U528" s="35">
        <f t="shared" si="161"/>
        <v>0</v>
      </c>
      <c r="V528" s="35">
        <f t="shared" si="161"/>
        <v>0</v>
      </c>
      <c r="W528" s="35">
        <f t="shared" si="161"/>
        <v>0</v>
      </c>
      <c r="X528" s="35">
        <f t="shared" si="161"/>
        <v>0</v>
      </c>
      <c r="Y528" s="35">
        <f t="shared" si="161"/>
        <v>0</v>
      </c>
      <c r="Z528" s="35">
        <f t="shared" si="161"/>
        <v>0</v>
      </c>
      <c r="AA528" s="35">
        <f t="shared" si="161"/>
        <v>0</v>
      </c>
      <c r="AB528" s="35">
        <f t="shared" si="161"/>
        <v>0</v>
      </c>
      <c r="AC528" s="35">
        <f t="shared" si="161"/>
        <v>0</v>
      </c>
      <c r="AD528" s="35">
        <f t="shared" si="161"/>
        <v>0</v>
      </c>
      <c r="AE528" s="35">
        <f t="shared" si="161"/>
        <v>0</v>
      </c>
      <c r="AF528" s="35">
        <f t="shared" si="161"/>
        <v>0</v>
      </c>
      <c r="AG528" s="35">
        <f t="shared" si="161"/>
        <v>0</v>
      </c>
      <c r="AH528" s="35">
        <f t="shared" si="161"/>
        <v>0</v>
      </c>
      <c r="AI528" s="72">
        <f t="shared" si="147"/>
        <v>0</v>
      </c>
    </row>
    <row r="529" spans="1:35" outlineLevel="2" x14ac:dyDescent="0.2">
      <c r="A529" s="19"/>
      <c r="B529" s="41" t="s">
        <v>708</v>
      </c>
      <c r="C529" s="13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D529" s="50"/>
      <c r="AE529" s="50"/>
      <c r="AF529" s="50"/>
      <c r="AG529" s="50"/>
      <c r="AH529" s="50"/>
      <c r="AI529" s="72">
        <f t="shared" si="147"/>
        <v>0</v>
      </c>
    </row>
    <row r="530" spans="1:35" outlineLevel="2" x14ac:dyDescent="0.2">
      <c r="A530" s="19"/>
      <c r="B530" s="41" t="s">
        <v>709</v>
      </c>
      <c r="C530" s="13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D530" s="50"/>
      <c r="AE530" s="50"/>
      <c r="AF530" s="50"/>
      <c r="AG530" s="50"/>
      <c r="AH530" s="50"/>
      <c r="AI530" s="72">
        <f t="shared" si="147"/>
        <v>0</v>
      </c>
    </row>
    <row r="531" spans="1:35" outlineLevel="2" x14ac:dyDescent="0.2">
      <c r="A531" s="19"/>
      <c r="B531" s="41" t="s">
        <v>710</v>
      </c>
      <c r="C531" s="13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D531" s="50"/>
      <c r="AE531" s="50"/>
      <c r="AF531" s="50"/>
      <c r="AG531" s="50"/>
      <c r="AH531" s="50"/>
      <c r="AI531" s="72">
        <f t="shared" si="147"/>
        <v>0</v>
      </c>
    </row>
    <row r="532" spans="1:35" outlineLevel="2" x14ac:dyDescent="0.2">
      <c r="A532" s="19" t="s">
        <v>359</v>
      </c>
      <c r="B532" s="19" t="s">
        <v>361</v>
      </c>
      <c r="C532" s="13" t="s">
        <v>362</v>
      </c>
      <c r="D532" s="35">
        <f>D533+D537+D541+D545+D549+D553+D557+D561+D565+D569+D573+D577+D581+D585+D589+D593+D597+D601+D605</f>
        <v>0</v>
      </c>
      <c r="E532" s="35">
        <f t="shared" ref="E532:AH532" si="162">E533+E537+E541+E545+E549+E553+E557+E561+E565+E569+E573+E577+E581+E585+E589+E593+E597+E601+E605</f>
        <v>0</v>
      </c>
      <c r="F532" s="35">
        <f t="shared" si="162"/>
        <v>0</v>
      </c>
      <c r="G532" s="35">
        <f t="shared" si="162"/>
        <v>0</v>
      </c>
      <c r="H532" s="35">
        <f t="shared" si="162"/>
        <v>0</v>
      </c>
      <c r="I532" s="35">
        <f t="shared" si="162"/>
        <v>0</v>
      </c>
      <c r="J532" s="35">
        <f t="shared" si="162"/>
        <v>0</v>
      </c>
      <c r="K532" s="35">
        <f t="shared" si="162"/>
        <v>0</v>
      </c>
      <c r="L532" s="35">
        <f t="shared" si="162"/>
        <v>0</v>
      </c>
      <c r="M532" s="35">
        <f t="shared" si="162"/>
        <v>0</v>
      </c>
      <c r="N532" s="35">
        <f t="shared" si="162"/>
        <v>0</v>
      </c>
      <c r="O532" s="35">
        <f t="shared" si="162"/>
        <v>0</v>
      </c>
      <c r="P532" s="35">
        <f t="shared" si="162"/>
        <v>0</v>
      </c>
      <c r="Q532" s="35">
        <f t="shared" si="162"/>
        <v>0</v>
      </c>
      <c r="R532" s="35">
        <f t="shared" si="162"/>
        <v>0</v>
      </c>
      <c r="S532" s="35">
        <f t="shared" si="162"/>
        <v>0</v>
      </c>
      <c r="T532" s="35">
        <f t="shared" si="162"/>
        <v>6030</v>
      </c>
      <c r="U532" s="35">
        <f t="shared" si="162"/>
        <v>0</v>
      </c>
      <c r="V532" s="35">
        <f t="shared" si="162"/>
        <v>0</v>
      </c>
      <c r="W532" s="35">
        <f t="shared" si="162"/>
        <v>26000</v>
      </c>
      <c r="X532" s="35">
        <f t="shared" si="162"/>
        <v>500000</v>
      </c>
      <c r="Y532" s="35">
        <f t="shared" si="162"/>
        <v>0</v>
      </c>
      <c r="Z532" s="35">
        <f t="shared" si="162"/>
        <v>0</v>
      </c>
      <c r="AA532" s="35">
        <f t="shared" si="162"/>
        <v>0</v>
      </c>
      <c r="AB532" s="35">
        <f t="shared" si="162"/>
        <v>0</v>
      </c>
      <c r="AC532" s="35">
        <f t="shared" si="162"/>
        <v>237034.36</v>
      </c>
      <c r="AD532" s="35">
        <f t="shared" si="162"/>
        <v>0</v>
      </c>
      <c r="AE532" s="35">
        <f t="shared" si="162"/>
        <v>140056.18</v>
      </c>
      <c r="AF532" s="35">
        <f t="shared" si="162"/>
        <v>0</v>
      </c>
      <c r="AG532" s="35">
        <f t="shared" si="162"/>
        <v>0</v>
      </c>
      <c r="AH532" s="35">
        <f t="shared" si="162"/>
        <v>132500</v>
      </c>
      <c r="AI532" s="72">
        <f t="shared" si="147"/>
        <v>1041620.54</v>
      </c>
    </row>
    <row r="533" spans="1:35" outlineLevel="3" x14ac:dyDescent="0.2">
      <c r="A533" s="20" t="s">
        <v>679</v>
      </c>
      <c r="B533" s="20" t="s">
        <v>363</v>
      </c>
      <c r="C533" s="13" t="s">
        <v>364</v>
      </c>
      <c r="D533" s="35">
        <f>SUM(D534:D536)</f>
        <v>0</v>
      </c>
      <c r="E533" s="35">
        <f t="shared" ref="E533:AH533" si="163">SUM(E534:E536)</f>
        <v>0</v>
      </c>
      <c r="F533" s="35">
        <f t="shared" si="163"/>
        <v>0</v>
      </c>
      <c r="G533" s="35">
        <f t="shared" si="163"/>
        <v>0</v>
      </c>
      <c r="H533" s="35">
        <f t="shared" si="163"/>
        <v>0</v>
      </c>
      <c r="I533" s="35">
        <f t="shared" si="163"/>
        <v>0</v>
      </c>
      <c r="J533" s="35">
        <f t="shared" si="163"/>
        <v>0</v>
      </c>
      <c r="K533" s="35">
        <f t="shared" si="163"/>
        <v>0</v>
      </c>
      <c r="L533" s="35">
        <f t="shared" si="163"/>
        <v>0</v>
      </c>
      <c r="M533" s="35">
        <f t="shared" si="163"/>
        <v>0</v>
      </c>
      <c r="N533" s="35">
        <f t="shared" si="163"/>
        <v>0</v>
      </c>
      <c r="O533" s="35">
        <f t="shared" si="163"/>
        <v>0</v>
      </c>
      <c r="P533" s="35">
        <f t="shared" si="163"/>
        <v>0</v>
      </c>
      <c r="Q533" s="35">
        <f t="shared" si="163"/>
        <v>0</v>
      </c>
      <c r="R533" s="35">
        <f t="shared" si="163"/>
        <v>0</v>
      </c>
      <c r="S533" s="35">
        <f t="shared" si="163"/>
        <v>0</v>
      </c>
      <c r="T533" s="35">
        <f t="shared" si="163"/>
        <v>6030</v>
      </c>
      <c r="U533" s="35">
        <f t="shared" si="163"/>
        <v>0</v>
      </c>
      <c r="V533" s="35">
        <f t="shared" si="163"/>
        <v>0</v>
      </c>
      <c r="W533" s="35">
        <f t="shared" si="163"/>
        <v>0</v>
      </c>
      <c r="X533" s="35">
        <f t="shared" si="163"/>
        <v>0</v>
      </c>
      <c r="Y533" s="35">
        <f t="shared" si="163"/>
        <v>0</v>
      </c>
      <c r="Z533" s="35">
        <f t="shared" si="163"/>
        <v>0</v>
      </c>
      <c r="AA533" s="35">
        <f t="shared" si="163"/>
        <v>0</v>
      </c>
      <c r="AB533" s="35">
        <f t="shared" si="163"/>
        <v>0</v>
      </c>
      <c r="AC533" s="35">
        <f t="shared" si="163"/>
        <v>0</v>
      </c>
      <c r="AD533" s="35">
        <f t="shared" si="163"/>
        <v>0</v>
      </c>
      <c r="AE533" s="35">
        <f t="shared" si="163"/>
        <v>0</v>
      </c>
      <c r="AF533" s="35">
        <f t="shared" si="163"/>
        <v>0</v>
      </c>
      <c r="AG533" s="35">
        <f t="shared" si="163"/>
        <v>0</v>
      </c>
      <c r="AH533" s="35">
        <f t="shared" si="163"/>
        <v>0</v>
      </c>
      <c r="AI533" s="72">
        <f t="shared" si="147"/>
        <v>6030</v>
      </c>
    </row>
    <row r="534" spans="1:35" outlineLevel="3" x14ac:dyDescent="0.2">
      <c r="A534" s="20"/>
      <c r="B534" s="41" t="s">
        <v>708</v>
      </c>
      <c r="C534" s="13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D534" s="50"/>
      <c r="AE534" s="50"/>
      <c r="AF534" s="50"/>
      <c r="AG534" s="50"/>
      <c r="AH534" s="50"/>
      <c r="AI534" s="72">
        <f t="shared" si="147"/>
        <v>0</v>
      </c>
    </row>
    <row r="535" spans="1:35" outlineLevel="3" x14ac:dyDescent="0.2">
      <c r="A535" s="20"/>
      <c r="B535" s="41" t="s">
        <v>709</v>
      </c>
      <c r="C535" s="13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>
        <v>6030</v>
      </c>
      <c r="U535" s="50"/>
      <c r="V535" s="50"/>
      <c r="W535" s="50"/>
      <c r="X535" s="50"/>
      <c r="Y535" s="50"/>
      <c r="Z535" s="50"/>
      <c r="AA535" s="50"/>
      <c r="AB535" s="50"/>
      <c r="AC535" s="50"/>
      <c r="AD535" s="50"/>
      <c r="AE535" s="50"/>
      <c r="AF535" s="50"/>
      <c r="AG535" s="50"/>
      <c r="AH535" s="50"/>
      <c r="AI535" s="72">
        <f t="shared" si="147"/>
        <v>6030</v>
      </c>
    </row>
    <row r="536" spans="1:35" outlineLevel="3" x14ac:dyDescent="0.2">
      <c r="A536" s="20"/>
      <c r="B536" s="41" t="s">
        <v>710</v>
      </c>
      <c r="C536" s="13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D536" s="50"/>
      <c r="AE536" s="50"/>
      <c r="AF536" s="50"/>
      <c r="AG536" s="50"/>
      <c r="AH536" s="50"/>
      <c r="AI536" s="72">
        <f t="shared" si="147"/>
        <v>0</v>
      </c>
    </row>
    <row r="537" spans="1:35" outlineLevel="3" x14ac:dyDescent="0.2">
      <c r="A537" s="20" t="s">
        <v>680</v>
      </c>
      <c r="B537" s="20" t="s">
        <v>365</v>
      </c>
      <c r="C537" s="13" t="s">
        <v>366</v>
      </c>
      <c r="D537" s="35">
        <f>SUM(D538:D540)</f>
        <v>0</v>
      </c>
      <c r="E537" s="35">
        <f t="shared" ref="E537:AH537" si="164">SUM(E538:E540)</f>
        <v>0</v>
      </c>
      <c r="F537" s="35">
        <f t="shared" si="164"/>
        <v>0</v>
      </c>
      <c r="G537" s="35">
        <f t="shared" si="164"/>
        <v>0</v>
      </c>
      <c r="H537" s="35">
        <f t="shared" si="164"/>
        <v>0</v>
      </c>
      <c r="I537" s="35">
        <f t="shared" si="164"/>
        <v>0</v>
      </c>
      <c r="J537" s="35">
        <f t="shared" si="164"/>
        <v>0</v>
      </c>
      <c r="K537" s="35">
        <f t="shared" si="164"/>
        <v>0</v>
      </c>
      <c r="L537" s="35">
        <f t="shared" si="164"/>
        <v>0</v>
      </c>
      <c r="M537" s="35">
        <f t="shared" si="164"/>
        <v>0</v>
      </c>
      <c r="N537" s="35">
        <f t="shared" si="164"/>
        <v>0</v>
      </c>
      <c r="O537" s="35">
        <f t="shared" si="164"/>
        <v>0</v>
      </c>
      <c r="P537" s="35">
        <f t="shared" si="164"/>
        <v>0</v>
      </c>
      <c r="Q537" s="35">
        <f t="shared" si="164"/>
        <v>0</v>
      </c>
      <c r="R537" s="35">
        <f t="shared" si="164"/>
        <v>0</v>
      </c>
      <c r="S537" s="35">
        <f t="shared" si="164"/>
        <v>0</v>
      </c>
      <c r="T537" s="35">
        <f t="shared" si="164"/>
        <v>0</v>
      </c>
      <c r="U537" s="35">
        <f t="shared" si="164"/>
        <v>0</v>
      </c>
      <c r="V537" s="35">
        <f t="shared" si="164"/>
        <v>0</v>
      </c>
      <c r="W537" s="35">
        <f t="shared" si="164"/>
        <v>0</v>
      </c>
      <c r="X537" s="35">
        <f t="shared" si="164"/>
        <v>0</v>
      </c>
      <c r="Y537" s="35">
        <f t="shared" si="164"/>
        <v>0</v>
      </c>
      <c r="Z537" s="35">
        <f t="shared" si="164"/>
        <v>0</v>
      </c>
      <c r="AA537" s="35">
        <f t="shared" si="164"/>
        <v>0</v>
      </c>
      <c r="AB537" s="35">
        <f t="shared" si="164"/>
        <v>0</v>
      </c>
      <c r="AC537" s="35">
        <f t="shared" si="164"/>
        <v>0</v>
      </c>
      <c r="AD537" s="35">
        <f t="shared" si="164"/>
        <v>0</v>
      </c>
      <c r="AE537" s="35">
        <f t="shared" si="164"/>
        <v>0</v>
      </c>
      <c r="AF537" s="35">
        <f t="shared" si="164"/>
        <v>0</v>
      </c>
      <c r="AG537" s="35">
        <f t="shared" si="164"/>
        <v>0</v>
      </c>
      <c r="AH537" s="35">
        <f t="shared" si="164"/>
        <v>0</v>
      </c>
      <c r="AI537" s="72">
        <f t="shared" ref="AI537:AI600" si="165">SUM(D537:AH537)</f>
        <v>0</v>
      </c>
    </row>
    <row r="538" spans="1:35" outlineLevel="3" x14ac:dyDescent="0.2">
      <c r="A538" s="20"/>
      <c r="B538" s="41" t="s">
        <v>708</v>
      </c>
      <c r="C538" s="13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D538" s="50"/>
      <c r="AE538" s="50"/>
      <c r="AF538" s="50"/>
      <c r="AG538" s="50"/>
      <c r="AH538" s="50"/>
      <c r="AI538" s="72">
        <f t="shared" si="165"/>
        <v>0</v>
      </c>
    </row>
    <row r="539" spans="1:35" outlineLevel="3" x14ac:dyDescent="0.2">
      <c r="A539" s="20"/>
      <c r="B539" s="41" t="s">
        <v>709</v>
      </c>
      <c r="C539" s="13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D539" s="50"/>
      <c r="AE539" s="50"/>
      <c r="AF539" s="50"/>
      <c r="AG539" s="50"/>
      <c r="AH539" s="50"/>
      <c r="AI539" s="72">
        <f t="shared" si="165"/>
        <v>0</v>
      </c>
    </row>
    <row r="540" spans="1:35" outlineLevel="3" x14ac:dyDescent="0.2">
      <c r="A540" s="20"/>
      <c r="B540" s="41" t="s">
        <v>710</v>
      </c>
      <c r="C540" s="13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D540" s="50"/>
      <c r="AE540" s="50"/>
      <c r="AF540" s="50"/>
      <c r="AG540" s="50"/>
      <c r="AH540" s="50"/>
      <c r="AI540" s="72">
        <f t="shared" si="165"/>
        <v>0</v>
      </c>
    </row>
    <row r="541" spans="1:35" outlineLevel="3" x14ac:dyDescent="0.2">
      <c r="A541" s="20" t="s">
        <v>681</v>
      </c>
      <c r="B541" s="20" t="s">
        <v>367</v>
      </c>
      <c r="C541" s="13" t="s">
        <v>368</v>
      </c>
      <c r="D541" s="35">
        <f>SUM(D542:D544)</f>
        <v>0</v>
      </c>
      <c r="E541" s="35">
        <f t="shared" ref="E541:AH541" si="166">SUM(E542:E544)</f>
        <v>0</v>
      </c>
      <c r="F541" s="35">
        <f t="shared" si="166"/>
        <v>0</v>
      </c>
      <c r="G541" s="35">
        <f t="shared" si="166"/>
        <v>0</v>
      </c>
      <c r="H541" s="35">
        <f t="shared" si="166"/>
        <v>0</v>
      </c>
      <c r="I541" s="35">
        <f t="shared" si="166"/>
        <v>0</v>
      </c>
      <c r="J541" s="35">
        <f t="shared" si="166"/>
        <v>0</v>
      </c>
      <c r="K541" s="35">
        <f t="shared" si="166"/>
        <v>0</v>
      </c>
      <c r="L541" s="35">
        <f t="shared" si="166"/>
        <v>0</v>
      </c>
      <c r="M541" s="35">
        <f t="shared" si="166"/>
        <v>0</v>
      </c>
      <c r="N541" s="35">
        <f t="shared" si="166"/>
        <v>0</v>
      </c>
      <c r="O541" s="35">
        <f t="shared" si="166"/>
        <v>0</v>
      </c>
      <c r="P541" s="35">
        <f t="shared" si="166"/>
        <v>0</v>
      </c>
      <c r="Q541" s="35">
        <f t="shared" si="166"/>
        <v>0</v>
      </c>
      <c r="R541" s="35">
        <f t="shared" si="166"/>
        <v>0</v>
      </c>
      <c r="S541" s="35">
        <f t="shared" si="166"/>
        <v>0</v>
      </c>
      <c r="T541" s="35">
        <f t="shared" si="166"/>
        <v>0</v>
      </c>
      <c r="U541" s="35">
        <f t="shared" si="166"/>
        <v>0</v>
      </c>
      <c r="V541" s="35">
        <f t="shared" si="166"/>
        <v>0</v>
      </c>
      <c r="W541" s="35">
        <f t="shared" si="166"/>
        <v>0</v>
      </c>
      <c r="X541" s="35">
        <f t="shared" si="166"/>
        <v>0</v>
      </c>
      <c r="Y541" s="35">
        <f t="shared" si="166"/>
        <v>0</v>
      </c>
      <c r="Z541" s="35">
        <f t="shared" si="166"/>
        <v>0</v>
      </c>
      <c r="AA541" s="35">
        <f t="shared" si="166"/>
        <v>0</v>
      </c>
      <c r="AB541" s="35">
        <f t="shared" si="166"/>
        <v>0</v>
      </c>
      <c r="AC541" s="35">
        <f t="shared" si="166"/>
        <v>0</v>
      </c>
      <c r="AD541" s="35">
        <f t="shared" si="166"/>
        <v>0</v>
      </c>
      <c r="AE541" s="35">
        <f t="shared" si="166"/>
        <v>0</v>
      </c>
      <c r="AF541" s="35">
        <f t="shared" si="166"/>
        <v>0</v>
      </c>
      <c r="AG541" s="35">
        <f t="shared" si="166"/>
        <v>0</v>
      </c>
      <c r="AH541" s="35">
        <f t="shared" si="166"/>
        <v>0</v>
      </c>
      <c r="AI541" s="72">
        <f t="shared" si="165"/>
        <v>0</v>
      </c>
    </row>
    <row r="542" spans="1:35" outlineLevel="3" x14ac:dyDescent="0.2">
      <c r="A542" s="20"/>
      <c r="B542" s="41" t="s">
        <v>708</v>
      </c>
      <c r="C542" s="13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D542" s="50"/>
      <c r="AE542" s="50"/>
      <c r="AF542" s="50"/>
      <c r="AG542" s="50"/>
      <c r="AH542" s="50"/>
      <c r="AI542" s="72">
        <f t="shared" si="165"/>
        <v>0</v>
      </c>
    </row>
    <row r="543" spans="1:35" outlineLevel="3" x14ac:dyDescent="0.2">
      <c r="A543" s="20"/>
      <c r="B543" s="41" t="s">
        <v>709</v>
      </c>
      <c r="C543" s="13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D543" s="50"/>
      <c r="AE543" s="50"/>
      <c r="AF543" s="50"/>
      <c r="AG543" s="50"/>
      <c r="AH543" s="50"/>
      <c r="AI543" s="72">
        <f t="shared" si="165"/>
        <v>0</v>
      </c>
    </row>
    <row r="544" spans="1:35" outlineLevel="3" x14ac:dyDescent="0.2">
      <c r="A544" s="20"/>
      <c r="B544" s="41" t="s">
        <v>710</v>
      </c>
      <c r="C544" s="13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D544" s="50"/>
      <c r="AE544" s="50"/>
      <c r="AF544" s="50"/>
      <c r="AG544" s="50"/>
      <c r="AH544" s="50"/>
      <c r="AI544" s="72">
        <f t="shared" si="165"/>
        <v>0</v>
      </c>
    </row>
    <row r="545" spans="1:35" outlineLevel="3" x14ac:dyDescent="0.2">
      <c r="A545" s="20" t="s">
        <v>682</v>
      </c>
      <c r="B545" s="20" t="s">
        <v>369</v>
      </c>
      <c r="C545" s="13" t="s">
        <v>370</v>
      </c>
      <c r="D545" s="35">
        <f>SUM(D546:D548)</f>
        <v>0</v>
      </c>
      <c r="E545" s="35">
        <f t="shared" ref="E545:AH545" si="167">SUM(E546:E548)</f>
        <v>0</v>
      </c>
      <c r="F545" s="35">
        <f t="shared" si="167"/>
        <v>0</v>
      </c>
      <c r="G545" s="35">
        <f t="shared" si="167"/>
        <v>0</v>
      </c>
      <c r="H545" s="35">
        <f t="shared" si="167"/>
        <v>0</v>
      </c>
      <c r="I545" s="35">
        <f t="shared" si="167"/>
        <v>0</v>
      </c>
      <c r="J545" s="35">
        <f t="shared" si="167"/>
        <v>0</v>
      </c>
      <c r="K545" s="35">
        <f t="shared" si="167"/>
        <v>0</v>
      </c>
      <c r="L545" s="35">
        <f t="shared" si="167"/>
        <v>0</v>
      </c>
      <c r="M545" s="35">
        <f t="shared" si="167"/>
        <v>0</v>
      </c>
      <c r="N545" s="35">
        <f t="shared" si="167"/>
        <v>0</v>
      </c>
      <c r="O545" s="35">
        <f t="shared" si="167"/>
        <v>0</v>
      </c>
      <c r="P545" s="35">
        <f t="shared" si="167"/>
        <v>0</v>
      </c>
      <c r="Q545" s="35">
        <f t="shared" si="167"/>
        <v>0</v>
      </c>
      <c r="R545" s="35">
        <f t="shared" si="167"/>
        <v>0</v>
      </c>
      <c r="S545" s="35">
        <f t="shared" si="167"/>
        <v>0</v>
      </c>
      <c r="T545" s="35">
        <f t="shared" si="167"/>
        <v>0</v>
      </c>
      <c r="U545" s="35">
        <f t="shared" si="167"/>
        <v>0</v>
      </c>
      <c r="V545" s="35">
        <f t="shared" si="167"/>
        <v>0</v>
      </c>
      <c r="W545" s="35">
        <f t="shared" si="167"/>
        <v>0</v>
      </c>
      <c r="X545" s="35">
        <f t="shared" si="167"/>
        <v>0</v>
      </c>
      <c r="Y545" s="35">
        <f t="shared" si="167"/>
        <v>0</v>
      </c>
      <c r="Z545" s="35">
        <f t="shared" si="167"/>
        <v>0</v>
      </c>
      <c r="AA545" s="35">
        <f t="shared" si="167"/>
        <v>0</v>
      </c>
      <c r="AB545" s="35">
        <f t="shared" si="167"/>
        <v>0</v>
      </c>
      <c r="AC545" s="35">
        <f t="shared" si="167"/>
        <v>0</v>
      </c>
      <c r="AD545" s="35">
        <f t="shared" si="167"/>
        <v>0</v>
      </c>
      <c r="AE545" s="35">
        <f t="shared" si="167"/>
        <v>0</v>
      </c>
      <c r="AF545" s="35">
        <f t="shared" si="167"/>
        <v>0</v>
      </c>
      <c r="AG545" s="35">
        <f t="shared" si="167"/>
        <v>0</v>
      </c>
      <c r="AH545" s="35">
        <f t="shared" si="167"/>
        <v>0</v>
      </c>
      <c r="AI545" s="72">
        <f t="shared" si="165"/>
        <v>0</v>
      </c>
    </row>
    <row r="546" spans="1:35" outlineLevel="3" x14ac:dyDescent="0.2">
      <c r="A546" s="20"/>
      <c r="B546" s="41" t="s">
        <v>708</v>
      </c>
      <c r="C546" s="13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D546" s="50"/>
      <c r="AE546" s="50"/>
      <c r="AF546" s="50"/>
      <c r="AG546" s="50"/>
      <c r="AH546" s="50"/>
      <c r="AI546" s="72">
        <f t="shared" si="165"/>
        <v>0</v>
      </c>
    </row>
    <row r="547" spans="1:35" outlineLevel="3" x14ac:dyDescent="0.2">
      <c r="A547" s="20"/>
      <c r="B547" s="41" t="s">
        <v>709</v>
      </c>
      <c r="C547" s="13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D547" s="50"/>
      <c r="AE547" s="50"/>
      <c r="AF547" s="50"/>
      <c r="AG547" s="50"/>
      <c r="AH547" s="50"/>
      <c r="AI547" s="72">
        <f t="shared" si="165"/>
        <v>0</v>
      </c>
    </row>
    <row r="548" spans="1:35" outlineLevel="3" x14ac:dyDescent="0.2">
      <c r="A548" s="20"/>
      <c r="B548" s="41" t="s">
        <v>710</v>
      </c>
      <c r="C548" s="13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D548" s="50"/>
      <c r="AE548" s="50"/>
      <c r="AF548" s="50"/>
      <c r="AG548" s="50"/>
      <c r="AH548" s="50"/>
      <c r="AI548" s="72">
        <f t="shared" si="165"/>
        <v>0</v>
      </c>
    </row>
    <row r="549" spans="1:35" outlineLevel="3" x14ac:dyDescent="0.2">
      <c r="A549" s="20" t="s">
        <v>683</v>
      </c>
      <c r="B549" s="20" t="s">
        <v>371</v>
      </c>
      <c r="C549" s="13" t="s">
        <v>372</v>
      </c>
      <c r="D549" s="35">
        <f>SUM(D550:D552)</f>
        <v>0</v>
      </c>
      <c r="E549" s="35">
        <f t="shared" ref="E549:AH549" si="168">SUM(E550:E552)</f>
        <v>0</v>
      </c>
      <c r="F549" s="35">
        <f t="shared" si="168"/>
        <v>0</v>
      </c>
      <c r="G549" s="35">
        <f t="shared" si="168"/>
        <v>0</v>
      </c>
      <c r="H549" s="35">
        <f t="shared" si="168"/>
        <v>0</v>
      </c>
      <c r="I549" s="35">
        <f t="shared" si="168"/>
        <v>0</v>
      </c>
      <c r="J549" s="35">
        <f t="shared" si="168"/>
        <v>0</v>
      </c>
      <c r="K549" s="35">
        <f t="shared" si="168"/>
        <v>0</v>
      </c>
      <c r="L549" s="35">
        <f t="shared" si="168"/>
        <v>0</v>
      </c>
      <c r="M549" s="35">
        <f t="shared" si="168"/>
        <v>0</v>
      </c>
      <c r="N549" s="35">
        <f t="shared" si="168"/>
        <v>0</v>
      </c>
      <c r="O549" s="35">
        <f t="shared" si="168"/>
        <v>0</v>
      </c>
      <c r="P549" s="35">
        <f t="shared" si="168"/>
        <v>0</v>
      </c>
      <c r="Q549" s="35">
        <f t="shared" si="168"/>
        <v>0</v>
      </c>
      <c r="R549" s="35">
        <f t="shared" si="168"/>
        <v>0</v>
      </c>
      <c r="S549" s="35">
        <f t="shared" si="168"/>
        <v>0</v>
      </c>
      <c r="T549" s="35">
        <f t="shared" si="168"/>
        <v>0</v>
      </c>
      <c r="U549" s="35">
        <f t="shared" si="168"/>
        <v>0</v>
      </c>
      <c r="V549" s="35">
        <f t="shared" si="168"/>
        <v>0</v>
      </c>
      <c r="W549" s="35">
        <f t="shared" si="168"/>
        <v>0</v>
      </c>
      <c r="X549" s="35">
        <f t="shared" si="168"/>
        <v>0</v>
      </c>
      <c r="Y549" s="35">
        <f t="shared" si="168"/>
        <v>0</v>
      </c>
      <c r="Z549" s="35">
        <f t="shared" si="168"/>
        <v>0</v>
      </c>
      <c r="AA549" s="35">
        <f t="shared" si="168"/>
        <v>0</v>
      </c>
      <c r="AB549" s="35">
        <f t="shared" si="168"/>
        <v>0</v>
      </c>
      <c r="AC549" s="35">
        <f t="shared" si="168"/>
        <v>0</v>
      </c>
      <c r="AD549" s="35">
        <f t="shared" si="168"/>
        <v>0</v>
      </c>
      <c r="AE549" s="35">
        <f t="shared" si="168"/>
        <v>0</v>
      </c>
      <c r="AF549" s="35">
        <f t="shared" si="168"/>
        <v>0</v>
      </c>
      <c r="AG549" s="35">
        <f t="shared" si="168"/>
        <v>0</v>
      </c>
      <c r="AH549" s="35">
        <f t="shared" si="168"/>
        <v>0</v>
      </c>
      <c r="AI549" s="72">
        <f t="shared" si="165"/>
        <v>0</v>
      </c>
    </row>
    <row r="550" spans="1:35" outlineLevel="3" x14ac:dyDescent="0.2">
      <c r="A550" s="20"/>
      <c r="B550" s="41" t="s">
        <v>708</v>
      </c>
      <c r="C550" s="13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D550" s="50"/>
      <c r="AE550" s="50"/>
      <c r="AF550" s="50"/>
      <c r="AG550" s="50"/>
      <c r="AH550" s="50"/>
      <c r="AI550" s="72">
        <f t="shared" si="165"/>
        <v>0</v>
      </c>
    </row>
    <row r="551" spans="1:35" outlineLevel="3" x14ac:dyDescent="0.2">
      <c r="A551" s="20"/>
      <c r="B551" s="41" t="s">
        <v>709</v>
      </c>
      <c r="C551" s="13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D551" s="50"/>
      <c r="AE551" s="50"/>
      <c r="AF551" s="50"/>
      <c r="AG551" s="50"/>
      <c r="AH551" s="50"/>
      <c r="AI551" s="72">
        <f t="shared" si="165"/>
        <v>0</v>
      </c>
    </row>
    <row r="552" spans="1:35" outlineLevel="3" x14ac:dyDescent="0.2">
      <c r="A552" s="20"/>
      <c r="B552" s="41" t="s">
        <v>710</v>
      </c>
      <c r="C552" s="13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D552" s="50"/>
      <c r="AE552" s="50"/>
      <c r="AF552" s="50"/>
      <c r="AG552" s="50"/>
      <c r="AH552" s="50"/>
      <c r="AI552" s="72">
        <f t="shared" si="165"/>
        <v>0</v>
      </c>
    </row>
    <row r="553" spans="1:35" outlineLevel="3" x14ac:dyDescent="0.2">
      <c r="A553" s="20" t="s">
        <v>684</v>
      </c>
      <c r="B553" s="20" t="s">
        <v>373</v>
      </c>
      <c r="C553" s="13" t="s">
        <v>374</v>
      </c>
      <c r="D553" s="35">
        <f>SUM(D554:D556)</f>
        <v>0</v>
      </c>
      <c r="E553" s="35">
        <f t="shared" ref="E553:AH553" si="169">SUM(E554:E556)</f>
        <v>0</v>
      </c>
      <c r="F553" s="35">
        <f t="shared" si="169"/>
        <v>0</v>
      </c>
      <c r="G553" s="35">
        <f t="shared" si="169"/>
        <v>0</v>
      </c>
      <c r="H553" s="35">
        <f t="shared" si="169"/>
        <v>0</v>
      </c>
      <c r="I553" s="35">
        <f t="shared" si="169"/>
        <v>0</v>
      </c>
      <c r="J553" s="35">
        <f t="shared" si="169"/>
        <v>0</v>
      </c>
      <c r="K553" s="35">
        <f t="shared" si="169"/>
        <v>0</v>
      </c>
      <c r="L553" s="35">
        <f t="shared" si="169"/>
        <v>0</v>
      </c>
      <c r="M553" s="35">
        <f t="shared" si="169"/>
        <v>0</v>
      </c>
      <c r="N553" s="35">
        <f t="shared" si="169"/>
        <v>0</v>
      </c>
      <c r="O553" s="35">
        <f t="shared" si="169"/>
        <v>0</v>
      </c>
      <c r="P553" s="35">
        <f t="shared" si="169"/>
        <v>0</v>
      </c>
      <c r="Q553" s="35">
        <f t="shared" si="169"/>
        <v>0</v>
      </c>
      <c r="R553" s="35">
        <f t="shared" si="169"/>
        <v>0</v>
      </c>
      <c r="S553" s="35">
        <f t="shared" si="169"/>
        <v>0</v>
      </c>
      <c r="T553" s="35">
        <f t="shared" si="169"/>
        <v>0</v>
      </c>
      <c r="U553" s="35">
        <f t="shared" si="169"/>
        <v>0</v>
      </c>
      <c r="V553" s="35">
        <f t="shared" si="169"/>
        <v>0</v>
      </c>
      <c r="W553" s="35">
        <f t="shared" si="169"/>
        <v>0</v>
      </c>
      <c r="X553" s="35">
        <f t="shared" si="169"/>
        <v>0</v>
      </c>
      <c r="Y553" s="35">
        <f t="shared" si="169"/>
        <v>0</v>
      </c>
      <c r="Z553" s="35">
        <f t="shared" si="169"/>
        <v>0</v>
      </c>
      <c r="AA553" s="35">
        <f t="shared" si="169"/>
        <v>0</v>
      </c>
      <c r="AB553" s="35">
        <f t="shared" si="169"/>
        <v>0</v>
      </c>
      <c r="AC553" s="35">
        <f t="shared" si="169"/>
        <v>0</v>
      </c>
      <c r="AD553" s="35">
        <f t="shared" si="169"/>
        <v>0</v>
      </c>
      <c r="AE553" s="35">
        <f t="shared" si="169"/>
        <v>0</v>
      </c>
      <c r="AF553" s="35">
        <f t="shared" si="169"/>
        <v>0</v>
      </c>
      <c r="AG553" s="35">
        <f t="shared" si="169"/>
        <v>0</v>
      </c>
      <c r="AH553" s="35">
        <f t="shared" si="169"/>
        <v>0</v>
      </c>
      <c r="AI553" s="72">
        <f t="shared" si="165"/>
        <v>0</v>
      </c>
    </row>
    <row r="554" spans="1:35" outlineLevel="3" x14ac:dyDescent="0.2">
      <c r="A554" s="20"/>
      <c r="B554" s="41" t="s">
        <v>708</v>
      </c>
      <c r="C554" s="13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D554" s="50"/>
      <c r="AE554" s="50"/>
      <c r="AF554" s="50"/>
      <c r="AG554" s="50"/>
      <c r="AH554" s="50"/>
      <c r="AI554" s="72">
        <f t="shared" si="165"/>
        <v>0</v>
      </c>
    </row>
    <row r="555" spans="1:35" outlineLevel="3" x14ac:dyDescent="0.2">
      <c r="A555" s="20"/>
      <c r="B555" s="41" t="s">
        <v>709</v>
      </c>
      <c r="C555" s="13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D555" s="50"/>
      <c r="AE555" s="50"/>
      <c r="AF555" s="50"/>
      <c r="AG555" s="50"/>
      <c r="AH555" s="50"/>
      <c r="AI555" s="72">
        <f t="shared" si="165"/>
        <v>0</v>
      </c>
    </row>
    <row r="556" spans="1:35" outlineLevel="3" x14ac:dyDescent="0.2">
      <c r="A556" s="20"/>
      <c r="B556" s="41" t="s">
        <v>710</v>
      </c>
      <c r="C556" s="13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D556" s="50"/>
      <c r="AE556" s="50"/>
      <c r="AF556" s="50"/>
      <c r="AG556" s="50"/>
      <c r="AH556" s="50"/>
      <c r="AI556" s="72">
        <f t="shared" si="165"/>
        <v>0</v>
      </c>
    </row>
    <row r="557" spans="1:35" outlineLevel="3" x14ac:dyDescent="0.2">
      <c r="A557" s="20" t="s">
        <v>685</v>
      </c>
      <c r="B557" s="20" t="s">
        <v>375</v>
      </c>
      <c r="C557" s="13" t="s">
        <v>376</v>
      </c>
      <c r="D557" s="35">
        <f>SUM(D558:D560)</f>
        <v>0</v>
      </c>
      <c r="E557" s="35">
        <f t="shared" ref="E557:AH557" si="170">SUM(E558:E560)</f>
        <v>0</v>
      </c>
      <c r="F557" s="35">
        <f t="shared" si="170"/>
        <v>0</v>
      </c>
      <c r="G557" s="35">
        <f t="shared" si="170"/>
        <v>0</v>
      </c>
      <c r="H557" s="35">
        <f t="shared" si="170"/>
        <v>0</v>
      </c>
      <c r="I557" s="35">
        <f t="shared" si="170"/>
        <v>0</v>
      </c>
      <c r="J557" s="35">
        <f t="shared" si="170"/>
        <v>0</v>
      </c>
      <c r="K557" s="35">
        <f t="shared" si="170"/>
        <v>0</v>
      </c>
      <c r="L557" s="35">
        <f t="shared" si="170"/>
        <v>0</v>
      </c>
      <c r="M557" s="35">
        <f t="shared" si="170"/>
        <v>0</v>
      </c>
      <c r="N557" s="35">
        <f t="shared" si="170"/>
        <v>0</v>
      </c>
      <c r="O557" s="35">
        <f t="shared" si="170"/>
        <v>0</v>
      </c>
      <c r="P557" s="35">
        <f t="shared" si="170"/>
        <v>0</v>
      </c>
      <c r="Q557" s="35">
        <f t="shared" si="170"/>
        <v>0</v>
      </c>
      <c r="R557" s="35">
        <f t="shared" si="170"/>
        <v>0</v>
      </c>
      <c r="S557" s="35">
        <f t="shared" si="170"/>
        <v>0</v>
      </c>
      <c r="T557" s="35">
        <f t="shared" si="170"/>
        <v>0</v>
      </c>
      <c r="U557" s="35">
        <f t="shared" si="170"/>
        <v>0</v>
      </c>
      <c r="V557" s="35">
        <f t="shared" si="170"/>
        <v>0</v>
      </c>
      <c r="W557" s="35">
        <f t="shared" si="170"/>
        <v>0</v>
      </c>
      <c r="X557" s="35">
        <f t="shared" si="170"/>
        <v>0</v>
      </c>
      <c r="Y557" s="35">
        <f t="shared" si="170"/>
        <v>0</v>
      </c>
      <c r="Z557" s="35">
        <f t="shared" si="170"/>
        <v>0</v>
      </c>
      <c r="AA557" s="35">
        <f t="shared" si="170"/>
        <v>0</v>
      </c>
      <c r="AB557" s="35">
        <f t="shared" si="170"/>
        <v>0</v>
      </c>
      <c r="AC557" s="35">
        <f t="shared" si="170"/>
        <v>0</v>
      </c>
      <c r="AD557" s="35">
        <f t="shared" si="170"/>
        <v>0</v>
      </c>
      <c r="AE557" s="35">
        <f t="shared" si="170"/>
        <v>0</v>
      </c>
      <c r="AF557" s="35">
        <f t="shared" si="170"/>
        <v>0</v>
      </c>
      <c r="AG557" s="35">
        <f t="shared" si="170"/>
        <v>0</v>
      </c>
      <c r="AH557" s="35">
        <f t="shared" si="170"/>
        <v>0</v>
      </c>
      <c r="AI557" s="72">
        <f t="shared" si="165"/>
        <v>0</v>
      </c>
    </row>
    <row r="558" spans="1:35" outlineLevel="3" x14ac:dyDescent="0.2">
      <c r="A558" s="20"/>
      <c r="B558" s="41" t="s">
        <v>708</v>
      </c>
      <c r="C558" s="13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D558" s="50"/>
      <c r="AE558" s="50"/>
      <c r="AF558" s="50"/>
      <c r="AG558" s="50"/>
      <c r="AH558" s="50"/>
      <c r="AI558" s="72">
        <f t="shared" si="165"/>
        <v>0</v>
      </c>
    </row>
    <row r="559" spans="1:35" outlineLevel="3" x14ac:dyDescent="0.2">
      <c r="A559" s="20"/>
      <c r="B559" s="41" t="s">
        <v>709</v>
      </c>
      <c r="C559" s="13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D559" s="50"/>
      <c r="AE559" s="50"/>
      <c r="AF559" s="50"/>
      <c r="AG559" s="50"/>
      <c r="AH559" s="50"/>
      <c r="AI559" s="72">
        <f t="shared" si="165"/>
        <v>0</v>
      </c>
    </row>
    <row r="560" spans="1:35" outlineLevel="3" x14ac:dyDescent="0.2">
      <c r="A560" s="20"/>
      <c r="B560" s="41" t="s">
        <v>710</v>
      </c>
      <c r="C560" s="13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D560" s="50"/>
      <c r="AE560" s="50"/>
      <c r="AF560" s="50"/>
      <c r="AG560" s="50"/>
      <c r="AH560" s="50"/>
      <c r="AI560" s="72">
        <f t="shared" si="165"/>
        <v>0</v>
      </c>
    </row>
    <row r="561" spans="1:35" outlineLevel="3" x14ac:dyDescent="0.2">
      <c r="A561" s="20" t="s">
        <v>686</v>
      </c>
      <c r="B561" s="20" t="s">
        <v>377</v>
      </c>
      <c r="C561" s="13" t="s">
        <v>378</v>
      </c>
      <c r="D561" s="35">
        <f>SUM(D562:D564)</f>
        <v>0</v>
      </c>
      <c r="E561" s="35">
        <f t="shared" ref="E561:AH561" si="171">SUM(E562:E564)</f>
        <v>0</v>
      </c>
      <c r="F561" s="35">
        <f t="shared" si="171"/>
        <v>0</v>
      </c>
      <c r="G561" s="35">
        <f t="shared" si="171"/>
        <v>0</v>
      </c>
      <c r="H561" s="35">
        <f t="shared" si="171"/>
        <v>0</v>
      </c>
      <c r="I561" s="35">
        <f t="shared" si="171"/>
        <v>0</v>
      </c>
      <c r="J561" s="35">
        <f t="shared" si="171"/>
        <v>0</v>
      </c>
      <c r="K561" s="35">
        <f t="shared" si="171"/>
        <v>0</v>
      </c>
      <c r="L561" s="35">
        <f t="shared" si="171"/>
        <v>0</v>
      </c>
      <c r="M561" s="35">
        <f t="shared" si="171"/>
        <v>0</v>
      </c>
      <c r="N561" s="35">
        <f t="shared" si="171"/>
        <v>0</v>
      </c>
      <c r="O561" s="35">
        <f t="shared" si="171"/>
        <v>0</v>
      </c>
      <c r="P561" s="35">
        <f t="shared" si="171"/>
        <v>0</v>
      </c>
      <c r="Q561" s="35">
        <f t="shared" si="171"/>
        <v>0</v>
      </c>
      <c r="R561" s="35">
        <f t="shared" si="171"/>
        <v>0</v>
      </c>
      <c r="S561" s="35">
        <f t="shared" si="171"/>
        <v>0</v>
      </c>
      <c r="T561" s="35">
        <f t="shared" si="171"/>
        <v>0</v>
      </c>
      <c r="U561" s="35">
        <f t="shared" si="171"/>
        <v>0</v>
      </c>
      <c r="V561" s="35">
        <f t="shared" si="171"/>
        <v>0</v>
      </c>
      <c r="W561" s="35">
        <f t="shared" si="171"/>
        <v>0</v>
      </c>
      <c r="X561" s="35">
        <f t="shared" si="171"/>
        <v>0</v>
      </c>
      <c r="Y561" s="35">
        <f t="shared" si="171"/>
        <v>0</v>
      </c>
      <c r="Z561" s="35">
        <f t="shared" si="171"/>
        <v>0</v>
      </c>
      <c r="AA561" s="35">
        <f t="shared" si="171"/>
        <v>0</v>
      </c>
      <c r="AB561" s="35">
        <f t="shared" si="171"/>
        <v>0</v>
      </c>
      <c r="AC561" s="35">
        <f t="shared" si="171"/>
        <v>0</v>
      </c>
      <c r="AD561" s="35">
        <f t="shared" si="171"/>
        <v>0</v>
      </c>
      <c r="AE561" s="35">
        <f t="shared" si="171"/>
        <v>0</v>
      </c>
      <c r="AF561" s="35">
        <f t="shared" si="171"/>
        <v>0</v>
      </c>
      <c r="AG561" s="35">
        <f t="shared" si="171"/>
        <v>0</v>
      </c>
      <c r="AH561" s="35">
        <f t="shared" si="171"/>
        <v>132000</v>
      </c>
      <c r="AI561" s="72">
        <f t="shared" si="165"/>
        <v>132000</v>
      </c>
    </row>
    <row r="562" spans="1:35" outlineLevel="3" x14ac:dyDescent="0.2">
      <c r="A562" s="20"/>
      <c r="B562" s="41" t="s">
        <v>708</v>
      </c>
      <c r="C562" s="13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D562" s="50"/>
      <c r="AE562" s="50"/>
      <c r="AF562" s="50"/>
      <c r="AG562" s="50"/>
      <c r="AH562" s="50"/>
      <c r="AI562" s="72">
        <f t="shared" si="165"/>
        <v>0</v>
      </c>
    </row>
    <row r="563" spans="1:35" outlineLevel="3" x14ac:dyDescent="0.2">
      <c r="A563" s="20"/>
      <c r="B563" s="41" t="s">
        <v>709</v>
      </c>
      <c r="C563" s="13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D563" s="50"/>
      <c r="AE563" s="50"/>
      <c r="AF563" s="50"/>
      <c r="AG563" s="50"/>
      <c r="AH563" s="50">
        <v>132000</v>
      </c>
      <c r="AI563" s="72">
        <f t="shared" si="165"/>
        <v>132000</v>
      </c>
    </row>
    <row r="564" spans="1:35" outlineLevel="3" x14ac:dyDescent="0.2">
      <c r="A564" s="20"/>
      <c r="B564" s="41" t="s">
        <v>710</v>
      </c>
      <c r="C564" s="13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D564" s="50"/>
      <c r="AE564" s="50"/>
      <c r="AF564" s="50"/>
      <c r="AG564" s="50"/>
      <c r="AH564" s="50"/>
      <c r="AI564" s="72">
        <f t="shared" si="165"/>
        <v>0</v>
      </c>
    </row>
    <row r="565" spans="1:35" outlineLevel="3" x14ac:dyDescent="0.2">
      <c r="A565" s="20" t="s">
        <v>687</v>
      </c>
      <c r="B565" s="20" t="s">
        <v>379</v>
      </c>
      <c r="C565" s="13" t="s">
        <v>380</v>
      </c>
      <c r="D565" s="35">
        <f>SUM(D566:D568)</f>
        <v>0</v>
      </c>
      <c r="E565" s="35">
        <f t="shared" ref="E565:AH565" si="172">SUM(E566:E568)</f>
        <v>0</v>
      </c>
      <c r="F565" s="35">
        <f t="shared" si="172"/>
        <v>0</v>
      </c>
      <c r="G565" s="35">
        <f t="shared" si="172"/>
        <v>0</v>
      </c>
      <c r="H565" s="35">
        <f t="shared" si="172"/>
        <v>0</v>
      </c>
      <c r="I565" s="35">
        <f t="shared" si="172"/>
        <v>0</v>
      </c>
      <c r="J565" s="35">
        <f t="shared" si="172"/>
        <v>0</v>
      </c>
      <c r="K565" s="35">
        <f t="shared" si="172"/>
        <v>0</v>
      </c>
      <c r="L565" s="35">
        <f t="shared" si="172"/>
        <v>0</v>
      </c>
      <c r="M565" s="35">
        <f t="shared" si="172"/>
        <v>0</v>
      </c>
      <c r="N565" s="35">
        <f t="shared" si="172"/>
        <v>0</v>
      </c>
      <c r="O565" s="35">
        <f t="shared" si="172"/>
        <v>0</v>
      </c>
      <c r="P565" s="35">
        <f t="shared" si="172"/>
        <v>0</v>
      </c>
      <c r="Q565" s="35">
        <f t="shared" si="172"/>
        <v>0</v>
      </c>
      <c r="R565" s="35">
        <f t="shared" si="172"/>
        <v>0</v>
      </c>
      <c r="S565" s="35">
        <f t="shared" si="172"/>
        <v>0</v>
      </c>
      <c r="T565" s="35">
        <f t="shared" si="172"/>
        <v>0</v>
      </c>
      <c r="U565" s="35">
        <f t="shared" si="172"/>
        <v>0</v>
      </c>
      <c r="V565" s="35">
        <f t="shared" si="172"/>
        <v>0</v>
      </c>
      <c r="W565" s="35">
        <f t="shared" si="172"/>
        <v>0</v>
      </c>
      <c r="X565" s="35">
        <f t="shared" si="172"/>
        <v>0</v>
      </c>
      <c r="Y565" s="35">
        <f t="shared" si="172"/>
        <v>0</v>
      </c>
      <c r="Z565" s="35">
        <f t="shared" si="172"/>
        <v>0</v>
      </c>
      <c r="AA565" s="35">
        <f t="shared" si="172"/>
        <v>0</v>
      </c>
      <c r="AB565" s="35">
        <f t="shared" si="172"/>
        <v>0</v>
      </c>
      <c r="AC565" s="35">
        <f t="shared" si="172"/>
        <v>0</v>
      </c>
      <c r="AD565" s="35">
        <f t="shared" si="172"/>
        <v>0</v>
      </c>
      <c r="AE565" s="35">
        <f t="shared" si="172"/>
        <v>0</v>
      </c>
      <c r="AF565" s="35">
        <f t="shared" si="172"/>
        <v>0</v>
      </c>
      <c r="AG565" s="35">
        <f t="shared" si="172"/>
        <v>0</v>
      </c>
      <c r="AH565" s="35">
        <f t="shared" si="172"/>
        <v>0</v>
      </c>
      <c r="AI565" s="72">
        <f t="shared" si="165"/>
        <v>0</v>
      </c>
    </row>
    <row r="566" spans="1:35" outlineLevel="3" x14ac:dyDescent="0.2">
      <c r="A566" s="20"/>
      <c r="B566" s="41" t="s">
        <v>708</v>
      </c>
      <c r="C566" s="13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D566" s="50"/>
      <c r="AE566" s="50"/>
      <c r="AF566" s="50"/>
      <c r="AG566" s="50"/>
      <c r="AH566" s="50"/>
      <c r="AI566" s="72">
        <f t="shared" si="165"/>
        <v>0</v>
      </c>
    </row>
    <row r="567" spans="1:35" outlineLevel="3" x14ac:dyDescent="0.2">
      <c r="A567" s="20"/>
      <c r="B567" s="41" t="s">
        <v>709</v>
      </c>
      <c r="C567" s="13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D567" s="50"/>
      <c r="AE567" s="50"/>
      <c r="AF567" s="50"/>
      <c r="AG567" s="50"/>
      <c r="AH567" s="50"/>
      <c r="AI567" s="72">
        <f t="shared" si="165"/>
        <v>0</v>
      </c>
    </row>
    <row r="568" spans="1:35" outlineLevel="3" x14ac:dyDescent="0.2">
      <c r="A568" s="20"/>
      <c r="B568" s="41" t="s">
        <v>710</v>
      </c>
      <c r="C568" s="13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D568" s="50"/>
      <c r="AE568" s="50"/>
      <c r="AF568" s="50"/>
      <c r="AG568" s="50"/>
      <c r="AH568" s="50"/>
      <c r="AI568" s="72">
        <f t="shared" si="165"/>
        <v>0</v>
      </c>
    </row>
    <row r="569" spans="1:35" outlineLevel="3" x14ac:dyDescent="0.2">
      <c r="A569" s="20" t="s">
        <v>688</v>
      </c>
      <c r="B569" s="20" t="s">
        <v>381</v>
      </c>
      <c r="C569" s="13">
        <v>2221517100</v>
      </c>
      <c r="D569" s="35">
        <f>SUM(D570:D572)</f>
        <v>0</v>
      </c>
      <c r="E569" s="35">
        <f t="shared" ref="E569:AH569" si="173">SUM(E570:E572)</f>
        <v>0</v>
      </c>
      <c r="F569" s="35">
        <f t="shared" si="173"/>
        <v>0</v>
      </c>
      <c r="G569" s="35">
        <f t="shared" si="173"/>
        <v>0</v>
      </c>
      <c r="H569" s="35">
        <f t="shared" si="173"/>
        <v>0</v>
      </c>
      <c r="I569" s="35">
        <f t="shared" si="173"/>
        <v>0</v>
      </c>
      <c r="J569" s="35">
        <f t="shared" si="173"/>
        <v>0</v>
      </c>
      <c r="K569" s="35">
        <f t="shared" si="173"/>
        <v>0</v>
      </c>
      <c r="L569" s="35">
        <f t="shared" si="173"/>
        <v>0</v>
      </c>
      <c r="M569" s="35">
        <f t="shared" si="173"/>
        <v>0</v>
      </c>
      <c r="N569" s="35">
        <f t="shared" si="173"/>
        <v>0</v>
      </c>
      <c r="O569" s="35">
        <f t="shared" si="173"/>
        <v>0</v>
      </c>
      <c r="P569" s="35">
        <f t="shared" si="173"/>
        <v>0</v>
      </c>
      <c r="Q569" s="35">
        <f t="shared" si="173"/>
        <v>0</v>
      </c>
      <c r="R569" s="35">
        <f t="shared" si="173"/>
        <v>0</v>
      </c>
      <c r="S569" s="35">
        <f t="shared" si="173"/>
        <v>0</v>
      </c>
      <c r="T569" s="35">
        <f t="shared" si="173"/>
        <v>0</v>
      </c>
      <c r="U569" s="35">
        <f t="shared" si="173"/>
        <v>0</v>
      </c>
      <c r="V569" s="35">
        <f t="shared" si="173"/>
        <v>0</v>
      </c>
      <c r="W569" s="35">
        <f t="shared" si="173"/>
        <v>0</v>
      </c>
      <c r="X569" s="35">
        <f t="shared" si="173"/>
        <v>0</v>
      </c>
      <c r="Y569" s="35">
        <f t="shared" si="173"/>
        <v>0</v>
      </c>
      <c r="Z569" s="35">
        <f t="shared" si="173"/>
        <v>0</v>
      </c>
      <c r="AA569" s="35">
        <f t="shared" si="173"/>
        <v>0</v>
      </c>
      <c r="AB569" s="35">
        <f t="shared" si="173"/>
        <v>0</v>
      </c>
      <c r="AC569" s="35">
        <f t="shared" si="173"/>
        <v>0</v>
      </c>
      <c r="AD569" s="35">
        <f t="shared" si="173"/>
        <v>0</v>
      </c>
      <c r="AE569" s="35">
        <f t="shared" si="173"/>
        <v>0</v>
      </c>
      <c r="AF569" s="35">
        <f t="shared" si="173"/>
        <v>0</v>
      </c>
      <c r="AG569" s="35">
        <f t="shared" si="173"/>
        <v>0</v>
      </c>
      <c r="AH569" s="35">
        <f t="shared" si="173"/>
        <v>0</v>
      </c>
      <c r="AI569" s="72">
        <f t="shared" si="165"/>
        <v>0</v>
      </c>
    </row>
    <row r="570" spans="1:35" outlineLevel="3" x14ac:dyDescent="0.2">
      <c r="A570" s="20"/>
      <c r="B570" s="41" t="s">
        <v>708</v>
      </c>
      <c r="C570" s="13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D570" s="50"/>
      <c r="AE570" s="50"/>
      <c r="AF570" s="50"/>
      <c r="AG570" s="50"/>
      <c r="AH570" s="50"/>
      <c r="AI570" s="72">
        <f t="shared" si="165"/>
        <v>0</v>
      </c>
    </row>
    <row r="571" spans="1:35" outlineLevel="3" x14ac:dyDescent="0.2">
      <c r="A571" s="20"/>
      <c r="B571" s="41" t="s">
        <v>709</v>
      </c>
      <c r="C571" s="13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D571" s="50"/>
      <c r="AE571" s="50"/>
      <c r="AF571" s="50"/>
      <c r="AG571" s="50"/>
      <c r="AH571" s="50"/>
      <c r="AI571" s="72">
        <f t="shared" si="165"/>
        <v>0</v>
      </c>
    </row>
    <row r="572" spans="1:35" outlineLevel="3" x14ac:dyDescent="0.2">
      <c r="A572" s="20"/>
      <c r="B572" s="41" t="s">
        <v>710</v>
      </c>
      <c r="C572" s="13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D572" s="50"/>
      <c r="AE572" s="50"/>
      <c r="AF572" s="50"/>
      <c r="AG572" s="50"/>
      <c r="AH572" s="50"/>
      <c r="AI572" s="72">
        <f t="shared" si="165"/>
        <v>0</v>
      </c>
    </row>
    <row r="573" spans="1:35" outlineLevel="3" x14ac:dyDescent="0.2">
      <c r="A573" s="20" t="s">
        <v>689</v>
      </c>
      <c r="B573" s="22" t="s">
        <v>382</v>
      </c>
      <c r="C573" s="13">
        <v>2221517120</v>
      </c>
      <c r="D573" s="35">
        <f>SUM(D574:D576)</f>
        <v>0</v>
      </c>
      <c r="E573" s="35">
        <f t="shared" ref="E573:AH573" si="174">SUM(E574:E576)</f>
        <v>0</v>
      </c>
      <c r="F573" s="35">
        <f t="shared" si="174"/>
        <v>0</v>
      </c>
      <c r="G573" s="35">
        <f t="shared" si="174"/>
        <v>0</v>
      </c>
      <c r="H573" s="35">
        <f t="shared" si="174"/>
        <v>0</v>
      </c>
      <c r="I573" s="35">
        <f t="shared" si="174"/>
        <v>0</v>
      </c>
      <c r="J573" s="35">
        <f t="shared" si="174"/>
        <v>0</v>
      </c>
      <c r="K573" s="35">
        <f t="shared" si="174"/>
        <v>0</v>
      </c>
      <c r="L573" s="35">
        <f t="shared" si="174"/>
        <v>0</v>
      </c>
      <c r="M573" s="35">
        <f t="shared" si="174"/>
        <v>0</v>
      </c>
      <c r="N573" s="35">
        <f t="shared" si="174"/>
        <v>0</v>
      </c>
      <c r="O573" s="35">
        <f t="shared" si="174"/>
        <v>0</v>
      </c>
      <c r="P573" s="35">
        <f t="shared" si="174"/>
        <v>0</v>
      </c>
      <c r="Q573" s="35">
        <f t="shared" si="174"/>
        <v>0</v>
      </c>
      <c r="R573" s="35">
        <f t="shared" si="174"/>
        <v>0</v>
      </c>
      <c r="S573" s="35">
        <f t="shared" si="174"/>
        <v>0</v>
      </c>
      <c r="T573" s="35">
        <f t="shared" si="174"/>
        <v>0</v>
      </c>
      <c r="U573" s="35">
        <f t="shared" si="174"/>
        <v>0</v>
      </c>
      <c r="V573" s="35">
        <f t="shared" si="174"/>
        <v>0</v>
      </c>
      <c r="W573" s="35">
        <f t="shared" si="174"/>
        <v>0</v>
      </c>
      <c r="X573" s="35">
        <f t="shared" si="174"/>
        <v>0</v>
      </c>
      <c r="Y573" s="35">
        <f t="shared" si="174"/>
        <v>0</v>
      </c>
      <c r="Z573" s="35">
        <f t="shared" si="174"/>
        <v>0</v>
      </c>
      <c r="AA573" s="35">
        <f t="shared" si="174"/>
        <v>0</v>
      </c>
      <c r="AB573" s="35">
        <f t="shared" si="174"/>
        <v>0</v>
      </c>
      <c r="AC573" s="35">
        <f t="shared" si="174"/>
        <v>0</v>
      </c>
      <c r="AD573" s="35">
        <f t="shared" si="174"/>
        <v>0</v>
      </c>
      <c r="AE573" s="35">
        <f t="shared" si="174"/>
        <v>0</v>
      </c>
      <c r="AF573" s="35">
        <f t="shared" si="174"/>
        <v>0</v>
      </c>
      <c r="AG573" s="35">
        <f t="shared" si="174"/>
        <v>0</v>
      </c>
      <c r="AH573" s="35">
        <f t="shared" si="174"/>
        <v>0</v>
      </c>
      <c r="AI573" s="72">
        <f t="shared" si="165"/>
        <v>0</v>
      </c>
    </row>
    <row r="574" spans="1:35" outlineLevel="3" x14ac:dyDescent="0.2">
      <c r="A574" s="20"/>
      <c r="B574" s="41" t="s">
        <v>708</v>
      </c>
      <c r="C574" s="13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D574" s="50"/>
      <c r="AE574" s="50"/>
      <c r="AF574" s="50"/>
      <c r="AG574" s="50"/>
      <c r="AH574" s="50"/>
      <c r="AI574" s="72">
        <f t="shared" si="165"/>
        <v>0</v>
      </c>
    </row>
    <row r="575" spans="1:35" outlineLevel="3" x14ac:dyDescent="0.2">
      <c r="A575" s="20"/>
      <c r="B575" s="41" t="s">
        <v>709</v>
      </c>
      <c r="C575" s="13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D575" s="50"/>
      <c r="AE575" s="50"/>
      <c r="AF575" s="50"/>
      <c r="AG575" s="50"/>
      <c r="AH575" s="50"/>
      <c r="AI575" s="72">
        <f t="shared" si="165"/>
        <v>0</v>
      </c>
    </row>
    <row r="576" spans="1:35" outlineLevel="3" x14ac:dyDescent="0.2">
      <c r="A576" s="20"/>
      <c r="B576" s="41" t="s">
        <v>710</v>
      </c>
      <c r="C576" s="13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D576" s="50"/>
      <c r="AE576" s="50"/>
      <c r="AF576" s="50"/>
      <c r="AG576" s="50"/>
      <c r="AH576" s="50"/>
      <c r="AI576" s="72">
        <f t="shared" si="165"/>
        <v>0</v>
      </c>
    </row>
    <row r="577" spans="1:35" outlineLevel="3" x14ac:dyDescent="0.2">
      <c r="A577" s="20" t="s">
        <v>690</v>
      </c>
      <c r="B577" s="22" t="s">
        <v>556</v>
      </c>
      <c r="C577" s="13">
        <v>2221517130</v>
      </c>
      <c r="D577" s="35">
        <f>SUM(D578:D580)</f>
        <v>0</v>
      </c>
      <c r="E577" s="35">
        <f t="shared" ref="E577:AH577" si="175">SUM(E578:E580)</f>
        <v>0</v>
      </c>
      <c r="F577" s="35">
        <f t="shared" si="175"/>
        <v>0</v>
      </c>
      <c r="G577" s="35">
        <f t="shared" si="175"/>
        <v>0</v>
      </c>
      <c r="H577" s="35">
        <f t="shared" si="175"/>
        <v>0</v>
      </c>
      <c r="I577" s="35">
        <f t="shared" si="175"/>
        <v>0</v>
      </c>
      <c r="J577" s="35">
        <f t="shared" si="175"/>
        <v>0</v>
      </c>
      <c r="K577" s="35">
        <f t="shared" si="175"/>
        <v>0</v>
      </c>
      <c r="L577" s="35">
        <f t="shared" si="175"/>
        <v>0</v>
      </c>
      <c r="M577" s="35">
        <f t="shared" si="175"/>
        <v>0</v>
      </c>
      <c r="N577" s="35">
        <f t="shared" si="175"/>
        <v>0</v>
      </c>
      <c r="O577" s="35">
        <f t="shared" si="175"/>
        <v>0</v>
      </c>
      <c r="P577" s="35">
        <f t="shared" si="175"/>
        <v>0</v>
      </c>
      <c r="Q577" s="35">
        <f t="shared" si="175"/>
        <v>0</v>
      </c>
      <c r="R577" s="35">
        <f t="shared" si="175"/>
        <v>0</v>
      </c>
      <c r="S577" s="35">
        <f t="shared" si="175"/>
        <v>0</v>
      </c>
      <c r="T577" s="35">
        <f t="shared" si="175"/>
        <v>0</v>
      </c>
      <c r="U577" s="35">
        <f t="shared" si="175"/>
        <v>0</v>
      </c>
      <c r="V577" s="35">
        <f t="shared" si="175"/>
        <v>0</v>
      </c>
      <c r="W577" s="35">
        <f t="shared" si="175"/>
        <v>0</v>
      </c>
      <c r="X577" s="35">
        <f t="shared" si="175"/>
        <v>0</v>
      </c>
      <c r="Y577" s="35">
        <f t="shared" si="175"/>
        <v>0</v>
      </c>
      <c r="Z577" s="35">
        <f t="shared" si="175"/>
        <v>0</v>
      </c>
      <c r="AA577" s="35">
        <f t="shared" si="175"/>
        <v>0</v>
      </c>
      <c r="AB577" s="35">
        <f t="shared" si="175"/>
        <v>0</v>
      </c>
      <c r="AC577" s="35">
        <f t="shared" si="175"/>
        <v>0</v>
      </c>
      <c r="AD577" s="35">
        <f t="shared" si="175"/>
        <v>0</v>
      </c>
      <c r="AE577" s="35">
        <f t="shared" si="175"/>
        <v>0</v>
      </c>
      <c r="AF577" s="35">
        <f t="shared" si="175"/>
        <v>0</v>
      </c>
      <c r="AG577" s="35">
        <f t="shared" si="175"/>
        <v>0</v>
      </c>
      <c r="AH577" s="35">
        <f t="shared" si="175"/>
        <v>0</v>
      </c>
      <c r="AI577" s="72">
        <f t="shared" si="165"/>
        <v>0</v>
      </c>
    </row>
    <row r="578" spans="1:35" outlineLevel="3" x14ac:dyDescent="0.2">
      <c r="A578" s="20"/>
      <c r="B578" s="41" t="s">
        <v>708</v>
      </c>
      <c r="C578" s="13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D578" s="50"/>
      <c r="AE578" s="50"/>
      <c r="AF578" s="50"/>
      <c r="AG578" s="50"/>
      <c r="AH578" s="50"/>
      <c r="AI578" s="72">
        <f t="shared" si="165"/>
        <v>0</v>
      </c>
    </row>
    <row r="579" spans="1:35" outlineLevel="3" x14ac:dyDescent="0.2">
      <c r="A579" s="20"/>
      <c r="B579" s="41" t="s">
        <v>709</v>
      </c>
      <c r="C579" s="13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D579" s="50"/>
      <c r="AE579" s="50"/>
      <c r="AF579" s="50"/>
      <c r="AG579" s="50"/>
      <c r="AH579" s="50"/>
      <c r="AI579" s="72">
        <f t="shared" si="165"/>
        <v>0</v>
      </c>
    </row>
    <row r="580" spans="1:35" outlineLevel="3" x14ac:dyDescent="0.2">
      <c r="A580" s="20"/>
      <c r="B580" s="41" t="s">
        <v>710</v>
      </c>
      <c r="C580" s="13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D580" s="50"/>
      <c r="AE580" s="50"/>
      <c r="AF580" s="50"/>
      <c r="AG580" s="50"/>
      <c r="AH580" s="50"/>
      <c r="AI580" s="72">
        <f t="shared" si="165"/>
        <v>0</v>
      </c>
    </row>
    <row r="581" spans="1:35" outlineLevel="3" x14ac:dyDescent="0.2">
      <c r="A581" s="20" t="s">
        <v>691</v>
      </c>
      <c r="B581" s="22" t="s">
        <v>557</v>
      </c>
      <c r="C581" s="13">
        <v>2221517140</v>
      </c>
      <c r="D581" s="35">
        <f>SUM(D582:D584)</f>
        <v>0</v>
      </c>
      <c r="E581" s="35">
        <f t="shared" ref="E581:AH581" si="176">SUM(E582:E584)</f>
        <v>0</v>
      </c>
      <c r="F581" s="35">
        <f t="shared" si="176"/>
        <v>0</v>
      </c>
      <c r="G581" s="35">
        <f t="shared" si="176"/>
        <v>0</v>
      </c>
      <c r="H581" s="35">
        <f t="shared" si="176"/>
        <v>0</v>
      </c>
      <c r="I581" s="35">
        <f t="shared" si="176"/>
        <v>0</v>
      </c>
      <c r="J581" s="35">
        <f t="shared" si="176"/>
        <v>0</v>
      </c>
      <c r="K581" s="35">
        <f t="shared" si="176"/>
        <v>0</v>
      </c>
      <c r="L581" s="35">
        <f t="shared" si="176"/>
        <v>0</v>
      </c>
      <c r="M581" s="35">
        <f t="shared" si="176"/>
        <v>0</v>
      </c>
      <c r="N581" s="35">
        <f t="shared" si="176"/>
        <v>0</v>
      </c>
      <c r="O581" s="35">
        <f t="shared" si="176"/>
        <v>0</v>
      </c>
      <c r="P581" s="35">
        <f t="shared" si="176"/>
        <v>0</v>
      </c>
      <c r="Q581" s="35">
        <f t="shared" si="176"/>
        <v>0</v>
      </c>
      <c r="R581" s="35">
        <f t="shared" si="176"/>
        <v>0</v>
      </c>
      <c r="S581" s="35">
        <f t="shared" si="176"/>
        <v>0</v>
      </c>
      <c r="T581" s="35">
        <f t="shared" si="176"/>
        <v>0</v>
      </c>
      <c r="U581" s="35">
        <f t="shared" si="176"/>
        <v>0</v>
      </c>
      <c r="V581" s="35">
        <f t="shared" si="176"/>
        <v>0</v>
      </c>
      <c r="W581" s="35">
        <f t="shared" si="176"/>
        <v>0</v>
      </c>
      <c r="X581" s="35">
        <f t="shared" si="176"/>
        <v>0</v>
      </c>
      <c r="Y581" s="35">
        <f t="shared" si="176"/>
        <v>0</v>
      </c>
      <c r="Z581" s="35">
        <f t="shared" si="176"/>
        <v>0</v>
      </c>
      <c r="AA581" s="35">
        <f t="shared" si="176"/>
        <v>0</v>
      </c>
      <c r="AB581" s="35">
        <f t="shared" si="176"/>
        <v>0</v>
      </c>
      <c r="AC581" s="35">
        <f t="shared" si="176"/>
        <v>0</v>
      </c>
      <c r="AD581" s="35">
        <f t="shared" si="176"/>
        <v>0</v>
      </c>
      <c r="AE581" s="35">
        <f t="shared" si="176"/>
        <v>0</v>
      </c>
      <c r="AF581" s="35">
        <f t="shared" si="176"/>
        <v>0</v>
      </c>
      <c r="AG581" s="35">
        <f t="shared" si="176"/>
        <v>0</v>
      </c>
      <c r="AH581" s="35">
        <f t="shared" si="176"/>
        <v>0</v>
      </c>
      <c r="AI581" s="72">
        <f t="shared" si="165"/>
        <v>0</v>
      </c>
    </row>
    <row r="582" spans="1:35" outlineLevel="3" x14ac:dyDescent="0.2">
      <c r="A582" s="20"/>
      <c r="B582" s="41" t="s">
        <v>708</v>
      </c>
      <c r="C582" s="13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D582" s="50"/>
      <c r="AE582" s="50"/>
      <c r="AF582" s="50"/>
      <c r="AG582" s="50"/>
      <c r="AH582" s="50"/>
      <c r="AI582" s="72">
        <f t="shared" si="165"/>
        <v>0</v>
      </c>
    </row>
    <row r="583" spans="1:35" outlineLevel="3" x14ac:dyDescent="0.2">
      <c r="A583" s="20"/>
      <c r="B583" s="41" t="s">
        <v>709</v>
      </c>
      <c r="C583" s="13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D583" s="50"/>
      <c r="AE583" s="50"/>
      <c r="AF583" s="50"/>
      <c r="AG583" s="50"/>
      <c r="AH583" s="50"/>
      <c r="AI583" s="72">
        <f t="shared" si="165"/>
        <v>0</v>
      </c>
    </row>
    <row r="584" spans="1:35" outlineLevel="3" x14ac:dyDescent="0.2">
      <c r="A584" s="20"/>
      <c r="B584" s="41" t="s">
        <v>710</v>
      </c>
      <c r="C584" s="13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D584" s="50"/>
      <c r="AE584" s="50"/>
      <c r="AF584" s="50"/>
      <c r="AG584" s="50"/>
      <c r="AH584" s="50"/>
      <c r="AI584" s="72">
        <f t="shared" si="165"/>
        <v>0</v>
      </c>
    </row>
    <row r="585" spans="1:35" outlineLevel="3" x14ac:dyDescent="0.2">
      <c r="A585" s="20" t="s">
        <v>692</v>
      </c>
      <c r="B585" s="22" t="s">
        <v>558</v>
      </c>
      <c r="C585" s="13">
        <v>2221517150</v>
      </c>
      <c r="D585" s="35">
        <f>SUM(D586:D588)</f>
        <v>0</v>
      </c>
      <c r="E585" s="35">
        <f t="shared" ref="E585:AH585" si="177">SUM(E586:E588)</f>
        <v>0</v>
      </c>
      <c r="F585" s="35">
        <f t="shared" si="177"/>
        <v>0</v>
      </c>
      <c r="G585" s="35">
        <f t="shared" si="177"/>
        <v>0</v>
      </c>
      <c r="H585" s="35">
        <f t="shared" si="177"/>
        <v>0</v>
      </c>
      <c r="I585" s="35">
        <f t="shared" si="177"/>
        <v>0</v>
      </c>
      <c r="J585" s="35">
        <f t="shared" si="177"/>
        <v>0</v>
      </c>
      <c r="K585" s="35">
        <f t="shared" si="177"/>
        <v>0</v>
      </c>
      <c r="L585" s="35">
        <f t="shared" si="177"/>
        <v>0</v>
      </c>
      <c r="M585" s="35">
        <f t="shared" si="177"/>
        <v>0</v>
      </c>
      <c r="N585" s="35">
        <f t="shared" si="177"/>
        <v>0</v>
      </c>
      <c r="O585" s="35">
        <f t="shared" si="177"/>
        <v>0</v>
      </c>
      <c r="P585" s="35">
        <f t="shared" si="177"/>
        <v>0</v>
      </c>
      <c r="Q585" s="35">
        <f t="shared" si="177"/>
        <v>0</v>
      </c>
      <c r="R585" s="35">
        <f t="shared" si="177"/>
        <v>0</v>
      </c>
      <c r="S585" s="35">
        <f t="shared" si="177"/>
        <v>0</v>
      </c>
      <c r="T585" s="35">
        <f t="shared" si="177"/>
        <v>0</v>
      </c>
      <c r="U585" s="35">
        <f t="shared" si="177"/>
        <v>0</v>
      </c>
      <c r="V585" s="35">
        <f t="shared" si="177"/>
        <v>0</v>
      </c>
      <c r="W585" s="35">
        <f t="shared" si="177"/>
        <v>0</v>
      </c>
      <c r="X585" s="35">
        <f t="shared" si="177"/>
        <v>0</v>
      </c>
      <c r="Y585" s="35">
        <f t="shared" si="177"/>
        <v>0</v>
      </c>
      <c r="Z585" s="35">
        <f t="shared" si="177"/>
        <v>0</v>
      </c>
      <c r="AA585" s="35">
        <f t="shared" si="177"/>
        <v>0</v>
      </c>
      <c r="AB585" s="35">
        <f t="shared" si="177"/>
        <v>0</v>
      </c>
      <c r="AC585" s="35">
        <f t="shared" si="177"/>
        <v>0</v>
      </c>
      <c r="AD585" s="35">
        <f t="shared" si="177"/>
        <v>0</v>
      </c>
      <c r="AE585" s="35">
        <f t="shared" si="177"/>
        <v>0</v>
      </c>
      <c r="AF585" s="35">
        <f t="shared" si="177"/>
        <v>0</v>
      </c>
      <c r="AG585" s="35">
        <f t="shared" si="177"/>
        <v>0</v>
      </c>
      <c r="AH585" s="35">
        <f t="shared" si="177"/>
        <v>0</v>
      </c>
      <c r="AI585" s="72">
        <f t="shared" si="165"/>
        <v>0</v>
      </c>
    </row>
    <row r="586" spans="1:35" outlineLevel="3" x14ac:dyDescent="0.2">
      <c r="A586" s="20"/>
      <c r="B586" s="41" t="s">
        <v>708</v>
      </c>
      <c r="C586" s="13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D586" s="50"/>
      <c r="AE586" s="50"/>
      <c r="AF586" s="50"/>
      <c r="AG586" s="50"/>
      <c r="AH586" s="50"/>
      <c r="AI586" s="72">
        <f t="shared" si="165"/>
        <v>0</v>
      </c>
    </row>
    <row r="587" spans="1:35" outlineLevel="3" x14ac:dyDescent="0.2">
      <c r="A587" s="20"/>
      <c r="B587" s="41" t="s">
        <v>709</v>
      </c>
      <c r="C587" s="13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D587" s="50"/>
      <c r="AE587" s="50"/>
      <c r="AF587" s="50"/>
      <c r="AG587" s="50"/>
      <c r="AH587" s="50"/>
      <c r="AI587" s="72">
        <f t="shared" si="165"/>
        <v>0</v>
      </c>
    </row>
    <row r="588" spans="1:35" outlineLevel="3" x14ac:dyDescent="0.2">
      <c r="A588" s="20"/>
      <c r="B588" s="41" t="s">
        <v>710</v>
      </c>
      <c r="C588" s="13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D588" s="50"/>
      <c r="AE588" s="50"/>
      <c r="AF588" s="50"/>
      <c r="AG588" s="50"/>
      <c r="AH588" s="50"/>
      <c r="AI588" s="72">
        <f t="shared" si="165"/>
        <v>0</v>
      </c>
    </row>
    <row r="589" spans="1:35" outlineLevel="3" x14ac:dyDescent="0.2">
      <c r="A589" s="20" t="s">
        <v>693</v>
      </c>
      <c r="B589" s="22" t="s">
        <v>559</v>
      </c>
      <c r="C589" s="13">
        <v>2221517160</v>
      </c>
      <c r="D589" s="35">
        <f>SUM(D590:D592)</f>
        <v>0</v>
      </c>
      <c r="E589" s="35">
        <f t="shared" ref="E589:AH589" si="178">SUM(E590:E592)</f>
        <v>0</v>
      </c>
      <c r="F589" s="35">
        <f t="shared" si="178"/>
        <v>0</v>
      </c>
      <c r="G589" s="35">
        <f t="shared" si="178"/>
        <v>0</v>
      </c>
      <c r="H589" s="35">
        <f t="shared" si="178"/>
        <v>0</v>
      </c>
      <c r="I589" s="35">
        <f t="shared" si="178"/>
        <v>0</v>
      </c>
      <c r="J589" s="35">
        <f t="shared" si="178"/>
        <v>0</v>
      </c>
      <c r="K589" s="35">
        <f t="shared" si="178"/>
        <v>0</v>
      </c>
      <c r="L589" s="35">
        <f t="shared" si="178"/>
        <v>0</v>
      </c>
      <c r="M589" s="35">
        <f t="shared" si="178"/>
        <v>0</v>
      </c>
      <c r="N589" s="35">
        <f t="shared" si="178"/>
        <v>0</v>
      </c>
      <c r="O589" s="35">
        <f t="shared" si="178"/>
        <v>0</v>
      </c>
      <c r="P589" s="35">
        <f t="shared" si="178"/>
        <v>0</v>
      </c>
      <c r="Q589" s="35">
        <f t="shared" si="178"/>
        <v>0</v>
      </c>
      <c r="R589" s="35">
        <f t="shared" si="178"/>
        <v>0</v>
      </c>
      <c r="S589" s="35">
        <f t="shared" si="178"/>
        <v>0</v>
      </c>
      <c r="T589" s="35">
        <f t="shared" si="178"/>
        <v>0</v>
      </c>
      <c r="U589" s="35">
        <f t="shared" si="178"/>
        <v>0</v>
      </c>
      <c r="V589" s="35">
        <f t="shared" si="178"/>
        <v>0</v>
      </c>
      <c r="W589" s="35">
        <f t="shared" si="178"/>
        <v>26000</v>
      </c>
      <c r="X589" s="35">
        <f t="shared" si="178"/>
        <v>0</v>
      </c>
      <c r="Y589" s="35">
        <f t="shared" si="178"/>
        <v>0</v>
      </c>
      <c r="Z589" s="35">
        <f t="shared" si="178"/>
        <v>0</v>
      </c>
      <c r="AA589" s="35">
        <f t="shared" si="178"/>
        <v>0</v>
      </c>
      <c r="AB589" s="35">
        <f t="shared" si="178"/>
        <v>0</v>
      </c>
      <c r="AC589" s="35">
        <f t="shared" si="178"/>
        <v>1034.3599999999999</v>
      </c>
      <c r="AD589" s="35">
        <f t="shared" si="178"/>
        <v>0</v>
      </c>
      <c r="AE589" s="35">
        <f t="shared" si="178"/>
        <v>0</v>
      </c>
      <c r="AF589" s="35">
        <f t="shared" si="178"/>
        <v>0</v>
      </c>
      <c r="AG589" s="35">
        <f t="shared" si="178"/>
        <v>0</v>
      </c>
      <c r="AH589" s="35">
        <f t="shared" si="178"/>
        <v>0</v>
      </c>
      <c r="AI589" s="72">
        <f t="shared" si="165"/>
        <v>27034.36</v>
      </c>
    </row>
    <row r="590" spans="1:35" outlineLevel="3" x14ac:dyDescent="0.2">
      <c r="A590" s="20"/>
      <c r="B590" s="41" t="s">
        <v>708</v>
      </c>
      <c r="C590" s="13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D590" s="50"/>
      <c r="AE590" s="50"/>
      <c r="AF590" s="50"/>
      <c r="AG590" s="50"/>
      <c r="AH590" s="50"/>
      <c r="AI590" s="72">
        <f t="shared" si="165"/>
        <v>0</v>
      </c>
    </row>
    <row r="591" spans="1:35" outlineLevel="3" x14ac:dyDescent="0.2">
      <c r="A591" s="20"/>
      <c r="B591" s="41" t="s">
        <v>709</v>
      </c>
      <c r="C591" s="13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>
        <v>26000</v>
      </c>
      <c r="X591" s="50"/>
      <c r="Y591" s="50"/>
      <c r="Z591" s="50"/>
      <c r="AA591" s="50"/>
      <c r="AB591" s="50"/>
      <c r="AC591" s="50">
        <v>1034.3599999999999</v>
      </c>
      <c r="AD591" s="50"/>
      <c r="AE591" s="50"/>
      <c r="AF591" s="50"/>
      <c r="AG591" s="50"/>
      <c r="AH591" s="50"/>
      <c r="AI591" s="72">
        <f t="shared" si="165"/>
        <v>27034.36</v>
      </c>
    </row>
    <row r="592" spans="1:35" outlineLevel="3" x14ac:dyDescent="0.2">
      <c r="A592" s="20"/>
      <c r="B592" s="41" t="s">
        <v>710</v>
      </c>
      <c r="C592" s="13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D592" s="50"/>
      <c r="AE592" s="50"/>
      <c r="AF592" s="50"/>
      <c r="AG592" s="50"/>
      <c r="AH592" s="50"/>
      <c r="AI592" s="72">
        <f t="shared" si="165"/>
        <v>0</v>
      </c>
    </row>
    <row r="593" spans="1:35" outlineLevel="3" x14ac:dyDescent="0.2">
      <c r="A593" s="20" t="s">
        <v>694</v>
      </c>
      <c r="B593" s="22" t="s">
        <v>560</v>
      </c>
      <c r="C593" s="13">
        <v>2221517170</v>
      </c>
      <c r="D593" s="35">
        <f>SUM(D594:D596)</f>
        <v>0</v>
      </c>
      <c r="E593" s="35">
        <f t="shared" ref="E593:AH593" si="179">SUM(E594:E596)</f>
        <v>0</v>
      </c>
      <c r="F593" s="35">
        <f t="shared" si="179"/>
        <v>0</v>
      </c>
      <c r="G593" s="35">
        <f t="shared" si="179"/>
        <v>0</v>
      </c>
      <c r="H593" s="35">
        <f t="shared" si="179"/>
        <v>0</v>
      </c>
      <c r="I593" s="35">
        <f t="shared" si="179"/>
        <v>0</v>
      </c>
      <c r="J593" s="35">
        <f t="shared" si="179"/>
        <v>0</v>
      </c>
      <c r="K593" s="35">
        <f t="shared" si="179"/>
        <v>0</v>
      </c>
      <c r="L593" s="35">
        <f t="shared" si="179"/>
        <v>0</v>
      </c>
      <c r="M593" s="35">
        <f t="shared" si="179"/>
        <v>0</v>
      </c>
      <c r="N593" s="35">
        <f t="shared" si="179"/>
        <v>0</v>
      </c>
      <c r="O593" s="35">
        <f t="shared" si="179"/>
        <v>0</v>
      </c>
      <c r="P593" s="35">
        <f t="shared" si="179"/>
        <v>0</v>
      </c>
      <c r="Q593" s="35">
        <f t="shared" si="179"/>
        <v>0</v>
      </c>
      <c r="R593" s="35">
        <f t="shared" si="179"/>
        <v>0</v>
      </c>
      <c r="S593" s="35">
        <f t="shared" si="179"/>
        <v>0</v>
      </c>
      <c r="T593" s="35">
        <f t="shared" si="179"/>
        <v>0</v>
      </c>
      <c r="U593" s="35">
        <f t="shared" si="179"/>
        <v>0</v>
      </c>
      <c r="V593" s="35">
        <f t="shared" si="179"/>
        <v>0</v>
      </c>
      <c r="W593" s="35">
        <f t="shared" si="179"/>
        <v>0</v>
      </c>
      <c r="X593" s="35">
        <f t="shared" si="179"/>
        <v>0</v>
      </c>
      <c r="Y593" s="35">
        <f t="shared" si="179"/>
        <v>0</v>
      </c>
      <c r="Z593" s="35">
        <f t="shared" si="179"/>
        <v>0</v>
      </c>
      <c r="AA593" s="35">
        <f t="shared" si="179"/>
        <v>0</v>
      </c>
      <c r="AB593" s="35">
        <f t="shared" si="179"/>
        <v>0</v>
      </c>
      <c r="AC593" s="35">
        <f t="shared" si="179"/>
        <v>0</v>
      </c>
      <c r="AD593" s="35">
        <f t="shared" si="179"/>
        <v>0</v>
      </c>
      <c r="AE593" s="35">
        <f t="shared" si="179"/>
        <v>0</v>
      </c>
      <c r="AF593" s="35">
        <f t="shared" si="179"/>
        <v>0</v>
      </c>
      <c r="AG593" s="35">
        <f t="shared" si="179"/>
        <v>0</v>
      </c>
      <c r="AH593" s="35">
        <f t="shared" si="179"/>
        <v>0</v>
      </c>
      <c r="AI593" s="72">
        <f t="shared" si="165"/>
        <v>0</v>
      </c>
    </row>
    <row r="594" spans="1:35" outlineLevel="3" x14ac:dyDescent="0.2">
      <c r="A594" s="20"/>
      <c r="B594" s="41" t="s">
        <v>708</v>
      </c>
      <c r="C594" s="13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D594" s="50"/>
      <c r="AE594" s="50"/>
      <c r="AF594" s="50"/>
      <c r="AG594" s="50"/>
      <c r="AH594" s="50"/>
      <c r="AI594" s="72">
        <f t="shared" si="165"/>
        <v>0</v>
      </c>
    </row>
    <row r="595" spans="1:35" outlineLevel="3" x14ac:dyDescent="0.2">
      <c r="A595" s="20"/>
      <c r="B595" s="41" t="s">
        <v>709</v>
      </c>
      <c r="C595" s="13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D595" s="50"/>
      <c r="AE595" s="50"/>
      <c r="AF595" s="50"/>
      <c r="AG595" s="50"/>
      <c r="AH595" s="50"/>
      <c r="AI595" s="72">
        <f t="shared" si="165"/>
        <v>0</v>
      </c>
    </row>
    <row r="596" spans="1:35" outlineLevel="3" x14ac:dyDescent="0.2">
      <c r="A596" s="20"/>
      <c r="B596" s="41" t="s">
        <v>710</v>
      </c>
      <c r="C596" s="13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D596" s="50"/>
      <c r="AE596" s="50"/>
      <c r="AF596" s="50"/>
      <c r="AG596" s="50"/>
      <c r="AH596" s="50"/>
      <c r="AI596" s="72">
        <f t="shared" si="165"/>
        <v>0</v>
      </c>
    </row>
    <row r="597" spans="1:35" outlineLevel="3" x14ac:dyDescent="0.2">
      <c r="A597" s="20" t="s">
        <v>695</v>
      </c>
      <c r="B597" s="22" t="s">
        <v>561</v>
      </c>
      <c r="C597" s="13">
        <v>2221517180</v>
      </c>
      <c r="D597" s="35">
        <f>SUM(D598:D600)</f>
        <v>0</v>
      </c>
      <c r="E597" s="35">
        <f t="shared" ref="E597:AH597" si="180">SUM(E598:E600)</f>
        <v>0</v>
      </c>
      <c r="F597" s="35">
        <f t="shared" si="180"/>
        <v>0</v>
      </c>
      <c r="G597" s="35">
        <f t="shared" si="180"/>
        <v>0</v>
      </c>
      <c r="H597" s="35">
        <f t="shared" si="180"/>
        <v>0</v>
      </c>
      <c r="I597" s="35">
        <f t="shared" si="180"/>
        <v>0</v>
      </c>
      <c r="J597" s="35">
        <f t="shared" si="180"/>
        <v>0</v>
      </c>
      <c r="K597" s="35">
        <f t="shared" si="180"/>
        <v>0</v>
      </c>
      <c r="L597" s="35">
        <f t="shared" si="180"/>
        <v>0</v>
      </c>
      <c r="M597" s="35">
        <f t="shared" si="180"/>
        <v>0</v>
      </c>
      <c r="N597" s="35">
        <f t="shared" si="180"/>
        <v>0</v>
      </c>
      <c r="O597" s="35">
        <f t="shared" si="180"/>
        <v>0</v>
      </c>
      <c r="P597" s="35">
        <f t="shared" si="180"/>
        <v>0</v>
      </c>
      <c r="Q597" s="35">
        <f t="shared" si="180"/>
        <v>0</v>
      </c>
      <c r="R597" s="35">
        <f t="shared" si="180"/>
        <v>0</v>
      </c>
      <c r="S597" s="35">
        <f t="shared" si="180"/>
        <v>0</v>
      </c>
      <c r="T597" s="35">
        <f t="shared" si="180"/>
        <v>0</v>
      </c>
      <c r="U597" s="35">
        <f t="shared" si="180"/>
        <v>0</v>
      </c>
      <c r="V597" s="35">
        <f t="shared" si="180"/>
        <v>0</v>
      </c>
      <c r="W597" s="35">
        <f t="shared" si="180"/>
        <v>0</v>
      </c>
      <c r="X597" s="35">
        <f t="shared" si="180"/>
        <v>0</v>
      </c>
      <c r="Y597" s="35">
        <f t="shared" si="180"/>
        <v>0</v>
      </c>
      <c r="Z597" s="35">
        <f t="shared" si="180"/>
        <v>0</v>
      </c>
      <c r="AA597" s="35">
        <f t="shared" si="180"/>
        <v>0</v>
      </c>
      <c r="AB597" s="35">
        <f t="shared" si="180"/>
        <v>0</v>
      </c>
      <c r="AC597" s="35">
        <f t="shared" si="180"/>
        <v>0</v>
      </c>
      <c r="AD597" s="35">
        <f t="shared" si="180"/>
        <v>0</v>
      </c>
      <c r="AE597" s="35">
        <f t="shared" si="180"/>
        <v>0</v>
      </c>
      <c r="AF597" s="35">
        <f t="shared" si="180"/>
        <v>0</v>
      </c>
      <c r="AG597" s="35">
        <f t="shared" si="180"/>
        <v>0</v>
      </c>
      <c r="AH597" s="35">
        <f t="shared" si="180"/>
        <v>0</v>
      </c>
      <c r="AI597" s="72">
        <f t="shared" si="165"/>
        <v>0</v>
      </c>
    </row>
    <row r="598" spans="1:35" outlineLevel="3" x14ac:dyDescent="0.2">
      <c r="A598" s="20"/>
      <c r="B598" s="41" t="s">
        <v>708</v>
      </c>
      <c r="C598" s="13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50"/>
      <c r="AE598" s="50"/>
      <c r="AF598" s="50"/>
      <c r="AG598" s="50"/>
      <c r="AH598" s="50"/>
      <c r="AI598" s="72">
        <f t="shared" si="165"/>
        <v>0</v>
      </c>
    </row>
    <row r="599" spans="1:35" outlineLevel="3" x14ac:dyDescent="0.2">
      <c r="A599" s="20"/>
      <c r="B599" s="41" t="s">
        <v>709</v>
      </c>
      <c r="C599" s="13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D599" s="50"/>
      <c r="AE599" s="50"/>
      <c r="AF599" s="50"/>
      <c r="AG599" s="50"/>
      <c r="AH599" s="50"/>
      <c r="AI599" s="72">
        <f t="shared" si="165"/>
        <v>0</v>
      </c>
    </row>
    <row r="600" spans="1:35" outlineLevel="3" x14ac:dyDescent="0.2">
      <c r="A600" s="20"/>
      <c r="B600" s="41" t="s">
        <v>710</v>
      </c>
      <c r="C600" s="13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D600" s="50"/>
      <c r="AE600" s="50"/>
      <c r="AF600" s="50"/>
      <c r="AG600" s="50"/>
      <c r="AH600" s="50"/>
      <c r="AI600" s="72">
        <f t="shared" si="165"/>
        <v>0</v>
      </c>
    </row>
    <row r="601" spans="1:35" outlineLevel="3" x14ac:dyDescent="0.2">
      <c r="A601" s="20" t="s">
        <v>696</v>
      </c>
      <c r="B601" s="22" t="s">
        <v>562</v>
      </c>
      <c r="C601" s="13">
        <v>2221517190</v>
      </c>
      <c r="D601" s="35">
        <f>SUM(D602:D604)</f>
        <v>0</v>
      </c>
      <c r="E601" s="35">
        <f t="shared" ref="E601:AH601" si="181">SUM(E602:E604)</f>
        <v>0</v>
      </c>
      <c r="F601" s="35">
        <f t="shared" si="181"/>
        <v>0</v>
      </c>
      <c r="G601" s="35">
        <f t="shared" si="181"/>
        <v>0</v>
      </c>
      <c r="H601" s="35">
        <f t="shared" si="181"/>
        <v>0</v>
      </c>
      <c r="I601" s="35">
        <f t="shared" si="181"/>
        <v>0</v>
      </c>
      <c r="J601" s="35">
        <f t="shared" si="181"/>
        <v>0</v>
      </c>
      <c r="K601" s="35">
        <f t="shared" si="181"/>
        <v>0</v>
      </c>
      <c r="L601" s="35">
        <f t="shared" si="181"/>
        <v>0</v>
      </c>
      <c r="M601" s="35">
        <f t="shared" si="181"/>
        <v>0</v>
      </c>
      <c r="N601" s="35">
        <f t="shared" si="181"/>
        <v>0</v>
      </c>
      <c r="O601" s="35">
        <f t="shared" si="181"/>
        <v>0</v>
      </c>
      <c r="P601" s="35">
        <f t="shared" si="181"/>
        <v>0</v>
      </c>
      <c r="Q601" s="35">
        <f t="shared" si="181"/>
        <v>0</v>
      </c>
      <c r="R601" s="35">
        <f t="shared" si="181"/>
        <v>0</v>
      </c>
      <c r="S601" s="35">
        <f t="shared" si="181"/>
        <v>0</v>
      </c>
      <c r="T601" s="35">
        <f t="shared" si="181"/>
        <v>0</v>
      </c>
      <c r="U601" s="35">
        <f t="shared" si="181"/>
        <v>0</v>
      </c>
      <c r="V601" s="35">
        <f t="shared" si="181"/>
        <v>0</v>
      </c>
      <c r="W601" s="35">
        <f t="shared" si="181"/>
        <v>0</v>
      </c>
      <c r="X601" s="35">
        <f t="shared" si="181"/>
        <v>0</v>
      </c>
      <c r="Y601" s="35">
        <f t="shared" si="181"/>
        <v>0</v>
      </c>
      <c r="Z601" s="35">
        <f t="shared" si="181"/>
        <v>0</v>
      </c>
      <c r="AA601" s="35">
        <f t="shared" si="181"/>
        <v>0</v>
      </c>
      <c r="AB601" s="35">
        <f t="shared" si="181"/>
        <v>0</v>
      </c>
      <c r="AC601" s="35">
        <f t="shared" si="181"/>
        <v>0</v>
      </c>
      <c r="AD601" s="35">
        <f t="shared" si="181"/>
        <v>0</v>
      </c>
      <c r="AE601" s="35">
        <f t="shared" si="181"/>
        <v>0</v>
      </c>
      <c r="AF601" s="35">
        <f t="shared" si="181"/>
        <v>0</v>
      </c>
      <c r="AG601" s="35">
        <f t="shared" si="181"/>
        <v>0</v>
      </c>
      <c r="AH601" s="35">
        <f t="shared" si="181"/>
        <v>0</v>
      </c>
      <c r="AI601" s="72">
        <f t="shared" ref="AI601:AI664" si="182">SUM(D601:AH601)</f>
        <v>0</v>
      </c>
    </row>
    <row r="602" spans="1:35" outlineLevel="3" x14ac:dyDescent="0.2">
      <c r="A602" s="20"/>
      <c r="B602" s="41" t="s">
        <v>708</v>
      </c>
      <c r="C602" s="13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50"/>
      <c r="AE602" s="50"/>
      <c r="AF602" s="50"/>
      <c r="AG602" s="50"/>
      <c r="AH602" s="50"/>
      <c r="AI602" s="72">
        <f t="shared" si="182"/>
        <v>0</v>
      </c>
    </row>
    <row r="603" spans="1:35" outlineLevel="3" x14ac:dyDescent="0.2">
      <c r="A603" s="20"/>
      <c r="B603" s="41" t="s">
        <v>709</v>
      </c>
      <c r="C603" s="13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D603" s="50"/>
      <c r="AE603" s="50"/>
      <c r="AF603" s="50"/>
      <c r="AG603" s="50"/>
      <c r="AH603" s="50"/>
      <c r="AI603" s="72">
        <f t="shared" si="182"/>
        <v>0</v>
      </c>
    </row>
    <row r="604" spans="1:35" outlineLevel="3" x14ac:dyDescent="0.2">
      <c r="A604" s="20"/>
      <c r="B604" s="41" t="s">
        <v>710</v>
      </c>
      <c r="C604" s="13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D604" s="50"/>
      <c r="AE604" s="50"/>
      <c r="AF604" s="50"/>
      <c r="AG604" s="50"/>
      <c r="AH604" s="50"/>
      <c r="AI604" s="72">
        <f t="shared" si="182"/>
        <v>0</v>
      </c>
    </row>
    <row r="605" spans="1:35" outlineLevel="3" x14ac:dyDescent="0.2">
      <c r="A605" s="20" t="s">
        <v>697</v>
      </c>
      <c r="B605" s="20" t="s">
        <v>383</v>
      </c>
      <c r="C605" s="13">
        <v>2221517110</v>
      </c>
      <c r="D605" s="35">
        <f>SUM(D606:D608)</f>
        <v>0</v>
      </c>
      <c r="E605" s="35">
        <f t="shared" ref="E605:AH605" si="183">SUM(E606:E608)</f>
        <v>0</v>
      </c>
      <c r="F605" s="35">
        <f t="shared" si="183"/>
        <v>0</v>
      </c>
      <c r="G605" s="35">
        <f t="shared" si="183"/>
        <v>0</v>
      </c>
      <c r="H605" s="35">
        <f t="shared" si="183"/>
        <v>0</v>
      </c>
      <c r="I605" s="35">
        <f t="shared" si="183"/>
        <v>0</v>
      </c>
      <c r="J605" s="35">
        <f t="shared" si="183"/>
        <v>0</v>
      </c>
      <c r="K605" s="35">
        <f t="shared" si="183"/>
        <v>0</v>
      </c>
      <c r="L605" s="35">
        <f t="shared" si="183"/>
        <v>0</v>
      </c>
      <c r="M605" s="35">
        <f t="shared" si="183"/>
        <v>0</v>
      </c>
      <c r="N605" s="35">
        <f t="shared" si="183"/>
        <v>0</v>
      </c>
      <c r="O605" s="35">
        <f t="shared" si="183"/>
        <v>0</v>
      </c>
      <c r="P605" s="35">
        <f t="shared" si="183"/>
        <v>0</v>
      </c>
      <c r="Q605" s="35">
        <f t="shared" si="183"/>
        <v>0</v>
      </c>
      <c r="R605" s="35">
        <f t="shared" si="183"/>
        <v>0</v>
      </c>
      <c r="S605" s="35">
        <f t="shared" si="183"/>
        <v>0</v>
      </c>
      <c r="T605" s="35">
        <f t="shared" si="183"/>
        <v>0</v>
      </c>
      <c r="U605" s="35">
        <f t="shared" si="183"/>
        <v>0</v>
      </c>
      <c r="V605" s="35">
        <f t="shared" si="183"/>
        <v>0</v>
      </c>
      <c r="W605" s="35">
        <f t="shared" si="183"/>
        <v>0</v>
      </c>
      <c r="X605" s="35">
        <f t="shared" si="183"/>
        <v>500000</v>
      </c>
      <c r="Y605" s="35">
        <f t="shared" si="183"/>
        <v>0</v>
      </c>
      <c r="Z605" s="35">
        <f t="shared" si="183"/>
        <v>0</v>
      </c>
      <c r="AA605" s="35">
        <f t="shared" si="183"/>
        <v>0</v>
      </c>
      <c r="AB605" s="35">
        <f t="shared" si="183"/>
        <v>0</v>
      </c>
      <c r="AC605" s="35">
        <f t="shared" si="183"/>
        <v>236000</v>
      </c>
      <c r="AD605" s="35">
        <f t="shared" si="183"/>
        <v>0</v>
      </c>
      <c r="AE605" s="35">
        <f t="shared" si="183"/>
        <v>140056.18</v>
      </c>
      <c r="AF605" s="35">
        <f t="shared" si="183"/>
        <v>0</v>
      </c>
      <c r="AG605" s="35">
        <f t="shared" si="183"/>
        <v>0</v>
      </c>
      <c r="AH605" s="35">
        <f t="shared" si="183"/>
        <v>500</v>
      </c>
      <c r="AI605" s="72">
        <f t="shared" si="182"/>
        <v>876556.17999999993</v>
      </c>
    </row>
    <row r="606" spans="1:35" outlineLevel="3" x14ac:dyDescent="0.2">
      <c r="A606" s="20"/>
      <c r="B606" s="41" t="s">
        <v>708</v>
      </c>
      <c r="C606" s="13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D606" s="50"/>
      <c r="AE606" s="50"/>
      <c r="AF606" s="50"/>
      <c r="AG606" s="50"/>
      <c r="AH606" s="50"/>
      <c r="AI606" s="72">
        <f t="shared" si="182"/>
        <v>0</v>
      </c>
    </row>
    <row r="607" spans="1:35" outlineLevel="3" x14ac:dyDescent="0.2">
      <c r="A607" s="20"/>
      <c r="B607" s="41" t="s">
        <v>709</v>
      </c>
      <c r="C607" s="13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>
        <v>500000</v>
      </c>
      <c r="Y607" s="50"/>
      <c r="Z607" s="50"/>
      <c r="AA607" s="50"/>
      <c r="AB607" s="50"/>
      <c r="AC607" s="50">
        <v>236000</v>
      </c>
      <c r="AD607" s="50"/>
      <c r="AE607" s="50">
        <v>140056.18</v>
      </c>
      <c r="AF607" s="50"/>
      <c r="AG607" s="50"/>
      <c r="AH607" s="50">
        <v>500</v>
      </c>
      <c r="AI607" s="72">
        <f t="shared" si="182"/>
        <v>876556.17999999993</v>
      </c>
    </row>
    <row r="608" spans="1:35" outlineLevel="3" x14ac:dyDescent="0.2">
      <c r="A608" s="20"/>
      <c r="B608" s="41" t="s">
        <v>710</v>
      </c>
      <c r="C608" s="13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D608" s="50"/>
      <c r="AE608" s="50"/>
      <c r="AF608" s="50"/>
      <c r="AG608" s="50"/>
      <c r="AH608" s="50"/>
      <c r="AI608" s="72">
        <f t="shared" si="182"/>
        <v>0</v>
      </c>
    </row>
    <row r="609" spans="1:35" outlineLevel="1" x14ac:dyDescent="0.2">
      <c r="A609" s="15" t="s">
        <v>384</v>
      </c>
      <c r="B609" s="15" t="s">
        <v>385</v>
      </c>
      <c r="C609" s="13" t="s">
        <v>386</v>
      </c>
      <c r="D609" s="35">
        <f>D610+D666+D670</f>
        <v>0</v>
      </c>
      <c r="E609" s="35">
        <f t="shared" ref="E609:AH609" si="184">E610+E666+E670</f>
        <v>0</v>
      </c>
      <c r="F609" s="35">
        <f t="shared" si="184"/>
        <v>0</v>
      </c>
      <c r="G609" s="35">
        <f t="shared" si="184"/>
        <v>0</v>
      </c>
      <c r="H609" s="35">
        <f t="shared" si="184"/>
        <v>0</v>
      </c>
      <c r="I609" s="35">
        <f t="shared" si="184"/>
        <v>0</v>
      </c>
      <c r="J609" s="35">
        <f t="shared" si="184"/>
        <v>0</v>
      </c>
      <c r="K609" s="35">
        <f t="shared" si="184"/>
        <v>0</v>
      </c>
      <c r="L609" s="35">
        <f t="shared" si="184"/>
        <v>0</v>
      </c>
      <c r="M609" s="35">
        <f t="shared" si="184"/>
        <v>0</v>
      </c>
      <c r="N609" s="35">
        <f t="shared" si="184"/>
        <v>0</v>
      </c>
      <c r="O609" s="35">
        <f t="shared" si="184"/>
        <v>0</v>
      </c>
      <c r="P609" s="35">
        <f t="shared" si="184"/>
        <v>0</v>
      </c>
      <c r="Q609" s="35">
        <f t="shared" si="184"/>
        <v>0</v>
      </c>
      <c r="R609" s="35">
        <f t="shared" si="184"/>
        <v>0</v>
      </c>
      <c r="S609" s="35">
        <f t="shared" si="184"/>
        <v>0</v>
      </c>
      <c r="T609" s="35">
        <f t="shared" si="184"/>
        <v>0</v>
      </c>
      <c r="U609" s="35">
        <f t="shared" si="184"/>
        <v>0</v>
      </c>
      <c r="V609" s="35">
        <f t="shared" si="184"/>
        <v>0</v>
      </c>
      <c r="W609" s="35">
        <f t="shared" si="184"/>
        <v>0</v>
      </c>
      <c r="X609" s="35">
        <f t="shared" si="184"/>
        <v>0</v>
      </c>
      <c r="Y609" s="35">
        <f t="shared" si="184"/>
        <v>0</v>
      </c>
      <c r="Z609" s="35">
        <f t="shared" si="184"/>
        <v>0</v>
      </c>
      <c r="AA609" s="35">
        <f t="shared" si="184"/>
        <v>0</v>
      </c>
      <c r="AB609" s="35">
        <f t="shared" si="184"/>
        <v>0</v>
      </c>
      <c r="AC609" s="35">
        <f t="shared" si="184"/>
        <v>0</v>
      </c>
      <c r="AD609" s="35">
        <f t="shared" si="184"/>
        <v>0</v>
      </c>
      <c r="AE609" s="35">
        <f t="shared" si="184"/>
        <v>0</v>
      </c>
      <c r="AF609" s="35">
        <f t="shared" si="184"/>
        <v>0</v>
      </c>
      <c r="AG609" s="35">
        <f t="shared" si="184"/>
        <v>0</v>
      </c>
      <c r="AH609" s="35">
        <f t="shared" si="184"/>
        <v>0</v>
      </c>
      <c r="AI609" s="72">
        <f t="shared" si="182"/>
        <v>0</v>
      </c>
    </row>
    <row r="610" spans="1:35" ht="25.5" outlineLevel="2" x14ac:dyDescent="0.2">
      <c r="A610" s="17" t="s">
        <v>387</v>
      </c>
      <c r="B610" s="19" t="s">
        <v>388</v>
      </c>
      <c r="C610" s="13" t="s">
        <v>389</v>
      </c>
      <c r="D610" s="35">
        <f>D611+D615+D624+D633+D637</f>
        <v>0</v>
      </c>
      <c r="E610" s="35">
        <f t="shared" ref="E610:AH610" si="185">E611+E615+E624+E633+E637</f>
        <v>0</v>
      </c>
      <c r="F610" s="35">
        <f t="shared" si="185"/>
        <v>0</v>
      </c>
      <c r="G610" s="35">
        <f t="shared" si="185"/>
        <v>0</v>
      </c>
      <c r="H610" s="35">
        <f t="shared" si="185"/>
        <v>0</v>
      </c>
      <c r="I610" s="35">
        <f t="shared" si="185"/>
        <v>0</v>
      </c>
      <c r="J610" s="35">
        <f t="shared" si="185"/>
        <v>0</v>
      </c>
      <c r="K610" s="35">
        <f t="shared" si="185"/>
        <v>0</v>
      </c>
      <c r="L610" s="35">
        <f t="shared" si="185"/>
        <v>0</v>
      </c>
      <c r="M610" s="35">
        <f t="shared" si="185"/>
        <v>0</v>
      </c>
      <c r="N610" s="35">
        <f t="shared" si="185"/>
        <v>0</v>
      </c>
      <c r="O610" s="35">
        <f t="shared" si="185"/>
        <v>0</v>
      </c>
      <c r="P610" s="35">
        <f t="shared" si="185"/>
        <v>0</v>
      </c>
      <c r="Q610" s="35">
        <f t="shared" si="185"/>
        <v>0</v>
      </c>
      <c r="R610" s="35">
        <f t="shared" si="185"/>
        <v>0</v>
      </c>
      <c r="S610" s="35">
        <f t="shared" si="185"/>
        <v>0</v>
      </c>
      <c r="T610" s="35">
        <f t="shared" si="185"/>
        <v>0</v>
      </c>
      <c r="U610" s="35">
        <f t="shared" si="185"/>
        <v>0</v>
      </c>
      <c r="V610" s="35">
        <f t="shared" si="185"/>
        <v>0</v>
      </c>
      <c r="W610" s="35">
        <f t="shared" si="185"/>
        <v>0</v>
      </c>
      <c r="X610" s="35">
        <f t="shared" si="185"/>
        <v>0</v>
      </c>
      <c r="Y610" s="35">
        <f t="shared" si="185"/>
        <v>0</v>
      </c>
      <c r="Z610" s="35">
        <f t="shared" si="185"/>
        <v>0</v>
      </c>
      <c r="AA610" s="35">
        <f t="shared" si="185"/>
        <v>0</v>
      </c>
      <c r="AB610" s="35">
        <f t="shared" si="185"/>
        <v>0</v>
      </c>
      <c r="AC610" s="35">
        <f t="shared" si="185"/>
        <v>0</v>
      </c>
      <c r="AD610" s="35">
        <f t="shared" si="185"/>
        <v>0</v>
      </c>
      <c r="AE610" s="35">
        <f t="shared" si="185"/>
        <v>0</v>
      </c>
      <c r="AF610" s="35">
        <f t="shared" si="185"/>
        <v>0</v>
      </c>
      <c r="AG610" s="35">
        <f t="shared" si="185"/>
        <v>0</v>
      </c>
      <c r="AH610" s="35">
        <f t="shared" si="185"/>
        <v>0</v>
      </c>
      <c r="AI610" s="72">
        <f t="shared" si="182"/>
        <v>0</v>
      </c>
    </row>
    <row r="611" spans="1:35" ht="25.5" outlineLevel="3" x14ac:dyDescent="0.2">
      <c r="A611" s="20" t="s">
        <v>390</v>
      </c>
      <c r="B611" s="20" t="s">
        <v>391</v>
      </c>
      <c r="C611" s="13" t="s">
        <v>392</v>
      </c>
      <c r="D611" s="35">
        <f>SUM(D612:D614)</f>
        <v>0</v>
      </c>
      <c r="E611" s="35">
        <f t="shared" ref="E611:AH611" si="186">SUM(E612:E614)</f>
        <v>0</v>
      </c>
      <c r="F611" s="35">
        <f t="shared" si="186"/>
        <v>0</v>
      </c>
      <c r="G611" s="35">
        <f t="shared" si="186"/>
        <v>0</v>
      </c>
      <c r="H611" s="35">
        <f t="shared" si="186"/>
        <v>0</v>
      </c>
      <c r="I611" s="35">
        <f t="shared" si="186"/>
        <v>0</v>
      </c>
      <c r="J611" s="35">
        <f t="shared" si="186"/>
        <v>0</v>
      </c>
      <c r="K611" s="35">
        <f t="shared" si="186"/>
        <v>0</v>
      </c>
      <c r="L611" s="35">
        <f t="shared" si="186"/>
        <v>0</v>
      </c>
      <c r="M611" s="35">
        <f t="shared" si="186"/>
        <v>0</v>
      </c>
      <c r="N611" s="35">
        <f t="shared" si="186"/>
        <v>0</v>
      </c>
      <c r="O611" s="35">
        <f t="shared" si="186"/>
        <v>0</v>
      </c>
      <c r="P611" s="35">
        <f t="shared" si="186"/>
        <v>0</v>
      </c>
      <c r="Q611" s="35">
        <f t="shared" si="186"/>
        <v>0</v>
      </c>
      <c r="R611" s="35">
        <f t="shared" si="186"/>
        <v>0</v>
      </c>
      <c r="S611" s="35">
        <f t="shared" si="186"/>
        <v>0</v>
      </c>
      <c r="T611" s="35">
        <f t="shared" si="186"/>
        <v>0</v>
      </c>
      <c r="U611" s="35">
        <f t="shared" si="186"/>
        <v>0</v>
      </c>
      <c r="V611" s="35">
        <f t="shared" si="186"/>
        <v>0</v>
      </c>
      <c r="W611" s="35">
        <f t="shared" si="186"/>
        <v>0</v>
      </c>
      <c r="X611" s="35">
        <f t="shared" si="186"/>
        <v>0</v>
      </c>
      <c r="Y611" s="35">
        <f t="shared" si="186"/>
        <v>0</v>
      </c>
      <c r="Z611" s="35">
        <f t="shared" si="186"/>
        <v>0</v>
      </c>
      <c r="AA611" s="35">
        <f t="shared" si="186"/>
        <v>0</v>
      </c>
      <c r="AB611" s="35">
        <f t="shared" si="186"/>
        <v>0</v>
      </c>
      <c r="AC611" s="35">
        <f t="shared" si="186"/>
        <v>0</v>
      </c>
      <c r="AD611" s="35">
        <f t="shared" si="186"/>
        <v>0</v>
      </c>
      <c r="AE611" s="35">
        <f t="shared" si="186"/>
        <v>0</v>
      </c>
      <c r="AF611" s="35">
        <f t="shared" si="186"/>
        <v>0</v>
      </c>
      <c r="AG611" s="35">
        <f t="shared" si="186"/>
        <v>0</v>
      </c>
      <c r="AH611" s="35">
        <f t="shared" si="186"/>
        <v>0</v>
      </c>
      <c r="AI611" s="72">
        <f t="shared" si="182"/>
        <v>0</v>
      </c>
    </row>
    <row r="612" spans="1:35" outlineLevel="3" x14ac:dyDescent="0.2">
      <c r="A612" s="20"/>
      <c r="B612" s="41" t="s">
        <v>708</v>
      </c>
      <c r="C612" s="13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D612" s="50"/>
      <c r="AE612" s="50"/>
      <c r="AF612" s="50"/>
      <c r="AG612" s="50"/>
      <c r="AH612" s="50"/>
      <c r="AI612" s="72">
        <f t="shared" si="182"/>
        <v>0</v>
      </c>
    </row>
    <row r="613" spans="1:35" outlineLevel="3" x14ac:dyDescent="0.2">
      <c r="A613" s="20"/>
      <c r="B613" s="41" t="s">
        <v>709</v>
      </c>
      <c r="C613" s="13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D613" s="50"/>
      <c r="AE613" s="50"/>
      <c r="AF613" s="50"/>
      <c r="AG613" s="50"/>
      <c r="AH613" s="50"/>
      <c r="AI613" s="72">
        <f t="shared" si="182"/>
        <v>0</v>
      </c>
    </row>
    <row r="614" spans="1:35" outlineLevel="3" x14ac:dyDescent="0.2">
      <c r="A614" s="20"/>
      <c r="B614" s="41" t="s">
        <v>710</v>
      </c>
      <c r="C614" s="13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D614" s="50"/>
      <c r="AE614" s="50"/>
      <c r="AF614" s="50"/>
      <c r="AG614" s="50"/>
      <c r="AH614" s="50"/>
      <c r="AI614" s="72">
        <f t="shared" si="182"/>
        <v>0</v>
      </c>
    </row>
    <row r="615" spans="1:35" ht="25.5" outlineLevel="3" x14ac:dyDescent="0.2">
      <c r="A615" s="20" t="s">
        <v>393</v>
      </c>
      <c r="B615" s="20" t="s">
        <v>394</v>
      </c>
      <c r="C615" s="13" t="s">
        <v>395</v>
      </c>
      <c r="D615" s="35">
        <f>D616+D620</f>
        <v>0</v>
      </c>
      <c r="E615" s="35">
        <f t="shared" ref="E615:AH615" si="187">E616+E620</f>
        <v>0</v>
      </c>
      <c r="F615" s="35">
        <f t="shared" si="187"/>
        <v>0</v>
      </c>
      <c r="G615" s="35">
        <f t="shared" si="187"/>
        <v>0</v>
      </c>
      <c r="H615" s="35">
        <f t="shared" si="187"/>
        <v>0</v>
      </c>
      <c r="I615" s="35">
        <f t="shared" si="187"/>
        <v>0</v>
      </c>
      <c r="J615" s="35">
        <f t="shared" si="187"/>
        <v>0</v>
      </c>
      <c r="K615" s="35">
        <f t="shared" si="187"/>
        <v>0</v>
      </c>
      <c r="L615" s="35">
        <f t="shared" si="187"/>
        <v>0</v>
      </c>
      <c r="M615" s="35">
        <f t="shared" si="187"/>
        <v>0</v>
      </c>
      <c r="N615" s="35">
        <f t="shared" si="187"/>
        <v>0</v>
      </c>
      <c r="O615" s="35">
        <f t="shared" si="187"/>
        <v>0</v>
      </c>
      <c r="P615" s="35">
        <f t="shared" si="187"/>
        <v>0</v>
      </c>
      <c r="Q615" s="35">
        <f t="shared" si="187"/>
        <v>0</v>
      </c>
      <c r="R615" s="35">
        <f t="shared" si="187"/>
        <v>0</v>
      </c>
      <c r="S615" s="35">
        <f t="shared" si="187"/>
        <v>0</v>
      </c>
      <c r="T615" s="35">
        <f t="shared" si="187"/>
        <v>0</v>
      </c>
      <c r="U615" s="35">
        <f t="shared" si="187"/>
        <v>0</v>
      </c>
      <c r="V615" s="35">
        <f t="shared" si="187"/>
        <v>0</v>
      </c>
      <c r="W615" s="35">
        <f t="shared" si="187"/>
        <v>0</v>
      </c>
      <c r="X615" s="35">
        <f t="shared" si="187"/>
        <v>0</v>
      </c>
      <c r="Y615" s="35">
        <f t="shared" si="187"/>
        <v>0</v>
      </c>
      <c r="Z615" s="35">
        <f t="shared" si="187"/>
        <v>0</v>
      </c>
      <c r="AA615" s="35">
        <f t="shared" si="187"/>
        <v>0</v>
      </c>
      <c r="AB615" s="35">
        <f t="shared" si="187"/>
        <v>0</v>
      </c>
      <c r="AC615" s="35">
        <f t="shared" si="187"/>
        <v>0</v>
      </c>
      <c r="AD615" s="35">
        <f t="shared" si="187"/>
        <v>0</v>
      </c>
      <c r="AE615" s="35">
        <f t="shared" si="187"/>
        <v>0</v>
      </c>
      <c r="AF615" s="35">
        <f t="shared" si="187"/>
        <v>0</v>
      </c>
      <c r="AG615" s="35">
        <f t="shared" si="187"/>
        <v>0</v>
      </c>
      <c r="AH615" s="35">
        <f t="shared" si="187"/>
        <v>0</v>
      </c>
      <c r="AI615" s="72">
        <f t="shared" si="182"/>
        <v>0</v>
      </c>
    </row>
    <row r="616" spans="1:35" ht="25.5" outlineLevel="4" x14ac:dyDescent="0.2">
      <c r="A616" s="26" t="s">
        <v>396</v>
      </c>
      <c r="B616" s="27" t="s">
        <v>397</v>
      </c>
      <c r="C616" s="13" t="s">
        <v>398</v>
      </c>
      <c r="D616" s="35">
        <f>SUM(D617:D619)</f>
        <v>0</v>
      </c>
      <c r="E616" s="35">
        <f t="shared" ref="E616:AH616" si="188">SUM(E617:E619)</f>
        <v>0</v>
      </c>
      <c r="F616" s="35">
        <f t="shared" si="188"/>
        <v>0</v>
      </c>
      <c r="G616" s="35">
        <f t="shared" si="188"/>
        <v>0</v>
      </c>
      <c r="H616" s="35">
        <f t="shared" si="188"/>
        <v>0</v>
      </c>
      <c r="I616" s="35">
        <f t="shared" si="188"/>
        <v>0</v>
      </c>
      <c r="J616" s="35">
        <f t="shared" si="188"/>
        <v>0</v>
      </c>
      <c r="K616" s="35">
        <f t="shared" si="188"/>
        <v>0</v>
      </c>
      <c r="L616" s="35">
        <f t="shared" si="188"/>
        <v>0</v>
      </c>
      <c r="M616" s="35">
        <f t="shared" si="188"/>
        <v>0</v>
      </c>
      <c r="N616" s="35">
        <f t="shared" si="188"/>
        <v>0</v>
      </c>
      <c r="O616" s="35">
        <f t="shared" si="188"/>
        <v>0</v>
      </c>
      <c r="P616" s="35">
        <f t="shared" si="188"/>
        <v>0</v>
      </c>
      <c r="Q616" s="35">
        <f t="shared" si="188"/>
        <v>0</v>
      </c>
      <c r="R616" s="35">
        <f t="shared" si="188"/>
        <v>0</v>
      </c>
      <c r="S616" s="35">
        <f t="shared" si="188"/>
        <v>0</v>
      </c>
      <c r="T616" s="35">
        <f t="shared" si="188"/>
        <v>0</v>
      </c>
      <c r="U616" s="35">
        <f t="shared" si="188"/>
        <v>0</v>
      </c>
      <c r="V616" s="35">
        <f t="shared" si="188"/>
        <v>0</v>
      </c>
      <c r="W616" s="35">
        <f t="shared" si="188"/>
        <v>0</v>
      </c>
      <c r="X616" s="35">
        <f t="shared" si="188"/>
        <v>0</v>
      </c>
      <c r="Y616" s="35">
        <f t="shared" si="188"/>
        <v>0</v>
      </c>
      <c r="Z616" s="35">
        <f t="shared" si="188"/>
        <v>0</v>
      </c>
      <c r="AA616" s="35">
        <f t="shared" si="188"/>
        <v>0</v>
      </c>
      <c r="AB616" s="35">
        <f t="shared" si="188"/>
        <v>0</v>
      </c>
      <c r="AC616" s="35">
        <f t="shared" si="188"/>
        <v>0</v>
      </c>
      <c r="AD616" s="35">
        <f t="shared" si="188"/>
        <v>0</v>
      </c>
      <c r="AE616" s="35">
        <f t="shared" si="188"/>
        <v>0</v>
      </c>
      <c r="AF616" s="35">
        <f t="shared" si="188"/>
        <v>0</v>
      </c>
      <c r="AG616" s="35">
        <f t="shared" si="188"/>
        <v>0</v>
      </c>
      <c r="AH616" s="35">
        <f t="shared" si="188"/>
        <v>0</v>
      </c>
      <c r="AI616" s="72">
        <f t="shared" si="182"/>
        <v>0</v>
      </c>
    </row>
    <row r="617" spans="1:35" outlineLevel="4" x14ac:dyDescent="0.2">
      <c r="A617" s="26"/>
      <c r="B617" s="41" t="s">
        <v>708</v>
      </c>
      <c r="C617" s="13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D617" s="50"/>
      <c r="AE617" s="50"/>
      <c r="AF617" s="50"/>
      <c r="AG617" s="50"/>
      <c r="AH617" s="50"/>
      <c r="AI617" s="72">
        <f t="shared" si="182"/>
        <v>0</v>
      </c>
    </row>
    <row r="618" spans="1:35" outlineLevel="4" x14ac:dyDescent="0.2">
      <c r="A618" s="26"/>
      <c r="B618" s="41" t="s">
        <v>709</v>
      </c>
      <c r="C618" s="13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D618" s="50"/>
      <c r="AE618" s="50"/>
      <c r="AF618" s="50"/>
      <c r="AG618" s="50"/>
      <c r="AH618" s="50"/>
      <c r="AI618" s="72">
        <f t="shared" si="182"/>
        <v>0</v>
      </c>
    </row>
    <row r="619" spans="1:35" outlineLevel="4" x14ac:dyDescent="0.2">
      <c r="A619" s="26"/>
      <c r="B619" s="41" t="s">
        <v>710</v>
      </c>
      <c r="C619" s="13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D619" s="50"/>
      <c r="AE619" s="50"/>
      <c r="AF619" s="50"/>
      <c r="AG619" s="50"/>
      <c r="AH619" s="50"/>
      <c r="AI619" s="72">
        <f t="shared" si="182"/>
        <v>0</v>
      </c>
    </row>
    <row r="620" spans="1:35" ht="25.5" outlineLevel="4" x14ac:dyDescent="0.2">
      <c r="A620" s="26" t="s">
        <v>399</v>
      </c>
      <c r="B620" s="27" t="s">
        <v>400</v>
      </c>
      <c r="C620" s="13" t="s">
        <v>401</v>
      </c>
      <c r="D620" s="35">
        <f>SUM(D621:D623)</f>
        <v>0</v>
      </c>
      <c r="E620" s="35">
        <f t="shared" ref="E620:AH620" si="189">SUM(E621:E623)</f>
        <v>0</v>
      </c>
      <c r="F620" s="35">
        <f t="shared" si="189"/>
        <v>0</v>
      </c>
      <c r="G620" s="35">
        <f t="shared" si="189"/>
        <v>0</v>
      </c>
      <c r="H620" s="35">
        <f t="shared" si="189"/>
        <v>0</v>
      </c>
      <c r="I620" s="35">
        <f t="shared" si="189"/>
        <v>0</v>
      </c>
      <c r="J620" s="35">
        <f t="shared" si="189"/>
        <v>0</v>
      </c>
      <c r="K620" s="35">
        <f t="shared" si="189"/>
        <v>0</v>
      </c>
      <c r="L620" s="35">
        <f t="shared" si="189"/>
        <v>0</v>
      </c>
      <c r="M620" s="35">
        <f t="shared" si="189"/>
        <v>0</v>
      </c>
      <c r="N620" s="35">
        <f t="shared" si="189"/>
        <v>0</v>
      </c>
      <c r="O620" s="35">
        <f t="shared" si="189"/>
        <v>0</v>
      </c>
      <c r="P620" s="35">
        <f t="shared" si="189"/>
        <v>0</v>
      </c>
      <c r="Q620" s="35">
        <f t="shared" si="189"/>
        <v>0</v>
      </c>
      <c r="R620" s="35">
        <f t="shared" si="189"/>
        <v>0</v>
      </c>
      <c r="S620" s="35">
        <f t="shared" si="189"/>
        <v>0</v>
      </c>
      <c r="T620" s="35">
        <f t="shared" si="189"/>
        <v>0</v>
      </c>
      <c r="U620" s="35">
        <f t="shared" si="189"/>
        <v>0</v>
      </c>
      <c r="V620" s="35">
        <f t="shared" si="189"/>
        <v>0</v>
      </c>
      <c r="W620" s="35">
        <f t="shared" si="189"/>
        <v>0</v>
      </c>
      <c r="X620" s="35">
        <f t="shared" si="189"/>
        <v>0</v>
      </c>
      <c r="Y620" s="35">
        <f t="shared" si="189"/>
        <v>0</v>
      </c>
      <c r="Z620" s="35">
        <f t="shared" si="189"/>
        <v>0</v>
      </c>
      <c r="AA620" s="35">
        <f t="shared" si="189"/>
        <v>0</v>
      </c>
      <c r="AB620" s="35">
        <f t="shared" si="189"/>
        <v>0</v>
      </c>
      <c r="AC620" s="35">
        <f t="shared" si="189"/>
        <v>0</v>
      </c>
      <c r="AD620" s="35">
        <f t="shared" si="189"/>
        <v>0</v>
      </c>
      <c r="AE620" s="35">
        <f t="shared" si="189"/>
        <v>0</v>
      </c>
      <c r="AF620" s="35">
        <f t="shared" si="189"/>
        <v>0</v>
      </c>
      <c r="AG620" s="35">
        <f t="shared" si="189"/>
        <v>0</v>
      </c>
      <c r="AH620" s="35">
        <f t="shared" si="189"/>
        <v>0</v>
      </c>
      <c r="AI620" s="72">
        <f t="shared" si="182"/>
        <v>0</v>
      </c>
    </row>
    <row r="621" spans="1:35" outlineLevel="4" x14ac:dyDescent="0.2">
      <c r="A621" s="26"/>
      <c r="B621" s="41" t="s">
        <v>708</v>
      </c>
      <c r="C621" s="13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D621" s="50"/>
      <c r="AE621" s="50"/>
      <c r="AF621" s="50"/>
      <c r="AG621" s="50"/>
      <c r="AH621" s="50"/>
      <c r="AI621" s="72">
        <f t="shared" si="182"/>
        <v>0</v>
      </c>
    </row>
    <row r="622" spans="1:35" outlineLevel="4" x14ac:dyDescent="0.2">
      <c r="A622" s="26"/>
      <c r="B622" s="41" t="s">
        <v>709</v>
      </c>
      <c r="C622" s="13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D622" s="50"/>
      <c r="AE622" s="50"/>
      <c r="AF622" s="50"/>
      <c r="AG622" s="50"/>
      <c r="AH622" s="50"/>
      <c r="AI622" s="72">
        <f t="shared" si="182"/>
        <v>0</v>
      </c>
    </row>
    <row r="623" spans="1:35" outlineLevel="4" x14ac:dyDescent="0.2">
      <c r="A623" s="26"/>
      <c r="B623" s="41" t="s">
        <v>710</v>
      </c>
      <c r="C623" s="13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D623" s="50"/>
      <c r="AE623" s="50"/>
      <c r="AF623" s="50"/>
      <c r="AG623" s="50"/>
      <c r="AH623" s="50"/>
      <c r="AI623" s="72">
        <f t="shared" si="182"/>
        <v>0</v>
      </c>
    </row>
    <row r="624" spans="1:35" ht="25.5" outlineLevel="3" x14ac:dyDescent="0.2">
      <c r="A624" s="20" t="s">
        <v>402</v>
      </c>
      <c r="B624" s="20" t="s">
        <v>403</v>
      </c>
      <c r="C624" s="13" t="s">
        <v>404</v>
      </c>
      <c r="D624" s="35">
        <f>D625+D629</f>
        <v>0</v>
      </c>
      <c r="E624" s="35">
        <f t="shared" ref="E624:AH624" si="190">E625+E629</f>
        <v>0</v>
      </c>
      <c r="F624" s="35">
        <f t="shared" si="190"/>
        <v>0</v>
      </c>
      <c r="G624" s="35">
        <f t="shared" si="190"/>
        <v>0</v>
      </c>
      <c r="H624" s="35">
        <f t="shared" si="190"/>
        <v>0</v>
      </c>
      <c r="I624" s="35">
        <f t="shared" si="190"/>
        <v>0</v>
      </c>
      <c r="J624" s="35">
        <f t="shared" si="190"/>
        <v>0</v>
      </c>
      <c r="K624" s="35">
        <f t="shared" si="190"/>
        <v>0</v>
      </c>
      <c r="L624" s="35">
        <f t="shared" si="190"/>
        <v>0</v>
      </c>
      <c r="M624" s="35">
        <f t="shared" si="190"/>
        <v>0</v>
      </c>
      <c r="N624" s="35">
        <f t="shared" si="190"/>
        <v>0</v>
      </c>
      <c r="O624" s="35">
        <f t="shared" si="190"/>
        <v>0</v>
      </c>
      <c r="P624" s="35">
        <f t="shared" si="190"/>
        <v>0</v>
      </c>
      <c r="Q624" s="35">
        <f t="shared" si="190"/>
        <v>0</v>
      </c>
      <c r="R624" s="35">
        <f t="shared" si="190"/>
        <v>0</v>
      </c>
      <c r="S624" s="35">
        <f t="shared" si="190"/>
        <v>0</v>
      </c>
      <c r="T624" s="35">
        <f t="shared" si="190"/>
        <v>0</v>
      </c>
      <c r="U624" s="35">
        <f t="shared" si="190"/>
        <v>0</v>
      </c>
      <c r="V624" s="35">
        <f t="shared" si="190"/>
        <v>0</v>
      </c>
      <c r="W624" s="35">
        <f t="shared" si="190"/>
        <v>0</v>
      </c>
      <c r="X624" s="35">
        <f t="shared" si="190"/>
        <v>0</v>
      </c>
      <c r="Y624" s="35">
        <f t="shared" si="190"/>
        <v>0</v>
      </c>
      <c r="Z624" s="35">
        <f t="shared" si="190"/>
        <v>0</v>
      </c>
      <c r="AA624" s="35">
        <f t="shared" si="190"/>
        <v>0</v>
      </c>
      <c r="AB624" s="35">
        <f t="shared" si="190"/>
        <v>0</v>
      </c>
      <c r="AC624" s="35">
        <f t="shared" si="190"/>
        <v>0</v>
      </c>
      <c r="AD624" s="35">
        <f t="shared" si="190"/>
        <v>0</v>
      </c>
      <c r="AE624" s="35">
        <f t="shared" si="190"/>
        <v>0</v>
      </c>
      <c r="AF624" s="35">
        <f t="shared" si="190"/>
        <v>0</v>
      </c>
      <c r="AG624" s="35">
        <f t="shared" si="190"/>
        <v>0</v>
      </c>
      <c r="AH624" s="35">
        <f t="shared" si="190"/>
        <v>0</v>
      </c>
      <c r="AI624" s="72">
        <f t="shared" si="182"/>
        <v>0</v>
      </c>
    </row>
    <row r="625" spans="1:35" ht="25.5" outlineLevel="4" x14ac:dyDescent="0.2">
      <c r="A625" s="26" t="s">
        <v>405</v>
      </c>
      <c r="B625" s="27" t="s">
        <v>406</v>
      </c>
      <c r="C625" s="13" t="s">
        <v>407</v>
      </c>
      <c r="D625" s="35">
        <f>SUM(D626:D628)</f>
        <v>0</v>
      </c>
      <c r="E625" s="35">
        <f t="shared" ref="E625:AH625" si="191">SUM(E626:E628)</f>
        <v>0</v>
      </c>
      <c r="F625" s="35">
        <f t="shared" si="191"/>
        <v>0</v>
      </c>
      <c r="G625" s="35">
        <f t="shared" si="191"/>
        <v>0</v>
      </c>
      <c r="H625" s="35">
        <f t="shared" si="191"/>
        <v>0</v>
      </c>
      <c r="I625" s="35">
        <f t="shared" si="191"/>
        <v>0</v>
      </c>
      <c r="J625" s="35">
        <f t="shared" si="191"/>
        <v>0</v>
      </c>
      <c r="K625" s="35">
        <f t="shared" si="191"/>
        <v>0</v>
      </c>
      <c r="L625" s="35">
        <f t="shared" si="191"/>
        <v>0</v>
      </c>
      <c r="M625" s="35">
        <f t="shared" si="191"/>
        <v>0</v>
      </c>
      <c r="N625" s="35">
        <f t="shared" si="191"/>
        <v>0</v>
      </c>
      <c r="O625" s="35">
        <f t="shared" si="191"/>
        <v>0</v>
      </c>
      <c r="P625" s="35">
        <f t="shared" si="191"/>
        <v>0</v>
      </c>
      <c r="Q625" s="35">
        <f t="shared" si="191"/>
        <v>0</v>
      </c>
      <c r="R625" s="35">
        <f t="shared" si="191"/>
        <v>0</v>
      </c>
      <c r="S625" s="35">
        <f t="shared" si="191"/>
        <v>0</v>
      </c>
      <c r="T625" s="35">
        <f t="shared" si="191"/>
        <v>0</v>
      </c>
      <c r="U625" s="35">
        <f t="shared" si="191"/>
        <v>0</v>
      </c>
      <c r="V625" s="35">
        <f t="shared" si="191"/>
        <v>0</v>
      </c>
      <c r="W625" s="35">
        <f t="shared" si="191"/>
        <v>0</v>
      </c>
      <c r="X625" s="35">
        <f t="shared" si="191"/>
        <v>0</v>
      </c>
      <c r="Y625" s="35">
        <f t="shared" si="191"/>
        <v>0</v>
      </c>
      <c r="Z625" s="35">
        <f t="shared" si="191"/>
        <v>0</v>
      </c>
      <c r="AA625" s="35">
        <f t="shared" si="191"/>
        <v>0</v>
      </c>
      <c r="AB625" s="35">
        <f t="shared" si="191"/>
        <v>0</v>
      </c>
      <c r="AC625" s="35">
        <f t="shared" si="191"/>
        <v>0</v>
      </c>
      <c r="AD625" s="35">
        <f t="shared" si="191"/>
        <v>0</v>
      </c>
      <c r="AE625" s="35">
        <f t="shared" si="191"/>
        <v>0</v>
      </c>
      <c r="AF625" s="35">
        <f t="shared" si="191"/>
        <v>0</v>
      </c>
      <c r="AG625" s="35">
        <f t="shared" si="191"/>
        <v>0</v>
      </c>
      <c r="AH625" s="35">
        <f t="shared" si="191"/>
        <v>0</v>
      </c>
      <c r="AI625" s="72">
        <f t="shared" si="182"/>
        <v>0</v>
      </c>
    </row>
    <row r="626" spans="1:35" outlineLevel="4" x14ac:dyDescent="0.2">
      <c r="A626" s="26"/>
      <c r="B626" s="41" t="s">
        <v>708</v>
      </c>
      <c r="C626" s="13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D626" s="50"/>
      <c r="AE626" s="50"/>
      <c r="AF626" s="50"/>
      <c r="AG626" s="50"/>
      <c r="AH626" s="50"/>
      <c r="AI626" s="72">
        <f t="shared" si="182"/>
        <v>0</v>
      </c>
    </row>
    <row r="627" spans="1:35" outlineLevel="4" x14ac:dyDescent="0.2">
      <c r="A627" s="26"/>
      <c r="B627" s="41" t="s">
        <v>709</v>
      </c>
      <c r="C627" s="13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D627" s="50"/>
      <c r="AE627" s="50"/>
      <c r="AF627" s="50"/>
      <c r="AG627" s="50"/>
      <c r="AH627" s="50"/>
      <c r="AI627" s="72">
        <f t="shared" si="182"/>
        <v>0</v>
      </c>
    </row>
    <row r="628" spans="1:35" outlineLevel="4" x14ac:dyDescent="0.2">
      <c r="A628" s="26"/>
      <c r="B628" s="41" t="s">
        <v>710</v>
      </c>
      <c r="C628" s="13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D628" s="50"/>
      <c r="AE628" s="50"/>
      <c r="AF628" s="50"/>
      <c r="AG628" s="50"/>
      <c r="AH628" s="50"/>
      <c r="AI628" s="72">
        <f t="shared" si="182"/>
        <v>0</v>
      </c>
    </row>
    <row r="629" spans="1:35" ht="25.5" outlineLevel="4" x14ac:dyDescent="0.2">
      <c r="A629" s="26" t="s">
        <v>408</v>
      </c>
      <c r="B629" s="27" t="s">
        <v>409</v>
      </c>
      <c r="C629" s="13" t="s">
        <v>410</v>
      </c>
      <c r="D629" s="35">
        <f>SUM(D630:D632)</f>
        <v>0</v>
      </c>
      <c r="E629" s="35">
        <f t="shared" ref="E629:AH629" si="192">SUM(E630:E632)</f>
        <v>0</v>
      </c>
      <c r="F629" s="35">
        <f t="shared" si="192"/>
        <v>0</v>
      </c>
      <c r="G629" s="35">
        <f t="shared" si="192"/>
        <v>0</v>
      </c>
      <c r="H629" s="35">
        <f t="shared" si="192"/>
        <v>0</v>
      </c>
      <c r="I629" s="35">
        <f t="shared" si="192"/>
        <v>0</v>
      </c>
      <c r="J629" s="35">
        <f t="shared" si="192"/>
        <v>0</v>
      </c>
      <c r="K629" s="35">
        <f t="shared" si="192"/>
        <v>0</v>
      </c>
      <c r="L629" s="35">
        <f t="shared" si="192"/>
        <v>0</v>
      </c>
      <c r="M629" s="35">
        <f t="shared" si="192"/>
        <v>0</v>
      </c>
      <c r="N629" s="35">
        <f t="shared" si="192"/>
        <v>0</v>
      </c>
      <c r="O629" s="35">
        <f t="shared" si="192"/>
        <v>0</v>
      </c>
      <c r="P629" s="35">
        <f t="shared" si="192"/>
        <v>0</v>
      </c>
      <c r="Q629" s="35">
        <f t="shared" si="192"/>
        <v>0</v>
      </c>
      <c r="R629" s="35">
        <f t="shared" si="192"/>
        <v>0</v>
      </c>
      <c r="S629" s="35">
        <f t="shared" si="192"/>
        <v>0</v>
      </c>
      <c r="T629" s="35">
        <f t="shared" si="192"/>
        <v>0</v>
      </c>
      <c r="U629" s="35">
        <f t="shared" si="192"/>
        <v>0</v>
      </c>
      <c r="V629" s="35">
        <f t="shared" si="192"/>
        <v>0</v>
      </c>
      <c r="W629" s="35">
        <f t="shared" si="192"/>
        <v>0</v>
      </c>
      <c r="X629" s="35">
        <f t="shared" si="192"/>
        <v>0</v>
      </c>
      <c r="Y629" s="35">
        <f t="shared" si="192"/>
        <v>0</v>
      </c>
      <c r="Z629" s="35">
        <f t="shared" si="192"/>
        <v>0</v>
      </c>
      <c r="AA629" s="35">
        <f t="shared" si="192"/>
        <v>0</v>
      </c>
      <c r="AB629" s="35">
        <f t="shared" si="192"/>
        <v>0</v>
      </c>
      <c r="AC629" s="35">
        <f t="shared" si="192"/>
        <v>0</v>
      </c>
      <c r="AD629" s="35">
        <f t="shared" si="192"/>
        <v>0</v>
      </c>
      <c r="AE629" s="35">
        <f t="shared" si="192"/>
        <v>0</v>
      </c>
      <c r="AF629" s="35">
        <f t="shared" si="192"/>
        <v>0</v>
      </c>
      <c r="AG629" s="35">
        <f t="shared" si="192"/>
        <v>0</v>
      </c>
      <c r="AH629" s="35">
        <f t="shared" si="192"/>
        <v>0</v>
      </c>
      <c r="AI629" s="72">
        <f t="shared" si="182"/>
        <v>0</v>
      </c>
    </row>
    <row r="630" spans="1:35" outlineLevel="4" x14ac:dyDescent="0.2">
      <c r="A630" s="26"/>
      <c r="B630" s="41" t="s">
        <v>708</v>
      </c>
      <c r="C630" s="13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D630" s="50"/>
      <c r="AE630" s="50"/>
      <c r="AF630" s="50"/>
      <c r="AG630" s="50"/>
      <c r="AH630" s="50"/>
      <c r="AI630" s="72">
        <f t="shared" si="182"/>
        <v>0</v>
      </c>
    </row>
    <row r="631" spans="1:35" outlineLevel="4" x14ac:dyDescent="0.2">
      <c r="A631" s="26"/>
      <c r="B631" s="41" t="s">
        <v>709</v>
      </c>
      <c r="C631" s="13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  <c r="AA631" s="50"/>
      <c r="AB631" s="50"/>
      <c r="AC631" s="50"/>
      <c r="AD631" s="50"/>
      <c r="AE631" s="50"/>
      <c r="AF631" s="50"/>
      <c r="AG631" s="50"/>
      <c r="AH631" s="50"/>
      <c r="AI631" s="72">
        <f t="shared" si="182"/>
        <v>0</v>
      </c>
    </row>
    <row r="632" spans="1:35" outlineLevel="4" x14ac:dyDescent="0.2">
      <c r="A632" s="26"/>
      <c r="B632" s="41" t="s">
        <v>710</v>
      </c>
      <c r="C632" s="13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D632" s="50"/>
      <c r="AE632" s="50"/>
      <c r="AF632" s="50"/>
      <c r="AG632" s="50"/>
      <c r="AH632" s="50"/>
      <c r="AI632" s="72">
        <f t="shared" si="182"/>
        <v>0</v>
      </c>
    </row>
    <row r="633" spans="1:35" ht="25.5" outlineLevel="3" x14ac:dyDescent="0.2">
      <c r="A633" s="20" t="s">
        <v>411</v>
      </c>
      <c r="B633" s="20" t="s">
        <v>412</v>
      </c>
      <c r="C633" s="13" t="s">
        <v>413</v>
      </c>
      <c r="D633" s="35">
        <f>SUM(D634:D636)</f>
        <v>0</v>
      </c>
      <c r="E633" s="35">
        <f t="shared" ref="E633:AH633" si="193">SUM(E634:E636)</f>
        <v>0</v>
      </c>
      <c r="F633" s="35">
        <f t="shared" si="193"/>
        <v>0</v>
      </c>
      <c r="G633" s="35">
        <f t="shared" si="193"/>
        <v>0</v>
      </c>
      <c r="H633" s="35">
        <f t="shared" si="193"/>
        <v>0</v>
      </c>
      <c r="I633" s="35">
        <f t="shared" si="193"/>
        <v>0</v>
      </c>
      <c r="J633" s="35">
        <f t="shared" si="193"/>
        <v>0</v>
      </c>
      <c r="K633" s="35">
        <f t="shared" si="193"/>
        <v>0</v>
      </c>
      <c r="L633" s="35">
        <f t="shared" si="193"/>
        <v>0</v>
      </c>
      <c r="M633" s="35">
        <f t="shared" si="193"/>
        <v>0</v>
      </c>
      <c r="N633" s="35">
        <f t="shared" si="193"/>
        <v>0</v>
      </c>
      <c r="O633" s="35">
        <f t="shared" si="193"/>
        <v>0</v>
      </c>
      <c r="P633" s="35">
        <f t="shared" si="193"/>
        <v>0</v>
      </c>
      <c r="Q633" s="35">
        <f t="shared" si="193"/>
        <v>0</v>
      </c>
      <c r="R633" s="35">
        <f t="shared" si="193"/>
        <v>0</v>
      </c>
      <c r="S633" s="35">
        <f t="shared" si="193"/>
        <v>0</v>
      </c>
      <c r="T633" s="35">
        <f t="shared" si="193"/>
        <v>0</v>
      </c>
      <c r="U633" s="35">
        <f t="shared" si="193"/>
        <v>0</v>
      </c>
      <c r="V633" s="35">
        <f t="shared" si="193"/>
        <v>0</v>
      </c>
      <c r="W633" s="35">
        <f t="shared" si="193"/>
        <v>0</v>
      </c>
      <c r="X633" s="35">
        <f t="shared" si="193"/>
        <v>0</v>
      </c>
      <c r="Y633" s="35">
        <f t="shared" si="193"/>
        <v>0</v>
      </c>
      <c r="Z633" s="35">
        <f t="shared" si="193"/>
        <v>0</v>
      </c>
      <c r="AA633" s="35">
        <f t="shared" si="193"/>
        <v>0</v>
      </c>
      <c r="AB633" s="35">
        <f t="shared" si="193"/>
        <v>0</v>
      </c>
      <c r="AC633" s="35">
        <f t="shared" si="193"/>
        <v>0</v>
      </c>
      <c r="AD633" s="35">
        <f t="shared" si="193"/>
        <v>0</v>
      </c>
      <c r="AE633" s="35">
        <f t="shared" si="193"/>
        <v>0</v>
      </c>
      <c r="AF633" s="35">
        <f t="shared" si="193"/>
        <v>0</v>
      </c>
      <c r="AG633" s="35">
        <f t="shared" si="193"/>
        <v>0</v>
      </c>
      <c r="AH633" s="35">
        <f t="shared" si="193"/>
        <v>0</v>
      </c>
      <c r="AI633" s="72">
        <f t="shared" si="182"/>
        <v>0</v>
      </c>
    </row>
    <row r="634" spans="1:35" outlineLevel="3" x14ac:dyDescent="0.2">
      <c r="A634" s="20"/>
      <c r="B634" s="41" t="s">
        <v>708</v>
      </c>
      <c r="C634" s="13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D634" s="50"/>
      <c r="AE634" s="50"/>
      <c r="AF634" s="50"/>
      <c r="AG634" s="50"/>
      <c r="AH634" s="50"/>
      <c r="AI634" s="72">
        <f t="shared" si="182"/>
        <v>0</v>
      </c>
    </row>
    <row r="635" spans="1:35" outlineLevel="3" x14ac:dyDescent="0.2">
      <c r="A635" s="20"/>
      <c r="B635" s="41" t="s">
        <v>709</v>
      </c>
      <c r="C635" s="13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D635" s="50"/>
      <c r="AE635" s="50"/>
      <c r="AF635" s="50"/>
      <c r="AG635" s="50"/>
      <c r="AH635" s="50"/>
      <c r="AI635" s="72">
        <f t="shared" si="182"/>
        <v>0</v>
      </c>
    </row>
    <row r="636" spans="1:35" outlineLevel="3" x14ac:dyDescent="0.2">
      <c r="A636" s="20"/>
      <c r="B636" s="41" t="s">
        <v>710</v>
      </c>
      <c r="C636" s="13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D636" s="50"/>
      <c r="AE636" s="50"/>
      <c r="AF636" s="50"/>
      <c r="AG636" s="50"/>
      <c r="AH636" s="50"/>
      <c r="AI636" s="72">
        <f t="shared" si="182"/>
        <v>0</v>
      </c>
    </row>
    <row r="637" spans="1:35" ht="25.5" outlineLevel="3" x14ac:dyDescent="0.2">
      <c r="A637" s="20" t="s">
        <v>414</v>
      </c>
      <c r="B637" s="20" t="s">
        <v>415</v>
      </c>
      <c r="C637" s="13" t="s">
        <v>416</v>
      </c>
      <c r="D637" s="35">
        <f>D638+D642+D646+D650+D654+D658+D662</f>
        <v>0</v>
      </c>
      <c r="E637" s="35">
        <f t="shared" ref="E637:AH637" si="194">E638+E642+E646+E650+E654+E658+E662</f>
        <v>0</v>
      </c>
      <c r="F637" s="35">
        <f t="shared" si="194"/>
        <v>0</v>
      </c>
      <c r="G637" s="35">
        <f t="shared" si="194"/>
        <v>0</v>
      </c>
      <c r="H637" s="35">
        <f t="shared" si="194"/>
        <v>0</v>
      </c>
      <c r="I637" s="35">
        <f t="shared" si="194"/>
        <v>0</v>
      </c>
      <c r="J637" s="35">
        <f t="shared" si="194"/>
        <v>0</v>
      </c>
      <c r="K637" s="35">
        <f t="shared" si="194"/>
        <v>0</v>
      </c>
      <c r="L637" s="35">
        <f t="shared" si="194"/>
        <v>0</v>
      </c>
      <c r="M637" s="35">
        <f t="shared" si="194"/>
        <v>0</v>
      </c>
      <c r="N637" s="35">
        <f t="shared" si="194"/>
        <v>0</v>
      </c>
      <c r="O637" s="35">
        <f t="shared" si="194"/>
        <v>0</v>
      </c>
      <c r="P637" s="35">
        <f t="shared" si="194"/>
        <v>0</v>
      </c>
      <c r="Q637" s="35">
        <f t="shared" si="194"/>
        <v>0</v>
      </c>
      <c r="R637" s="35">
        <f t="shared" si="194"/>
        <v>0</v>
      </c>
      <c r="S637" s="35">
        <f t="shared" si="194"/>
        <v>0</v>
      </c>
      <c r="T637" s="35">
        <f t="shared" si="194"/>
        <v>0</v>
      </c>
      <c r="U637" s="35">
        <f t="shared" si="194"/>
        <v>0</v>
      </c>
      <c r="V637" s="35">
        <f t="shared" si="194"/>
        <v>0</v>
      </c>
      <c r="W637" s="35">
        <f t="shared" si="194"/>
        <v>0</v>
      </c>
      <c r="X637" s="35">
        <f t="shared" si="194"/>
        <v>0</v>
      </c>
      <c r="Y637" s="35">
        <f t="shared" si="194"/>
        <v>0</v>
      </c>
      <c r="Z637" s="35">
        <f t="shared" si="194"/>
        <v>0</v>
      </c>
      <c r="AA637" s="35">
        <f t="shared" si="194"/>
        <v>0</v>
      </c>
      <c r="AB637" s="35">
        <f t="shared" si="194"/>
        <v>0</v>
      </c>
      <c r="AC637" s="35">
        <f t="shared" si="194"/>
        <v>0</v>
      </c>
      <c r="AD637" s="35">
        <f t="shared" si="194"/>
        <v>0</v>
      </c>
      <c r="AE637" s="35">
        <f t="shared" si="194"/>
        <v>0</v>
      </c>
      <c r="AF637" s="35">
        <f t="shared" si="194"/>
        <v>0</v>
      </c>
      <c r="AG637" s="35">
        <f t="shared" si="194"/>
        <v>0</v>
      </c>
      <c r="AH637" s="35">
        <f t="shared" si="194"/>
        <v>0</v>
      </c>
      <c r="AI637" s="72">
        <f t="shared" si="182"/>
        <v>0</v>
      </c>
    </row>
    <row r="638" spans="1:35" ht="25.5" outlineLevel="4" x14ac:dyDescent="0.2">
      <c r="A638" s="26" t="s">
        <v>417</v>
      </c>
      <c r="B638" s="27" t="s">
        <v>418</v>
      </c>
      <c r="C638" s="13" t="s">
        <v>419</v>
      </c>
      <c r="D638" s="35">
        <f>SUM(D639:D641)</f>
        <v>0</v>
      </c>
      <c r="E638" s="35">
        <f t="shared" ref="E638:AH638" si="195">SUM(E639:E641)</f>
        <v>0</v>
      </c>
      <c r="F638" s="35">
        <f t="shared" si="195"/>
        <v>0</v>
      </c>
      <c r="G638" s="35">
        <f t="shared" si="195"/>
        <v>0</v>
      </c>
      <c r="H638" s="35">
        <f t="shared" si="195"/>
        <v>0</v>
      </c>
      <c r="I638" s="35">
        <f t="shared" si="195"/>
        <v>0</v>
      </c>
      <c r="J638" s="35">
        <f t="shared" si="195"/>
        <v>0</v>
      </c>
      <c r="K638" s="35">
        <f t="shared" si="195"/>
        <v>0</v>
      </c>
      <c r="L638" s="35">
        <f t="shared" si="195"/>
        <v>0</v>
      </c>
      <c r="M638" s="35">
        <f t="shared" si="195"/>
        <v>0</v>
      </c>
      <c r="N638" s="35">
        <f t="shared" si="195"/>
        <v>0</v>
      </c>
      <c r="O638" s="35">
        <f t="shared" si="195"/>
        <v>0</v>
      </c>
      <c r="P638" s="35">
        <f t="shared" si="195"/>
        <v>0</v>
      </c>
      <c r="Q638" s="35">
        <f t="shared" si="195"/>
        <v>0</v>
      </c>
      <c r="R638" s="35">
        <f t="shared" si="195"/>
        <v>0</v>
      </c>
      <c r="S638" s="35">
        <f t="shared" si="195"/>
        <v>0</v>
      </c>
      <c r="T638" s="35">
        <f t="shared" si="195"/>
        <v>0</v>
      </c>
      <c r="U638" s="35">
        <f t="shared" si="195"/>
        <v>0</v>
      </c>
      <c r="V638" s="35">
        <f t="shared" si="195"/>
        <v>0</v>
      </c>
      <c r="W638" s="35">
        <f t="shared" si="195"/>
        <v>0</v>
      </c>
      <c r="X638" s="35">
        <f t="shared" si="195"/>
        <v>0</v>
      </c>
      <c r="Y638" s="35">
        <f t="shared" si="195"/>
        <v>0</v>
      </c>
      <c r="Z638" s="35">
        <f t="shared" si="195"/>
        <v>0</v>
      </c>
      <c r="AA638" s="35">
        <f t="shared" si="195"/>
        <v>0</v>
      </c>
      <c r="AB638" s="35">
        <f t="shared" si="195"/>
        <v>0</v>
      </c>
      <c r="AC638" s="35">
        <f t="shared" si="195"/>
        <v>0</v>
      </c>
      <c r="AD638" s="35">
        <f t="shared" si="195"/>
        <v>0</v>
      </c>
      <c r="AE638" s="35">
        <f t="shared" si="195"/>
        <v>0</v>
      </c>
      <c r="AF638" s="35">
        <f t="shared" si="195"/>
        <v>0</v>
      </c>
      <c r="AG638" s="35">
        <f t="shared" si="195"/>
        <v>0</v>
      </c>
      <c r="AH638" s="35">
        <f t="shared" si="195"/>
        <v>0</v>
      </c>
      <c r="AI638" s="72">
        <f t="shared" si="182"/>
        <v>0</v>
      </c>
    </row>
    <row r="639" spans="1:35" outlineLevel="4" x14ac:dyDescent="0.2">
      <c r="A639" s="26"/>
      <c r="B639" s="41" t="s">
        <v>708</v>
      </c>
      <c r="C639" s="13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D639" s="50"/>
      <c r="AE639" s="50"/>
      <c r="AF639" s="50"/>
      <c r="AG639" s="50"/>
      <c r="AH639" s="50"/>
      <c r="AI639" s="72">
        <f t="shared" si="182"/>
        <v>0</v>
      </c>
    </row>
    <row r="640" spans="1:35" outlineLevel="4" x14ac:dyDescent="0.2">
      <c r="A640" s="26"/>
      <c r="B640" s="41" t="s">
        <v>709</v>
      </c>
      <c r="C640" s="13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D640" s="50"/>
      <c r="AE640" s="50"/>
      <c r="AF640" s="50"/>
      <c r="AG640" s="50"/>
      <c r="AH640" s="50"/>
      <c r="AI640" s="72">
        <f t="shared" si="182"/>
        <v>0</v>
      </c>
    </row>
    <row r="641" spans="1:35" outlineLevel="4" x14ac:dyDescent="0.2">
      <c r="A641" s="26"/>
      <c r="B641" s="41" t="s">
        <v>710</v>
      </c>
      <c r="C641" s="13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D641" s="50"/>
      <c r="AE641" s="50"/>
      <c r="AF641" s="50"/>
      <c r="AG641" s="50"/>
      <c r="AH641" s="50"/>
      <c r="AI641" s="72">
        <f t="shared" si="182"/>
        <v>0</v>
      </c>
    </row>
    <row r="642" spans="1:35" ht="25.5" outlineLevel="4" x14ac:dyDescent="0.2">
      <c r="A642" s="26" t="s">
        <v>420</v>
      </c>
      <c r="B642" s="27" t="s">
        <v>421</v>
      </c>
      <c r="C642" s="13" t="s">
        <v>422</v>
      </c>
      <c r="D642" s="35">
        <f>SUM(D643:D645)</f>
        <v>0</v>
      </c>
      <c r="E642" s="35">
        <f t="shared" ref="E642:AH642" si="196">SUM(E643:E645)</f>
        <v>0</v>
      </c>
      <c r="F642" s="35">
        <f t="shared" si="196"/>
        <v>0</v>
      </c>
      <c r="G642" s="35">
        <f t="shared" si="196"/>
        <v>0</v>
      </c>
      <c r="H642" s="35">
        <f t="shared" si="196"/>
        <v>0</v>
      </c>
      <c r="I642" s="35">
        <f t="shared" si="196"/>
        <v>0</v>
      </c>
      <c r="J642" s="35">
        <f t="shared" si="196"/>
        <v>0</v>
      </c>
      <c r="K642" s="35">
        <f t="shared" si="196"/>
        <v>0</v>
      </c>
      <c r="L642" s="35">
        <f t="shared" si="196"/>
        <v>0</v>
      </c>
      <c r="M642" s="35">
        <f t="shared" si="196"/>
        <v>0</v>
      </c>
      <c r="N642" s="35">
        <f t="shared" si="196"/>
        <v>0</v>
      </c>
      <c r="O642" s="35">
        <f t="shared" si="196"/>
        <v>0</v>
      </c>
      <c r="P642" s="35">
        <f t="shared" si="196"/>
        <v>0</v>
      </c>
      <c r="Q642" s="35">
        <f t="shared" si="196"/>
        <v>0</v>
      </c>
      <c r="R642" s="35">
        <f t="shared" si="196"/>
        <v>0</v>
      </c>
      <c r="S642" s="35">
        <f t="shared" si="196"/>
        <v>0</v>
      </c>
      <c r="T642" s="35">
        <f t="shared" si="196"/>
        <v>0</v>
      </c>
      <c r="U642" s="35">
        <f t="shared" si="196"/>
        <v>0</v>
      </c>
      <c r="V642" s="35">
        <f t="shared" si="196"/>
        <v>0</v>
      </c>
      <c r="W642" s="35">
        <f t="shared" si="196"/>
        <v>0</v>
      </c>
      <c r="X642" s="35">
        <f t="shared" si="196"/>
        <v>0</v>
      </c>
      <c r="Y642" s="35">
        <f t="shared" si="196"/>
        <v>0</v>
      </c>
      <c r="Z642" s="35">
        <f t="shared" si="196"/>
        <v>0</v>
      </c>
      <c r="AA642" s="35">
        <f t="shared" si="196"/>
        <v>0</v>
      </c>
      <c r="AB642" s="35">
        <f t="shared" si="196"/>
        <v>0</v>
      </c>
      <c r="AC642" s="35">
        <f t="shared" si="196"/>
        <v>0</v>
      </c>
      <c r="AD642" s="35">
        <f t="shared" si="196"/>
        <v>0</v>
      </c>
      <c r="AE642" s="35">
        <f t="shared" si="196"/>
        <v>0</v>
      </c>
      <c r="AF642" s="35">
        <f t="shared" si="196"/>
        <v>0</v>
      </c>
      <c r="AG642" s="35">
        <f t="shared" si="196"/>
        <v>0</v>
      </c>
      <c r="AH642" s="35">
        <f t="shared" si="196"/>
        <v>0</v>
      </c>
      <c r="AI642" s="72">
        <f t="shared" si="182"/>
        <v>0</v>
      </c>
    </row>
    <row r="643" spans="1:35" outlineLevel="4" x14ac:dyDescent="0.2">
      <c r="A643" s="26"/>
      <c r="B643" s="41" t="s">
        <v>708</v>
      </c>
      <c r="C643" s="13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D643" s="50"/>
      <c r="AE643" s="50"/>
      <c r="AF643" s="50"/>
      <c r="AG643" s="50"/>
      <c r="AH643" s="50"/>
      <c r="AI643" s="72">
        <f t="shared" si="182"/>
        <v>0</v>
      </c>
    </row>
    <row r="644" spans="1:35" outlineLevel="4" x14ac:dyDescent="0.2">
      <c r="A644" s="26"/>
      <c r="B644" s="41" t="s">
        <v>709</v>
      </c>
      <c r="C644" s="13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D644" s="50"/>
      <c r="AE644" s="50"/>
      <c r="AF644" s="50"/>
      <c r="AG644" s="50"/>
      <c r="AH644" s="50"/>
      <c r="AI644" s="72">
        <f t="shared" si="182"/>
        <v>0</v>
      </c>
    </row>
    <row r="645" spans="1:35" outlineLevel="4" x14ac:dyDescent="0.2">
      <c r="A645" s="26"/>
      <c r="B645" s="41" t="s">
        <v>710</v>
      </c>
      <c r="C645" s="13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D645" s="50"/>
      <c r="AE645" s="50"/>
      <c r="AF645" s="50"/>
      <c r="AG645" s="50"/>
      <c r="AH645" s="50"/>
      <c r="AI645" s="72">
        <f t="shared" si="182"/>
        <v>0</v>
      </c>
    </row>
    <row r="646" spans="1:35" ht="25.5" outlineLevel="4" x14ac:dyDescent="0.2">
      <c r="A646" s="26" t="s">
        <v>423</v>
      </c>
      <c r="B646" s="27" t="s">
        <v>424</v>
      </c>
      <c r="C646" s="13" t="s">
        <v>425</v>
      </c>
      <c r="D646" s="35">
        <f>SUM(D647:D649)</f>
        <v>0</v>
      </c>
      <c r="E646" s="35">
        <f t="shared" ref="E646:AH646" si="197">SUM(E647:E649)</f>
        <v>0</v>
      </c>
      <c r="F646" s="35">
        <f t="shared" si="197"/>
        <v>0</v>
      </c>
      <c r="G646" s="35">
        <f t="shared" si="197"/>
        <v>0</v>
      </c>
      <c r="H646" s="35">
        <f t="shared" si="197"/>
        <v>0</v>
      </c>
      <c r="I646" s="35">
        <f t="shared" si="197"/>
        <v>0</v>
      </c>
      <c r="J646" s="35">
        <f t="shared" si="197"/>
        <v>0</v>
      </c>
      <c r="K646" s="35">
        <f t="shared" si="197"/>
        <v>0</v>
      </c>
      <c r="L646" s="35">
        <f t="shared" si="197"/>
        <v>0</v>
      </c>
      <c r="M646" s="35">
        <f t="shared" si="197"/>
        <v>0</v>
      </c>
      <c r="N646" s="35">
        <f t="shared" si="197"/>
        <v>0</v>
      </c>
      <c r="O646" s="35">
        <f t="shared" si="197"/>
        <v>0</v>
      </c>
      <c r="P646" s="35">
        <f t="shared" si="197"/>
        <v>0</v>
      </c>
      <c r="Q646" s="35">
        <f t="shared" si="197"/>
        <v>0</v>
      </c>
      <c r="R646" s="35">
        <f t="shared" si="197"/>
        <v>0</v>
      </c>
      <c r="S646" s="35">
        <f t="shared" si="197"/>
        <v>0</v>
      </c>
      <c r="T646" s="35">
        <f t="shared" si="197"/>
        <v>0</v>
      </c>
      <c r="U646" s="35">
        <f t="shared" si="197"/>
        <v>0</v>
      </c>
      <c r="V646" s="35">
        <f t="shared" si="197"/>
        <v>0</v>
      </c>
      <c r="W646" s="35">
        <f t="shared" si="197"/>
        <v>0</v>
      </c>
      <c r="X646" s="35">
        <f t="shared" si="197"/>
        <v>0</v>
      </c>
      <c r="Y646" s="35">
        <f t="shared" si="197"/>
        <v>0</v>
      </c>
      <c r="Z646" s="35">
        <f t="shared" si="197"/>
        <v>0</v>
      </c>
      <c r="AA646" s="35">
        <f t="shared" si="197"/>
        <v>0</v>
      </c>
      <c r="AB646" s="35">
        <f t="shared" si="197"/>
        <v>0</v>
      </c>
      <c r="AC646" s="35">
        <f t="shared" si="197"/>
        <v>0</v>
      </c>
      <c r="AD646" s="35">
        <f t="shared" si="197"/>
        <v>0</v>
      </c>
      <c r="AE646" s="35">
        <f t="shared" si="197"/>
        <v>0</v>
      </c>
      <c r="AF646" s="35">
        <f t="shared" si="197"/>
        <v>0</v>
      </c>
      <c r="AG646" s="35">
        <f t="shared" si="197"/>
        <v>0</v>
      </c>
      <c r="AH646" s="35">
        <f t="shared" si="197"/>
        <v>0</v>
      </c>
      <c r="AI646" s="72">
        <f t="shared" si="182"/>
        <v>0</v>
      </c>
    </row>
    <row r="647" spans="1:35" outlineLevel="4" x14ac:dyDescent="0.2">
      <c r="A647" s="26"/>
      <c r="B647" s="41" t="s">
        <v>708</v>
      </c>
      <c r="C647" s="13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D647" s="50"/>
      <c r="AE647" s="50"/>
      <c r="AF647" s="50"/>
      <c r="AG647" s="50"/>
      <c r="AH647" s="50"/>
      <c r="AI647" s="72">
        <f t="shared" si="182"/>
        <v>0</v>
      </c>
    </row>
    <row r="648" spans="1:35" outlineLevel="4" x14ac:dyDescent="0.2">
      <c r="A648" s="26"/>
      <c r="B648" s="41" t="s">
        <v>709</v>
      </c>
      <c r="C648" s="13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D648" s="50"/>
      <c r="AE648" s="50"/>
      <c r="AF648" s="50"/>
      <c r="AG648" s="50"/>
      <c r="AH648" s="50"/>
      <c r="AI648" s="72">
        <f t="shared" si="182"/>
        <v>0</v>
      </c>
    </row>
    <row r="649" spans="1:35" outlineLevel="4" x14ac:dyDescent="0.2">
      <c r="A649" s="26"/>
      <c r="B649" s="41" t="s">
        <v>710</v>
      </c>
      <c r="C649" s="13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D649" s="50"/>
      <c r="AE649" s="50"/>
      <c r="AF649" s="50"/>
      <c r="AG649" s="50"/>
      <c r="AH649" s="50"/>
      <c r="AI649" s="72">
        <f t="shared" si="182"/>
        <v>0</v>
      </c>
    </row>
    <row r="650" spans="1:35" ht="25.5" outlineLevel="4" x14ac:dyDescent="0.2">
      <c r="A650" s="26" t="s">
        <v>426</v>
      </c>
      <c r="B650" s="27" t="s">
        <v>427</v>
      </c>
      <c r="C650" s="13" t="s">
        <v>428</v>
      </c>
      <c r="D650" s="35">
        <f>SUM(D651:D653)</f>
        <v>0</v>
      </c>
      <c r="E650" s="35">
        <f t="shared" ref="E650:AH650" si="198">SUM(E651:E653)</f>
        <v>0</v>
      </c>
      <c r="F650" s="35">
        <f t="shared" si="198"/>
        <v>0</v>
      </c>
      <c r="G650" s="35">
        <f t="shared" si="198"/>
        <v>0</v>
      </c>
      <c r="H650" s="35">
        <f t="shared" si="198"/>
        <v>0</v>
      </c>
      <c r="I650" s="35">
        <f t="shared" si="198"/>
        <v>0</v>
      </c>
      <c r="J650" s="35">
        <f t="shared" si="198"/>
        <v>0</v>
      </c>
      <c r="K650" s="35">
        <f t="shared" si="198"/>
        <v>0</v>
      </c>
      <c r="L650" s="35">
        <f t="shared" si="198"/>
        <v>0</v>
      </c>
      <c r="M650" s="35">
        <f t="shared" si="198"/>
        <v>0</v>
      </c>
      <c r="N650" s="35">
        <f t="shared" si="198"/>
        <v>0</v>
      </c>
      <c r="O650" s="35">
        <f t="shared" si="198"/>
        <v>0</v>
      </c>
      <c r="P650" s="35">
        <f t="shared" si="198"/>
        <v>0</v>
      </c>
      <c r="Q650" s="35">
        <f t="shared" si="198"/>
        <v>0</v>
      </c>
      <c r="R650" s="35">
        <f t="shared" si="198"/>
        <v>0</v>
      </c>
      <c r="S650" s="35">
        <f t="shared" si="198"/>
        <v>0</v>
      </c>
      <c r="T650" s="35">
        <f t="shared" si="198"/>
        <v>0</v>
      </c>
      <c r="U650" s="35">
        <f t="shared" si="198"/>
        <v>0</v>
      </c>
      <c r="V650" s="35">
        <f t="shared" si="198"/>
        <v>0</v>
      </c>
      <c r="W650" s="35">
        <f t="shared" si="198"/>
        <v>0</v>
      </c>
      <c r="X650" s="35">
        <f t="shared" si="198"/>
        <v>0</v>
      </c>
      <c r="Y650" s="35">
        <f t="shared" si="198"/>
        <v>0</v>
      </c>
      <c r="Z650" s="35">
        <f t="shared" si="198"/>
        <v>0</v>
      </c>
      <c r="AA650" s="35">
        <f t="shared" si="198"/>
        <v>0</v>
      </c>
      <c r="AB650" s="35">
        <f t="shared" si="198"/>
        <v>0</v>
      </c>
      <c r="AC650" s="35">
        <f t="shared" si="198"/>
        <v>0</v>
      </c>
      <c r="AD650" s="35">
        <f t="shared" si="198"/>
        <v>0</v>
      </c>
      <c r="AE650" s="35">
        <f t="shared" si="198"/>
        <v>0</v>
      </c>
      <c r="AF650" s="35">
        <f t="shared" si="198"/>
        <v>0</v>
      </c>
      <c r="AG650" s="35">
        <f t="shared" si="198"/>
        <v>0</v>
      </c>
      <c r="AH650" s="35">
        <f t="shared" si="198"/>
        <v>0</v>
      </c>
      <c r="AI650" s="72">
        <f t="shared" si="182"/>
        <v>0</v>
      </c>
    </row>
    <row r="651" spans="1:35" outlineLevel="4" x14ac:dyDescent="0.2">
      <c r="A651" s="26"/>
      <c r="B651" s="41" t="s">
        <v>708</v>
      </c>
      <c r="C651" s="13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D651" s="50"/>
      <c r="AE651" s="50"/>
      <c r="AF651" s="50"/>
      <c r="AG651" s="50"/>
      <c r="AH651" s="50"/>
      <c r="AI651" s="72">
        <f t="shared" si="182"/>
        <v>0</v>
      </c>
    </row>
    <row r="652" spans="1:35" outlineLevel="4" x14ac:dyDescent="0.2">
      <c r="A652" s="26"/>
      <c r="B652" s="41" t="s">
        <v>709</v>
      </c>
      <c r="C652" s="13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D652" s="50"/>
      <c r="AE652" s="50"/>
      <c r="AF652" s="50"/>
      <c r="AG652" s="50"/>
      <c r="AH652" s="50"/>
      <c r="AI652" s="72">
        <f t="shared" si="182"/>
        <v>0</v>
      </c>
    </row>
    <row r="653" spans="1:35" outlineLevel="4" x14ac:dyDescent="0.2">
      <c r="A653" s="26"/>
      <c r="B653" s="41" t="s">
        <v>710</v>
      </c>
      <c r="C653" s="13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D653" s="50"/>
      <c r="AE653" s="50"/>
      <c r="AF653" s="50"/>
      <c r="AG653" s="50"/>
      <c r="AH653" s="50"/>
      <c r="AI653" s="72">
        <f t="shared" si="182"/>
        <v>0</v>
      </c>
    </row>
    <row r="654" spans="1:35" ht="25.5" outlineLevel="4" x14ac:dyDescent="0.2">
      <c r="A654" s="26" t="s">
        <v>429</v>
      </c>
      <c r="B654" s="27" t="s">
        <v>430</v>
      </c>
      <c r="C654" s="13" t="s">
        <v>431</v>
      </c>
      <c r="D654" s="35">
        <f>SUM(D655:D657)</f>
        <v>0</v>
      </c>
      <c r="E654" s="35">
        <f t="shared" ref="E654:AH654" si="199">SUM(E655:E657)</f>
        <v>0</v>
      </c>
      <c r="F654" s="35">
        <f t="shared" si="199"/>
        <v>0</v>
      </c>
      <c r="G654" s="35">
        <f t="shared" si="199"/>
        <v>0</v>
      </c>
      <c r="H654" s="35">
        <f t="shared" si="199"/>
        <v>0</v>
      </c>
      <c r="I654" s="35">
        <f t="shared" si="199"/>
        <v>0</v>
      </c>
      <c r="J654" s="35">
        <f t="shared" si="199"/>
        <v>0</v>
      </c>
      <c r="K654" s="35">
        <f t="shared" si="199"/>
        <v>0</v>
      </c>
      <c r="L654" s="35">
        <f t="shared" si="199"/>
        <v>0</v>
      </c>
      <c r="M654" s="35">
        <f t="shared" si="199"/>
        <v>0</v>
      </c>
      <c r="N654" s="35">
        <f t="shared" si="199"/>
        <v>0</v>
      </c>
      <c r="O654" s="35">
        <f t="shared" si="199"/>
        <v>0</v>
      </c>
      <c r="P654" s="35">
        <f t="shared" si="199"/>
        <v>0</v>
      </c>
      <c r="Q654" s="35">
        <f t="shared" si="199"/>
        <v>0</v>
      </c>
      <c r="R654" s="35">
        <f t="shared" si="199"/>
        <v>0</v>
      </c>
      <c r="S654" s="35">
        <f t="shared" si="199"/>
        <v>0</v>
      </c>
      <c r="T654" s="35">
        <f t="shared" si="199"/>
        <v>0</v>
      </c>
      <c r="U654" s="35">
        <f t="shared" si="199"/>
        <v>0</v>
      </c>
      <c r="V654" s="35">
        <f t="shared" si="199"/>
        <v>0</v>
      </c>
      <c r="W654" s="35">
        <f t="shared" si="199"/>
        <v>0</v>
      </c>
      <c r="X654" s="35">
        <f t="shared" si="199"/>
        <v>0</v>
      </c>
      <c r="Y654" s="35">
        <f t="shared" si="199"/>
        <v>0</v>
      </c>
      <c r="Z654" s="35">
        <f t="shared" si="199"/>
        <v>0</v>
      </c>
      <c r="AA654" s="35">
        <f t="shared" si="199"/>
        <v>0</v>
      </c>
      <c r="AB654" s="35">
        <f t="shared" si="199"/>
        <v>0</v>
      </c>
      <c r="AC654" s="35">
        <f t="shared" si="199"/>
        <v>0</v>
      </c>
      <c r="AD654" s="35">
        <f t="shared" si="199"/>
        <v>0</v>
      </c>
      <c r="AE654" s="35">
        <f t="shared" si="199"/>
        <v>0</v>
      </c>
      <c r="AF654" s="35">
        <f t="shared" si="199"/>
        <v>0</v>
      </c>
      <c r="AG654" s="35">
        <f t="shared" si="199"/>
        <v>0</v>
      </c>
      <c r="AH654" s="35">
        <f t="shared" si="199"/>
        <v>0</v>
      </c>
      <c r="AI654" s="72">
        <f t="shared" si="182"/>
        <v>0</v>
      </c>
    </row>
    <row r="655" spans="1:35" outlineLevel="4" x14ac:dyDescent="0.2">
      <c r="A655" s="26"/>
      <c r="B655" s="41" t="s">
        <v>708</v>
      </c>
      <c r="C655" s="13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D655" s="50"/>
      <c r="AE655" s="50"/>
      <c r="AF655" s="50"/>
      <c r="AG655" s="50"/>
      <c r="AH655" s="50"/>
      <c r="AI655" s="72">
        <f t="shared" si="182"/>
        <v>0</v>
      </c>
    </row>
    <row r="656" spans="1:35" outlineLevel="4" x14ac:dyDescent="0.2">
      <c r="A656" s="26"/>
      <c r="B656" s="41" t="s">
        <v>709</v>
      </c>
      <c r="C656" s="13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D656" s="50"/>
      <c r="AE656" s="50"/>
      <c r="AF656" s="50"/>
      <c r="AG656" s="50"/>
      <c r="AH656" s="50"/>
      <c r="AI656" s="72">
        <f t="shared" si="182"/>
        <v>0</v>
      </c>
    </row>
    <row r="657" spans="1:35" outlineLevel="4" x14ac:dyDescent="0.2">
      <c r="A657" s="26"/>
      <c r="B657" s="41" t="s">
        <v>710</v>
      </c>
      <c r="C657" s="13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D657" s="50"/>
      <c r="AE657" s="50"/>
      <c r="AF657" s="50"/>
      <c r="AG657" s="50"/>
      <c r="AH657" s="50"/>
      <c r="AI657" s="72">
        <f t="shared" si="182"/>
        <v>0</v>
      </c>
    </row>
    <row r="658" spans="1:35" ht="25.5" outlineLevel="4" x14ac:dyDescent="0.2">
      <c r="A658" s="26" t="s">
        <v>432</v>
      </c>
      <c r="B658" s="27" t="s">
        <v>433</v>
      </c>
      <c r="C658" s="13" t="s">
        <v>434</v>
      </c>
      <c r="D658" s="35">
        <f>SUM(D659:D661)</f>
        <v>0</v>
      </c>
      <c r="E658" s="35">
        <f t="shared" ref="E658:AH658" si="200">SUM(E659:E661)</f>
        <v>0</v>
      </c>
      <c r="F658" s="35">
        <f t="shared" si="200"/>
        <v>0</v>
      </c>
      <c r="G658" s="35">
        <f t="shared" si="200"/>
        <v>0</v>
      </c>
      <c r="H658" s="35">
        <f t="shared" si="200"/>
        <v>0</v>
      </c>
      <c r="I658" s="35">
        <f t="shared" si="200"/>
        <v>0</v>
      </c>
      <c r="J658" s="35">
        <f t="shared" si="200"/>
        <v>0</v>
      </c>
      <c r="K658" s="35">
        <f t="shared" si="200"/>
        <v>0</v>
      </c>
      <c r="L658" s="35">
        <f t="shared" si="200"/>
        <v>0</v>
      </c>
      <c r="M658" s="35">
        <f t="shared" si="200"/>
        <v>0</v>
      </c>
      <c r="N658" s="35">
        <f t="shared" si="200"/>
        <v>0</v>
      </c>
      <c r="O658" s="35">
        <f t="shared" si="200"/>
        <v>0</v>
      </c>
      <c r="P658" s="35">
        <f t="shared" si="200"/>
        <v>0</v>
      </c>
      <c r="Q658" s="35">
        <f t="shared" si="200"/>
        <v>0</v>
      </c>
      <c r="R658" s="35">
        <f t="shared" si="200"/>
        <v>0</v>
      </c>
      <c r="S658" s="35">
        <f t="shared" si="200"/>
        <v>0</v>
      </c>
      <c r="T658" s="35">
        <f t="shared" si="200"/>
        <v>0</v>
      </c>
      <c r="U658" s="35">
        <f t="shared" si="200"/>
        <v>0</v>
      </c>
      <c r="V658" s="35">
        <f t="shared" si="200"/>
        <v>0</v>
      </c>
      <c r="W658" s="35">
        <f t="shared" si="200"/>
        <v>0</v>
      </c>
      <c r="X658" s="35">
        <f t="shared" si="200"/>
        <v>0</v>
      </c>
      <c r="Y658" s="35">
        <f t="shared" si="200"/>
        <v>0</v>
      </c>
      <c r="Z658" s="35">
        <f t="shared" si="200"/>
        <v>0</v>
      </c>
      <c r="AA658" s="35">
        <f t="shared" si="200"/>
        <v>0</v>
      </c>
      <c r="AB658" s="35">
        <f t="shared" si="200"/>
        <v>0</v>
      </c>
      <c r="AC658" s="35">
        <f t="shared" si="200"/>
        <v>0</v>
      </c>
      <c r="AD658" s="35">
        <f t="shared" si="200"/>
        <v>0</v>
      </c>
      <c r="AE658" s="35">
        <f t="shared" si="200"/>
        <v>0</v>
      </c>
      <c r="AF658" s="35">
        <f t="shared" si="200"/>
        <v>0</v>
      </c>
      <c r="AG658" s="35">
        <f t="shared" si="200"/>
        <v>0</v>
      </c>
      <c r="AH658" s="35">
        <f t="shared" si="200"/>
        <v>0</v>
      </c>
      <c r="AI658" s="72">
        <f t="shared" si="182"/>
        <v>0</v>
      </c>
    </row>
    <row r="659" spans="1:35" outlineLevel="4" x14ac:dyDescent="0.2">
      <c r="A659" s="26"/>
      <c r="B659" s="41" t="s">
        <v>708</v>
      </c>
      <c r="C659" s="13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D659" s="50"/>
      <c r="AE659" s="50"/>
      <c r="AF659" s="50"/>
      <c r="AG659" s="50"/>
      <c r="AH659" s="50"/>
      <c r="AI659" s="72">
        <f t="shared" si="182"/>
        <v>0</v>
      </c>
    </row>
    <row r="660" spans="1:35" outlineLevel="4" x14ac:dyDescent="0.2">
      <c r="A660" s="26"/>
      <c r="B660" s="41" t="s">
        <v>709</v>
      </c>
      <c r="C660" s="13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D660" s="50"/>
      <c r="AE660" s="50"/>
      <c r="AF660" s="50"/>
      <c r="AG660" s="50"/>
      <c r="AH660" s="50"/>
      <c r="AI660" s="72">
        <f t="shared" si="182"/>
        <v>0</v>
      </c>
    </row>
    <row r="661" spans="1:35" outlineLevel="4" x14ac:dyDescent="0.2">
      <c r="A661" s="26"/>
      <c r="B661" s="41" t="s">
        <v>710</v>
      </c>
      <c r="C661" s="13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D661" s="50"/>
      <c r="AE661" s="50"/>
      <c r="AF661" s="50"/>
      <c r="AG661" s="50"/>
      <c r="AH661" s="50"/>
      <c r="AI661" s="72">
        <f t="shared" si="182"/>
        <v>0</v>
      </c>
    </row>
    <row r="662" spans="1:35" ht="25.5" outlineLevel="4" x14ac:dyDescent="0.2">
      <c r="A662" s="26" t="s">
        <v>435</v>
      </c>
      <c r="B662" s="27" t="s">
        <v>436</v>
      </c>
      <c r="C662" s="13" t="s">
        <v>437</v>
      </c>
      <c r="D662" s="35">
        <f>SUM(D663:D665)</f>
        <v>0</v>
      </c>
      <c r="E662" s="35">
        <f t="shared" ref="E662:AH662" si="201">SUM(E663:E665)</f>
        <v>0</v>
      </c>
      <c r="F662" s="35">
        <f t="shared" si="201"/>
        <v>0</v>
      </c>
      <c r="G662" s="35">
        <f t="shared" si="201"/>
        <v>0</v>
      </c>
      <c r="H662" s="35">
        <f t="shared" si="201"/>
        <v>0</v>
      </c>
      <c r="I662" s="35">
        <f t="shared" si="201"/>
        <v>0</v>
      </c>
      <c r="J662" s="35">
        <f t="shared" si="201"/>
        <v>0</v>
      </c>
      <c r="K662" s="35">
        <f t="shared" si="201"/>
        <v>0</v>
      </c>
      <c r="L662" s="35">
        <f t="shared" si="201"/>
        <v>0</v>
      </c>
      <c r="M662" s="35">
        <f t="shared" si="201"/>
        <v>0</v>
      </c>
      <c r="N662" s="35">
        <f t="shared" si="201"/>
        <v>0</v>
      </c>
      <c r="O662" s="35">
        <f t="shared" si="201"/>
        <v>0</v>
      </c>
      <c r="P662" s="35">
        <f t="shared" si="201"/>
        <v>0</v>
      </c>
      <c r="Q662" s="35">
        <f t="shared" si="201"/>
        <v>0</v>
      </c>
      <c r="R662" s="35">
        <f t="shared" si="201"/>
        <v>0</v>
      </c>
      <c r="S662" s="35">
        <f t="shared" si="201"/>
        <v>0</v>
      </c>
      <c r="T662" s="35">
        <f t="shared" si="201"/>
        <v>0</v>
      </c>
      <c r="U662" s="35">
        <f t="shared" si="201"/>
        <v>0</v>
      </c>
      <c r="V662" s="35">
        <f t="shared" si="201"/>
        <v>0</v>
      </c>
      <c r="W662" s="35">
        <f t="shared" si="201"/>
        <v>0</v>
      </c>
      <c r="X662" s="35">
        <f t="shared" si="201"/>
        <v>0</v>
      </c>
      <c r="Y662" s="35">
        <f t="shared" si="201"/>
        <v>0</v>
      </c>
      <c r="Z662" s="35">
        <f t="shared" si="201"/>
        <v>0</v>
      </c>
      <c r="AA662" s="35">
        <f t="shared" si="201"/>
        <v>0</v>
      </c>
      <c r="AB662" s="35">
        <f t="shared" si="201"/>
        <v>0</v>
      </c>
      <c r="AC662" s="35">
        <f t="shared" si="201"/>
        <v>0</v>
      </c>
      <c r="AD662" s="35">
        <f t="shared" si="201"/>
        <v>0</v>
      </c>
      <c r="AE662" s="35">
        <f t="shared" si="201"/>
        <v>0</v>
      </c>
      <c r="AF662" s="35">
        <f t="shared" si="201"/>
        <v>0</v>
      </c>
      <c r="AG662" s="35">
        <f t="shared" si="201"/>
        <v>0</v>
      </c>
      <c r="AH662" s="35">
        <f t="shared" si="201"/>
        <v>0</v>
      </c>
      <c r="AI662" s="72">
        <f t="shared" si="182"/>
        <v>0</v>
      </c>
    </row>
    <row r="663" spans="1:35" outlineLevel="4" x14ac:dyDescent="0.2">
      <c r="A663" s="26"/>
      <c r="B663" s="41" t="s">
        <v>708</v>
      </c>
      <c r="C663" s="13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D663" s="50"/>
      <c r="AE663" s="50"/>
      <c r="AF663" s="50"/>
      <c r="AG663" s="50"/>
      <c r="AH663" s="50"/>
      <c r="AI663" s="72">
        <f t="shared" si="182"/>
        <v>0</v>
      </c>
    </row>
    <row r="664" spans="1:35" outlineLevel="4" x14ac:dyDescent="0.2">
      <c r="A664" s="26"/>
      <c r="B664" s="41" t="s">
        <v>709</v>
      </c>
      <c r="C664" s="13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D664" s="50"/>
      <c r="AE664" s="50"/>
      <c r="AF664" s="50"/>
      <c r="AG664" s="50"/>
      <c r="AH664" s="50"/>
      <c r="AI664" s="72">
        <f t="shared" si="182"/>
        <v>0</v>
      </c>
    </row>
    <row r="665" spans="1:35" outlineLevel="4" x14ac:dyDescent="0.2">
      <c r="A665" s="26"/>
      <c r="B665" s="41" t="s">
        <v>710</v>
      </c>
      <c r="C665" s="13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D665" s="50"/>
      <c r="AE665" s="50"/>
      <c r="AF665" s="50"/>
      <c r="AG665" s="50"/>
      <c r="AH665" s="50"/>
      <c r="AI665" s="72">
        <f t="shared" ref="AI665:AI728" si="202">SUM(D665:AH665)</f>
        <v>0</v>
      </c>
    </row>
    <row r="666" spans="1:35" outlineLevel="2" x14ac:dyDescent="0.2">
      <c r="A666" s="17" t="s">
        <v>438</v>
      </c>
      <c r="B666" s="20" t="s">
        <v>439</v>
      </c>
      <c r="C666" s="13" t="s">
        <v>440</v>
      </c>
      <c r="D666" s="35">
        <f>SUM(D667:D669)</f>
        <v>0</v>
      </c>
      <c r="E666" s="35">
        <f t="shared" ref="E666:AH666" si="203">SUM(E667:E669)</f>
        <v>0</v>
      </c>
      <c r="F666" s="35">
        <f t="shared" si="203"/>
        <v>0</v>
      </c>
      <c r="G666" s="35">
        <f t="shared" si="203"/>
        <v>0</v>
      </c>
      <c r="H666" s="35">
        <f t="shared" si="203"/>
        <v>0</v>
      </c>
      <c r="I666" s="35">
        <f t="shared" si="203"/>
        <v>0</v>
      </c>
      <c r="J666" s="35">
        <f t="shared" si="203"/>
        <v>0</v>
      </c>
      <c r="K666" s="35">
        <f t="shared" si="203"/>
        <v>0</v>
      </c>
      <c r="L666" s="35">
        <f t="shared" si="203"/>
        <v>0</v>
      </c>
      <c r="M666" s="35">
        <f t="shared" si="203"/>
        <v>0</v>
      </c>
      <c r="N666" s="35">
        <f t="shared" si="203"/>
        <v>0</v>
      </c>
      <c r="O666" s="35">
        <f t="shared" si="203"/>
        <v>0</v>
      </c>
      <c r="P666" s="35">
        <f t="shared" si="203"/>
        <v>0</v>
      </c>
      <c r="Q666" s="35">
        <f t="shared" si="203"/>
        <v>0</v>
      </c>
      <c r="R666" s="35">
        <f t="shared" si="203"/>
        <v>0</v>
      </c>
      <c r="S666" s="35">
        <f t="shared" si="203"/>
        <v>0</v>
      </c>
      <c r="T666" s="35">
        <f t="shared" si="203"/>
        <v>0</v>
      </c>
      <c r="U666" s="35">
        <f t="shared" si="203"/>
        <v>0</v>
      </c>
      <c r="V666" s="35">
        <f t="shared" si="203"/>
        <v>0</v>
      </c>
      <c r="W666" s="35">
        <f t="shared" si="203"/>
        <v>0</v>
      </c>
      <c r="X666" s="35">
        <f t="shared" si="203"/>
        <v>0</v>
      </c>
      <c r="Y666" s="35">
        <f t="shared" si="203"/>
        <v>0</v>
      </c>
      <c r="Z666" s="35">
        <f t="shared" si="203"/>
        <v>0</v>
      </c>
      <c r="AA666" s="35">
        <f t="shared" si="203"/>
        <v>0</v>
      </c>
      <c r="AB666" s="35">
        <f t="shared" si="203"/>
        <v>0</v>
      </c>
      <c r="AC666" s="35">
        <f t="shared" si="203"/>
        <v>0</v>
      </c>
      <c r="AD666" s="35">
        <f t="shared" si="203"/>
        <v>0</v>
      </c>
      <c r="AE666" s="35">
        <f t="shared" si="203"/>
        <v>0</v>
      </c>
      <c r="AF666" s="35">
        <f t="shared" si="203"/>
        <v>0</v>
      </c>
      <c r="AG666" s="35">
        <f t="shared" si="203"/>
        <v>0</v>
      </c>
      <c r="AH666" s="35">
        <f t="shared" si="203"/>
        <v>0</v>
      </c>
      <c r="AI666" s="72">
        <f t="shared" si="202"/>
        <v>0</v>
      </c>
    </row>
    <row r="667" spans="1:35" outlineLevel="2" x14ac:dyDescent="0.2">
      <c r="A667" s="17"/>
      <c r="B667" s="41" t="s">
        <v>708</v>
      </c>
      <c r="C667" s="13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D667" s="50"/>
      <c r="AE667" s="50"/>
      <c r="AF667" s="50"/>
      <c r="AG667" s="50"/>
      <c r="AH667" s="50"/>
      <c r="AI667" s="72">
        <f t="shared" si="202"/>
        <v>0</v>
      </c>
    </row>
    <row r="668" spans="1:35" outlineLevel="2" x14ac:dyDescent="0.2">
      <c r="A668" s="17"/>
      <c r="B668" s="41" t="s">
        <v>709</v>
      </c>
      <c r="C668" s="13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D668" s="50"/>
      <c r="AE668" s="50"/>
      <c r="AF668" s="50"/>
      <c r="AG668" s="50"/>
      <c r="AH668" s="50"/>
      <c r="AI668" s="72">
        <f t="shared" si="202"/>
        <v>0</v>
      </c>
    </row>
    <row r="669" spans="1:35" outlineLevel="2" x14ac:dyDescent="0.2">
      <c r="A669" s="17"/>
      <c r="B669" s="41" t="s">
        <v>710</v>
      </c>
      <c r="C669" s="13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D669" s="50"/>
      <c r="AE669" s="50"/>
      <c r="AF669" s="50"/>
      <c r="AG669" s="50"/>
      <c r="AH669" s="50"/>
      <c r="AI669" s="72">
        <f t="shared" si="202"/>
        <v>0</v>
      </c>
    </row>
    <row r="670" spans="1:35" outlineLevel="2" x14ac:dyDescent="0.2">
      <c r="A670" s="17" t="s">
        <v>441</v>
      </c>
      <c r="B670" s="20" t="s">
        <v>442</v>
      </c>
      <c r="C670" s="13" t="s">
        <v>443</v>
      </c>
      <c r="D670" s="35">
        <f>SUM(D671:D673)</f>
        <v>0</v>
      </c>
      <c r="E670" s="35">
        <f t="shared" ref="E670:AH670" si="204">SUM(E671:E673)</f>
        <v>0</v>
      </c>
      <c r="F670" s="35">
        <f t="shared" si="204"/>
        <v>0</v>
      </c>
      <c r="G670" s="35">
        <f t="shared" si="204"/>
        <v>0</v>
      </c>
      <c r="H670" s="35">
        <f t="shared" si="204"/>
        <v>0</v>
      </c>
      <c r="I670" s="35">
        <f t="shared" si="204"/>
        <v>0</v>
      </c>
      <c r="J670" s="35">
        <f t="shared" si="204"/>
        <v>0</v>
      </c>
      <c r="K670" s="35">
        <f t="shared" si="204"/>
        <v>0</v>
      </c>
      <c r="L670" s="35">
        <f t="shared" si="204"/>
        <v>0</v>
      </c>
      <c r="M670" s="35">
        <f t="shared" si="204"/>
        <v>0</v>
      </c>
      <c r="N670" s="35">
        <f t="shared" si="204"/>
        <v>0</v>
      </c>
      <c r="O670" s="35">
        <f t="shared" si="204"/>
        <v>0</v>
      </c>
      <c r="P670" s="35">
        <f t="shared" si="204"/>
        <v>0</v>
      </c>
      <c r="Q670" s="35">
        <f t="shared" si="204"/>
        <v>0</v>
      </c>
      <c r="R670" s="35">
        <f t="shared" si="204"/>
        <v>0</v>
      </c>
      <c r="S670" s="35">
        <f t="shared" si="204"/>
        <v>0</v>
      </c>
      <c r="T670" s="35">
        <f t="shared" si="204"/>
        <v>0</v>
      </c>
      <c r="U670" s="35">
        <f t="shared" si="204"/>
        <v>0</v>
      </c>
      <c r="V670" s="35">
        <f t="shared" si="204"/>
        <v>0</v>
      </c>
      <c r="W670" s="35">
        <f t="shared" si="204"/>
        <v>0</v>
      </c>
      <c r="X670" s="35">
        <f t="shared" si="204"/>
        <v>0</v>
      </c>
      <c r="Y670" s="35">
        <f t="shared" si="204"/>
        <v>0</v>
      </c>
      <c r="Z670" s="35">
        <f t="shared" si="204"/>
        <v>0</v>
      </c>
      <c r="AA670" s="35">
        <f t="shared" si="204"/>
        <v>0</v>
      </c>
      <c r="AB670" s="35">
        <f t="shared" si="204"/>
        <v>0</v>
      </c>
      <c r="AC670" s="35">
        <f t="shared" si="204"/>
        <v>0</v>
      </c>
      <c r="AD670" s="35">
        <f t="shared" si="204"/>
        <v>0</v>
      </c>
      <c r="AE670" s="35">
        <f t="shared" si="204"/>
        <v>0</v>
      </c>
      <c r="AF670" s="35">
        <f t="shared" si="204"/>
        <v>0</v>
      </c>
      <c r="AG670" s="35">
        <f t="shared" si="204"/>
        <v>0</v>
      </c>
      <c r="AH670" s="35">
        <f t="shared" si="204"/>
        <v>0</v>
      </c>
      <c r="AI670" s="72">
        <f t="shared" si="202"/>
        <v>0</v>
      </c>
    </row>
    <row r="671" spans="1:35" outlineLevel="2" x14ac:dyDescent="0.2">
      <c r="A671" s="17"/>
      <c r="B671" s="41" t="s">
        <v>708</v>
      </c>
      <c r="C671" s="13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D671" s="50"/>
      <c r="AE671" s="50"/>
      <c r="AF671" s="50"/>
      <c r="AG671" s="50"/>
      <c r="AH671" s="50"/>
      <c r="AI671" s="72">
        <f t="shared" si="202"/>
        <v>0</v>
      </c>
    </row>
    <row r="672" spans="1:35" outlineLevel="2" x14ac:dyDescent="0.2">
      <c r="A672" s="17"/>
      <c r="B672" s="41" t="s">
        <v>709</v>
      </c>
      <c r="C672" s="13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D672" s="50"/>
      <c r="AE672" s="50"/>
      <c r="AF672" s="50"/>
      <c r="AG672" s="50"/>
      <c r="AH672" s="50"/>
      <c r="AI672" s="72">
        <f t="shared" si="202"/>
        <v>0</v>
      </c>
    </row>
    <row r="673" spans="1:35" outlineLevel="2" x14ac:dyDescent="0.2">
      <c r="A673" s="17"/>
      <c r="B673" s="41" t="s">
        <v>710</v>
      </c>
      <c r="C673" s="13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D673" s="50"/>
      <c r="AE673" s="50"/>
      <c r="AF673" s="50"/>
      <c r="AG673" s="50"/>
      <c r="AH673" s="50"/>
      <c r="AI673" s="72">
        <f t="shared" si="202"/>
        <v>0</v>
      </c>
    </row>
    <row r="674" spans="1:35" outlineLevel="1" x14ac:dyDescent="0.2">
      <c r="A674" s="15" t="s">
        <v>444</v>
      </c>
      <c r="B674" s="15" t="s">
        <v>445</v>
      </c>
      <c r="C674" s="13" t="s">
        <v>446</v>
      </c>
      <c r="D674" s="35">
        <f>D675+D679+D683</f>
        <v>0</v>
      </c>
      <c r="E674" s="35">
        <f t="shared" ref="E674:AH674" si="205">E675+E679+E683</f>
        <v>0</v>
      </c>
      <c r="F674" s="35">
        <f t="shared" si="205"/>
        <v>0</v>
      </c>
      <c r="G674" s="35">
        <f t="shared" si="205"/>
        <v>0</v>
      </c>
      <c r="H674" s="35">
        <f t="shared" si="205"/>
        <v>0</v>
      </c>
      <c r="I674" s="35">
        <f t="shared" si="205"/>
        <v>0</v>
      </c>
      <c r="J674" s="35">
        <f t="shared" si="205"/>
        <v>0</v>
      </c>
      <c r="K674" s="35">
        <f t="shared" si="205"/>
        <v>0</v>
      </c>
      <c r="L674" s="35">
        <f t="shared" si="205"/>
        <v>0</v>
      </c>
      <c r="M674" s="35">
        <f t="shared" si="205"/>
        <v>0</v>
      </c>
      <c r="N674" s="35">
        <f t="shared" si="205"/>
        <v>0</v>
      </c>
      <c r="O674" s="35">
        <f t="shared" si="205"/>
        <v>0</v>
      </c>
      <c r="P674" s="35">
        <f t="shared" si="205"/>
        <v>0</v>
      </c>
      <c r="Q674" s="35">
        <f t="shared" si="205"/>
        <v>0</v>
      </c>
      <c r="R674" s="35">
        <f t="shared" si="205"/>
        <v>0</v>
      </c>
      <c r="S674" s="35">
        <f t="shared" si="205"/>
        <v>0</v>
      </c>
      <c r="T674" s="35">
        <f t="shared" si="205"/>
        <v>0</v>
      </c>
      <c r="U674" s="35">
        <f t="shared" si="205"/>
        <v>0</v>
      </c>
      <c r="V674" s="35">
        <f t="shared" si="205"/>
        <v>0</v>
      </c>
      <c r="W674" s="35">
        <f t="shared" si="205"/>
        <v>0</v>
      </c>
      <c r="X674" s="35">
        <f t="shared" si="205"/>
        <v>0</v>
      </c>
      <c r="Y674" s="35">
        <f t="shared" si="205"/>
        <v>0</v>
      </c>
      <c r="Z674" s="35">
        <f t="shared" si="205"/>
        <v>0</v>
      </c>
      <c r="AA674" s="35">
        <f t="shared" si="205"/>
        <v>0</v>
      </c>
      <c r="AB674" s="35">
        <f t="shared" si="205"/>
        <v>0</v>
      </c>
      <c r="AC674" s="35">
        <f t="shared" si="205"/>
        <v>0</v>
      </c>
      <c r="AD674" s="35">
        <f t="shared" si="205"/>
        <v>0</v>
      </c>
      <c r="AE674" s="35">
        <f t="shared" si="205"/>
        <v>0</v>
      </c>
      <c r="AF674" s="35">
        <f t="shared" si="205"/>
        <v>0</v>
      </c>
      <c r="AG674" s="35">
        <f t="shared" si="205"/>
        <v>0</v>
      </c>
      <c r="AH674" s="35">
        <f t="shared" si="205"/>
        <v>0</v>
      </c>
      <c r="AI674" s="72">
        <f t="shared" si="202"/>
        <v>0</v>
      </c>
    </row>
    <row r="675" spans="1:35" outlineLevel="2" x14ac:dyDescent="0.2">
      <c r="A675" s="17" t="s">
        <v>447</v>
      </c>
      <c r="B675" s="19" t="s">
        <v>448</v>
      </c>
      <c r="C675" s="13" t="s">
        <v>449</v>
      </c>
      <c r="D675" s="35">
        <f>SUM(D676:D678)</f>
        <v>0</v>
      </c>
      <c r="E675" s="35">
        <f t="shared" ref="E675:AH675" si="206">SUM(E676:E678)</f>
        <v>0</v>
      </c>
      <c r="F675" s="35">
        <f t="shared" si="206"/>
        <v>0</v>
      </c>
      <c r="G675" s="35">
        <f t="shared" si="206"/>
        <v>0</v>
      </c>
      <c r="H675" s="35">
        <f t="shared" si="206"/>
        <v>0</v>
      </c>
      <c r="I675" s="35">
        <f t="shared" si="206"/>
        <v>0</v>
      </c>
      <c r="J675" s="35">
        <f t="shared" si="206"/>
        <v>0</v>
      </c>
      <c r="K675" s="35">
        <f t="shared" si="206"/>
        <v>0</v>
      </c>
      <c r="L675" s="35">
        <f t="shared" si="206"/>
        <v>0</v>
      </c>
      <c r="M675" s="35">
        <f t="shared" si="206"/>
        <v>0</v>
      </c>
      <c r="N675" s="35">
        <f t="shared" si="206"/>
        <v>0</v>
      </c>
      <c r="O675" s="35">
        <f t="shared" si="206"/>
        <v>0</v>
      </c>
      <c r="P675" s="35">
        <f t="shared" si="206"/>
        <v>0</v>
      </c>
      <c r="Q675" s="35">
        <f t="shared" si="206"/>
        <v>0</v>
      </c>
      <c r="R675" s="35">
        <f t="shared" si="206"/>
        <v>0</v>
      </c>
      <c r="S675" s="35">
        <f t="shared" si="206"/>
        <v>0</v>
      </c>
      <c r="T675" s="35">
        <f t="shared" si="206"/>
        <v>0</v>
      </c>
      <c r="U675" s="35">
        <f t="shared" si="206"/>
        <v>0</v>
      </c>
      <c r="V675" s="35">
        <f t="shared" si="206"/>
        <v>0</v>
      </c>
      <c r="W675" s="35">
        <f t="shared" si="206"/>
        <v>0</v>
      </c>
      <c r="X675" s="35">
        <f t="shared" si="206"/>
        <v>0</v>
      </c>
      <c r="Y675" s="35">
        <f t="shared" si="206"/>
        <v>0</v>
      </c>
      <c r="Z675" s="35">
        <f t="shared" si="206"/>
        <v>0</v>
      </c>
      <c r="AA675" s="35">
        <f t="shared" si="206"/>
        <v>0</v>
      </c>
      <c r="AB675" s="35">
        <f t="shared" si="206"/>
        <v>0</v>
      </c>
      <c r="AC675" s="35">
        <f t="shared" si="206"/>
        <v>0</v>
      </c>
      <c r="AD675" s="35">
        <f t="shared" si="206"/>
        <v>0</v>
      </c>
      <c r="AE675" s="35">
        <f t="shared" si="206"/>
        <v>0</v>
      </c>
      <c r="AF675" s="35">
        <f t="shared" si="206"/>
        <v>0</v>
      </c>
      <c r="AG675" s="35">
        <f t="shared" si="206"/>
        <v>0</v>
      </c>
      <c r="AH675" s="35">
        <f t="shared" si="206"/>
        <v>0</v>
      </c>
      <c r="AI675" s="72">
        <f t="shared" si="202"/>
        <v>0</v>
      </c>
    </row>
    <row r="676" spans="1:35" outlineLevel="2" x14ac:dyDescent="0.2">
      <c r="A676" s="17"/>
      <c r="B676" s="41" t="s">
        <v>708</v>
      </c>
      <c r="C676" s="13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D676" s="50"/>
      <c r="AE676" s="50"/>
      <c r="AF676" s="50"/>
      <c r="AG676" s="50"/>
      <c r="AH676" s="50"/>
      <c r="AI676" s="72">
        <f t="shared" si="202"/>
        <v>0</v>
      </c>
    </row>
    <row r="677" spans="1:35" outlineLevel="2" x14ac:dyDescent="0.2">
      <c r="A677" s="17"/>
      <c r="B677" s="41" t="s">
        <v>709</v>
      </c>
      <c r="C677" s="13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D677" s="50"/>
      <c r="AE677" s="50"/>
      <c r="AF677" s="50"/>
      <c r="AG677" s="50"/>
      <c r="AH677" s="50"/>
      <c r="AI677" s="72">
        <f t="shared" si="202"/>
        <v>0</v>
      </c>
    </row>
    <row r="678" spans="1:35" outlineLevel="2" x14ac:dyDescent="0.2">
      <c r="A678" s="17"/>
      <c r="B678" s="41" t="s">
        <v>710</v>
      </c>
      <c r="C678" s="13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D678" s="50"/>
      <c r="AE678" s="50"/>
      <c r="AF678" s="50"/>
      <c r="AG678" s="50"/>
      <c r="AH678" s="50"/>
      <c r="AI678" s="72">
        <f t="shared" si="202"/>
        <v>0</v>
      </c>
    </row>
    <row r="679" spans="1:35" outlineLevel="2" x14ac:dyDescent="0.2">
      <c r="A679" s="17" t="s">
        <v>450</v>
      </c>
      <c r="B679" s="19" t="s">
        <v>451</v>
      </c>
      <c r="C679" s="13" t="s">
        <v>452</v>
      </c>
      <c r="D679" s="35">
        <f>SUM(D680:D682)</f>
        <v>0</v>
      </c>
      <c r="E679" s="35">
        <f t="shared" ref="E679:AH679" si="207">SUM(E680:E682)</f>
        <v>0</v>
      </c>
      <c r="F679" s="35">
        <f t="shared" si="207"/>
        <v>0</v>
      </c>
      <c r="G679" s="35">
        <f t="shared" si="207"/>
        <v>0</v>
      </c>
      <c r="H679" s="35">
        <f t="shared" si="207"/>
        <v>0</v>
      </c>
      <c r="I679" s="35">
        <f t="shared" si="207"/>
        <v>0</v>
      </c>
      <c r="J679" s="35">
        <f t="shared" si="207"/>
        <v>0</v>
      </c>
      <c r="K679" s="35">
        <f t="shared" si="207"/>
        <v>0</v>
      </c>
      <c r="L679" s="35">
        <f t="shared" si="207"/>
        <v>0</v>
      </c>
      <c r="M679" s="35">
        <f t="shared" si="207"/>
        <v>0</v>
      </c>
      <c r="N679" s="35">
        <f t="shared" si="207"/>
        <v>0</v>
      </c>
      <c r="O679" s="35">
        <f t="shared" si="207"/>
        <v>0</v>
      </c>
      <c r="P679" s="35">
        <f t="shared" si="207"/>
        <v>0</v>
      </c>
      <c r="Q679" s="35">
        <f t="shared" si="207"/>
        <v>0</v>
      </c>
      <c r="R679" s="35">
        <f t="shared" si="207"/>
        <v>0</v>
      </c>
      <c r="S679" s="35">
        <f t="shared" si="207"/>
        <v>0</v>
      </c>
      <c r="T679" s="35">
        <f t="shared" si="207"/>
        <v>0</v>
      </c>
      <c r="U679" s="35">
        <f t="shared" si="207"/>
        <v>0</v>
      </c>
      <c r="V679" s="35">
        <f t="shared" si="207"/>
        <v>0</v>
      </c>
      <c r="W679" s="35">
        <f t="shared" si="207"/>
        <v>0</v>
      </c>
      <c r="X679" s="35">
        <f t="shared" si="207"/>
        <v>0</v>
      </c>
      <c r="Y679" s="35">
        <f t="shared" si="207"/>
        <v>0</v>
      </c>
      <c r="Z679" s="35">
        <f t="shared" si="207"/>
        <v>0</v>
      </c>
      <c r="AA679" s="35">
        <f t="shared" si="207"/>
        <v>0</v>
      </c>
      <c r="AB679" s="35">
        <f t="shared" si="207"/>
        <v>0</v>
      </c>
      <c r="AC679" s="35">
        <f t="shared" si="207"/>
        <v>0</v>
      </c>
      <c r="AD679" s="35">
        <f t="shared" si="207"/>
        <v>0</v>
      </c>
      <c r="AE679" s="35">
        <f t="shared" si="207"/>
        <v>0</v>
      </c>
      <c r="AF679" s="35">
        <f t="shared" si="207"/>
        <v>0</v>
      </c>
      <c r="AG679" s="35">
        <f t="shared" si="207"/>
        <v>0</v>
      </c>
      <c r="AH679" s="35">
        <f t="shared" si="207"/>
        <v>0</v>
      </c>
      <c r="AI679" s="72">
        <f t="shared" si="202"/>
        <v>0</v>
      </c>
    </row>
    <row r="680" spans="1:35" outlineLevel="2" x14ac:dyDescent="0.2">
      <c r="A680" s="17"/>
      <c r="B680" s="41" t="s">
        <v>708</v>
      </c>
      <c r="C680" s="13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D680" s="50"/>
      <c r="AE680" s="50"/>
      <c r="AF680" s="50"/>
      <c r="AG680" s="50"/>
      <c r="AH680" s="50"/>
      <c r="AI680" s="72">
        <f t="shared" si="202"/>
        <v>0</v>
      </c>
    </row>
    <row r="681" spans="1:35" outlineLevel="2" x14ac:dyDescent="0.2">
      <c r="A681" s="17"/>
      <c r="B681" s="41" t="s">
        <v>709</v>
      </c>
      <c r="C681" s="13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D681" s="50"/>
      <c r="AE681" s="50"/>
      <c r="AF681" s="50"/>
      <c r="AG681" s="50"/>
      <c r="AH681" s="50"/>
      <c r="AI681" s="72">
        <f t="shared" si="202"/>
        <v>0</v>
      </c>
    </row>
    <row r="682" spans="1:35" outlineLevel="2" x14ac:dyDescent="0.2">
      <c r="A682" s="17"/>
      <c r="B682" s="41" t="s">
        <v>710</v>
      </c>
      <c r="C682" s="13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D682" s="50"/>
      <c r="AE682" s="50"/>
      <c r="AF682" s="50"/>
      <c r="AG682" s="50"/>
      <c r="AH682" s="50"/>
      <c r="AI682" s="72">
        <f t="shared" si="202"/>
        <v>0</v>
      </c>
    </row>
    <row r="683" spans="1:35" outlineLevel="2" x14ac:dyDescent="0.2">
      <c r="A683" s="17" t="s">
        <v>453</v>
      </c>
      <c r="B683" s="19" t="s">
        <v>454</v>
      </c>
      <c r="C683" s="13">
        <v>2221730000</v>
      </c>
      <c r="D683" s="35">
        <f>SUM(D684:D686)</f>
        <v>0</v>
      </c>
      <c r="E683" s="35">
        <f t="shared" ref="E683:AH683" si="208">SUM(E684:E686)</f>
        <v>0</v>
      </c>
      <c r="F683" s="35">
        <f t="shared" si="208"/>
        <v>0</v>
      </c>
      <c r="G683" s="35">
        <f t="shared" si="208"/>
        <v>0</v>
      </c>
      <c r="H683" s="35">
        <f t="shared" si="208"/>
        <v>0</v>
      </c>
      <c r="I683" s="35">
        <f t="shared" si="208"/>
        <v>0</v>
      </c>
      <c r="J683" s="35">
        <f t="shared" si="208"/>
        <v>0</v>
      </c>
      <c r="K683" s="35">
        <f t="shared" si="208"/>
        <v>0</v>
      </c>
      <c r="L683" s="35">
        <f t="shared" si="208"/>
        <v>0</v>
      </c>
      <c r="M683" s="35">
        <f t="shared" si="208"/>
        <v>0</v>
      </c>
      <c r="N683" s="35">
        <f t="shared" si="208"/>
        <v>0</v>
      </c>
      <c r="O683" s="35">
        <f t="shared" si="208"/>
        <v>0</v>
      </c>
      <c r="P683" s="35">
        <f t="shared" si="208"/>
        <v>0</v>
      </c>
      <c r="Q683" s="35">
        <f t="shared" si="208"/>
        <v>0</v>
      </c>
      <c r="R683" s="35">
        <f t="shared" si="208"/>
        <v>0</v>
      </c>
      <c r="S683" s="35">
        <f t="shared" si="208"/>
        <v>0</v>
      </c>
      <c r="T683" s="35">
        <f t="shared" si="208"/>
        <v>0</v>
      </c>
      <c r="U683" s="35">
        <f t="shared" si="208"/>
        <v>0</v>
      </c>
      <c r="V683" s="35">
        <f t="shared" si="208"/>
        <v>0</v>
      </c>
      <c r="W683" s="35">
        <f t="shared" si="208"/>
        <v>0</v>
      </c>
      <c r="X683" s="35">
        <f t="shared" si="208"/>
        <v>0</v>
      </c>
      <c r="Y683" s="35">
        <f t="shared" si="208"/>
        <v>0</v>
      </c>
      <c r="Z683" s="35">
        <f t="shared" si="208"/>
        <v>0</v>
      </c>
      <c r="AA683" s="35">
        <f t="shared" si="208"/>
        <v>0</v>
      </c>
      <c r="AB683" s="35">
        <f t="shared" si="208"/>
        <v>0</v>
      </c>
      <c r="AC683" s="35">
        <f t="shared" si="208"/>
        <v>0</v>
      </c>
      <c r="AD683" s="35">
        <f t="shared" si="208"/>
        <v>0</v>
      </c>
      <c r="AE683" s="35">
        <f t="shared" si="208"/>
        <v>0</v>
      </c>
      <c r="AF683" s="35">
        <f t="shared" si="208"/>
        <v>0</v>
      </c>
      <c r="AG683" s="35">
        <f t="shared" si="208"/>
        <v>0</v>
      </c>
      <c r="AH683" s="35">
        <f t="shared" si="208"/>
        <v>0</v>
      </c>
      <c r="AI683" s="72">
        <f t="shared" si="202"/>
        <v>0</v>
      </c>
    </row>
    <row r="684" spans="1:35" outlineLevel="2" x14ac:dyDescent="0.2">
      <c r="A684" s="17"/>
      <c r="B684" s="41" t="s">
        <v>708</v>
      </c>
      <c r="C684" s="13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D684" s="50"/>
      <c r="AE684" s="50"/>
      <c r="AF684" s="50"/>
      <c r="AG684" s="50"/>
      <c r="AH684" s="50"/>
      <c r="AI684" s="72">
        <f t="shared" si="202"/>
        <v>0</v>
      </c>
    </row>
    <row r="685" spans="1:35" outlineLevel="2" x14ac:dyDescent="0.2">
      <c r="A685" s="17"/>
      <c r="B685" s="41" t="s">
        <v>709</v>
      </c>
      <c r="C685" s="13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D685" s="50"/>
      <c r="AE685" s="50"/>
      <c r="AF685" s="50"/>
      <c r="AG685" s="50"/>
      <c r="AH685" s="50"/>
      <c r="AI685" s="72">
        <f t="shared" si="202"/>
        <v>0</v>
      </c>
    </row>
    <row r="686" spans="1:35" outlineLevel="2" x14ac:dyDescent="0.2">
      <c r="A686" s="17"/>
      <c r="B686" s="41" t="s">
        <v>710</v>
      </c>
      <c r="C686" s="13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D686" s="50"/>
      <c r="AE686" s="50"/>
      <c r="AF686" s="50"/>
      <c r="AG686" s="50"/>
      <c r="AH686" s="50"/>
      <c r="AI686" s="72">
        <f t="shared" si="202"/>
        <v>0</v>
      </c>
    </row>
    <row r="687" spans="1:35" outlineLevel="1" x14ac:dyDescent="0.2">
      <c r="A687" s="15" t="s">
        <v>455</v>
      </c>
      <c r="B687" s="28" t="s">
        <v>456</v>
      </c>
      <c r="C687" s="13" t="s">
        <v>457</v>
      </c>
      <c r="D687" s="35">
        <f>SUM(D688:D690)</f>
        <v>0</v>
      </c>
      <c r="E687" s="35">
        <f t="shared" ref="E687:AH687" si="209">SUM(E688:E690)</f>
        <v>0</v>
      </c>
      <c r="F687" s="35">
        <f t="shared" si="209"/>
        <v>0</v>
      </c>
      <c r="G687" s="35">
        <f t="shared" si="209"/>
        <v>0</v>
      </c>
      <c r="H687" s="35">
        <f t="shared" si="209"/>
        <v>0</v>
      </c>
      <c r="I687" s="35">
        <f t="shared" si="209"/>
        <v>0</v>
      </c>
      <c r="J687" s="35">
        <f t="shared" si="209"/>
        <v>0</v>
      </c>
      <c r="K687" s="35">
        <f t="shared" si="209"/>
        <v>0</v>
      </c>
      <c r="L687" s="35">
        <f t="shared" si="209"/>
        <v>0</v>
      </c>
      <c r="M687" s="35">
        <f t="shared" si="209"/>
        <v>0</v>
      </c>
      <c r="N687" s="35">
        <f t="shared" si="209"/>
        <v>0</v>
      </c>
      <c r="O687" s="35">
        <f t="shared" si="209"/>
        <v>0</v>
      </c>
      <c r="P687" s="35">
        <f t="shared" si="209"/>
        <v>0</v>
      </c>
      <c r="Q687" s="35">
        <f t="shared" si="209"/>
        <v>0</v>
      </c>
      <c r="R687" s="35">
        <f t="shared" si="209"/>
        <v>0</v>
      </c>
      <c r="S687" s="35">
        <f t="shared" si="209"/>
        <v>0</v>
      </c>
      <c r="T687" s="35">
        <f t="shared" si="209"/>
        <v>0</v>
      </c>
      <c r="U687" s="35">
        <f t="shared" si="209"/>
        <v>0</v>
      </c>
      <c r="V687" s="35">
        <f t="shared" si="209"/>
        <v>0</v>
      </c>
      <c r="W687" s="35">
        <f t="shared" si="209"/>
        <v>0</v>
      </c>
      <c r="X687" s="35">
        <f t="shared" si="209"/>
        <v>0</v>
      </c>
      <c r="Y687" s="35">
        <f t="shared" si="209"/>
        <v>0</v>
      </c>
      <c r="Z687" s="35">
        <f t="shared" si="209"/>
        <v>0</v>
      </c>
      <c r="AA687" s="35">
        <f t="shared" si="209"/>
        <v>0</v>
      </c>
      <c r="AB687" s="35">
        <f t="shared" si="209"/>
        <v>0</v>
      </c>
      <c r="AC687" s="35">
        <f t="shared" si="209"/>
        <v>0</v>
      </c>
      <c r="AD687" s="35">
        <f t="shared" si="209"/>
        <v>0</v>
      </c>
      <c r="AE687" s="35">
        <f t="shared" si="209"/>
        <v>0</v>
      </c>
      <c r="AF687" s="35">
        <f t="shared" si="209"/>
        <v>0</v>
      </c>
      <c r="AG687" s="35">
        <f t="shared" si="209"/>
        <v>0</v>
      </c>
      <c r="AH687" s="35">
        <f t="shared" si="209"/>
        <v>0</v>
      </c>
      <c r="AI687" s="72">
        <f t="shared" si="202"/>
        <v>0</v>
      </c>
    </row>
    <row r="688" spans="1:35" outlineLevel="2" x14ac:dyDescent="0.2">
      <c r="A688" s="15"/>
      <c r="B688" s="41" t="s">
        <v>708</v>
      </c>
      <c r="C688" s="13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D688" s="50"/>
      <c r="AE688" s="50"/>
      <c r="AF688" s="50"/>
      <c r="AG688" s="50"/>
      <c r="AH688" s="50"/>
      <c r="AI688" s="72">
        <f t="shared" si="202"/>
        <v>0</v>
      </c>
    </row>
    <row r="689" spans="1:35" outlineLevel="2" x14ac:dyDescent="0.2">
      <c r="A689" s="15"/>
      <c r="B689" s="41" t="s">
        <v>709</v>
      </c>
      <c r="C689" s="13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D689" s="50"/>
      <c r="AE689" s="50"/>
      <c r="AF689" s="50"/>
      <c r="AG689" s="50"/>
      <c r="AH689" s="50"/>
      <c r="AI689" s="72">
        <f t="shared" si="202"/>
        <v>0</v>
      </c>
    </row>
    <row r="690" spans="1:35" outlineLevel="2" x14ac:dyDescent="0.2">
      <c r="A690" s="15"/>
      <c r="B690" s="41" t="s">
        <v>710</v>
      </c>
      <c r="C690" s="13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D690" s="50"/>
      <c r="AE690" s="50"/>
      <c r="AF690" s="50"/>
      <c r="AG690" s="50"/>
      <c r="AH690" s="50"/>
      <c r="AI690" s="72">
        <f t="shared" si="202"/>
        <v>0</v>
      </c>
    </row>
    <row r="691" spans="1:35" ht="25.5" outlineLevel="1" x14ac:dyDescent="0.2">
      <c r="A691" s="15" t="s">
        <v>458</v>
      </c>
      <c r="B691" s="29" t="s">
        <v>459</v>
      </c>
      <c r="C691" s="13">
        <v>2222100000</v>
      </c>
      <c r="D691" s="35">
        <f>SUM(D692:D694)</f>
        <v>0</v>
      </c>
      <c r="E691" s="35">
        <f t="shared" ref="E691:AH691" si="210">SUM(E692:E694)</f>
        <v>0</v>
      </c>
      <c r="F691" s="35">
        <f t="shared" si="210"/>
        <v>0</v>
      </c>
      <c r="G691" s="35">
        <f t="shared" si="210"/>
        <v>0</v>
      </c>
      <c r="H691" s="35">
        <f t="shared" si="210"/>
        <v>0</v>
      </c>
      <c r="I691" s="35">
        <f t="shared" si="210"/>
        <v>0</v>
      </c>
      <c r="J691" s="35">
        <f t="shared" si="210"/>
        <v>0</v>
      </c>
      <c r="K691" s="35">
        <f t="shared" si="210"/>
        <v>0</v>
      </c>
      <c r="L691" s="35">
        <f t="shared" si="210"/>
        <v>0</v>
      </c>
      <c r="M691" s="35">
        <f t="shared" si="210"/>
        <v>0</v>
      </c>
      <c r="N691" s="35">
        <f t="shared" si="210"/>
        <v>0</v>
      </c>
      <c r="O691" s="35">
        <f t="shared" si="210"/>
        <v>0</v>
      </c>
      <c r="P691" s="35">
        <f t="shared" si="210"/>
        <v>0</v>
      </c>
      <c r="Q691" s="35">
        <f t="shared" si="210"/>
        <v>0</v>
      </c>
      <c r="R691" s="35">
        <f t="shared" si="210"/>
        <v>0</v>
      </c>
      <c r="S691" s="35">
        <f t="shared" si="210"/>
        <v>0</v>
      </c>
      <c r="T691" s="35">
        <f t="shared" si="210"/>
        <v>0</v>
      </c>
      <c r="U691" s="35">
        <f t="shared" si="210"/>
        <v>0</v>
      </c>
      <c r="V691" s="35">
        <f t="shared" si="210"/>
        <v>0</v>
      </c>
      <c r="W691" s="35">
        <f t="shared" si="210"/>
        <v>0</v>
      </c>
      <c r="X691" s="35">
        <f t="shared" si="210"/>
        <v>0</v>
      </c>
      <c r="Y691" s="35">
        <f t="shared" si="210"/>
        <v>0</v>
      </c>
      <c r="Z691" s="35">
        <f t="shared" si="210"/>
        <v>0</v>
      </c>
      <c r="AA691" s="35">
        <f t="shared" si="210"/>
        <v>0</v>
      </c>
      <c r="AB691" s="35">
        <f t="shared" si="210"/>
        <v>0</v>
      </c>
      <c r="AC691" s="35">
        <f t="shared" si="210"/>
        <v>0</v>
      </c>
      <c r="AD691" s="35">
        <f t="shared" si="210"/>
        <v>0</v>
      </c>
      <c r="AE691" s="35">
        <f t="shared" si="210"/>
        <v>0</v>
      </c>
      <c r="AF691" s="35">
        <f t="shared" si="210"/>
        <v>0</v>
      </c>
      <c r="AG691" s="35">
        <f t="shared" si="210"/>
        <v>0</v>
      </c>
      <c r="AH691" s="35">
        <f t="shared" si="210"/>
        <v>0</v>
      </c>
      <c r="AI691" s="72">
        <f t="shared" si="202"/>
        <v>0</v>
      </c>
    </row>
    <row r="692" spans="1:35" outlineLevel="2" x14ac:dyDescent="0.2">
      <c r="A692" s="15"/>
      <c r="B692" s="41" t="s">
        <v>708</v>
      </c>
      <c r="C692" s="13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D692" s="50"/>
      <c r="AE692" s="50"/>
      <c r="AF692" s="50"/>
      <c r="AG692" s="50"/>
      <c r="AH692" s="50"/>
      <c r="AI692" s="72">
        <f t="shared" si="202"/>
        <v>0</v>
      </c>
    </row>
    <row r="693" spans="1:35" outlineLevel="2" x14ac:dyDescent="0.2">
      <c r="A693" s="15"/>
      <c r="B693" s="41" t="s">
        <v>709</v>
      </c>
      <c r="C693" s="13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D693" s="50"/>
      <c r="AE693" s="50"/>
      <c r="AF693" s="50"/>
      <c r="AG693" s="50"/>
      <c r="AH693" s="50"/>
      <c r="AI693" s="72">
        <f t="shared" si="202"/>
        <v>0</v>
      </c>
    </row>
    <row r="694" spans="1:35" outlineLevel="2" x14ac:dyDescent="0.2">
      <c r="A694" s="15"/>
      <c r="B694" s="41" t="s">
        <v>710</v>
      </c>
      <c r="C694" s="13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D694" s="50"/>
      <c r="AE694" s="50"/>
      <c r="AF694" s="50"/>
      <c r="AG694" s="50"/>
      <c r="AH694" s="50"/>
      <c r="AI694" s="72">
        <f t="shared" si="202"/>
        <v>0</v>
      </c>
    </row>
    <row r="695" spans="1:35" s="5" customFormat="1" outlineLevel="1" x14ac:dyDescent="0.2">
      <c r="A695" s="30" t="s">
        <v>568</v>
      </c>
      <c r="B695" s="31" t="s">
        <v>570</v>
      </c>
      <c r="C695" s="32">
        <v>2222200000</v>
      </c>
      <c r="D695" s="36">
        <f>SUM(D696:D698)</f>
        <v>0</v>
      </c>
      <c r="E695" s="36">
        <f t="shared" ref="E695:AH695" si="211">SUM(E696:E698)</f>
        <v>0</v>
      </c>
      <c r="F695" s="36">
        <f t="shared" si="211"/>
        <v>0</v>
      </c>
      <c r="G695" s="36">
        <f t="shared" si="211"/>
        <v>0</v>
      </c>
      <c r="H695" s="36">
        <f t="shared" si="211"/>
        <v>0</v>
      </c>
      <c r="I695" s="36">
        <f t="shared" si="211"/>
        <v>0</v>
      </c>
      <c r="J695" s="36">
        <f t="shared" si="211"/>
        <v>0</v>
      </c>
      <c r="K695" s="36">
        <f t="shared" si="211"/>
        <v>0</v>
      </c>
      <c r="L695" s="36">
        <f t="shared" si="211"/>
        <v>0</v>
      </c>
      <c r="M695" s="36">
        <f t="shared" si="211"/>
        <v>0</v>
      </c>
      <c r="N695" s="36">
        <f t="shared" si="211"/>
        <v>0</v>
      </c>
      <c r="O695" s="36">
        <f t="shared" si="211"/>
        <v>0</v>
      </c>
      <c r="P695" s="36">
        <f t="shared" si="211"/>
        <v>0</v>
      </c>
      <c r="Q695" s="36">
        <f t="shared" si="211"/>
        <v>0</v>
      </c>
      <c r="R695" s="36">
        <f t="shared" si="211"/>
        <v>0</v>
      </c>
      <c r="S695" s="36">
        <f t="shared" si="211"/>
        <v>0</v>
      </c>
      <c r="T695" s="36">
        <f t="shared" si="211"/>
        <v>0</v>
      </c>
      <c r="U695" s="36">
        <f t="shared" si="211"/>
        <v>0</v>
      </c>
      <c r="V695" s="36">
        <f t="shared" si="211"/>
        <v>0</v>
      </c>
      <c r="W695" s="36">
        <f t="shared" si="211"/>
        <v>0</v>
      </c>
      <c r="X695" s="36">
        <f t="shared" si="211"/>
        <v>0</v>
      </c>
      <c r="Y695" s="36">
        <f t="shared" si="211"/>
        <v>0</v>
      </c>
      <c r="Z695" s="36">
        <f t="shared" si="211"/>
        <v>0</v>
      </c>
      <c r="AA695" s="36">
        <f t="shared" si="211"/>
        <v>0</v>
      </c>
      <c r="AB695" s="36">
        <f t="shared" si="211"/>
        <v>0</v>
      </c>
      <c r="AC695" s="36">
        <f t="shared" si="211"/>
        <v>0</v>
      </c>
      <c r="AD695" s="36">
        <f t="shared" si="211"/>
        <v>0</v>
      </c>
      <c r="AE695" s="36">
        <f t="shared" si="211"/>
        <v>0</v>
      </c>
      <c r="AF695" s="36">
        <f t="shared" si="211"/>
        <v>0</v>
      </c>
      <c r="AG695" s="36">
        <f t="shared" si="211"/>
        <v>0</v>
      </c>
      <c r="AH695" s="36">
        <f t="shared" si="211"/>
        <v>0</v>
      </c>
      <c r="AI695" s="72">
        <f t="shared" si="202"/>
        <v>0</v>
      </c>
    </row>
    <row r="696" spans="1:35" s="5" customFormat="1" outlineLevel="2" x14ac:dyDescent="0.2">
      <c r="A696" s="30"/>
      <c r="B696" s="41" t="s">
        <v>708</v>
      </c>
      <c r="C696" s="32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D696" s="50"/>
      <c r="AE696" s="50"/>
      <c r="AF696" s="50"/>
      <c r="AG696" s="50"/>
      <c r="AH696" s="50"/>
      <c r="AI696" s="72">
        <f t="shared" si="202"/>
        <v>0</v>
      </c>
    </row>
    <row r="697" spans="1:35" s="5" customFormat="1" outlineLevel="2" x14ac:dyDescent="0.2">
      <c r="A697" s="30"/>
      <c r="B697" s="41" t="s">
        <v>709</v>
      </c>
      <c r="C697" s="32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D697" s="50"/>
      <c r="AE697" s="50"/>
      <c r="AF697" s="50"/>
      <c r="AG697" s="50"/>
      <c r="AH697" s="50"/>
      <c r="AI697" s="72">
        <f t="shared" si="202"/>
        <v>0</v>
      </c>
    </row>
    <row r="698" spans="1:35" s="5" customFormat="1" outlineLevel="2" x14ac:dyDescent="0.2">
      <c r="A698" s="30"/>
      <c r="B698" s="41" t="s">
        <v>710</v>
      </c>
      <c r="C698" s="32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D698" s="50"/>
      <c r="AE698" s="50"/>
      <c r="AF698" s="50"/>
      <c r="AG698" s="50"/>
      <c r="AH698" s="50"/>
      <c r="AI698" s="72">
        <f t="shared" si="202"/>
        <v>0</v>
      </c>
    </row>
    <row r="699" spans="1:35" s="5" customFormat="1" outlineLevel="1" x14ac:dyDescent="0.2">
      <c r="A699" s="30" t="s">
        <v>569</v>
      </c>
      <c r="B699" s="31" t="s">
        <v>571</v>
      </c>
      <c r="C699" s="32">
        <v>2222300000</v>
      </c>
      <c r="D699" s="36">
        <f>SUM(D700:D702)</f>
        <v>0</v>
      </c>
      <c r="E699" s="36">
        <f t="shared" ref="E699:AH699" si="212">SUM(E700:E702)</f>
        <v>0</v>
      </c>
      <c r="F699" s="36">
        <f t="shared" si="212"/>
        <v>0</v>
      </c>
      <c r="G699" s="36">
        <f t="shared" si="212"/>
        <v>0</v>
      </c>
      <c r="H699" s="36">
        <f t="shared" si="212"/>
        <v>0</v>
      </c>
      <c r="I699" s="36">
        <f t="shared" si="212"/>
        <v>0</v>
      </c>
      <c r="J699" s="36">
        <f t="shared" si="212"/>
        <v>0</v>
      </c>
      <c r="K699" s="36">
        <f t="shared" si="212"/>
        <v>0</v>
      </c>
      <c r="L699" s="36">
        <f t="shared" si="212"/>
        <v>0</v>
      </c>
      <c r="M699" s="36">
        <f t="shared" si="212"/>
        <v>0</v>
      </c>
      <c r="N699" s="36">
        <f t="shared" si="212"/>
        <v>0</v>
      </c>
      <c r="O699" s="36">
        <f t="shared" si="212"/>
        <v>0</v>
      </c>
      <c r="P699" s="36">
        <f t="shared" si="212"/>
        <v>0</v>
      </c>
      <c r="Q699" s="36">
        <f t="shared" si="212"/>
        <v>0</v>
      </c>
      <c r="R699" s="36">
        <f t="shared" si="212"/>
        <v>0</v>
      </c>
      <c r="S699" s="36">
        <f t="shared" si="212"/>
        <v>0</v>
      </c>
      <c r="T699" s="36">
        <f t="shared" si="212"/>
        <v>0</v>
      </c>
      <c r="U699" s="36">
        <f t="shared" si="212"/>
        <v>0</v>
      </c>
      <c r="V699" s="36">
        <f t="shared" si="212"/>
        <v>0</v>
      </c>
      <c r="W699" s="36">
        <f t="shared" si="212"/>
        <v>0</v>
      </c>
      <c r="X699" s="36">
        <f t="shared" si="212"/>
        <v>0</v>
      </c>
      <c r="Y699" s="36">
        <f t="shared" si="212"/>
        <v>0</v>
      </c>
      <c r="Z699" s="36">
        <f t="shared" si="212"/>
        <v>0</v>
      </c>
      <c r="AA699" s="36">
        <f t="shared" si="212"/>
        <v>0</v>
      </c>
      <c r="AB699" s="36">
        <f t="shared" si="212"/>
        <v>0</v>
      </c>
      <c r="AC699" s="36">
        <f t="shared" si="212"/>
        <v>0</v>
      </c>
      <c r="AD699" s="36">
        <f t="shared" si="212"/>
        <v>0</v>
      </c>
      <c r="AE699" s="36">
        <f t="shared" si="212"/>
        <v>0</v>
      </c>
      <c r="AF699" s="36">
        <f t="shared" si="212"/>
        <v>0</v>
      </c>
      <c r="AG699" s="36">
        <f t="shared" si="212"/>
        <v>0</v>
      </c>
      <c r="AH699" s="36">
        <f t="shared" si="212"/>
        <v>0</v>
      </c>
      <c r="AI699" s="72">
        <f t="shared" si="202"/>
        <v>0</v>
      </c>
    </row>
    <row r="700" spans="1:35" s="5" customFormat="1" outlineLevel="2" x14ac:dyDescent="0.2">
      <c r="A700" s="30"/>
      <c r="B700" s="41" t="s">
        <v>708</v>
      </c>
      <c r="C700" s="32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D700" s="50"/>
      <c r="AE700" s="50"/>
      <c r="AF700" s="50"/>
      <c r="AG700" s="50"/>
      <c r="AH700" s="50"/>
      <c r="AI700" s="72">
        <f t="shared" si="202"/>
        <v>0</v>
      </c>
    </row>
    <row r="701" spans="1:35" s="5" customFormat="1" outlineLevel="2" x14ac:dyDescent="0.2">
      <c r="A701" s="30"/>
      <c r="B701" s="41" t="s">
        <v>709</v>
      </c>
      <c r="C701" s="32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D701" s="50"/>
      <c r="AE701" s="50"/>
      <c r="AF701" s="50"/>
      <c r="AG701" s="50"/>
      <c r="AH701" s="50"/>
      <c r="AI701" s="72">
        <f t="shared" si="202"/>
        <v>0</v>
      </c>
    </row>
    <row r="702" spans="1:35" s="5" customFormat="1" outlineLevel="2" x14ac:dyDescent="0.2">
      <c r="A702" s="30"/>
      <c r="B702" s="41" t="s">
        <v>710</v>
      </c>
      <c r="C702" s="32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D702" s="50"/>
      <c r="AE702" s="50"/>
      <c r="AF702" s="50"/>
      <c r="AG702" s="50"/>
      <c r="AH702" s="50"/>
      <c r="AI702" s="72">
        <f t="shared" si="202"/>
        <v>0</v>
      </c>
    </row>
    <row r="703" spans="1:35" s="3" customFormat="1" x14ac:dyDescent="0.2">
      <c r="A703" s="21" t="s">
        <v>460</v>
      </c>
      <c r="B703" s="21" t="s">
        <v>461</v>
      </c>
      <c r="C703" s="16" t="s">
        <v>462</v>
      </c>
      <c r="D703" s="44">
        <f>D704+D708+D717+D726+D730</f>
        <v>0</v>
      </c>
      <c r="E703" s="44">
        <f t="shared" ref="E703:AH703" si="213">E704+E708+E717+E726+E730</f>
        <v>0</v>
      </c>
      <c r="F703" s="44">
        <f t="shared" si="213"/>
        <v>0</v>
      </c>
      <c r="G703" s="44">
        <f t="shared" si="213"/>
        <v>0</v>
      </c>
      <c r="H703" s="44">
        <f t="shared" si="213"/>
        <v>0</v>
      </c>
      <c r="I703" s="44">
        <f t="shared" si="213"/>
        <v>0</v>
      </c>
      <c r="J703" s="44">
        <f t="shared" si="213"/>
        <v>0</v>
      </c>
      <c r="K703" s="44">
        <f t="shared" si="213"/>
        <v>0</v>
      </c>
      <c r="L703" s="44">
        <f t="shared" si="213"/>
        <v>0</v>
      </c>
      <c r="M703" s="44">
        <f t="shared" si="213"/>
        <v>0</v>
      </c>
      <c r="N703" s="44">
        <f t="shared" si="213"/>
        <v>0</v>
      </c>
      <c r="O703" s="44">
        <f t="shared" si="213"/>
        <v>0</v>
      </c>
      <c r="P703" s="44">
        <f t="shared" si="213"/>
        <v>0</v>
      </c>
      <c r="Q703" s="44">
        <f t="shared" si="213"/>
        <v>0</v>
      </c>
      <c r="R703" s="44">
        <f t="shared" si="213"/>
        <v>0</v>
      </c>
      <c r="S703" s="44">
        <f t="shared" si="213"/>
        <v>0</v>
      </c>
      <c r="T703" s="44">
        <f t="shared" si="213"/>
        <v>0</v>
      </c>
      <c r="U703" s="44">
        <f t="shared" si="213"/>
        <v>0</v>
      </c>
      <c r="V703" s="44">
        <f t="shared" si="213"/>
        <v>0</v>
      </c>
      <c r="W703" s="44">
        <f t="shared" si="213"/>
        <v>0</v>
      </c>
      <c r="X703" s="44">
        <f t="shared" si="213"/>
        <v>0</v>
      </c>
      <c r="Y703" s="44">
        <f t="shared" si="213"/>
        <v>0</v>
      </c>
      <c r="Z703" s="44">
        <f t="shared" si="213"/>
        <v>0</v>
      </c>
      <c r="AA703" s="44">
        <f t="shared" si="213"/>
        <v>0</v>
      </c>
      <c r="AB703" s="44">
        <f t="shared" si="213"/>
        <v>0</v>
      </c>
      <c r="AC703" s="44">
        <f t="shared" si="213"/>
        <v>0</v>
      </c>
      <c r="AD703" s="44">
        <f t="shared" si="213"/>
        <v>0</v>
      </c>
      <c r="AE703" s="44">
        <f t="shared" si="213"/>
        <v>0</v>
      </c>
      <c r="AF703" s="44">
        <f t="shared" si="213"/>
        <v>0</v>
      </c>
      <c r="AG703" s="44">
        <f t="shared" si="213"/>
        <v>0</v>
      </c>
      <c r="AH703" s="44">
        <f t="shared" si="213"/>
        <v>0</v>
      </c>
      <c r="AI703" s="72">
        <f t="shared" si="202"/>
        <v>0</v>
      </c>
    </row>
    <row r="704" spans="1:35" outlineLevel="1" x14ac:dyDescent="0.2">
      <c r="A704" s="15" t="s">
        <v>463</v>
      </c>
      <c r="B704" s="15" t="s">
        <v>464</v>
      </c>
      <c r="C704" s="13" t="s">
        <v>465</v>
      </c>
      <c r="D704" s="35">
        <f>SUM(D705:D707)</f>
        <v>0</v>
      </c>
      <c r="E704" s="35">
        <f t="shared" ref="E704:AH704" si="214">SUM(E705:E707)</f>
        <v>0</v>
      </c>
      <c r="F704" s="35">
        <f t="shared" si="214"/>
        <v>0</v>
      </c>
      <c r="G704" s="35">
        <f t="shared" si="214"/>
        <v>0</v>
      </c>
      <c r="H704" s="35">
        <f t="shared" si="214"/>
        <v>0</v>
      </c>
      <c r="I704" s="35">
        <f t="shared" si="214"/>
        <v>0</v>
      </c>
      <c r="J704" s="35">
        <f t="shared" si="214"/>
        <v>0</v>
      </c>
      <c r="K704" s="35">
        <f t="shared" si="214"/>
        <v>0</v>
      </c>
      <c r="L704" s="35">
        <f t="shared" si="214"/>
        <v>0</v>
      </c>
      <c r="M704" s="35">
        <f t="shared" si="214"/>
        <v>0</v>
      </c>
      <c r="N704" s="35">
        <f t="shared" si="214"/>
        <v>0</v>
      </c>
      <c r="O704" s="35">
        <f t="shared" si="214"/>
        <v>0</v>
      </c>
      <c r="P704" s="35">
        <f t="shared" si="214"/>
        <v>0</v>
      </c>
      <c r="Q704" s="35">
        <f t="shared" si="214"/>
        <v>0</v>
      </c>
      <c r="R704" s="35">
        <f t="shared" si="214"/>
        <v>0</v>
      </c>
      <c r="S704" s="35">
        <f t="shared" si="214"/>
        <v>0</v>
      </c>
      <c r="T704" s="35">
        <f t="shared" si="214"/>
        <v>0</v>
      </c>
      <c r="U704" s="35">
        <f t="shared" si="214"/>
        <v>0</v>
      </c>
      <c r="V704" s="35">
        <f t="shared" si="214"/>
        <v>0</v>
      </c>
      <c r="W704" s="35">
        <f t="shared" si="214"/>
        <v>0</v>
      </c>
      <c r="X704" s="35">
        <f t="shared" si="214"/>
        <v>0</v>
      </c>
      <c r="Y704" s="35">
        <f t="shared" si="214"/>
        <v>0</v>
      </c>
      <c r="Z704" s="35">
        <f t="shared" si="214"/>
        <v>0</v>
      </c>
      <c r="AA704" s="35">
        <f t="shared" si="214"/>
        <v>0</v>
      </c>
      <c r="AB704" s="35">
        <f t="shared" si="214"/>
        <v>0</v>
      </c>
      <c r="AC704" s="35">
        <f t="shared" si="214"/>
        <v>0</v>
      </c>
      <c r="AD704" s="35">
        <f t="shared" si="214"/>
        <v>0</v>
      </c>
      <c r="AE704" s="35">
        <f t="shared" si="214"/>
        <v>0</v>
      </c>
      <c r="AF704" s="35">
        <f t="shared" si="214"/>
        <v>0</v>
      </c>
      <c r="AG704" s="35">
        <f t="shared" si="214"/>
        <v>0</v>
      </c>
      <c r="AH704" s="35">
        <f t="shared" si="214"/>
        <v>0</v>
      </c>
      <c r="AI704" s="72">
        <f t="shared" si="202"/>
        <v>0</v>
      </c>
    </row>
    <row r="705" spans="1:35" outlineLevel="2" x14ac:dyDescent="0.2">
      <c r="A705" s="15"/>
      <c r="B705" s="41" t="s">
        <v>708</v>
      </c>
      <c r="C705" s="13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D705" s="50"/>
      <c r="AE705" s="50"/>
      <c r="AF705" s="50"/>
      <c r="AG705" s="50"/>
      <c r="AH705" s="50"/>
      <c r="AI705" s="72">
        <f t="shared" si="202"/>
        <v>0</v>
      </c>
    </row>
    <row r="706" spans="1:35" outlineLevel="2" x14ac:dyDescent="0.2">
      <c r="A706" s="15"/>
      <c r="B706" s="41" t="s">
        <v>709</v>
      </c>
      <c r="C706" s="13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D706" s="50"/>
      <c r="AE706" s="50"/>
      <c r="AF706" s="50"/>
      <c r="AG706" s="50"/>
      <c r="AH706" s="50"/>
      <c r="AI706" s="72">
        <f t="shared" si="202"/>
        <v>0</v>
      </c>
    </row>
    <row r="707" spans="1:35" outlineLevel="2" x14ac:dyDescent="0.2">
      <c r="A707" s="15"/>
      <c r="B707" s="41" t="s">
        <v>710</v>
      </c>
      <c r="C707" s="13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D707" s="50"/>
      <c r="AE707" s="50"/>
      <c r="AF707" s="50"/>
      <c r="AG707" s="50"/>
      <c r="AH707" s="50"/>
      <c r="AI707" s="72">
        <f t="shared" si="202"/>
        <v>0</v>
      </c>
    </row>
    <row r="708" spans="1:35" outlineLevel="1" x14ac:dyDescent="0.2">
      <c r="A708" s="15" t="s">
        <v>466</v>
      </c>
      <c r="B708" s="15" t="s">
        <v>467</v>
      </c>
      <c r="C708" s="13" t="s">
        <v>468</v>
      </c>
      <c r="D708" s="35">
        <f>D709+D713</f>
        <v>0</v>
      </c>
      <c r="E708" s="35">
        <f t="shared" ref="E708:AH708" si="215">E709+E713</f>
        <v>0</v>
      </c>
      <c r="F708" s="35">
        <f t="shared" si="215"/>
        <v>0</v>
      </c>
      <c r="G708" s="35">
        <f t="shared" si="215"/>
        <v>0</v>
      </c>
      <c r="H708" s="35">
        <f t="shared" si="215"/>
        <v>0</v>
      </c>
      <c r="I708" s="35">
        <f t="shared" si="215"/>
        <v>0</v>
      </c>
      <c r="J708" s="35">
        <f t="shared" si="215"/>
        <v>0</v>
      </c>
      <c r="K708" s="35">
        <f t="shared" si="215"/>
        <v>0</v>
      </c>
      <c r="L708" s="35">
        <f t="shared" si="215"/>
        <v>0</v>
      </c>
      <c r="M708" s="35">
        <f t="shared" si="215"/>
        <v>0</v>
      </c>
      <c r="N708" s="35">
        <f t="shared" si="215"/>
        <v>0</v>
      </c>
      <c r="O708" s="35">
        <f t="shared" si="215"/>
        <v>0</v>
      </c>
      <c r="P708" s="35">
        <f t="shared" si="215"/>
        <v>0</v>
      </c>
      <c r="Q708" s="35">
        <f t="shared" si="215"/>
        <v>0</v>
      </c>
      <c r="R708" s="35">
        <f t="shared" si="215"/>
        <v>0</v>
      </c>
      <c r="S708" s="35">
        <f t="shared" si="215"/>
        <v>0</v>
      </c>
      <c r="T708" s="35">
        <f t="shared" si="215"/>
        <v>0</v>
      </c>
      <c r="U708" s="35">
        <f t="shared" si="215"/>
        <v>0</v>
      </c>
      <c r="V708" s="35">
        <f t="shared" si="215"/>
        <v>0</v>
      </c>
      <c r="W708" s="35">
        <f t="shared" si="215"/>
        <v>0</v>
      </c>
      <c r="X708" s="35">
        <f t="shared" si="215"/>
        <v>0</v>
      </c>
      <c r="Y708" s="35">
        <f t="shared" si="215"/>
        <v>0</v>
      </c>
      <c r="Z708" s="35">
        <f t="shared" si="215"/>
        <v>0</v>
      </c>
      <c r="AA708" s="35">
        <f t="shared" si="215"/>
        <v>0</v>
      </c>
      <c r="AB708" s="35">
        <f t="shared" si="215"/>
        <v>0</v>
      </c>
      <c r="AC708" s="35">
        <f t="shared" si="215"/>
        <v>0</v>
      </c>
      <c r="AD708" s="35">
        <f t="shared" si="215"/>
        <v>0</v>
      </c>
      <c r="AE708" s="35">
        <f t="shared" si="215"/>
        <v>0</v>
      </c>
      <c r="AF708" s="35">
        <f t="shared" si="215"/>
        <v>0</v>
      </c>
      <c r="AG708" s="35">
        <f t="shared" si="215"/>
        <v>0</v>
      </c>
      <c r="AH708" s="35">
        <f t="shared" si="215"/>
        <v>0</v>
      </c>
      <c r="AI708" s="72">
        <f t="shared" si="202"/>
        <v>0</v>
      </c>
    </row>
    <row r="709" spans="1:35" outlineLevel="2" x14ac:dyDescent="0.2">
      <c r="A709" s="17" t="s">
        <v>469</v>
      </c>
      <c r="B709" s="17" t="s">
        <v>470</v>
      </c>
      <c r="C709" s="13" t="s">
        <v>471</v>
      </c>
      <c r="D709" s="35">
        <f>SUM(D710:D712)</f>
        <v>0</v>
      </c>
      <c r="E709" s="35">
        <f t="shared" ref="E709:AH709" si="216">SUM(E710:E712)</f>
        <v>0</v>
      </c>
      <c r="F709" s="35">
        <f t="shared" si="216"/>
        <v>0</v>
      </c>
      <c r="G709" s="35">
        <f t="shared" si="216"/>
        <v>0</v>
      </c>
      <c r="H709" s="35">
        <f t="shared" si="216"/>
        <v>0</v>
      </c>
      <c r="I709" s="35">
        <f t="shared" si="216"/>
        <v>0</v>
      </c>
      <c r="J709" s="35">
        <f t="shared" si="216"/>
        <v>0</v>
      </c>
      <c r="K709" s="35">
        <f t="shared" si="216"/>
        <v>0</v>
      </c>
      <c r="L709" s="35">
        <f t="shared" si="216"/>
        <v>0</v>
      </c>
      <c r="M709" s="35">
        <f t="shared" si="216"/>
        <v>0</v>
      </c>
      <c r="N709" s="35">
        <f t="shared" si="216"/>
        <v>0</v>
      </c>
      <c r="O709" s="35">
        <f t="shared" si="216"/>
        <v>0</v>
      </c>
      <c r="P709" s="35">
        <f t="shared" si="216"/>
        <v>0</v>
      </c>
      <c r="Q709" s="35">
        <f t="shared" si="216"/>
        <v>0</v>
      </c>
      <c r="R709" s="35">
        <f t="shared" si="216"/>
        <v>0</v>
      </c>
      <c r="S709" s="35">
        <f t="shared" si="216"/>
        <v>0</v>
      </c>
      <c r="T709" s="35">
        <f t="shared" si="216"/>
        <v>0</v>
      </c>
      <c r="U709" s="35">
        <f t="shared" si="216"/>
        <v>0</v>
      </c>
      <c r="V709" s="35">
        <f t="shared" si="216"/>
        <v>0</v>
      </c>
      <c r="W709" s="35">
        <f t="shared" si="216"/>
        <v>0</v>
      </c>
      <c r="X709" s="35">
        <f t="shared" si="216"/>
        <v>0</v>
      </c>
      <c r="Y709" s="35">
        <f t="shared" si="216"/>
        <v>0</v>
      </c>
      <c r="Z709" s="35">
        <f t="shared" si="216"/>
        <v>0</v>
      </c>
      <c r="AA709" s="35">
        <f t="shared" si="216"/>
        <v>0</v>
      </c>
      <c r="AB709" s="35">
        <f t="shared" si="216"/>
        <v>0</v>
      </c>
      <c r="AC709" s="35">
        <f t="shared" si="216"/>
        <v>0</v>
      </c>
      <c r="AD709" s="35">
        <f t="shared" si="216"/>
        <v>0</v>
      </c>
      <c r="AE709" s="35">
        <f t="shared" si="216"/>
        <v>0</v>
      </c>
      <c r="AF709" s="35">
        <f t="shared" si="216"/>
        <v>0</v>
      </c>
      <c r="AG709" s="35">
        <f t="shared" si="216"/>
        <v>0</v>
      </c>
      <c r="AH709" s="35">
        <f t="shared" si="216"/>
        <v>0</v>
      </c>
      <c r="AI709" s="72">
        <f t="shared" si="202"/>
        <v>0</v>
      </c>
    </row>
    <row r="710" spans="1:35" outlineLevel="2" x14ac:dyDescent="0.2">
      <c r="A710" s="17"/>
      <c r="B710" s="41" t="s">
        <v>708</v>
      </c>
      <c r="C710" s="13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D710" s="50"/>
      <c r="AE710" s="50"/>
      <c r="AF710" s="50"/>
      <c r="AG710" s="50"/>
      <c r="AH710" s="50"/>
      <c r="AI710" s="72">
        <f t="shared" si="202"/>
        <v>0</v>
      </c>
    </row>
    <row r="711" spans="1:35" outlineLevel="2" x14ac:dyDescent="0.2">
      <c r="A711" s="17"/>
      <c r="B711" s="41" t="s">
        <v>709</v>
      </c>
      <c r="C711" s="13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D711" s="50"/>
      <c r="AE711" s="50"/>
      <c r="AF711" s="50"/>
      <c r="AG711" s="50"/>
      <c r="AH711" s="50"/>
      <c r="AI711" s="72">
        <f t="shared" si="202"/>
        <v>0</v>
      </c>
    </row>
    <row r="712" spans="1:35" outlineLevel="2" x14ac:dyDescent="0.2">
      <c r="A712" s="17"/>
      <c r="B712" s="41" t="s">
        <v>710</v>
      </c>
      <c r="C712" s="13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D712" s="50"/>
      <c r="AE712" s="50"/>
      <c r="AF712" s="50"/>
      <c r="AG712" s="50"/>
      <c r="AH712" s="50"/>
      <c r="AI712" s="72">
        <f t="shared" si="202"/>
        <v>0</v>
      </c>
    </row>
    <row r="713" spans="1:35" ht="25.5" outlineLevel="2" x14ac:dyDescent="0.2">
      <c r="A713" s="17" t="s">
        <v>472</v>
      </c>
      <c r="B713" s="17" t="s">
        <v>473</v>
      </c>
      <c r="C713" s="13" t="s">
        <v>474</v>
      </c>
      <c r="D713" s="35">
        <f>SUM(D714:D716)</f>
        <v>0</v>
      </c>
      <c r="E713" s="35">
        <f t="shared" ref="E713:AH713" si="217">SUM(E714:E716)</f>
        <v>0</v>
      </c>
      <c r="F713" s="35">
        <f t="shared" si="217"/>
        <v>0</v>
      </c>
      <c r="G713" s="35">
        <f t="shared" si="217"/>
        <v>0</v>
      </c>
      <c r="H713" s="35">
        <f t="shared" si="217"/>
        <v>0</v>
      </c>
      <c r="I713" s="35">
        <f t="shared" si="217"/>
        <v>0</v>
      </c>
      <c r="J713" s="35">
        <f t="shared" si="217"/>
        <v>0</v>
      </c>
      <c r="K713" s="35">
        <f t="shared" si="217"/>
        <v>0</v>
      </c>
      <c r="L713" s="35">
        <f t="shared" si="217"/>
        <v>0</v>
      </c>
      <c r="M713" s="35">
        <f t="shared" si="217"/>
        <v>0</v>
      </c>
      <c r="N713" s="35">
        <f t="shared" si="217"/>
        <v>0</v>
      </c>
      <c r="O713" s="35">
        <f t="shared" si="217"/>
        <v>0</v>
      </c>
      <c r="P713" s="35">
        <f t="shared" si="217"/>
        <v>0</v>
      </c>
      <c r="Q713" s="35">
        <f t="shared" si="217"/>
        <v>0</v>
      </c>
      <c r="R713" s="35">
        <f t="shared" si="217"/>
        <v>0</v>
      </c>
      <c r="S713" s="35">
        <f t="shared" si="217"/>
        <v>0</v>
      </c>
      <c r="T713" s="35">
        <f t="shared" si="217"/>
        <v>0</v>
      </c>
      <c r="U713" s="35">
        <f t="shared" si="217"/>
        <v>0</v>
      </c>
      <c r="V713" s="35">
        <f t="shared" si="217"/>
        <v>0</v>
      </c>
      <c r="W713" s="35">
        <f t="shared" si="217"/>
        <v>0</v>
      </c>
      <c r="X713" s="35">
        <f t="shared" si="217"/>
        <v>0</v>
      </c>
      <c r="Y713" s="35">
        <f t="shared" si="217"/>
        <v>0</v>
      </c>
      <c r="Z713" s="35">
        <f t="shared" si="217"/>
        <v>0</v>
      </c>
      <c r="AA713" s="35">
        <f t="shared" si="217"/>
        <v>0</v>
      </c>
      <c r="AB713" s="35">
        <f t="shared" si="217"/>
        <v>0</v>
      </c>
      <c r="AC713" s="35">
        <f t="shared" si="217"/>
        <v>0</v>
      </c>
      <c r="AD713" s="35">
        <f t="shared" si="217"/>
        <v>0</v>
      </c>
      <c r="AE713" s="35">
        <f t="shared" si="217"/>
        <v>0</v>
      </c>
      <c r="AF713" s="35">
        <f t="shared" si="217"/>
        <v>0</v>
      </c>
      <c r="AG713" s="35">
        <f t="shared" si="217"/>
        <v>0</v>
      </c>
      <c r="AH713" s="35">
        <f t="shared" si="217"/>
        <v>0</v>
      </c>
      <c r="AI713" s="72">
        <f t="shared" si="202"/>
        <v>0</v>
      </c>
    </row>
    <row r="714" spans="1:35" outlineLevel="2" x14ac:dyDescent="0.2">
      <c r="A714" s="17"/>
      <c r="B714" s="41" t="s">
        <v>708</v>
      </c>
      <c r="C714" s="13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D714" s="50"/>
      <c r="AE714" s="50"/>
      <c r="AF714" s="50"/>
      <c r="AG714" s="50"/>
      <c r="AH714" s="50"/>
      <c r="AI714" s="72">
        <f t="shared" si="202"/>
        <v>0</v>
      </c>
    </row>
    <row r="715" spans="1:35" outlineLevel="2" x14ac:dyDescent="0.2">
      <c r="A715" s="17"/>
      <c r="B715" s="41" t="s">
        <v>709</v>
      </c>
      <c r="C715" s="13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D715" s="50"/>
      <c r="AE715" s="50"/>
      <c r="AF715" s="50"/>
      <c r="AG715" s="50"/>
      <c r="AH715" s="50"/>
      <c r="AI715" s="72">
        <f t="shared" si="202"/>
        <v>0</v>
      </c>
    </row>
    <row r="716" spans="1:35" outlineLevel="2" x14ac:dyDescent="0.2">
      <c r="A716" s="17"/>
      <c r="B716" s="41" t="s">
        <v>710</v>
      </c>
      <c r="C716" s="13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D716" s="50"/>
      <c r="AE716" s="50"/>
      <c r="AF716" s="50"/>
      <c r="AG716" s="50"/>
      <c r="AH716" s="50"/>
      <c r="AI716" s="72">
        <f t="shared" si="202"/>
        <v>0</v>
      </c>
    </row>
    <row r="717" spans="1:35" outlineLevel="1" x14ac:dyDescent="0.2">
      <c r="A717" s="15" t="s">
        <v>475</v>
      </c>
      <c r="B717" s="15" t="s">
        <v>476</v>
      </c>
      <c r="C717" s="13" t="s">
        <v>477</v>
      </c>
      <c r="D717" s="35">
        <f>D718+D722</f>
        <v>0</v>
      </c>
      <c r="E717" s="35">
        <f t="shared" ref="E717:AH717" si="218">E718+E722</f>
        <v>0</v>
      </c>
      <c r="F717" s="35">
        <f t="shared" si="218"/>
        <v>0</v>
      </c>
      <c r="G717" s="35">
        <f t="shared" si="218"/>
        <v>0</v>
      </c>
      <c r="H717" s="35">
        <f t="shared" si="218"/>
        <v>0</v>
      </c>
      <c r="I717" s="35">
        <f t="shared" si="218"/>
        <v>0</v>
      </c>
      <c r="J717" s="35">
        <f t="shared" si="218"/>
        <v>0</v>
      </c>
      <c r="K717" s="35">
        <f t="shared" si="218"/>
        <v>0</v>
      </c>
      <c r="L717" s="35">
        <f t="shared" si="218"/>
        <v>0</v>
      </c>
      <c r="M717" s="35">
        <f t="shared" si="218"/>
        <v>0</v>
      </c>
      <c r="N717" s="35">
        <f t="shared" si="218"/>
        <v>0</v>
      </c>
      <c r="O717" s="35">
        <f t="shared" si="218"/>
        <v>0</v>
      </c>
      <c r="P717" s="35">
        <f t="shared" si="218"/>
        <v>0</v>
      </c>
      <c r="Q717" s="35">
        <f t="shared" si="218"/>
        <v>0</v>
      </c>
      <c r="R717" s="35">
        <f t="shared" si="218"/>
        <v>0</v>
      </c>
      <c r="S717" s="35">
        <f t="shared" si="218"/>
        <v>0</v>
      </c>
      <c r="T717" s="35">
        <f t="shared" si="218"/>
        <v>0</v>
      </c>
      <c r="U717" s="35">
        <f t="shared" si="218"/>
        <v>0</v>
      </c>
      <c r="V717" s="35">
        <f t="shared" si="218"/>
        <v>0</v>
      </c>
      <c r="W717" s="35">
        <f t="shared" si="218"/>
        <v>0</v>
      </c>
      <c r="X717" s="35">
        <f t="shared" si="218"/>
        <v>0</v>
      </c>
      <c r="Y717" s="35">
        <f t="shared" si="218"/>
        <v>0</v>
      </c>
      <c r="Z717" s="35">
        <f t="shared" si="218"/>
        <v>0</v>
      </c>
      <c r="AA717" s="35">
        <f t="shared" si="218"/>
        <v>0</v>
      </c>
      <c r="AB717" s="35">
        <f t="shared" si="218"/>
        <v>0</v>
      </c>
      <c r="AC717" s="35">
        <f t="shared" si="218"/>
        <v>0</v>
      </c>
      <c r="AD717" s="35">
        <f t="shared" si="218"/>
        <v>0</v>
      </c>
      <c r="AE717" s="35">
        <f t="shared" si="218"/>
        <v>0</v>
      </c>
      <c r="AF717" s="35">
        <f t="shared" si="218"/>
        <v>0</v>
      </c>
      <c r="AG717" s="35">
        <f t="shared" si="218"/>
        <v>0</v>
      </c>
      <c r="AH717" s="35">
        <f t="shared" si="218"/>
        <v>0</v>
      </c>
      <c r="AI717" s="72">
        <f t="shared" si="202"/>
        <v>0</v>
      </c>
    </row>
    <row r="718" spans="1:35" outlineLevel="2" x14ac:dyDescent="0.2">
      <c r="A718" s="17" t="s">
        <v>478</v>
      </c>
      <c r="B718" s="17" t="s">
        <v>479</v>
      </c>
      <c r="C718" s="13" t="s">
        <v>480</v>
      </c>
      <c r="D718" s="35">
        <f>SUM(D719:D721)</f>
        <v>0</v>
      </c>
      <c r="E718" s="35">
        <f t="shared" ref="E718:AH718" si="219">SUM(E719:E721)</f>
        <v>0</v>
      </c>
      <c r="F718" s="35">
        <f t="shared" si="219"/>
        <v>0</v>
      </c>
      <c r="G718" s="35">
        <f t="shared" si="219"/>
        <v>0</v>
      </c>
      <c r="H718" s="35">
        <f t="shared" si="219"/>
        <v>0</v>
      </c>
      <c r="I718" s="35">
        <f t="shared" si="219"/>
        <v>0</v>
      </c>
      <c r="J718" s="35">
        <f t="shared" si="219"/>
        <v>0</v>
      </c>
      <c r="K718" s="35">
        <f t="shared" si="219"/>
        <v>0</v>
      </c>
      <c r="L718" s="35">
        <f t="shared" si="219"/>
        <v>0</v>
      </c>
      <c r="M718" s="35">
        <f t="shared" si="219"/>
        <v>0</v>
      </c>
      <c r="N718" s="35">
        <f t="shared" si="219"/>
        <v>0</v>
      </c>
      <c r="O718" s="35">
        <f t="shared" si="219"/>
        <v>0</v>
      </c>
      <c r="P718" s="35">
        <f t="shared" si="219"/>
        <v>0</v>
      </c>
      <c r="Q718" s="35">
        <f t="shared" si="219"/>
        <v>0</v>
      </c>
      <c r="R718" s="35">
        <f t="shared" si="219"/>
        <v>0</v>
      </c>
      <c r="S718" s="35">
        <f t="shared" si="219"/>
        <v>0</v>
      </c>
      <c r="T718" s="35">
        <f t="shared" si="219"/>
        <v>0</v>
      </c>
      <c r="U718" s="35">
        <f t="shared" si="219"/>
        <v>0</v>
      </c>
      <c r="V718" s="35">
        <f t="shared" si="219"/>
        <v>0</v>
      </c>
      <c r="W718" s="35">
        <f t="shared" si="219"/>
        <v>0</v>
      </c>
      <c r="X718" s="35">
        <f t="shared" si="219"/>
        <v>0</v>
      </c>
      <c r="Y718" s="35">
        <f t="shared" si="219"/>
        <v>0</v>
      </c>
      <c r="Z718" s="35">
        <f t="shared" si="219"/>
        <v>0</v>
      </c>
      <c r="AA718" s="35">
        <f t="shared" si="219"/>
        <v>0</v>
      </c>
      <c r="AB718" s="35">
        <f t="shared" si="219"/>
        <v>0</v>
      </c>
      <c r="AC718" s="35">
        <f t="shared" si="219"/>
        <v>0</v>
      </c>
      <c r="AD718" s="35">
        <f t="shared" si="219"/>
        <v>0</v>
      </c>
      <c r="AE718" s="35">
        <f t="shared" si="219"/>
        <v>0</v>
      </c>
      <c r="AF718" s="35">
        <f t="shared" si="219"/>
        <v>0</v>
      </c>
      <c r="AG718" s="35">
        <f t="shared" si="219"/>
        <v>0</v>
      </c>
      <c r="AH718" s="35">
        <f t="shared" si="219"/>
        <v>0</v>
      </c>
      <c r="AI718" s="72">
        <f t="shared" si="202"/>
        <v>0</v>
      </c>
    </row>
    <row r="719" spans="1:35" outlineLevel="2" x14ac:dyDescent="0.2">
      <c r="A719" s="17"/>
      <c r="B719" s="41" t="s">
        <v>708</v>
      </c>
      <c r="C719" s="13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D719" s="50"/>
      <c r="AE719" s="50"/>
      <c r="AF719" s="50"/>
      <c r="AG719" s="50"/>
      <c r="AH719" s="50"/>
      <c r="AI719" s="72">
        <f t="shared" si="202"/>
        <v>0</v>
      </c>
    </row>
    <row r="720" spans="1:35" outlineLevel="2" x14ac:dyDescent="0.2">
      <c r="A720" s="17"/>
      <c r="B720" s="41" t="s">
        <v>709</v>
      </c>
      <c r="C720" s="13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D720" s="50"/>
      <c r="AE720" s="50"/>
      <c r="AF720" s="50"/>
      <c r="AG720" s="50"/>
      <c r="AH720" s="50"/>
      <c r="AI720" s="72">
        <f t="shared" si="202"/>
        <v>0</v>
      </c>
    </row>
    <row r="721" spans="1:35" outlineLevel="2" x14ac:dyDescent="0.2">
      <c r="A721" s="17"/>
      <c r="B721" s="41" t="s">
        <v>710</v>
      </c>
      <c r="C721" s="13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D721" s="50"/>
      <c r="AE721" s="50"/>
      <c r="AF721" s="50"/>
      <c r="AG721" s="50"/>
      <c r="AH721" s="50"/>
      <c r="AI721" s="72">
        <f t="shared" si="202"/>
        <v>0</v>
      </c>
    </row>
    <row r="722" spans="1:35" ht="25.5" outlineLevel="2" x14ac:dyDescent="0.2">
      <c r="A722" s="17" t="s">
        <v>481</v>
      </c>
      <c r="B722" s="17" t="s">
        <v>482</v>
      </c>
      <c r="C722" s="13" t="s">
        <v>483</v>
      </c>
      <c r="D722" s="35">
        <f>SUM(D723:D725)</f>
        <v>0</v>
      </c>
      <c r="E722" s="35">
        <f t="shared" ref="E722:AH722" si="220">SUM(E723:E725)</f>
        <v>0</v>
      </c>
      <c r="F722" s="35">
        <f t="shared" si="220"/>
        <v>0</v>
      </c>
      <c r="G722" s="35">
        <f t="shared" si="220"/>
        <v>0</v>
      </c>
      <c r="H722" s="35">
        <f t="shared" si="220"/>
        <v>0</v>
      </c>
      <c r="I722" s="35">
        <f t="shared" si="220"/>
        <v>0</v>
      </c>
      <c r="J722" s="35">
        <f t="shared" si="220"/>
        <v>0</v>
      </c>
      <c r="K722" s="35">
        <f t="shared" si="220"/>
        <v>0</v>
      </c>
      <c r="L722" s="35">
        <f t="shared" si="220"/>
        <v>0</v>
      </c>
      <c r="M722" s="35">
        <f t="shared" si="220"/>
        <v>0</v>
      </c>
      <c r="N722" s="35">
        <f t="shared" si="220"/>
        <v>0</v>
      </c>
      <c r="O722" s="35">
        <f t="shared" si="220"/>
        <v>0</v>
      </c>
      <c r="P722" s="35">
        <f t="shared" si="220"/>
        <v>0</v>
      </c>
      <c r="Q722" s="35">
        <f t="shared" si="220"/>
        <v>0</v>
      </c>
      <c r="R722" s="35">
        <f t="shared" si="220"/>
        <v>0</v>
      </c>
      <c r="S722" s="35">
        <f t="shared" si="220"/>
        <v>0</v>
      </c>
      <c r="T722" s="35">
        <f t="shared" si="220"/>
        <v>0</v>
      </c>
      <c r="U722" s="35">
        <f t="shared" si="220"/>
        <v>0</v>
      </c>
      <c r="V722" s="35">
        <f t="shared" si="220"/>
        <v>0</v>
      </c>
      <c r="W722" s="35">
        <f t="shared" si="220"/>
        <v>0</v>
      </c>
      <c r="X722" s="35">
        <f t="shared" si="220"/>
        <v>0</v>
      </c>
      <c r="Y722" s="35">
        <f t="shared" si="220"/>
        <v>0</v>
      </c>
      <c r="Z722" s="35">
        <f t="shared" si="220"/>
        <v>0</v>
      </c>
      <c r="AA722" s="35">
        <f t="shared" si="220"/>
        <v>0</v>
      </c>
      <c r="AB722" s="35">
        <f t="shared" si="220"/>
        <v>0</v>
      </c>
      <c r="AC722" s="35">
        <f t="shared" si="220"/>
        <v>0</v>
      </c>
      <c r="AD722" s="35">
        <f t="shared" si="220"/>
        <v>0</v>
      </c>
      <c r="AE722" s="35">
        <f t="shared" si="220"/>
        <v>0</v>
      </c>
      <c r="AF722" s="35">
        <f t="shared" si="220"/>
        <v>0</v>
      </c>
      <c r="AG722" s="35">
        <f t="shared" si="220"/>
        <v>0</v>
      </c>
      <c r="AH722" s="35">
        <f t="shared" si="220"/>
        <v>0</v>
      </c>
      <c r="AI722" s="72">
        <f t="shared" si="202"/>
        <v>0</v>
      </c>
    </row>
    <row r="723" spans="1:35" outlineLevel="2" x14ac:dyDescent="0.2">
      <c r="A723" s="17"/>
      <c r="B723" s="41" t="s">
        <v>708</v>
      </c>
      <c r="C723" s="13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D723" s="50"/>
      <c r="AE723" s="50"/>
      <c r="AF723" s="50"/>
      <c r="AG723" s="50"/>
      <c r="AH723" s="50"/>
      <c r="AI723" s="72">
        <f t="shared" si="202"/>
        <v>0</v>
      </c>
    </row>
    <row r="724" spans="1:35" outlineLevel="2" x14ac:dyDescent="0.2">
      <c r="A724" s="17"/>
      <c r="B724" s="41" t="s">
        <v>709</v>
      </c>
      <c r="C724" s="13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D724" s="50"/>
      <c r="AE724" s="50"/>
      <c r="AF724" s="50"/>
      <c r="AG724" s="50"/>
      <c r="AH724" s="50"/>
      <c r="AI724" s="72">
        <f t="shared" si="202"/>
        <v>0</v>
      </c>
    </row>
    <row r="725" spans="1:35" outlineLevel="2" x14ac:dyDescent="0.2">
      <c r="A725" s="17"/>
      <c r="B725" s="41" t="s">
        <v>710</v>
      </c>
      <c r="C725" s="13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D725" s="50"/>
      <c r="AE725" s="50"/>
      <c r="AF725" s="50"/>
      <c r="AG725" s="50"/>
      <c r="AH725" s="50"/>
      <c r="AI725" s="72">
        <f t="shared" si="202"/>
        <v>0</v>
      </c>
    </row>
    <row r="726" spans="1:35" outlineLevel="1" x14ac:dyDescent="0.2">
      <c r="A726" s="15" t="s">
        <v>484</v>
      </c>
      <c r="B726" s="15" t="s">
        <v>485</v>
      </c>
      <c r="C726" s="13" t="s">
        <v>486</v>
      </c>
      <c r="D726" s="35">
        <f>SUM(D727:D729)</f>
        <v>0</v>
      </c>
      <c r="E726" s="35">
        <f t="shared" ref="E726:AH726" si="221">SUM(E727:E729)</f>
        <v>0</v>
      </c>
      <c r="F726" s="35">
        <f t="shared" si="221"/>
        <v>0</v>
      </c>
      <c r="G726" s="35">
        <f t="shared" si="221"/>
        <v>0</v>
      </c>
      <c r="H726" s="35">
        <f t="shared" si="221"/>
        <v>0</v>
      </c>
      <c r="I726" s="35">
        <f t="shared" si="221"/>
        <v>0</v>
      </c>
      <c r="J726" s="35">
        <f t="shared" si="221"/>
        <v>0</v>
      </c>
      <c r="K726" s="35">
        <f t="shared" si="221"/>
        <v>0</v>
      </c>
      <c r="L726" s="35">
        <f t="shared" si="221"/>
        <v>0</v>
      </c>
      <c r="M726" s="35">
        <f t="shared" si="221"/>
        <v>0</v>
      </c>
      <c r="N726" s="35">
        <f t="shared" si="221"/>
        <v>0</v>
      </c>
      <c r="O726" s="35">
        <f t="shared" si="221"/>
        <v>0</v>
      </c>
      <c r="P726" s="35">
        <f t="shared" si="221"/>
        <v>0</v>
      </c>
      <c r="Q726" s="35">
        <f t="shared" si="221"/>
        <v>0</v>
      </c>
      <c r="R726" s="35">
        <f t="shared" si="221"/>
        <v>0</v>
      </c>
      <c r="S726" s="35">
        <f t="shared" si="221"/>
        <v>0</v>
      </c>
      <c r="T726" s="35">
        <f t="shared" si="221"/>
        <v>0</v>
      </c>
      <c r="U726" s="35">
        <f t="shared" si="221"/>
        <v>0</v>
      </c>
      <c r="V726" s="35">
        <f t="shared" si="221"/>
        <v>0</v>
      </c>
      <c r="W726" s="35">
        <f t="shared" si="221"/>
        <v>0</v>
      </c>
      <c r="X726" s="35">
        <f t="shared" si="221"/>
        <v>0</v>
      </c>
      <c r="Y726" s="35">
        <f t="shared" si="221"/>
        <v>0</v>
      </c>
      <c r="Z726" s="35">
        <f t="shared" si="221"/>
        <v>0</v>
      </c>
      <c r="AA726" s="35">
        <f t="shared" si="221"/>
        <v>0</v>
      </c>
      <c r="AB726" s="35">
        <f t="shared" si="221"/>
        <v>0</v>
      </c>
      <c r="AC726" s="35">
        <f t="shared" si="221"/>
        <v>0</v>
      </c>
      <c r="AD726" s="35">
        <f t="shared" si="221"/>
        <v>0</v>
      </c>
      <c r="AE726" s="35">
        <f t="shared" si="221"/>
        <v>0</v>
      </c>
      <c r="AF726" s="35">
        <f t="shared" si="221"/>
        <v>0</v>
      </c>
      <c r="AG726" s="35">
        <f t="shared" si="221"/>
        <v>0</v>
      </c>
      <c r="AH726" s="35">
        <f t="shared" si="221"/>
        <v>0</v>
      </c>
      <c r="AI726" s="72">
        <f t="shared" si="202"/>
        <v>0</v>
      </c>
    </row>
    <row r="727" spans="1:35" outlineLevel="2" x14ac:dyDescent="0.2">
      <c r="A727" s="15"/>
      <c r="B727" s="41" t="s">
        <v>708</v>
      </c>
      <c r="C727" s="13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D727" s="50"/>
      <c r="AE727" s="50"/>
      <c r="AF727" s="50"/>
      <c r="AG727" s="50"/>
      <c r="AH727" s="50"/>
      <c r="AI727" s="72">
        <f t="shared" si="202"/>
        <v>0</v>
      </c>
    </row>
    <row r="728" spans="1:35" outlineLevel="2" x14ac:dyDescent="0.2">
      <c r="A728" s="15"/>
      <c r="B728" s="41" t="s">
        <v>709</v>
      </c>
      <c r="C728" s="13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D728" s="50"/>
      <c r="AE728" s="50"/>
      <c r="AF728" s="50"/>
      <c r="AG728" s="50"/>
      <c r="AH728" s="50"/>
      <c r="AI728" s="72">
        <f t="shared" si="202"/>
        <v>0</v>
      </c>
    </row>
    <row r="729" spans="1:35" outlineLevel="2" x14ac:dyDescent="0.2">
      <c r="A729" s="15"/>
      <c r="B729" s="41" t="s">
        <v>710</v>
      </c>
      <c r="C729" s="13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D729" s="50"/>
      <c r="AE729" s="50"/>
      <c r="AF729" s="50"/>
      <c r="AG729" s="50"/>
      <c r="AH729" s="50"/>
      <c r="AI729" s="72">
        <f t="shared" ref="AI729:AI792" si="222">SUM(D729:AH729)</f>
        <v>0</v>
      </c>
    </row>
    <row r="730" spans="1:35" outlineLevel="1" x14ac:dyDescent="0.2">
      <c r="A730" s="15" t="s">
        <v>487</v>
      </c>
      <c r="B730" s="15" t="s">
        <v>488</v>
      </c>
      <c r="C730" s="13" t="s">
        <v>489</v>
      </c>
      <c r="D730" s="35">
        <f>D731+D735+D739+D743+D747+D751+D755</f>
        <v>0</v>
      </c>
      <c r="E730" s="35">
        <f t="shared" ref="E730:AH730" si="223">E731+E735+E739+E743+E747+E751+E755</f>
        <v>0</v>
      </c>
      <c r="F730" s="35">
        <f t="shared" si="223"/>
        <v>0</v>
      </c>
      <c r="G730" s="35">
        <f t="shared" si="223"/>
        <v>0</v>
      </c>
      <c r="H730" s="35">
        <f t="shared" si="223"/>
        <v>0</v>
      </c>
      <c r="I730" s="35">
        <f t="shared" si="223"/>
        <v>0</v>
      </c>
      <c r="J730" s="35">
        <f t="shared" si="223"/>
        <v>0</v>
      </c>
      <c r="K730" s="35">
        <f t="shared" si="223"/>
        <v>0</v>
      </c>
      <c r="L730" s="35">
        <f t="shared" si="223"/>
        <v>0</v>
      </c>
      <c r="M730" s="35">
        <f t="shared" si="223"/>
        <v>0</v>
      </c>
      <c r="N730" s="35">
        <f t="shared" si="223"/>
        <v>0</v>
      </c>
      <c r="O730" s="35">
        <f t="shared" si="223"/>
        <v>0</v>
      </c>
      <c r="P730" s="35">
        <f t="shared" si="223"/>
        <v>0</v>
      </c>
      <c r="Q730" s="35">
        <f t="shared" si="223"/>
        <v>0</v>
      </c>
      <c r="R730" s="35">
        <f t="shared" si="223"/>
        <v>0</v>
      </c>
      <c r="S730" s="35">
        <f t="shared" si="223"/>
        <v>0</v>
      </c>
      <c r="T730" s="35">
        <f t="shared" si="223"/>
        <v>0</v>
      </c>
      <c r="U730" s="35">
        <f t="shared" si="223"/>
        <v>0</v>
      </c>
      <c r="V730" s="35">
        <f t="shared" si="223"/>
        <v>0</v>
      </c>
      <c r="W730" s="35">
        <f t="shared" si="223"/>
        <v>0</v>
      </c>
      <c r="X730" s="35">
        <f t="shared" si="223"/>
        <v>0</v>
      </c>
      <c r="Y730" s="35">
        <f t="shared" si="223"/>
        <v>0</v>
      </c>
      <c r="Z730" s="35">
        <f t="shared" si="223"/>
        <v>0</v>
      </c>
      <c r="AA730" s="35">
        <f t="shared" si="223"/>
        <v>0</v>
      </c>
      <c r="AB730" s="35">
        <f t="shared" si="223"/>
        <v>0</v>
      </c>
      <c r="AC730" s="35">
        <f t="shared" si="223"/>
        <v>0</v>
      </c>
      <c r="AD730" s="35">
        <f t="shared" si="223"/>
        <v>0</v>
      </c>
      <c r="AE730" s="35">
        <f t="shared" si="223"/>
        <v>0</v>
      </c>
      <c r="AF730" s="35">
        <f t="shared" si="223"/>
        <v>0</v>
      </c>
      <c r="AG730" s="35">
        <f t="shared" si="223"/>
        <v>0</v>
      </c>
      <c r="AH730" s="35">
        <f t="shared" si="223"/>
        <v>0</v>
      </c>
      <c r="AI730" s="72">
        <f t="shared" si="222"/>
        <v>0</v>
      </c>
    </row>
    <row r="731" spans="1:35" outlineLevel="2" x14ac:dyDescent="0.2">
      <c r="A731" s="17" t="s">
        <v>490</v>
      </c>
      <c r="B731" s="17" t="s">
        <v>491</v>
      </c>
      <c r="C731" s="13" t="s">
        <v>492</v>
      </c>
      <c r="D731" s="35">
        <f>SUM(D732:D734)</f>
        <v>0</v>
      </c>
      <c r="E731" s="35">
        <f t="shared" ref="E731:AH731" si="224">SUM(E732:E734)</f>
        <v>0</v>
      </c>
      <c r="F731" s="35">
        <f t="shared" si="224"/>
        <v>0</v>
      </c>
      <c r="G731" s="35">
        <f t="shared" si="224"/>
        <v>0</v>
      </c>
      <c r="H731" s="35">
        <f t="shared" si="224"/>
        <v>0</v>
      </c>
      <c r="I731" s="35">
        <f t="shared" si="224"/>
        <v>0</v>
      </c>
      <c r="J731" s="35">
        <f t="shared" si="224"/>
        <v>0</v>
      </c>
      <c r="K731" s="35">
        <f t="shared" si="224"/>
        <v>0</v>
      </c>
      <c r="L731" s="35">
        <f t="shared" si="224"/>
        <v>0</v>
      </c>
      <c r="M731" s="35">
        <f t="shared" si="224"/>
        <v>0</v>
      </c>
      <c r="N731" s="35">
        <f t="shared" si="224"/>
        <v>0</v>
      </c>
      <c r="O731" s="35">
        <f t="shared" si="224"/>
        <v>0</v>
      </c>
      <c r="P731" s="35">
        <f t="shared" si="224"/>
        <v>0</v>
      </c>
      <c r="Q731" s="35">
        <f t="shared" si="224"/>
        <v>0</v>
      </c>
      <c r="R731" s="35">
        <f t="shared" si="224"/>
        <v>0</v>
      </c>
      <c r="S731" s="35">
        <f t="shared" si="224"/>
        <v>0</v>
      </c>
      <c r="T731" s="35">
        <f t="shared" si="224"/>
        <v>0</v>
      </c>
      <c r="U731" s="35">
        <f t="shared" si="224"/>
        <v>0</v>
      </c>
      <c r="V731" s="35">
        <f t="shared" si="224"/>
        <v>0</v>
      </c>
      <c r="W731" s="35">
        <f t="shared" si="224"/>
        <v>0</v>
      </c>
      <c r="X731" s="35">
        <f t="shared" si="224"/>
        <v>0</v>
      </c>
      <c r="Y731" s="35">
        <f t="shared" si="224"/>
        <v>0</v>
      </c>
      <c r="Z731" s="35">
        <f t="shared" si="224"/>
        <v>0</v>
      </c>
      <c r="AA731" s="35">
        <f t="shared" si="224"/>
        <v>0</v>
      </c>
      <c r="AB731" s="35">
        <f t="shared" si="224"/>
        <v>0</v>
      </c>
      <c r="AC731" s="35">
        <f t="shared" si="224"/>
        <v>0</v>
      </c>
      <c r="AD731" s="35">
        <f t="shared" si="224"/>
        <v>0</v>
      </c>
      <c r="AE731" s="35">
        <f t="shared" si="224"/>
        <v>0</v>
      </c>
      <c r="AF731" s="35">
        <f t="shared" si="224"/>
        <v>0</v>
      </c>
      <c r="AG731" s="35">
        <f t="shared" si="224"/>
        <v>0</v>
      </c>
      <c r="AH731" s="35">
        <f t="shared" si="224"/>
        <v>0</v>
      </c>
      <c r="AI731" s="72">
        <f t="shared" si="222"/>
        <v>0</v>
      </c>
    </row>
    <row r="732" spans="1:35" outlineLevel="2" x14ac:dyDescent="0.2">
      <c r="A732" s="17"/>
      <c r="B732" s="41" t="s">
        <v>708</v>
      </c>
      <c r="C732" s="13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D732" s="50"/>
      <c r="AE732" s="50"/>
      <c r="AF732" s="50"/>
      <c r="AG732" s="50"/>
      <c r="AH732" s="50"/>
      <c r="AI732" s="72">
        <f t="shared" si="222"/>
        <v>0</v>
      </c>
    </row>
    <row r="733" spans="1:35" outlineLevel="2" x14ac:dyDescent="0.2">
      <c r="A733" s="17"/>
      <c r="B733" s="41" t="s">
        <v>709</v>
      </c>
      <c r="C733" s="13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D733" s="50"/>
      <c r="AE733" s="50"/>
      <c r="AF733" s="50"/>
      <c r="AG733" s="50"/>
      <c r="AH733" s="50"/>
      <c r="AI733" s="72">
        <f t="shared" si="222"/>
        <v>0</v>
      </c>
    </row>
    <row r="734" spans="1:35" outlineLevel="2" x14ac:dyDescent="0.2">
      <c r="A734" s="17"/>
      <c r="B734" s="41" t="s">
        <v>710</v>
      </c>
      <c r="C734" s="13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D734" s="50"/>
      <c r="AE734" s="50"/>
      <c r="AF734" s="50"/>
      <c r="AG734" s="50"/>
      <c r="AH734" s="50"/>
      <c r="AI734" s="72">
        <f t="shared" si="222"/>
        <v>0</v>
      </c>
    </row>
    <row r="735" spans="1:35" outlineLevel="2" x14ac:dyDescent="0.2">
      <c r="A735" s="17" t="s">
        <v>493</v>
      </c>
      <c r="B735" s="17" t="s">
        <v>494</v>
      </c>
      <c r="C735" s="13" t="s">
        <v>495</v>
      </c>
      <c r="D735" s="35">
        <f>SUM(D736:D738)</f>
        <v>0</v>
      </c>
      <c r="E735" s="35">
        <f t="shared" ref="E735:AH735" si="225">SUM(E736:E738)</f>
        <v>0</v>
      </c>
      <c r="F735" s="35">
        <f t="shared" si="225"/>
        <v>0</v>
      </c>
      <c r="G735" s="35">
        <f t="shared" si="225"/>
        <v>0</v>
      </c>
      <c r="H735" s="35">
        <f t="shared" si="225"/>
        <v>0</v>
      </c>
      <c r="I735" s="35">
        <f t="shared" si="225"/>
        <v>0</v>
      </c>
      <c r="J735" s="35">
        <f t="shared" si="225"/>
        <v>0</v>
      </c>
      <c r="K735" s="35">
        <f t="shared" si="225"/>
        <v>0</v>
      </c>
      <c r="L735" s="35">
        <f t="shared" si="225"/>
        <v>0</v>
      </c>
      <c r="M735" s="35">
        <f t="shared" si="225"/>
        <v>0</v>
      </c>
      <c r="N735" s="35">
        <f t="shared" si="225"/>
        <v>0</v>
      </c>
      <c r="O735" s="35">
        <f t="shared" si="225"/>
        <v>0</v>
      </c>
      <c r="P735" s="35">
        <f t="shared" si="225"/>
        <v>0</v>
      </c>
      <c r="Q735" s="35">
        <f t="shared" si="225"/>
        <v>0</v>
      </c>
      <c r="R735" s="35">
        <f t="shared" si="225"/>
        <v>0</v>
      </c>
      <c r="S735" s="35">
        <f t="shared" si="225"/>
        <v>0</v>
      </c>
      <c r="T735" s="35">
        <f t="shared" si="225"/>
        <v>0</v>
      </c>
      <c r="U735" s="35">
        <f t="shared" si="225"/>
        <v>0</v>
      </c>
      <c r="V735" s="35">
        <f t="shared" si="225"/>
        <v>0</v>
      </c>
      <c r="W735" s="35">
        <f t="shared" si="225"/>
        <v>0</v>
      </c>
      <c r="X735" s="35">
        <f t="shared" si="225"/>
        <v>0</v>
      </c>
      <c r="Y735" s="35">
        <f t="shared" si="225"/>
        <v>0</v>
      </c>
      <c r="Z735" s="35">
        <f t="shared" si="225"/>
        <v>0</v>
      </c>
      <c r="AA735" s="35">
        <f t="shared" si="225"/>
        <v>0</v>
      </c>
      <c r="AB735" s="35">
        <f t="shared" si="225"/>
        <v>0</v>
      </c>
      <c r="AC735" s="35">
        <f t="shared" si="225"/>
        <v>0</v>
      </c>
      <c r="AD735" s="35">
        <f t="shared" si="225"/>
        <v>0</v>
      </c>
      <c r="AE735" s="35">
        <f t="shared" si="225"/>
        <v>0</v>
      </c>
      <c r="AF735" s="35">
        <f t="shared" si="225"/>
        <v>0</v>
      </c>
      <c r="AG735" s="35">
        <f t="shared" si="225"/>
        <v>0</v>
      </c>
      <c r="AH735" s="35">
        <f t="shared" si="225"/>
        <v>0</v>
      </c>
      <c r="AI735" s="72">
        <f t="shared" si="222"/>
        <v>0</v>
      </c>
    </row>
    <row r="736" spans="1:35" outlineLevel="2" x14ac:dyDescent="0.2">
      <c r="A736" s="17"/>
      <c r="B736" s="41" t="s">
        <v>708</v>
      </c>
      <c r="C736" s="13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D736" s="50"/>
      <c r="AE736" s="50"/>
      <c r="AF736" s="50"/>
      <c r="AG736" s="50"/>
      <c r="AH736" s="50"/>
      <c r="AI736" s="72">
        <f t="shared" si="222"/>
        <v>0</v>
      </c>
    </row>
    <row r="737" spans="1:35" outlineLevel="2" x14ac:dyDescent="0.2">
      <c r="A737" s="17"/>
      <c r="B737" s="41" t="s">
        <v>709</v>
      </c>
      <c r="C737" s="13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D737" s="50"/>
      <c r="AE737" s="50"/>
      <c r="AF737" s="50"/>
      <c r="AG737" s="50"/>
      <c r="AH737" s="50"/>
      <c r="AI737" s="72">
        <f t="shared" si="222"/>
        <v>0</v>
      </c>
    </row>
    <row r="738" spans="1:35" outlineLevel="2" x14ac:dyDescent="0.2">
      <c r="A738" s="17"/>
      <c r="B738" s="41" t="s">
        <v>710</v>
      </c>
      <c r="C738" s="13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D738" s="50"/>
      <c r="AE738" s="50"/>
      <c r="AF738" s="50"/>
      <c r="AG738" s="50"/>
      <c r="AH738" s="50"/>
      <c r="AI738" s="72">
        <f t="shared" si="222"/>
        <v>0</v>
      </c>
    </row>
    <row r="739" spans="1:35" ht="25.5" outlineLevel="2" x14ac:dyDescent="0.2">
      <c r="A739" s="17" t="s">
        <v>496</v>
      </c>
      <c r="B739" s="17" t="s">
        <v>497</v>
      </c>
      <c r="C739" s="13" t="s">
        <v>498</v>
      </c>
      <c r="D739" s="35">
        <f>SUM(D740:D742)</f>
        <v>0</v>
      </c>
      <c r="E739" s="35">
        <f t="shared" ref="E739:AH739" si="226">SUM(E740:E742)</f>
        <v>0</v>
      </c>
      <c r="F739" s="35">
        <f t="shared" si="226"/>
        <v>0</v>
      </c>
      <c r="G739" s="35">
        <f t="shared" si="226"/>
        <v>0</v>
      </c>
      <c r="H739" s="35">
        <f t="shared" si="226"/>
        <v>0</v>
      </c>
      <c r="I739" s="35">
        <f t="shared" si="226"/>
        <v>0</v>
      </c>
      <c r="J739" s="35">
        <f t="shared" si="226"/>
        <v>0</v>
      </c>
      <c r="K739" s="35">
        <f t="shared" si="226"/>
        <v>0</v>
      </c>
      <c r="L739" s="35">
        <f t="shared" si="226"/>
        <v>0</v>
      </c>
      <c r="M739" s="35">
        <f t="shared" si="226"/>
        <v>0</v>
      </c>
      <c r="N739" s="35">
        <f t="shared" si="226"/>
        <v>0</v>
      </c>
      <c r="O739" s="35">
        <f t="shared" si="226"/>
        <v>0</v>
      </c>
      <c r="P739" s="35">
        <f t="shared" si="226"/>
        <v>0</v>
      </c>
      <c r="Q739" s="35">
        <f t="shared" si="226"/>
        <v>0</v>
      </c>
      <c r="R739" s="35">
        <f t="shared" si="226"/>
        <v>0</v>
      </c>
      <c r="S739" s="35">
        <f t="shared" si="226"/>
        <v>0</v>
      </c>
      <c r="T739" s="35">
        <f t="shared" si="226"/>
        <v>0</v>
      </c>
      <c r="U739" s="35">
        <f t="shared" si="226"/>
        <v>0</v>
      </c>
      <c r="V739" s="35">
        <f t="shared" si="226"/>
        <v>0</v>
      </c>
      <c r="W739" s="35">
        <f t="shared" si="226"/>
        <v>0</v>
      </c>
      <c r="X739" s="35">
        <f t="shared" si="226"/>
        <v>0</v>
      </c>
      <c r="Y739" s="35">
        <f t="shared" si="226"/>
        <v>0</v>
      </c>
      <c r="Z739" s="35">
        <f t="shared" si="226"/>
        <v>0</v>
      </c>
      <c r="AA739" s="35">
        <f t="shared" si="226"/>
        <v>0</v>
      </c>
      <c r="AB739" s="35">
        <f t="shared" si="226"/>
        <v>0</v>
      </c>
      <c r="AC739" s="35">
        <f t="shared" si="226"/>
        <v>0</v>
      </c>
      <c r="AD739" s="35">
        <f t="shared" si="226"/>
        <v>0</v>
      </c>
      <c r="AE739" s="35">
        <f t="shared" si="226"/>
        <v>0</v>
      </c>
      <c r="AF739" s="35">
        <f t="shared" si="226"/>
        <v>0</v>
      </c>
      <c r="AG739" s="35">
        <f t="shared" si="226"/>
        <v>0</v>
      </c>
      <c r="AH739" s="35">
        <f t="shared" si="226"/>
        <v>0</v>
      </c>
      <c r="AI739" s="72">
        <f t="shared" si="222"/>
        <v>0</v>
      </c>
    </row>
    <row r="740" spans="1:35" outlineLevel="2" x14ac:dyDescent="0.2">
      <c r="A740" s="17"/>
      <c r="B740" s="41" t="s">
        <v>708</v>
      </c>
      <c r="C740" s="13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D740" s="50"/>
      <c r="AE740" s="50"/>
      <c r="AF740" s="50"/>
      <c r="AG740" s="50"/>
      <c r="AH740" s="50"/>
      <c r="AI740" s="72">
        <f t="shared" si="222"/>
        <v>0</v>
      </c>
    </row>
    <row r="741" spans="1:35" outlineLevel="2" x14ac:dyDescent="0.2">
      <c r="A741" s="17"/>
      <c r="B741" s="41" t="s">
        <v>709</v>
      </c>
      <c r="C741" s="13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D741" s="50"/>
      <c r="AE741" s="50"/>
      <c r="AF741" s="50"/>
      <c r="AG741" s="50"/>
      <c r="AH741" s="50"/>
      <c r="AI741" s="72">
        <f t="shared" si="222"/>
        <v>0</v>
      </c>
    </row>
    <row r="742" spans="1:35" outlineLevel="2" x14ac:dyDescent="0.2">
      <c r="A742" s="17"/>
      <c r="B742" s="41" t="s">
        <v>710</v>
      </c>
      <c r="C742" s="13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D742" s="50"/>
      <c r="AE742" s="50"/>
      <c r="AF742" s="50"/>
      <c r="AG742" s="50"/>
      <c r="AH742" s="50"/>
      <c r="AI742" s="72">
        <f t="shared" si="222"/>
        <v>0</v>
      </c>
    </row>
    <row r="743" spans="1:35" outlineLevel="2" x14ac:dyDescent="0.2">
      <c r="A743" s="17" t="s">
        <v>499</v>
      </c>
      <c r="B743" s="17" t="s">
        <v>500</v>
      </c>
      <c r="C743" s="13" t="s">
        <v>501</v>
      </c>
      <c r="D743" s="35">
        <f>SUM(D744:D746)</f>
        <v>0</v>
      </c>
      <c r="E743" s="35">
        <f t="shared" ref="E743:AH743" si="227">SUM(E744:E746)</f>
        <v>0</v>
      </c>
      <c r="F743" s="35">
        <f t="shared" si="227"/>
        <v>0</v>
      </c>
      <c r="G743" s="35">
        <f t="shared" si="227"/>
        <v>0</v>
      </c>
      <c r="H743" s="35">
        <f t="shared" si="227"/>
        <v>0</v>
      </c>
      <c r="I743" s="35">
        <f t="shared" si="227"/>
        <v>0</v>
      </c>
      <c r="J743" s="35">
        <f t="shared" si="227"/>
        <v>0</v>
      </c>
      <c r="K743" s="35">
        <f t="shared" si="227"/>
        <v>0</v>
      </c>
      <c r="L743" s="35">
        <f t="shared" si="227"/>
        <v>0</v>
      </c>
      <c r="M743" s="35">
        <f t="shared" si="227"/>
        <v>0</v>
      </c>
      <c r="N743" s="35">
        <f t="shared" si="227"/>
        <v>0</v>
      </c>
      <c r="O743" s="35">
        <f t="shared" si="227"/>
        <v>0</v>
      </c>
      <c r="P743" s="35">
        <f t="shared" si="227"/>
        <v>0</v>
      </c>
      <c r="Q743" s="35">
        <f t="shared" si="227"/>
        <v>0</v>
      </c>
      <c r="R743" s="35">
        <f t="shared" si="227"/>
        <v>0</v>
      </c>
      <c r="S743" s="35">
        <f t="shared" si="227"/>
        <v>0</v>
      </c>
      <c r="T743" s="35">
        <f t="shared" si="227"/>
        <v>0</v>
      </c>
      <c r="U743" s="35">
        <f t="shared" si="227"/>
        <v>0</v>
      </c>
      <c r="V743" s="35">
        <f t="shared" si="227"/>
        <v>0</v>
      </c>
      <c r="W743" s="35">
        <f t="shared" si="227"/>
        <v>0</v>
      </c>
      <c r="X743" s="35">
        <f t="shared" si="227"/>
        <v>0</v>
      </c>
      <c r="Y743" s="35">
        <f t="shared" si="227"/>
        <v>0</v>
      </c>
      <c r="Z743" s="35">
        <f t="shared" si="227"/>
        <v>0</v>
      </c>
      <c r="AA743" s="35">
        <f t="shared" si="227"/>
        <v>0</v>
      </c>
      <c r="AB743" s="35">
        <f t="shared" si="227"/>
        <v>0</v>
      </c>
      <c r="AC743" s="35">
        <f t="shared" si="227"/>
        <v>0</v>
      </c>
      <c r="AD743" s="35">
        <f t="shared" si="227"/>
        <v>0</v>
      </c>
      <c r="AE743" s="35">
        <f t="shared" si="227"/>
        <v>0</v>
      </c>
      <c r="AF743" s="35">
        <f t="shared" si="227"/>
        <v>0</v>
      </c>
      <c r="AG743" s="35">
        <f t="shared" si="227"/>
        <v>0</v>
      </c>
      <c r="AH743" s="35">
        <f t="shared" si="227"/>
        <v>0</v>
      </c>
      <c r="AI743" s="72">
        <f t="shared" si="222"/>
        <v>0</v>
      </c>
    </row>
    <row r="744" spans="1:35" outlineLevel="2" x14ac:dyDescent="0.2">
      <c r="A744" s="17"/>
      <c r="B744" s="41" t="s">
        <v>708</v>
      </c>
      <c r="C744" s="13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D744" s="50"/>
      <c r="AE744" s="50"/>
      <c r="AF744" s="50"/>
      <c r="AG744" s="50"/>
      <c r="AH744" s="50"/>
      <c r="AI744" s="72">
        <f t="shared" si="222"/>
        <v>0</v>
      </c>
    </row>
    <row r="745" spans="1:35" outlineLevel="2" x14ac:dyDescent="0.2">
      <c r="A745" s="17"/>
      <c r="B745" s="41" t="s">
        <v>709</v>
      </c>
      <c r="C745" s="13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D745" s="50"/>
      <c r="AE745" s="50"/>
      <c r="AF745" s="50"/>
      <c r="AG745" s="50"/>
      <c r="AH745" s="50"/>
      <c r="AI745" s="72">
        <f t="shared" si="222"/>
        <v>0</v>
      </c>
    </row>
    <row r="746" spans="1:35" outlineLevel="2" x14ac:dyDescent="0.2">
      <c r="A746" s="17"/>
      <c r="B746" s="41" t="s">
        <v>710</v>
      </c>
      <c r="C746" s="13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D746" s="50"/>
      <c r="AE746" s="50"/>
      <c r="AF746" s="50"/>
      <c r="AG746" s="50"/>
      <c r="AH746" s="50"/>
      <c r="AI746" s="72">
        <f t="shared" si="222"/>
        <v>0</v>
      </c>
    </row>
    <row r="747" spans="1:35" outlineLevel="2" x14ac:dyDescent="0.2">
      <c r="A747" s="17" t="s">
        <v>502</v>
      </c>
      <c r="B747" s="17" t="s">
        <v>503</v>
      </c>
      <c r="C747" s="13" t="s">
        <v>504</v>
      </c>
      <c r="D747" s="35">
        <f>SUM(D748:D750)</f>
        <v>0</v>
      </c>
      <c r="E747" s="35">
        <f t="shared" ref="E747:AH747" si="228">SUM(E748:E750)</f>
        <v>0</v>
      </c>
      <c r="F747" s="35">
        <f t="shared" si="228"/>
        <v>0</v>
      </c>
      <c r="G747" s="35">
        <f t="shared" si="228"/>
        <v>0</v>
      </c>
      <c r="H747" s="35">
        <f t="shared" si="228"/>
        <v>0</v>
      </c>
      <c r="I747" s="35">
        <f t="shared" si="228"/>
        <v>0</v>
      </c>
      <c r="J747" s="35">
        <f t="shared" si="228"/>
        <v>0</v>
      </c>
      <c r="K747" s="35">
        <f t="shared" si="228"/>
        <v>0</v>
      </c>
      <c r="L747" s="35">
        <f t="shared" si="228"/>
        <v>0</v>
      </c>
      <c r="M747" s="35">
        <f t="shared" si="228"/>
        <v>0</v>
      </c>
      <c r="N747" s="35">
        <f t="shared" si="228"/>
        <v>0</v>
      </c>
      <c r="O747" s="35">
        <f t="shared" si="228"/>
        <v>0</v>
      </c>
      <c r="P747" s="35">
        <f t="shared" si="228"/>
        <v>0</v>
      </c>
      <c r="Q747" s="35">
        <f t="shared" si="228"/>
        <v>0</v>
      </c>
      <c r="R747" s="35">
        <f t="shared" si="228"/>
        <v>0</v>
      </c>
      <c r="S747" s="35">
        <f t="shared" si="228"/>
        <v>0</v>
      </c>
      <c r="T747" s="35">
        <f t="shared" si="228"/>
        <v>0</v>
      </c>
      <c r="U747" s="35">
        <f t="shared" si="228"/>
        <v>0</v>
      </c>
      <c r="V747" s="35">
        <f t="shared" si="228"/>
        <v>0</v>
      </c>
      <c r="W747" s="35">
        <f t="shared" si="228"/>
        <v>0</v>
      </c>
      <c r="X747" s="35">
        <f t="shared" si="228"/>
        <v>0</v>
      </c>
      <c r="Y747" s="35">
        <f t="shared" si="228"/>
        <v>0</v>
      </c>
      <c r="Z747" s="35">
        <f t="shared" si="228"/>
        <v>0</v>
      </c>
      <c r="AA747" s="35">
        <f t="shared" si="228"/>
        <v>0</v>
      </c>
      <c r="AB747" s="35">
        <f t="shared" si="228"/>
        <v>0</v>
      </c>
      <c r="AC747" s="35">
        <f t="shared" si="228"/>
        <v>0</v>
      </c>
      <c r="AD747" s="35">
        <f t="shared" si="228"/>
        <v>0</v>
      </c>
      <c r="AE747" s="35">
        <f t="shared" si="228"/>
        <v>0</v>
      </c>
      <c r="AF747" s="35">
        <f t="shared" si="228"/>
        <v>0</v>
      </c>
      <c r="AG747" s="35">
        <f t="shared" si="228"/>
        <v>0</v>
      </c>
      <c r="AH747" s="35">
        <f t="shared" si="228"/>
        <v>0</v>
      </c>
      <c r="AI747" s="72">
        <f t="shared" si="222"/>
        <v>0</v>
      </c>
    </row>
    <row r="748" spans="1:35" outlineLevel="2" x14ac:dyDescent="0.2">
      <c r="A748" s="17"/>
      <c r="B748" s="41" t="s">
        <v>708</v>
      </c>
      <c r="C748" s="13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D748" s="50"/>
      <c r="AE748" s="50"/>
      <c r="AF748" s="50"/>
      <c r="AG748" s="50"/>
      <c r="AH748" s="50"/>
      <c r="AI748" s="72">
        <f t="shared" si="222"/>
        <v>0</v>
      </c>
    </row>
    <row r="749" spans="1:35" outlineLevel="2" x14ac:dyDescent="0.2">
      <c r="A749" s="17"/>
      <c r="B749" s="41" t="s">
        <v>709</v>
      </c>
      <c r="C749" s="13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D749" s="50"/>
      <c r="AE749" s="50"/>
      <c r="AF749" s="50"/>
      <c r="AG749" s="50"/>
      <c r="AH749" s="50"/>
      <c r="AI749" s="72">
        <f t="shared" si="222"/>
        <v>0</v>
      </c>
    </row>
    <row r="750" spans="1:35" outlineLevel="2" x14ac:dyDescent="0.2">
      <c r="A750" s="17"/>
      <c r="B750" s="41" t="s">
        <v>710</v>
      </c>
      <c r="C750" s="13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D750" s="50"/>
      <c r="AE750" s="50"/>
      <c r="AF750" s="50"/>
      <c r="AG750" s="50"/>
      <c r="AH750" s="50"/>
      <c r="AI750" s="72">
        <f t="shared" si="222"/>
        <v>0</v>
      </c>
    </row>
    <row r="751" spans="1:35" outlineLevel="2" x14ac:dyDescent="0.2">
      <c r="A751" s="17" t="s">
        <v>505</v>
      </c>
      <c r="B751" s="17" t="s">
        <v>506</v>
      </c>
      <c r="C751" s="13" t="s">
        <v>507</v>
      </c>
      <c r="D751" s="35">
        <f>SUM(D752:D754)</f>
        <v>0</v>
      </c>
      <c r="E751" s="35">
        <f t="shared" ref="E751:AH751" si="229">SUM(E752:E754)</f>
        <v>0</v>
      </c>
      <c r="F751" s="35">
        <f t="shared" si="229"/>
        <v>0</v>
      </c>
      <c r="G751" s="35">
        <f t="shared" si="229"/>
        <v>0</v>
      </c>
      <c r="H751" s="35">
        <f t="shared" si="229"/>
        <v>0</v>
      </c>
      <c r="I751" s="35">
        <f t="shared" si="229"/>
        <v>0</v>
      </c>
      <c r="J751" s="35">
        <f t="shared" si="229"/>
        <v>0</v>
      </c>
      <c r="K751" s="35">
        <f t="shared" si="229"/>
        <v>0</v>
      </c>
      <c r="L751" s="35">
        <f t="shared" si="229"/>
        <v>0</v>
      </c>
      <c r="M751" s="35">
        <f t="shared" si="229"/>
        <v>0</v>
      </c>
      <c r="N751" s="35">
        <f t="shared" si="229"/>
        <v>0</v>
      </c>
      <c r="O751" s="35">
        <f t="shared" si="229"/>
        <v>0</v>
      </c>
      <c r="P751" s="35">
        <f t="shared" si="229"/>
        <v>0</v>
      </c>
      <c r="Q751" s="35">
        <f t="shared" si="229"/>
        <v>0</v>
      </c>
      <c r="R751" s="35">
        <f t="shared" si="229"/>
        <v>0</v>
      </c>
      <c r="S751" s="35">
        <f t="shared" si="229"/>
        <v>0</v>
      </c>
      <c r="T751" s="35">
        <f t="shared" si="229"/>
        <v>0</v>
      </c>
      <c r="U751" s="35">
        <f t="shared" si="229"/>
        <v>0</v>
      </c>
      <c r="V751" s="35">
        <f t="shared" si="229"/>
        <v>0</v>
      </c>
      <c r="W751" s="35">
        <f t="shared" si="229"/>
        <v>0</v>
      </c>
      <c r="X751" s="35">
        <f t="shared" si="229"/>
        <v>0</v>
      </c>
      <c r="Y751" s="35">
        <f t="shared" si="229"/>
        <v>0</v>
      </c>
      <c r="Z751" s="35">
        <f t="shared" si="229"/>
        <v>0</v>
      </c>
      <c r="AA751" s="35">
        <f t="shared" si="229"/>
        <v>0</v>
      </c>
      <c r="AB751" s="35">
        <f t="shared" si="229"/>
        <v>0</v>
      </c>
      <c r="AC751" s="35">
        <f t="shared" si="229"/>
        <v>0</v>
      </c>
      <c r="AD751" s="35">
        <f t="shared" si="229"/>
        <v>0</v>
      </c>
      <c r="AE751" s="35">
        <f t="shared" si="229"/>
        <v>0</v>
      </c>
      <c r="AF751" s="35">
        <f t="shared" si="229"/>
        <v>0</v>
      </c>
      <c r="AG751" s="35">
        <f t="shared" si="229"/>
        <v>0</v>
      </c>
      <c r="AH751" s="35">
        <f t="shared" si="229"/>
        <v>0</v>
      </c>
      <c r="AI751" s="72">
        <f t="shared" si="222"/>
        <v>0</v>
      </c>
    </row>
    <row r="752" spans="1:35" outlineLevel="2" x14ac:dyDescent="0.2">
      <c r="A752" s="17"/>
      <c r="B752" s="41" t="s">
        <v>708</v>
      </c>
      <c r="C752" s="13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D752" s="50"/>
      <c r="AE752" s="50"/>
      <c r="AF752" s="50"/>
      <c r="AG752" s="50"/>
      <c r="AH752" s="50"/>
      <c r="AI752" s="72">
        <f t="shared" si="222"/>
        <v>0</v>
      </c>
    </row>
    <row r="753" spans="1:35" outlineLevel="2" x14ac:dyDescent="0.2">
      <c r="A753" s="17"/>
      <c r="B753" s="41" t="s">
        <v>709</v>
      </c>
      <c r="C753" s="13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D753" s="50"/>
      <c r="AE753" s="50"/>
      <c r="AF753" s="50"/>
      <c r="AG753" s="50"/>
      <c r="AH753" s="50"/>
      <c r="AI753" s="72">
        <f t="shared" si="222"/>
        <v>0</v>
      </c>
    </row>
    <row r="754" spans="1:35" outlineLevel="2" x14ac:dyDescent="0.2">
      <c r="A754" s="17"/>
      <c r="B754" s="41" t="s">
        <v>710</v>
      </c>
      <c r="C754" s="13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D754" s="50"/>
      <c r="AE754" s="50"/>
      <c r="AF754" s="50"/>
      <c r="AG754" s="50"/>
      <c r="AH754" s="50"/>
      <c r="AI754" s="72">
        <f t="shared" si="222"/>
        <v>0</v>
      </c>
    </row>
    <row r="755" spans="1:35" outlineLevel="2" x14ac:dyDescent="0.2">
      <c r="A755" s="17" t="s">
        <v>508</v>
      </c>
      <c r="B755" s="17" t="s">
        <v>509</v>
      </c>
      <c r="C755" s="13" t="s">
        <v>510</v>
      </c>
      <c r="D755" s="35">
        <f>SUM(D756:D758)</f>
        <v>0</v>
      </c>
      <c r="E755" s="35">
        <f t="shared" ref="E755:AH755" si="230">SUM(E756:E758)</f>
        <v>0</v>
      </c>
      <c r="F755" s="35">
        <f t="shared" si="230"/>
        <v>0</v>
      </c>
      <c r="G755" s="35">
        <f t="shared" si="230"/>
        <v>0</v>
      </c>
      <c r="H755" s="35">
        <f t="shared" si="230"/>
        <v>0</v>
      </c>
      <c r="I755" s="35">
        <f t="shared" si="230"/>
        <v>0</v>
      </c>
      <c r="J755" s="35">
        <f t="shared" si="230"/>
        <v>0</v>
      </c>
      <c r="K755" s="35">
        <f t="shared" si="230"/>
        <v>0</v>
      </c>
      <c r="L755" s="35">
        <f t="shared" si="230"/>
        <v>0</v>
      </c>
      <c r="M755" s="35">
        <f t="shared" si="230"/>
        <v>0</v>
      </c>
      <c r="N755" s="35">
        <f t="shared" si="230"/>
        <v>0</v>
      </c>
      <c r="O755" s="35">
        <f t="shared" si="230"/>
        <v>0</v>
      </c>
      <c r="P755" s="35">
        <f t="shared" si="230"/>
        <v>0</v>
      </c>
      <c r="Q755" s="35">
        <f t="shared" si="230"/>
        <v>0</v>
      </c>
      <c r="R755" s="35">
        <f t="shared" si="230"/>
        <v>0</v>
      </c>
      <c r="S755" s="35">
        <f t="shared" si="230"/>
        <v>0</v>
      </c>
      <c r="T755" s="35">
        <f t="shared" si="230"/>
        <v>0</v>
      </c>
      <c r="U755" s="35">
        <f t="shared" si="230"/>
        <v>0</v>
      </c>
      <c r="V755" s="35">
        <f t="shared" si="230"/>
        <v>0</v>
      </c>
      <c r="W755" s="35">
        <f t="shared" si="230"/>
        <v>0</v>
      </c>
      <c r="X755" s="35">
        <f t="shared" si="230"/>
        <v>0</v>
      </c>
      <c r="Y755" s="35">
        <f t="shared" si="230"/>
        <v>0</v>
      </c>
      <c r="Z755" s="35">
        <f t="shared" si="230"/>
        <v>0</v>
      </c>
      <c r="AA755" s="35">
        <f t="shared" si="230"/>
        <v>0</v>
      </c>
      <c r="AB755" s="35">
        <f t="shared" si="230"/>
        <v>0</v>
      </c>
      <c r="AC755" s="35">
        <f t="shared" si="230"/>
        <v>0</v>
      </c>
      <c r="AD755" s="35">
        <f t="shared" si="230"/>
        <v>0</v>
      </c>
      <c r="AE755" s="35">
        <f t="shared" si="230"/>
        <v>0</v>
      </c>
      <c r="AF755" s="35">
        <f t="shared" si="230"/>
        <v>0</v>
      </c>
      <c r="AG755" s="35">
        <f t="shared" si="230"/>
        <v>0</v>
      </c>
      <c r="AH755" s="35">
        <f t="shared" si="230"/>
        <v>0</v>
      </c>
      <c r="AI755" s="72">
        <f t="shared" si="222"/>
        <v>0</v>
      </c>
    </row>
    <row r="756" spans="1:35" outlineLevel="2" x14ac:dyDescent="0.2">
      <c r="A756" s="17"/>
      <c r="B756" s="41" t="s">
        <v>708</v>
      </c>
      <c r="C756" s="13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D756" s="50"/>
      <c r="AE756" s="50"/>
      <c r="AF756" s="50"/>
      <c r="AG756" s="50"/>
      <c r="AH756" s="50"/>
      <c r="AI756" s="72">
        <f t="shared" si="222"/>
        <v>0</v>
      </c>
    </row>
    <row r="757" spans="1:35" outlineLevel="2" x14ac:dyDescent="0.2">
      <c r="A757" s="17"/>
      <c r="B757" s="41" t="s">
        <v>709</v>
      </c>
      <c r="C757" s="13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D757" s="50"/>
      <c r="AE757" s="50"/>
      <c r="AF757" s="50"/>
      <c r="AG757" s="50"/>
      <c r="AH757" s="50"/>
      <c r="AI757" s="72">
        <f t="shared" si="222"/>
        <v>0</v>
      </c>
    </row>
    <row r="758" spans="1:35" outlineLevel="2" x14ac:dyDescent="0.2">
      <c r="A758" s="17"/>
      <c r="B758" s="41" t="s">
        <v>710</v>
      </c>
      <c r="C758" s="13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D758" s="50"/>
      <c r="AE758" s="50"/>
      <c r="AF758" s="50"/>
      <c r="AG758" s="50"/>
      <c r="AH758" s="50"/>
      <c r="AI758" s="72">
        <f t="shared" si="222"/>
        <v>0</v>
      </c>
    </row>
    <row r="759" spans="1:35" s="3" customFormat="1" x14ac:dyDescent="0.2">
      <c r="A759" s="21" t="s">
        <v>511</v>
      </c>
      <c r="B759" s="21" t="s">
        <v>512</v>
      </c>
      <c r="C759" s="16" t="s">
        <v>513</v>
      </c>
      <c r="D759" s="44">
        <f>SUM(D760:D762)</f>
        <v>0</v>
      </c>
      <c r="E759" s="44">
        <f t="shared" ref="E759:AH759" si="231">SUM(E760:E762)</f>
        <v>0</v>
      </c>
      <c r="F759" s="44">
        <f t="shared" si="231"/>
        <v>0</v>
      </c>
      <c r="G759" s="44">
        <f t="shared" si="231"/>
        <v>0</v>
      </c>
      <c r="H759" s="44">
        <f t="shared" si="231"/>
        <v>0</v>
      </c>
      <c r="I759" s="44">
        <f t="shared" si="231"/>
        <v>0</v>
      </c>
      <c r="J759" s="44">
        <f t="shared" si="231"/>
        <v>0</v>
      </c>
      <c r="K759" s="44">
        <f t="shared" si="231"/>
        <v>0</v>
      </c>
      <c r="L759" s="44">
        <f t="shared" si="231"/>
        <v>0</v>
      </c>
      <c r="M759" s="44">
        <f t="shared" si="231"/>
        <v>0</v>
      </c>
      <c r="N759" s="44">
        <f t="shared" si="231"/>
        <v>0</v>
      </c>
      <c r="O759" s="44">
        <f t="shared" si="231"/>
        <v>0</v>
      </c>
      <c r="P759" s="44">
        <f t="shared" si="231"/>
        <v>0</v>
      </c>
      <c r="Q759" s="44">
        <f t="shared" si="231"/>
        <v>0</v>
      </c>
      <c r="R759" s="44">
        <f t="shared" si="231"/>
        <v>0</v>
      </c>
      <c r="S759" s="44">
        <f t="shared" si="231"/>
        <v>0</v>
      </c>
      <c r="T759" s="44">
        <f t="shared" si="231"/>
        <v>0</v>
      </c>
      <c r="U759" s="44">
        <f t="shared" si="231"/>
        <v>0</v>
      </c>
      <c r="V759" s="44">
        <f t="shared" si="231"/>
        <v>0</v>
      </c>
      <c r="W759" s="44">
        <f t="shared" si="231"/>
        <v>0</v>
      </c>
      <c r="X759" s="44">
        <f t="shared" si="231"/>
        <v>0</v>
      </c>
      <c r="Y759" s="44">
        <f t="shared" si="231"/>
        <v>0</v>
      </c>
      <c r="Z759" s="44">
        <f t="shared" si="231"/>
        <v>0</v>
      </c>
      <c r="AA759" s="44">
        <f t="shared" si="231"/>
        <v>0</v>
      </c>
      <c r="AB759" s="44">
        <f t="shared" si="231"/>
        <v>0</v>
      </c>
      <c r="AC759" s="44">
        <f t="shared" si="231"/>
        <v>0</v>
      </c>
      <c r="AD759" s="44">
        <f t="shared" si="231"/>
        <v>0</v>
      </c>
      <c r="AE759" s="44">
        <f t="shared" si="231"/>
        <v>0</v>
      </c>
      <c r="AF759" s="44">
        <f t="shared" si="231"/>
        <v>0</v>
      </c>
      <c r="AG759" s="44">
        <f t="shared" si="231"/>
        <v>0</v>
      </c>
      <c r="AH759" s="44">
        <f t="shared" si="231"/>
        <v>0</v>
      </c>
      <c r="AI759" s="72">
        <f t="shared" si="222"/>
        <v>0</v>
      </c>
    </row>
    <row r="760" spans="1:35" outlineLevel="2" x14ac:dyDescent="0.2">
      <c r="A760" s="21"/>
      <c r="B760" s="41" t="s">
        <v>708</v>
      </c>
      <c r="C760" s="13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52"/>
      <c r="AE760" s="52"/>
      <c r="AF760" s="52"/>
      <c r="AG760" s="52"/>
      <c r="AH760" s="52"/>
      <c r="AI760" s="72">
        <f t="shared" si="222"/>
        <v>0</v>
      </c>
    </row>
    <row r="761" spans="1:35" outlineLevel="2" x14ac:dyDescent="0.2">
      <c r="A761" s="21"/>
      <c r="B761" s="41" t="s">
        <v>709</v>
      </c>
      <c r="C761" s="13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52"/>
      <c r="AE761" s="52"/>
      <c r="AF761" s="52"/>
      <c r="AG761" s="52"/>
      <c r="AH761" s="52"/>
      <c r="AI761" s="72">
        <f t="shared" si="222"/>
        <v>0</v>
      </c>
    </row>
    <row r="762" spans="1:35" outlineLevel="2" x14ac:dyDescent="0.2">
      <c r="A762" s="21"/>
      <c r="B762" s="41" t="s">
        <v>710</v>
      </c>
      <c r="C762" s="13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52"/>
      <c r="AE762" s="52"/>
      <c r="AF762" s="52"/>
      <c r="AG762" s="52"/>
      <c r="AH762" s="52"/>
      <c r="AI762" s="72">
        <f t="shared" si="222"/>
        <v>0</v>
      </c>
    </row>
    <row r="763" spans="1:35" s="3" customFormat="1" x14ac:dyDescent="0.2">
      <c r="A763" s="21" t="s">
        <v>514</v>
      </c>
      <c r="B763" s="21" t="s">
        <v>77</v>
      </c>
      <c r="C763" s="16" t="s">
        <v>515</v>
      </c>
      <c r="D763" s="44">
        <f>D764+D768+D772</f>
        <v>0</v>
      </c>
      <c r="E763" s="44">
        <f t="shared" ref="E763:AH763" si="232">E764+E768+E772</f>
        <v>0</v>
      </c>
      <c r="F763" s="44">
        <f t="shared" si="232"/>
        <v>0</v>
      </c>
      <c r="G763" s="44">
        <f t="shared" si="232"/>
        <v>0</v>
      </c>
      <c r="H763" s="44">
        <f t="shared" si="232"/>
        <v>0</v>
      </c>
      <c r="I763" s="44">
        <f t="shared" si="232"/>
        <v>0</v>
      </c>
      <c r="J763" s="44">
        <f t="shared" si="232"/>
        <v>0</v>
      </c>
      <c r="K763" s="44">
        <f t="shared" si="232"/>
        <v>0</v>
      </c>
      <c r="L763" s="44">
        <f t="shared" si="232"/>
        <v>0</v>
      </c>
      <c r="M763" s="44">
        <f t="shared" si="232"/>
        <v>0</v>
      </c>
      <c r="N763" s="44">
        <f t="shared" si="232"/>
        <v>0</v>
      </c>
      <c r="O763" s="44">
        <f t="shared" si="232"/>
        <v>0</v>
      </c>
      <c r="P763" s="44">
        <f t="shared" si="232"/>
        <v>0</v>
      </c>
      <c r="Q763" s="44">
        <f t="shared" si="232"/>
        <v>0</v>
      </c>
      <c r="R763" s="44">
        <f t="shared" si="232"/>
        <v>0</v>
      </c>
      <c r="S763" s="44">
        <f t="shared" si="232"/>
        <v>0</v>
      </c>
      <c r="T763" s="44">
        <f t="shared" si="232"/>
        <v>0</v>
      </c>
      <c r="U763" s="44">
        <f t="shared" si="232"/>
        <v>0</v>
      </c>
      <c r="V763" s="44">
        <f t="shared" si="232"/>
        <v>0</v>
      </c>
      <c r="W763" s="44">
        <f t="shared" si="232"/>
        <v>0</v>
      </c>
      <c r="X763" s="44">
        <f t="shared" si="232"/>
        <v>0</v>
      </c>
      <c r="Y763" s="44">
        <f t="shared" si="232"/>
        <v>0</v>
      </c>
      <c r="Z763" s="44">
        <f t="shared" si="232"/>
        <v>0</v>
      </c>
      <c r="AA763" s="44">
        <f t="shared" si="232"/>
        <v>0</v>
      </c>
      <c r="AB763" s="44">
        <f t="shared" si="232"/>
        <v>0</v>
      </c>
      <c r="AC763" s="44">
        <f t="shared" si="232"/>
        <v>0</v>
      </c>
      <c r="AD763" s="44">
        <f t="shared" si="232"/>
        <v>0</v>
      </c>
      <c r="AE763" s="44">
        <f t="shared" si="232"/>
        <v>0</v>
      </c>
      <c r="AF763" s="44">
        <f t="shared" si="232"/>
        <v>0</v>
      </c>
      <c r="AG763" s="44">
        <f t="shared" si="232"/>
        <v>0</v>
      </c>
      <c r="AH763" s="44">
        <f t="shared" si="232"/>
        <v>0</v>
      </c>
      <c r="AI763" s="72">
        <f t="shared" si="222"/>
        <v>0</v>
      </c>
    </row>
    <row r="764" spans="1:35" outlineLevel="1" x14ac:dyDescent="0.2">
      <c r="A764" s="15" t="s">
        <v>516</v>
      </c>
      <c r="B764" s="15" t="s">
        <v>517</v>
      </c>
      <c r="C764" s="13">
        <v>2251000000</v>
      </c>
      <c r="D764" s="35">
        <f>SUM(D765:D767)</f>
        <v>0</v>
      </c>
      <c r="E764" s="35">
        <f t="shared" ref="E764:AH764" si="233">SUM(E765:E767)</f>
        <v>0</v>
      </c>
      <c r="F764" s="35">
        <f t="shared" si="233"/>
        <v>0</v>
      </c>
      <c r="G764" s="35">
        <f t="shared" si="233"/>
        <v>0</v>
      </c>
      <c r="H764" s="35">
        <f t="shared" si="233"/>
        <v>0</v>
      </c>
      <c r="I764" s="35">
        <f t="shared" si="233"/>
        <v>0</v>
      </c>
      <c r="J764" s="35">
        <f t="shared" si="233"/>
        <v>0</v>
      </c>
      <c r="K764" s="35">
        <f t="shared" si="233"/>
        <v>0</v>
      </c>
      <c r="L764" s="35">
        <f t="shared" si="233"/>
        <v>0</v>
      </c>
      <c r="M764" s="35">
        <f t="shared" si="233"/>
        <v>0</v>
      </c>
      <c r="N764" s="35">
        <f t="shared" si="233"/>
        <v>0</v>
      </c>
      <c r="O764" s="35">
        <f t="shared" si="233"/>
        <v>0</v>
      </c>
      <c r="P764" s="35">
        <f t="shared" si="233"/>
        <v>0</v>
      </c>
      <c r="Q764" s="35">
        <f t="shared" si="233"/>
        <v>0</v>
      </c>
      <c r="R764" s="35">
        <f t="shared" si="233"/>
        <v>0</v>
      </c>
      <c r="S764" s="35">
        <f t="shared" si="233"/>
        <v>0</v>
      </c>
      <c r="T764" s="35">
        <f t="shared" si="233"/>
        <v>0</v>
      </c>
      <c r="U764" s="35">
        <f t="shared" si="233"/>
        <v>0</v>
      </c>
      <c r="V764" s="35">
        <f t="shared" si="233"/>
        <v>0</v>
      </c>
      <c r="W764" s="35">
        <f t="shared" si="233"/>
        <v>0</v>
      </c>
      <c r="X764" s="35">
        <f t="shared" si="233"/>
        <v>0</v>
      </c>
      <c r="Y764" s="35">
        <f t="shared" si="233"/>
        <v>0</v>
      </c>
      <c r="Z764" s="35">
        <f t="shared" si="233"/>
        <v>0</v>
      </c>
      <c r="AA764" s="35">
        <f t="shared" si="233"/>
        <v>0</v>
      </c>
      <c r="AB764" s="35">
        <f t="shared" si="233"/>
        <v>0</v>
      </c>
      <c r="AC764" s="35">
        <f t="shared" si="233"/>
        <v>0</v>
      </c>
      <c r="AD764" s="35">
        <f t="shared" si="233"/>
        <v>0</v>
      </c>
      <c r="AE764" s="35">
        <f t="shared" si="233"/>
        <v>0</v>
      </c>
      <c r="AF764" s="35">
        <f t="shared" si="233"/>
        <v>0</v>
      </c>
      <c r="AG764" s="35">
        <f t="shared" si="233"/>
        <v>0</v>
      </c>
      <c r="AH764" s="35">
        <f t="shared" si="233"/>
        <v>0</v>
      </c>
      <c r="AI764" s="72">
        <f t="shared" si="222"/>
        <v>0</v>
      </c>
    </row>
    <row r="765" spans="1:35" outlineLevel="2" x14ac:dyDescent="0.2">
      <c r="A765" s="15"/>
      <c r="B765" s="41" t="s">
        <v>708</v>
      </c>
      <c r="C765" s="13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D765" s="50"/>
      <c r="AE765" s="50"/>
      <c r="AF765" s="50"/>
      <c r="AG765" s="50"/>
      <c r="AH765" s="50"/>
      <c r="AI765" s="72">
        <f t="shared" si="222"/>
        <v>0</v>
      </c>
    </row>
    <row r="766" spans="1:35" outlineLevel="2" x14ac:dyDescent="0.2">
      <c r="A766" s="15"/>
      <c r="B766" s="41" t="s">
        <v>709</v>
      </c>
      <c r="C766" s="13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D766" s="50"/>
      <c r="AE766" s="50"/>
      <c r="AF766" s="50"/>
      <c r="AG766" s="50"/>
      <c r="AH766" s="50"/>
      <c r="AI766" s="72">
        <f t="shared" si="222"/>
        <v>0</v>
      </c>
    </row>
    <row r="767" spans="1:35" outlineLevel="2" x14ac:dyDescent="0.2">
      <c r="A767" s="15"/>
      <c r="B767" s="41" t="s">
        <v>710</v>
      </c>
      <c r="C767" s="13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D767" s="50"/>
      <c r="AE767" s="50"/>
      <c r="AF767" s="50"/>
      <c r="AG767" s="50"/>
      <c r="AH767" s="50"/>
      <c r="AI767" s="72">
        <f t="shared" si="222"/>
        <v>0</v>
      </c>
    </row>
    <row r="768" spans="1:35" outlineLevel="1" x14ac:dyDescent="0.2">
      <c r="A768" s="15" t="s">
        <v>518</v>
      </c>
      <c r="B768" s="15" t="s">
        <v>519</v>
      </c>
      <c r="C768" s="13" t="s">
        <v>520</v>
      </c>
      <c r="D768" s="35">
        <f>SUM(D769:D771)</f>
        <v>0</v>
      </c>
      <c r="E768" s="35">
        <f t="shared" ref="E768:AH768" si="234">SUM(E769:E771)</f>
        <v>0</v>
      </c>
      <c r="F768" s="35">
        <f t="shared" si="234"/>
        <v>0</v>
      </c>
      <c r="G768" s="35">
        <f t="shared" si="234"/>
        <v>0</v>
      </c>
      <c r="H768" s="35">
        <f t="shared" si="234"/>
        <v>0</v>
      </c>
      <c r="I768" s="35">
        <f t="shared" si="234"/>
        <v>0</v>
      </c>
      <c r="J768" s="35">
        <f t="shared" si="234"/>
        <v>0</v>
      </c>
      <c r="K768" s="35">
        <f t="shared" si="234"/>
        <v>0</v>
      </c>
      <c r="L768" s="35">
        <f t="shared" si="234"/>
        <v>0</v>
      </c>
      <c r="M768" s="35">
        <f t="shared" si="234"/>
        <v>0</v>
      </c>
      <c r="N768" s="35">
        <f t="shared" si="234"/>
        <v>0</v>
      </c>
      <c r="O768" s="35">
        <f t="shared" si="234"/>
        <v>0</v>
      </c>
      <c r="P768" s="35">
        <f t="shared" si="234"/>
        <v>0</v>
      </c>
      <c r="Q768" s="35">
        <f t="shared" si="234"/>
        <v>0</v>
      </c>
      <c r="R768" s="35">
        <f t="shared" si="234"/>
        <v>0</v>
      </c>
      <c r="S768" s="35">
        <f t="shared" si="234"/>
        <v>0</v>
      </c>
      <c r="T768" s="35">
        <f t="shared" si="234"/>
        <v>0</v>
      </c>
      <c r="U768" s="35">
        <f t="shared" si="234"/>
        <v>0</v>
      </c>
      <c r="V768" s="35">
        <f t="shared" si="234"/>
        <v>0</v>
      </c>
      <c r="W768" s="35">
        <f t="shared" si="234"/>
        <v>0</v>
      </c>
      <c r="X768" s="35">
        <f t="shared" si="234"/>
        <v>0</v>
      </c>
      <c r="Y768" s="35">
        <f t="shared" si="234"/>
        <v>0</v>
      </c>
      <c r="Z768" s="35">
        <f t="shared" si="234"/>
        <v>0</v>
      </c>
      <c r="AA768" s="35">
        <f t="shared" si="234"/>
        <v>0</v>
      </c>
      <c r="AB768" s="35">
        <f t="shared" si="234"/>
        <v>0</v>
      </c>
      <c r="AC768" s="35">
        <f t="shared" si="234"/>
        <v>0</v>
      </c>
      <c r="AD768" s="35">
        <f t="shared" si="234"/>
        <v>0</v>
      </c>
      <c r="AE768" s="35">
        <f t="shared" si="234"/>
        <v>0</v>
      </c>
      <c r="AF768" s="35">
        <f t="shared" si="234"/>
        <v>0</v>
      </c>
      <c r="AG768" s="35">
        <f t="shared" si="234"/>
        <v>0</v>
      </c>
      <c r="AH768" s="35">
        <f t="shared" si="234"/>
        <v>0</v>
      </c>
      <c r="AI768" s="72">
        <f t="shared" si="222"/>
        <v>0</v>
      </c>
    </row>
    <row r="769" spans="1:35" outlineLevel="2" x14ac:dyDescent="0.2">
      <c r="A769" s="15"/>
      <c r="B769" s="41" t="s">
        <v>708</v>
      </c>
      <c r="C769" s="13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D769" s="50"/>
      <c r="AE769" s="50"/>
      <c r="AF769" s="50"/>
      <c r="AG769" s="50"/>
      <c r="AH769" s="50"/>
      <c r="AI769" s="72">
        <f t="shared" si="222"/>
        <v>0</v>
      </c>
    </row>
    <row r="770" spans="1:35" outlineLevel="2" x14ac:dyDescent="0.2">
      <c r="A770" s="15"/>
      <c r="B770" s="41" t="s">
        <v>709</v>
      </c>
      <c r="C770" s="13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D770" s="50"/>
      <c r="AE770" s="50"/>
      <c r="AF770" s="50"/>
      <c r="AG770" s="50"/>
      <c r="AH770" s="50"/>
      <c r="AI770" s="72">
        <f t="shared" si="222"/>
        <v>0</v>
      </c>
    </row>
    <row r="771" spans="1:35" outlineLevel="2" x14ac:dyDescent="0.2">
      <c r="A771" s="15"/>
      <c r="B771" s="41" t="s">
        <v>710</v>
      </c>
      <c r="C771" s="13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D771" s="50"/>
      <c r="AE771" s="50"/>
      <c r="AF771" s="50"/>
      <c r="AG771" s="50"/>
      <c r="AH771" s="50"/>
      <c r="AI771" s="72">
        <f t="shared" si="222"/>
        <v>0</v>
      </c>
    </row>
    <row r="772" spans="1:35" outlineLevel="1" x14ac:dyDescent="0.2">
      <c r="A772" s="15" t="s">
        <v>645</v>
      </c>
      <c r="B772" s="15" t="s">
        <v>673</v>
      </c>
      <c r="C772" s="13">
        <v>2253000000</v>
      </c>
      <c r="D772" s="35">
        <f>D777</f>
        <v>0</v>
      </c>
      <c r="E772" s="35">
        <f>E777</f>
        <v>0</v>
      </c>
      <c r="F772" s="35">
        <f t="shared" ref="F772:AH772" si="235">F777</f>
        <v>0</v>
      </c>
      <c r="G772" s="35">
        <f t="shared" si="235"/>
        <v>0</v>
      </c>
      <c r="H772" s="35">
        <f t="shared" si="235"/>
        <v>0</v>
      </c>
      <c r="I772" s="35">
        <f t="shared" si="235"/>
        <v>0</v>
      </c>
      <c r="J772" s="35">
        <f t="shared" si="235"/>
        <v>0</v>
      </c>
      <c r="K772" s="35">
        <f t="shared" si="235"/>
        <v>0</v>
      </c>
      <c r="L772" s="35">
        <f t="shared" si="235"/>
        <v>0</v>
      </c>
      <c r="M772" s="35">
        <f t="shared" si="235"/>
        <v>0</v>
      </c>
      <c r="N772" s="35">
        <f t="shared" si="235"/>
        <v>0</v>
      </c>
      <c r="O772" s="35">
        <f t="shared" si="235"/>
        <v>0</v>
      </c>
      <c r="P772" s="35">
        <f t="shared" si="235"/>
        <v>0</v>
      </c>
      <c r="Q772" s="35">
        <f t="shared" si="235"/>
        <v>0</v>
      </c>
      <c r="R772" s="35">
        <f t="shared" si="235"/>
        <v>0</v>
      </c>
      <c r="S772" s="35">
        <f t="shared" si="235"/>
        <v>0</v>
      </c>
      <c r="T772" s="35">
        <f t="shared" si="235"/>
        <v>0</v>
      </c>
      <c r="U772" s="35">
        <f t="shared" si="235"/>
        <v>0</v>
      </c>
      <c r="V772" s="35">
        <f t="shared" si="235"/>
        <v>0</v>
      </c>
      <c r="W772" s="35">
        <f t="shared" si="235"/>
        <v>0</v>
      </c>
      <c r="X772" s="35">
        <f t="shared" si="235"/>
        <v>0</v>
      </c>
      <c r="Y772" s="35">
        <f t="shared" si="235"/>
        <v>0</v>
      </c>
      <c r="Z772" s="35">
        <f t="shared" si="235"/>
        <v>0</v>
      </c>
      <c r="AA772" s="35">
        <f t="shared" si="235"/>
        <v>0</v>
      </c>
      <c r="AB772" s="35">
        <f t="shared" si="235"/>
        <v>0</v>
      </c>
      <c r="AC772" s="35">
        <f t="shared" si="235"/>
        <v>0</v>
      </c>
      <c r="AD772" s="35">
        <f t="shared" si="235"/>
        <v>0</v>
      </c>
      <c r="AE772" s="35">
        <f t="shared" si="235"/>
        <v>0</v>
      </c>
      <c r="AF772" s="35">
        <f t="shared" si="235"/>
        <v>0</v>
      </c>
      <c r="AG772" s="35">
        <f t="shared" si="235"/>
        <v>0</v>
      </c>
      <c r="AH772" s="35">
        <f t="shared" si="235"/>
        <v>0</v>
      </c>
      <c r="AI772" s="72">
        <f t="shared" si="222"/>
        <v>0</v>
      </c>
    </row>
    <row r="773" spans="1:35" outlineLevel="2" x14ac:dyDescent="0.2">
      <c r="A773" s="58" t="s">
        <v>674</v>
      </c>
      <c r="B773" s="58" t="s">
        <v>675</v>
      </c>
      <c r="C773" s="57">
        <v>2253100000</v>
      </c>
      <c r="D773" s="55">
        <f>D774</f>
        <v>0</v>
      </c>
      <c r="E773" s="55">
        <f t="shared" ref="E773:AH773" si="236">E774</f>
        <v>0</v>
      </c>
      <c r="F773" s="55">
        <f t="shared" si="236"/>
        <v>13600</v>
      </c>
      <c r="G773" s="55">
        <f t="shared" si="236"/>
        <v>0</v>
      </c>
      <c r="H773" s="55">
        <f t="shared" si="236"/>
        <v>0</v>
      </c>
      <c r="I773" s="55">
        <f t="shared" si="236"/>
        <v>46389.5</v>
      </c>
      <c r="J773" s="55">
        <f t="shared" si="236"/>
        <v>0</v>
      </c>
      <c r="K773" s="55">
        <f t="shared" si="236"/>
        <v>0</v>
      </c>
      <c r="L773" s="55">
        <f t="shared" si="236"/>
        <v>0</v>
      </c>
      <c r="M773" s="55">
        <f t="shared" si="236"/>
        <v>284741.57</v>
      </c>
      <c r="N773" s="55">
        <f t="shared" si="236"/>
        <v>128795.39</v>
      </c>
      <c r="O773" s="55">
        <f t="shared" si="236"/>
        <v>283315664.74000001</v>
      </c>
      <c r="P773" s="55">
        <f t="shared" si="236"/>
        <v>58002.530000000028</v>
      </c>
      <c r="Q773" s="55">
        <f t="shared" si="236"/>
        <v>1188496.3000000119</v>
      </c>
      <c r="R773" s="55">
        <f t="shared" si="236"/>
        <v>0</v>
      </c>
      <c r="S773" s="55">
        <f t="shared" si="236"/>
        <v>0</v>
      </c>
      <c r="T773" s="55">
        <f t="shared" si="236"/>
        <v>2262721.21</v>
      </c>
      <c r="U773" s="55">
        <f t="shared" si="236"/>
        <v>96921.110000000015</v>
      </c>
      <c r="V773" s="55">
        <f t="shared" si="236"/>
        <v>30329.620000000112</v>
      </c>
      <c r="W773" s="55">
        <f t="shared" si="236"/>
        <v>10136640.609999999</v>
      </c>
      <c r="X773" s="55">
        <f t="shared" si="236"/>
        <v>4344487.3499999996</v>
      </c>
      <c r="Y773" s="55">
        <f t="shared" si="236"/>
        <v>0</v>
      </c>
      <c r="Z773" s="55">
        <f t="shared" si="236"/>
        <v>0</v>
      </c>
      <c r="AA773" s="55">
        <f t="shared" si="236"/>
        <v>388416.87000000011</v>
      </c>
      <c r="AB773" s="55">
        <f t="shared" si="236"/>
        <v>11384277.219999999</v>
      </c>
      <c r="AC773" s="55">
        <f t="shared" si="236"/>
        <v>82725301.939999998</v>
      </c>
      <c r="AD773" s="55">
        <f t="shared" si="236"/>
        <v>720513.36999999918</v>
      </c>
      <c r="AE773" s="55">
        <f t="shared" si="236"/>
        <v>370147.15999999642</v>
      </c>
      <c r="AF773" s="55">
        <f t="shared" si="236"/>
        <v>0</v>
      </c>
      <c r="AG773" s="55">
        <f t="shared" si="236"/>
        <v>0</v>
      </c>
      <c r="AH773" s="55">
        <f t="shared" si="236"/>
        <v>2322264.870000001</v>
      </c>
      <c r="AI773" s="72">
        <f t="shared" si="222"/>
        <v>399817711.36000001</v>
      </c>
    </row>
    <row r="774" spans="1:35" outlineLevel="2" x14ac:dyDescent="0.2">
      <c r="A774" s="17"/>
      <c r="B774" s="41" t="s">
        <v>709</v>
      </c>
      <c r="C774" s="13"/>
      <c r="D774" s="63">
        <f t="shared" ref="D774:AH774" si="237">-D776+D941+D945-D948</f>
        <v>0</v>
      </c>
      <c r="E774" s="63">
        <f t="shared" si="237"/>
        <v>0</v>
      </c>
      <c r="F774" s="63">
        <f t="shared" si="237"/>
        <v>13600</v>
      </c>
      <c r="G774" s="63">
        <f t="shared" si="237"/>
        <v>0</v>
      </c>
      <c r="H774" s="63">
        <f t="shared" si="237"/>
        <v>0</v>
      </c>
      <c r="I774" s="63">
        <f t="shared" si="237"/>
        <v>46389.5</v>
      </c>
      <c r="J774" s="63">
        <f t="shared" si="237"/>
        <v>0</v>
      </c>
      <c r="K774" s="63">
        <f t="shared" si="237"/>
        <v>0</v>
      </c>
      <c r="L774" s="63">
        <f t="shared" si="237"/>
        <v>0</v>
      </c>
      <c r="M774" s="63">
        <f t="shared" si="237"/>
        <v>284741.57</v>
      </c>
      <c r="N774" s="63">
        <f t="shared" si="237"/>
        <v>128795.39</v>
      </c>
      <c r="O774" s="63">
        <f t="shared" si="237"/>
        <v>283315664.74000001</v>
      </c>
      <c r="P774" s="63">
        <f t="shared" si="237"/>
        <v>58002.530000000028</v>
      </c>
      <c r="Q774" s="63">
        <f t="shared" si="237"/>
        <v>1188496.3000000119</v>
      </c>
      <c r="R774" s="63">
        <f t="shared" si="237"/>
        <v>0</v>
      </c>
      <c r="S774" s="63">
        <f t="shared" si="237"/>
        <v>0</v>
      </c>
      <c r="T774" s="63">
        <f t="shared" si="237"/>
        <v>2262721.21</v>
      </c>
      <c r="U774" s="63">
        <f t="shared" si="237"/>
        <v>96921.110000000015</v>
      </c>
      <c r="V774" s="63">
        <f t="shared" si="237"/>
        <v>30329.620000000112</v>
      </c>
      <c r="W774" s="63">
        <f t="shared" si="237"/>
        <v>10136640.609999999</v>
      </c>
      <c r="X774" s="63">
        <f t="shared" si="237"/>
        <v>4344487.3499999996</v>
      </c>
      <c r="Y774" s="63">
        <f t="shared" si="237"/>
        <v>0</v>
      </c>
      <c r="Z774" s="63">
        <f t="shared" si="237"/>
        <v>0</v>
      </c>
      <c r="AA774" s="63">
        <f t="shared" si="237"/>
        <v>388416.87000000011</v>
      </c>
      <c r="AB774" s="63">
        <f t="shared" si="237"/>
        <v>11384277.219999999</v>
      </c>
      <c r="AC774" s="63">
        <f t="shared" si="237"/>
        <v>82725301.939999998</v>
      </c>
      <c r="AD774" s="63">
        <f t="shared" si="237"/>
        <v>720513.36999999918</v>
      </c>
      <c r="AE774" s="63">
        <f t="shared" si="237"/>
        <v>370147.15999999642</v>
      </c>
      <c r="AF774" s="63">
        <f t="shared" si="237"/>
        <v>0</v>
      </c>
      <c r="AG774" s="63">
        <f t="shared" si="237"/>
        <v>0</v>
      </c>
      <c r="AH774" s="63">
        <f t="shared" si="237"/>
        <v>2322264.870000001</v>
      </c>
      <c r="AI774" s="72">
        <f t="shared" si="222"/>
        <v>399817711.36000001</v>
      </c>
    </row>
    <row r="775" spans="1:35" outlineLevel="2" x14ac:dyDescent="0.2">
      <c r="A775" s="58" t="s">
        <v>676</v>
      </c>
      <c r="B775" s="58" t="s">
        <v>677</v>
      </c>
      <c r="C775" s="57">
        <v>2253200000</v>
      </c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/>
      <c r="AD775" s="55"/>
      <c r="AE775" s="55"/>
      <c r="AF775" s="55"/>
      <c r="AG775" s="55"/>
      <c r="AH775" s="55"/>
      <c r="AI775" s="72">
        <f t="shared" si="222"/>
        <v>0</v>
      </c>
    </row>
    <row r="776" spans="1:35" outlineLevel="2" x14ac:dyDescent="0.2">
      <c r="A776" s="17"/>
      <c r="B776" s="41" t="s">
        <v>709</v>
      </c>
      <c r="C776" s="13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72">
        <f t="shared" si="222"/>
        <v>0</v>
      </c>
    </row>
    <row r="777" spans="1:35" outlineLevel="2" x14ac:dyDescent="0.2">
      <c r="A777" s="17" t="s">
        <v>678</v>
      </c>
      <c r="B777" s="17" t="s">
        <v>670</v>
      </c>
      <c r="C777" s="13">
        <v>2253300000</v>
      </c>
      <c r="D777" s="35">
        <f>SUM(D778:D780)</f>
        <v>0</v>
      </c>
      <c r="E777" s="35">
        <f t="shared" ref="E777:AH777" si="238">SUM(E778:E780)</f>
        <v>0</v>
      </c>
      <c r="F777" s="35">
        <f t="shared" si="238"/>
        <v>0</v>
      </c>
      <c r="G777" s="35">
        <f t="shared" si="238"/>
        <v>0</v>
      </c>
      <c r="H777" s="35">
        <f t="shared" si="238"/>
        <v>0</v>
      </c>
      <c r="I777" s="35">
        <f t="shared" si="238"/>
        <v>0</v>
      </c>
      <c r="J777" s="35">
        <f t="shared" si="238"/>
        <v>0</v>
      </c>
      <c r="K777" s="35">
        <f t="shared" si="238"/>
        <v>0</v>
      </c>
      <c r="L777" s="35">
        <f t="shared" si="238"/>
        <v>0</v>
      </c>
      <c r="M777" s="35">
        <f t="shared" si="238"/>
        <v>0</v>
      </c>
      <c r="N777" s="35">
        <f t="shared" si="238"/>
        <v>0</v>
      </c>
      <c r="O777" s="35">
        <f t="shared" si="238"/>
        <v>0</v>
      </c>
      <c r="P777" s="35">
        <f t="shared" si="238"/>
        <v>0</v>
      </c>
      <c r="Q777" s="35">
        <f t="shared" si="238"/>
        <v>0</v>
      </c>
      <c r="R777" s="35">
        <f t="shared" si="238"/>
        <v>0</v>
      </c>
      <c r="S777" s="35">
        <f t="shared" si="238"/>
        <v>0</v>
      </c>
      <c r="T777" s="35">
        <f t="shared" si="238"/>
        <v>0</v>
      </c>
      <c r="U777" s="35">
        <f t="shared" si="238"/>
        <v>0</v>
      </c>
      <c r="V777" s="35">
        <f t="shared" si="238"/>
        <v>0</v>
      </c>
      <c r="W777" s="35">
        <f t="shared" si="238"/>
        <v>0</v>
      </c>
      <c r="X777" s="35">
        <f t="shared" si="238"/>
        <v>0</v>
      </c>
      <c r="Y777" s="35">
        <f t="shared" si="238"/>
        <v>0</v>
      </c>
      <c r="Z777" s="35">
        <f t="shared" si="238"/>
        <v>0</v>
      </c>
      <c r="AA777" s="35">
        <f t="shared" si="238"/>
        <v>0</v>
      </c>
      <c r="AB777" s="35">
        <f t="shared" si="238"/>
        <v>0</v>
      </c>
      <c r="AC777" s="35">
        <f t="shared" si="238"/>
        <v>0</v>
      </c>
      <c r="AD777" s="35">
        <f t="shared" si="238"/>
        <v>0</v>
      </c>
      <c r="AE777" s="35">
        <f t="shared" si="238"/>
        <v>0</v>
      </c>
      <c r="AF777" s="35">
        <f t="shared" si="238"/>
        <v>0</v>
      </c>
      <c r="AG777" s="35">
        <f t="shared" si="238"/>
        <v>0</v>
      </c>
      <c r="AH777" s="35">
        <f t="shared" si="238"/>
        <v>0</v>
      </c>
      <c r="AI777" s="72">
        <f t="shared" si="222"/>
        <v>0</v>
      </c>
    </row>
    <row r="778" spans="1:35" outlineLevel="2" x14ac:dyDescent="0.2">
      <c r="A778" s="17"/>
      <c r="B778" s="41" t="s">
        <v>708</v>
      </c>
      <c r="C778" s="13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D778" s="50"/>
      <c r="AE778" s="50"/>
      <c r="AF778" s="50"/>
      <c r="AG778" s="50"/>
      <c r="AH778" s="50"/>
      <c r="AI778" s="72">
        <f t="shared" si="222"/>
        <v>0</v>
      </c>
    </row>
    <row r="779" spans="1:35" outlineLevel="2" x14ac:dyDescent="0.2">
      <c r="A779" s="17"/>
      <c r="B779" s="41" t="s">
        <v>709</v>
      </c>
      <c r="C779" s="13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D779" s="50"/>
      <c r="AE779" s="50"/>
      <c r="AF779" s="50"/>
      <c r="AG779" s="50"/>
      <c r="AH779" s="50"/>
      <c r="AI779" s="72">
        <f t="shared" si="222"/>
        <v>0</v>
      </c>
    </row>
    <row r="780" spans="1:35" outlineLevel="2" x14ac:dyDescent="0.2">
      <c r="A780" s="17"/>
      <c r="B780" s="41" t="s">
        <v>710</v>
      </c>
      <c r="C780" s="13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D780" s="50"/>
      <c r="AE780" s="50"/>
      <c r="AF780" s="50"/>
      <c r="AG780" s="50"/>
      <c r="AH780" s="50"/>
      <c r="AI780" s="72">
        <f t="shared" si="222"/>
        <v>0</v>
      </c>
    </row>
    <row r="781" spans="1:35" s="3" customFormat="1" x14ac:dyDescent="0.2">
      <c r="A781" s="21" t="s">
        <v>521</v>
      </c>
      <c r="B781" s="21" t="s">
        <v>522</v>
      </c>
      <c r="C781" s="16" t="s">
        <v>523</v>
      </c>
      <c r="D781" s="44">
        <f>D782+D786+D790</f>
        <v>0</v>
      </c>
      <c r="E781" s="44">
        <f t="shared" ref="E781:AH781" si="239">E782+E786+E790</f>
        <v>0</v>
      </c>
      <c r="F781" s="44">
        <f t="shared" si="239"/>
        <v>0</v>
      </c>
      <c r="G781" s="44">
        <f t="shared" si="239"/>
        <v>0</v>
      </c>
      <c r="H781" s="44">
        <f t="shared" si="239"/>
        <v>0</v>
      </c>
      <c r="I781" s="44">
        <f t="shared" si="239"/>
        <v>0</v>
      </c>
      <c r="J781" s="44">
        <f t="shared" si="239"/>
        <v>0</v>
      </c>
      <c r="K781" s="44">
        <f t="shared" si="239"/>
        <v>0</v>
      </c>
      <c r="L781" s="44">
        <f t="shared" si="239"/>
        <v>0</v>
      </c>
      <c r="M781" s="44">
        <f t="shared" si="239"/>
        <v>0</v>
      </c>
      <c r="N781" s="44">
        <f t="shared" si="239"/>
        <v>0</v>
      </c>
      <c r="O781" s="44">
        <f t="shared" si="239"/>
        <v>0</v>
      </c>
      <c r="P781" s="44">
        <f t="shared" si="239"/>
        <v>0</v>
      </c>
      <c r="Q781" s="44">
        <f t="shared" si="239"/>
        <v>0</v>
      </c>
      <c r="R781" s="44">
        <f t="shared" si="239"/>
        <v>0</v>
      </c>
      <c r="S781" s="44">
        <f t="shared" si="239"/>
        <v>0</v>
      </c>
      <c r="T781" s="44">
        <f t="shared" si="239"/>
        <v>0</v>
      </c>
      <c r="U781" s="44">
        <f t="shared" si="239"/>
        <v>0</v>
      </c>
      <c r="V781" s="44">
        <f t="shared" si="239"/>
        <v>0</v>
      </c>
      <c r="W781" s="44">
        <f t="shared" si="239"/>
        <v>0</v>
      </c>
      <c r="X781" s="44">
        <f t="shared" si="239"/>
        <v>0</v>
      </c>
      <c r="Y781" s="44">
        <f t="shared" si="239"/>
        <v>0</v>
      </c>
      <c r="Z781" s="44">
        <f t="shared" si="239"/>
        <v>0</v>
      </c>
      <c r="AA781" s="44">
        <f t="shared" si="239"/>
        <v>0</v>
      </c>
      <c r="AB781" s="44">
        <f t="shared" si="239"/>
        <v>0</v>
      </c>
      <c r="AC781" s="44">
        <f t="shared" si="239"/>
        <v>0</v>
      </c>
      <c r="AD781" s="44">
        <f t="shared" si="239"/>
        <v>0</v>
      </c>
      <c r="AE781" s="44">
        <f t="shared" si="239"/>
        <v>0</v>
      </c>
      <c r="AF781" s="44">
        <f t="shared" si="239"/>
        <v>0</v>
      </c>
      <c r="AG781" s="44">
        <f t="shared" si="239"/>
        <v>0</v>
      </c>
      <c r="AH781" s="44">
        <f t="shared" si="239"/>
        <v>0</v>
      </c>
      <c r="AI781" s="72">
        <f t="shared" si="222"/>
        <v>0</v>
      </c>
    </row>
    <row r="782" spans="1:35" outlineLevel="1" x14ac:dyDescent="0.2">
      <c r="A782" s="15" t="s">
        <v>524</v>
      </c>
      <c r="B782" s="15" t="s">
        <v>525</v>
      </c>
      <c r="C782" s="13" t="s">
        <v>526</v>
      </c>
      <c r="D782" s="35">
        <f>SUM(D783:D785)</f>
        <v>0</v>
      </c>
      <c r="E782" s="35">
        <f t="shared" ref="E782:AH782" si="240">SUM(E783:E785)</f>
        <v>0</v>
      </c>
      <c r="F782" s="35">
        <f t="shared" si="240"/>
        <v>0</v>
      </c>
      <c r="G782" s="35">
        <f t="shared" si="240"/>
        <v>0</v>
      </c>
      <c r="H782" s="35">
        <f t="shared" si="240"/>
        <v>0</v>
      </c>
      <c r="I782" s="35">
        <f t="shared" si="240"/>
        <v>0</v>
      </c>
      <c r="J782" s="35">
        <f t="shared" si="240"/>
        <v>0</v>
      </c>
      <c r="K782" s="35">
        <f t="shared" si="240"/>
        <v>0</v>
      </c>
      <c r="L782" s="35">
        <f t="shared" si="240"/>
        <v>0</v>
      </c>
      <c r="M782" s="35">
        <f t="shared" si="240"/>
        <v>0</v>
      </c>
      <c r="N782" s="35">
        <f t="shared" si="240"/>
        <v>0</v>
      </c>
      <c r="O782" s="35">
        <f t="shared" si="240"/>
        <v>0</v>
      </c>
      <c r="P782" s="35">
        <f t="shared" si="240"/>
        <v>0</v>
      </c>
      <c r="Q782" s="35">
        <f t="shared" si="240"/>
        <v>0</v>
      </c>
      <c r="R782" s="35">
        <f t="shared" si="240"/>
        <v>0</v>
      </c>
      <c r="S782" s="35">
        <f t="shared" si="240"/>
        <v>0</v>
      </c>
      <c r="T782" s="35">
        <f t="shared" si="240"/>
        <v>0</v>
      </c>
      <c r="U782" s="35">
        <f t="shared" si="240"/>
        <v>0</v>
      </c>
      <c r="V782" s="35">
        <f t="shared" si="240"/>
        <v>0</v>
      </c>
      <c r="W782" s="35">
        <f t="shared" si="240"/>
        <v>0</v>
      </c>
      <c r="X782" s="35">
        <f t="shared" si="240"/>
        <v>0</v>
      </c>
      <c r="Y782" s="35">
        <f t="shared" si="240"/>
        <v>0</v>
      </c>
      <c r="Z782" s="35">
        <f t="shared" si="240"/>
        <v>0</v>
      </c>
      <c r="AA782" s="35">
        <f t="shared" si="240"/>
        <v>0</v>
      </c>
      <c r="AB782" s="35">
        <f t="shared" si="240"/>
        <v>0</v>
      </c>
      <c r="AC782" s="35">
        <f t="shared" si="240"/>
        <v>0</v>
      </c>
      <c r="AD782" s="35">
        <f t="shared" si="240"/>
        <v>0</v>
      </c>
      <c r="AE782" s="35">
        <f t="shared" si="240"/>
        <v>0</v>
      </c>
      <c r="AF782" s="35">
        <f t="shared" si="240"/>
        <v>0</v>
      </c>
      <c r="AG782" s="35">
        <f t="shared" si="240"/>
        <v>0</v>
      </c>
      <c r="AH782" s="35">
        <f t="shared" si="240"/>
        <v>0</v>
      </c>
      <c r="AI782" s="72">
        <f t="shared" si="222"/>
        <v>0</v>
      </c>
    </row>
    <row r="783" spans="1:35" outlineLevel="2" x14ac:dyDescent="0.2">
      <c r="A783" s="15"/>
      <c r="B783" s="41" t="s">
        <v>708</v>
      </c>
      <c r="C783" s="13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D783" s="50"/>
      <c r="AE783" s="50"/>
      <c r="AF783" s="50"/>
      <c r="AG783" s="50"/>
      <c r="AH783" s="50"/>
      <c r="AI783" s="72">
        <f t="shared" si="222"/>
        <v>0</v>
      </c>
    </row>
    <row r="784" spans="1:35" outlineLevel="2" x14ac:dyDescent="0.2">
      <c r="A784" s="15"/>
      <c r="B784" s="41" t="s">
        <v>709</v>
      </c>
      <c r="C784" s="13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D784" s="50"/>
      <c r="AE784" s="50"/>
      <c r="AF784" s="50"/>
      <c r="AG784" s="50"/>
      <c r="AH784" s="50"/>
      <c r="AI784" s="72">
        <f t="shared" si="222"/>
        <v>0</v>
      </c>
    </row>
    <row r="785" spans="1:35" outlineLevel="2" x14ac:dyDescent="0.2">
      <c r="A785" s="15"/>
      <c r="B785" s="41" t="s">
        <v>710</v>
      </c>
      <c r="C785" s="13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D785" s="50"/>
      <c r="AE785" s="50"/>
      <c r="AF785" s="50"/>
      <c r="AG785" s="50"/>
      <c r="AH785" s="50"/>
      <c r="AI785" s="72">
        <f t="shared" si="222"/>
        <v>0</v>
      </c>
    </row>
    <row r="786" spans="1:35" outlineLevel="1" x14ac:dyDescent="0.2">
      <c r="A786" s="15" t="s">
        <v>527</v>
      </c>
      <c r="B786" s="15" t="s">
        <v>528</v>
      </c>
      <c r="C786" s="13" t="s">
        <v>529</v>
      </c>
      <c r="D786" s="35">
        <f>SUM(D787:D789)</f>
        <v>0</v>
      </c>
      <c r="E786" s="35">
        <f t="shared" ref="E786:AH786" si="241">SUM(E787:E789)</f>
        <v>0</v>
      </c>
      <c r="F786" s="35">
        <f t="shared" si="241"/>
        <v>0</v>
      </c>
      <c r="G786" s="35">
        <f t="shared" si="241"/>
        <v>0</v>
      </c>
      <c r="H786" s="35">
        <f t="shared" si="241"/>
        <v>0</v>
      </c>
      <c r="I786" s="35">
        <f t="shared" si="241"/>
        <v>0</v>
      </c>
      <c r="J786" s="35">
        <f t="shared" si="241"/>
        <v>0</v>
      </c>
      <c r="K786" s="35">
        <f t="shared" si="241"/>
        <v>0</v>
      </c>
      <c r="L786" s="35">
        <f t="shared" si="241"/>
        <v>0</v>
      </c>
      <c r="M786" s="35">
        <f t="shared" si="241"/>
        <v>0</v>
      </c>
      <c r="N786" s="35">
        <f t="shared" si="241"/>
        <v>0</v>
      </c>
      <c r="O786" s="35">
        <f t="shared" si="241"/>
        <v>0</v>
      </c>
      <c r="P786" s="35">
        <f t="shared" si="241"/>
        <v>0</v>
      </c>
      <c r="Q786" s="35">
        <f t="shared" si="241"/>
        <v>0</v>
      </c>
      <c r="R786" s="35">
        <f t="shared" si="241"/>
        <v>0</v>
      </c>
      <c r="S786" s="35">
        <f t="shared" si="241"/>
        <v>0</v>
      </c>
      <c r="T786" s="35">
        <f t="shared" si="241"/>
        <v>0</v>
      </c>
      <c r="U786" s="35">
        <f t="shared" si="241"/>
        <v>0</v>
      </c>
      <c r="V786" s="35">
        <f t="shared" si="241"/>
        <v>0</v>
      </c>
      <c r="W786" s="35">
        <f t="shared" si="241"/>
        <v>0</v>
      </c>
      <c r="X786" s="35">
        <f t="shared" si="241"/>
        <v>0</v>
      </c>
      <c r="Y786" s="35">
        <f t="shared" si="241"/>
        <v>0</v>
      </c>
      <c r="Z786" s="35">
        <f t="shared" si="241"/>
        <v>0</v>
      </c>
      <c r="AA786" s="35">
        <f t="shared" si="241"/>
        <v>0</v>
      </c>
      <c r="AB786" s="35">
        <f t="shared" si="241"/>
        <v>0</v>
      </c>
      <c r="AC786" s="35">
        <f t="shared" si="241"/>
        <v>0</v>
      </c>
      <c r="AD786" s="35">
        <f t="shared" si="241"/>
        <v>0</v>
      </c>
      <c r="AE786" s="35">
        <f t="shared" si="241"/>
        <v>0</v>
      </c>
      <c r="AF786" s="35">
        <f t="shared" si="241"/>
        <v>0</v>
      </c>
      <c r="AG786" s="35">
        <f t="shared" si="241"/>
        <v>0</v>
      </c>
      <c r="AH786" s="35">
        <f t="shared" si="241"/>
        <v>0</v>
      </c>
      <c r="AI786" s="72">
        <f t="shared" si="222"/>
        <v>0</v>
      </c>
    </row>
    <row r="787" spans="1:35" outlineLevel="2" x14ac:dyDescent="0.2">
      <c r="A787" s="15"/>
      <c r="B787" s="41" t="s">
        <v>708</v>
      </c>
      <c r="C787" s="13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D787" s="50"/>
      <c r="AE787" s="50"/>
      <c r="AF787" s="50"/>
      <c r="AG787" s="50"/>
      <c r="AH787" s="50"/>
      <c r="AI787" s="72">
        <f t="shared" si="222"/>
        <v>0</v>
      </c>
    </row>
    <row r="788" spans="1:35" outlineLevel="2" x14ac:dyDescent="0.2">
      <c r="A788" s="15"/>
      <c r="B788" s="41" t="s">
        <v>709</v>
      </c>
      <c r="C788" s="13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D788" s="50"/>
      <c r="AE788" s="50"/>
      <c r="AF788" s="50"/>
      <c r="AG788" s="50"/>
      <c r="AH788" s="50"/>
      <c r="AI788" s="72">
        <f t="shared" si="222"/>
        <v>0</v>
      </c>
    </row>
    <row r="789" spans="1:35" outlineLevel="2" x14ac:dyDescent="0.2">
      <c r="A789" s="15"/>
      <c r="B789" s="41" t="s">
        <v>710</v>
      </c>
      <c r="C789" s="13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D789" s="50"/>
      <c r="AE789" s="50"/>
      <c r="AF789" s="50"/>
      <c r="AG789" s="50"/>
      <c r="AH789" s="50"/>
      <c r="AI789" s="72">
        <f t="shared" si="222"/>
        <v>0</v>
      </c>
    </row>
    <row r="790" spans="1:35" outlineLevel="1" x14ac:dyDescent="0.2">
      <c r="A790" s="15" t="s">
        <v>530</v>
      </c>
      <c r="B790" s="15" t="s">
        <v>531</v>
      </c>
      <c r="C790" s="13" t="s">
        <v>532</v>
      </c>
      <c r="D790" s="35">
        <f>SUM(D791:D793)</f>
        <v>0</v>
      </c>
      <c r="E790" s="35">
        <f t="shared" ref="E790:AH790" si="242">SUM(E791:E793)</f>
        <v>0</v>
      </c>
      <c r="F790" s="35">
        <f t="shared" si="242"/>
        <v>0</v>
      </c>
      <c r="G790" s="35">
        <f t="shared" si="242"/>
        <v>0</v>
      </c>
      <c r="H790" s="35">
        <f t="shared" si="242"/>
        <v>0</v>
      </c>
      <c r="I790" s="35">
        <f t="shared" si="242"/>
        <v>0</v>
      </c>
      <c r="J790" s="35">
        <f t="shared" si="242"/>
        <v>0</v>
      </c>
      <c r="K790" s="35">
        <f t="shared" si="242"/>
        <v>0</v>
      </c>
      <c r="L790" s="35">
        <f t="shared" si="242"/>
        <v>0</v>
      </c>
      <c r="M790" s="35">
        <f t="shared" si="242"/>
        <v>0</v>
      </c>
      <c r="N790" s="35">
        <f t="shared" si="242"/>
        <v>0</v>
      </c>
      <c r="O790" s="35">
        <f t="shared" si="242"/>
        <v>0</v>
      </c>
      <c r="P790" s="35">
        <f t="shared" si="242"/>
        <v>0</v>
      </c>
      <c r="Q790" s="35">
        <f t="shared" si="242"/>
        <v>0</v>
      </c>
      <c r="R790" s="35">
        <f t="shared" si="242"/>
        <v>0</v>
      </c>
      <c r="S790" s="35">
        <f t="shared" si="242"/>
        <v>0</v>
      </c>
      <c r="T790" s="35">
        <f t="shared" si="242"/>
        <v>0</v>
      </c>
      <c r="U790" s="35">
        <f t="shared" si="242"/>
        <v>0</v>
      </c>
      <c r="V790" s="35">
        <f t="shared" si="242"/>
        <v>0</v>
      </c>
      <c r="W790" s="35">
        <f t="shared" si="242"/>
        <v>0</v>
      </c>
      <c r="X790" s="35">
        <f t="shared" si="242"/>
        <v>0</v>
      </c>
      <c r="Y790" s="35">
        <f t="shared" si="242"/>
        <v>0</v>
      </c>
      <c r="Z790" s="35">
        <f t="shared" si="242"/>
        <v>0</v>
      </c>
      <c r="AA790" s="35">
        <f t="shared" si="242"/>
        <v>0</v>
      </c>
      <c r="AB790" s="35">
        <f t="shared" si="242"/>
        <v>0</v>
      </c>
      <c r="AC790" s="35">
        <f t="shared" si="242"/>
        <v>0</v>
      </c>
      <c r="AD790" s="35">
        <f t="shared" si="242"/>
        <v>0</v>
      </c>
      <c r="AE790" s="35">
        <f t="shared" si="242"/>
        <v>0</v>
      </c>
      <c r="AF790" s="35">
        <f t="shared" si="242"/>
        <v>0</v>
      </c>
      <c r="AG790" s="35">
        <f t="shared" si="242"/>
        <v>0</v>
      </c>
      <c r="AH790" s="35">
        <f t="shared" si="242"/>
        <v>0</v>
      </c>
      <c r="AI790" s="72">
        <f t="shared" si="222"/>
        <v>0</v>
      </c>
    </row>
    <row r="791" spans="1:35" outlineLevel="2" x14ac:dyDescent="0.2">
      <c r="A791" s="15"/>
      <c r="B791" s="41" t="s">
        <v>708</v>
      </c>
      <c r="C791" s="13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D791" s="50"/>
      <c r="AE791" s="50"/>
      <c r="AF791" s="50"/>
      <c r="AG791" s="50"/>
      <c r="AH791" s="50"/>
      <c r="AI791" s="72">
        <f t="shared" si="222"/>
        <v>0</v>
      </c>
    </row>
    <row r="792" spans="1:35" outlineLevel="2" x14ac:dyDescent="0.2">
      <c r="A792" s="15"/>
      <c r="B792" s="41" t="s">
        <v>709</v>
      </c>
      <c r="C792" s="13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D792" s="50"/>
      <c r="AE792" s="50"/>
      <c r="AF792" s="50"/>
      <c r="AG792" s="50"/>
      <c r="AH792" s="50"/>
      <c r="AI792" s="72">
        <f t="shared" si="222"/>
        <v>0</v>
      </c>
    </row>
    <row r="793" spans="1:35" outlineLevel="2" x14ac:dyDescent="0.2">
      <c r="A793" s="15"/>
      <c r="B793" s="41" t="s">
        <v>710</v>
      </c>
      <c r="C793" s="13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D793" s="50"/>
      <c r="AE793" s="50"/>
      <c r="AF793" s="50"/>
      <c r="AG793" s="50"/>
      <c r="AH793" s="50"/>
      <c r="AI793" s="72">
        <f t="shared" ref="AI793:AI856" si="243">SUM(D793:AH793)</f>
        <v>0</v>
      </c>
    </row>
    <row r="794" spans="1:35" s="3" customFormat="1" x14ac:dyDescent="0.2">
      <c r="A794" s="21" t="s">
        <v>533</v>
      </c>
      <c r="B794" s="21" t="s">
        <v>534</v>
      </c>
      <c r="C794" s="16">
        <v>2270000000</v>
      </c>
      <c r="D794" s="44">
        <f>D795+D799+D803+D807+D811+D815+D819+D823+D827+D831+D835+D839</f>
        <v>0</v>
      </c>
      <c r="E794" s="44">
        <f t="shared" ref="E794:AH794" si="244">E795+E799+E803+E807+E811+E815+E819+E823+E827+E831+E835+E839</f>
        <v>0</v>
      </c>
      <c r="F794" s="44">
        <f t="shared" si="244"/>
        <v>0</v>
      </c>
      <c r="G794" s="44">
        <f t="shared" si="244"/>
        <v>0</v>
      </c>
      <c r="H794" s="44">
        <f t="shared" si="244"/>
        <v>0</v>
      </c>
      <c r="I794" s="44">
        <f t="shared" si="244"/>
        <v>0</v>
      </c>
      <c r="J794" s="44">
        <f t="shared" si="244"/>
        <v>0</v>
      </c>
      <c r="K794" s="44">
        <f t="shared" si="244"/>
        <v>0</v>
      </c>
      <c r="L794" s="44">
        <f t="shared" si="244"/>
        <v>0</v>
      </c>
      <c r="M794" s="44">
        <f t="shared" si="244"/>
        <v>0</v>
      </c>
      <c r="N794" s="44">
        <f t="shared" si="244"/>
        <v>0</v>
      </c>
      <c r="O794" s="44">
        <f t="shared" si="244"/>
        <v>0</v>
      </c>
      <c r="P794" s="44">
        <f t="shared" si="244"/>
        <v>0</v>
      </c>
      <c r="Q794" s="44">
        <f t="shared" si="244"/>
        <v>0</v>
      </c>
      <c r="R794" s="44">
        <f t="shared" si="244"/>
        <v>0</v>
      </c>
      <c r="S794" s="44">
        <f t="shared" si="244"/>
        <v>0</v>
      </c>
      <c r="T794" s="44">
        <f t="shared" si="244"/>
        <v>0</v>
      </c>
      <c r="U794" s="44">
        <f t="shared" si="244"/>
        <v>0</v>
      </c>
      <c r="V794" s="44">
        <f t="shared" si="244"/>
        <v>0</v>
      </c>
      <c r="W794" s="44">
        <f t="shared" si="244"/>
        <v>0</v>
      </c>
      <c r="X794" s="44">
        <f t="shared" si="244"/>
        <v>0</v>
      </c>
      <c r="Y794" s="44">
        <f t="shared" si="244"/>
        <v>0</v>
      </c>
      <c r="Z794" s="44">
        <f t="shared" si="244"/>
        <v>0</v>
      </c>
      <c r="AA794" s="44">
        <f t="shared" si="244"/>
        <v>0</v>
      </c>
      <c r="AB794" s="44">
        <f t="shared" si="244"/>
        <v>0</v>
      </c>
      <c r="AC794" s="44">
        <f t="shared" si="244"/>
        <v>0</v>
      </c>
      <c r="AD794" s="44">
        <f t="shared" si="244"/>
        <v>0</v>
      </c>
      <c r="AE794" s="44">
        <f t="shared" si="244"/>
        <v>0</v>
      </c>
      <c r="AF794" s="44">
        <f t="shared" si="244"/>
        <v>0</v>
      </c>
      <c r="AG794" s="44">
        <f t="shared" si="244"/>
        <v>0</v>
      </c>
      <c r="AH794" s="44">
        <f t="shared" si="244"/>
        <v>0</v>
      </c>
      <c r="AI794" s="72">
        <f t="shared" si="243"/>
        <v>0</v>
      </c>
    </row>
    <row r="795" spans="1:35" outlineLevel="1" x14ac:dyDescent="0.2">
      <c r="A795" s="33" t="s">
        <v>535</v>
      </c>
      <c r="B795" s="15" t="s">
        <v>536</v>
      </c>
      <c r="C795" s="13">
        <v>2270100000</v>
      </c>
      <c r="D795" s="35">
        <f>SUM(D796:D798)</f>
        <v>0</v>
      </c>
      <c r="E795" s="35">
        <f t="shared" ref="E795:AH795" si="245">SUM(E796:E798)</f>
        <v>0</v>
      </c>
      <c r="F795" s="35">
        <f t="shared" si="245"/>
        <v>0</v>
      </c>
      <c r="G795" s="35">
        <f t="shared" si="245"/>
        <v>0</v>
      </c>
      <c r="H795" s="35">
        <f t="shared" si="245"/>
        <v>0</v>
      </c>
      <c r="I795" s="35">
        <f t="shared" si="245"/>
        <v>0</v>
      </c>
      <c r="J795" s="35">
        <f t="shared" si="245"/>
        <v>0</v>
      </c>
      <c r="K795" s="35">
        <f t="shared" si="245"/>
        <v>0</v>
      </c>
      <c r="L795" s="35">
        <f t="shared" si="245"/>
        <v>0</v>
      </c>
      <c r="M795" s="35">
        <f t="shared" si="245"/>
        <v>0</v>
      </c>
      <c r="N795" s="35">
        <f t="shared" si="245"/>
        <v>0</v>
      </c>
      <c r="O795" s="35">
        <f t="shared" si="245"/>
        <v>0</v>
      </c>
      <c r="P795" s="35">
        <f t="shared" si="245"/>
        <v>0</v>
      </c>
      <c r="Q795" s="35">
        <f t="shared" si="245"/>
        <v>0</v>
      </c>
      <c r="R795" s="35">
        <f t="shared" si="245"/>
        <v>0</v>
      </c>
      <c r="S795" s="35">
        <f t="shared" si="245"/>
        <v>0</v>
      </c>
      <c r="T795" s="35">
        <f t="shared" si="245"/>
        <v>0</v>
      </c>
      <c r="U795" s="35">
        <f t="shared" si="245"/>
        <v>0</v>
      </c>
      <c r="V795" s="35">
        <f t="shared" si="245"/>
        <v>0</v>
      </c>
      <c r="W795" s="35">
        <f t="shared" si="245"/>
        <v>0</v>
      </c>
      <c r="X795" s="35">
        <f t="shared" si="245"/>
        <v>0</v>
      </c>
      <c r="Y795" s="35">
        <f t="shared" si="245"/>
        <v>0</v>
      </c>
      <c r="Z795" s="35">
        <f t="shared" si="245"/>
        <v>0</v>
      </c>
      <c r="AA795" s="35">
        <f t="shared" si="245"/>
        <v>0</v>
      </c>
      <c r="AB795" s="35">
        <f t="shared" si="245"/>
        <v>0</v>
      </c>
      <c r="AC795" s="35">
        <f t="shared" si="245"/>
        <v>0</v>
      </c>
      <c r="AD795" s="35">
        <f t="shared" si="245"/>
        <v>0</v>
      </c>
      <c r="AE795" s="35">
        <f t="shared" si="245"/>
        <v>0</v>
      </c>
      <c r="AF795" s="35">
        <f t="shared" si="245"/>
        <v>0</v>
      </c>
      <c r="AG795" s="35">
        <f t="shared" si="245"/>
        <v>0</v>
      </c>
      <c r="AH795" s="35">
        <f t="shared" si="245"/>
        <v>0</v>
      </c>
      <c r="AI795" s="72">
        <f t="shared" si="243"/>
        <v>0</v>
      </c>
    </row>
    <row r="796" spans="1:35" outlineLevel="2" x14ac:dyDescent="0.2">
      <c r="A796" s="33"/>
      <c r="B796" s="41" t="s">
        <v>708</v>
      </c>
      <c r="C796" s="13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D796" s="50"/>
      <c r="AE796" s="50"/>
      <c r="AF796" s="50"/>
      <c r="AG796" s="50"/>
      <c r="AH796" s="50"/>
      <c r="AI796" s="72">
        <f t="shared" si="243"/>
        <v>0</v>
      </c>
    </row>
    <row r="797" spans="1:35" outlineLevel="2" x14ac:dyDescent="0.2">
      <c r="A797" s="33"/>
      <c r="B797" s="41" t="s">
        <v>709</v>
      </c>
      <c r="C797" s="13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D797" s="50"/>
      <c r="AE797" s="50"/>
      <c r="AF797" s="50"/>
      <c r="AG797" s="50"/>
      <c r="AH797" s="50"/>
      <c r="AI797" s="72">
        <f t="shared" si="243"/>
        <v>0</v>
      </c>
    </row>
    <row r="798" spans="1:35" outlineLevel="2" x14ac:dyDescent="0.2">
      <c r="A798" s="33"/>
      <c r="B798" s="41" t="s">
        <v>710</v>
      </c>
      <c r="C798" s="13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D798" s="50"/>
      <c r="AE798" s="50"/>
      <c r="AF798" s="50"/>
      <c r="AG798" s="50"/>
      <c r="AH798" s="50"/>
      <c r="AI798" s="72">
        <f t="shared" si="243"/>
        <v>0</v>
      </c>
    </row>
    <row r="799" spans="1:35" outlineLevel="1" x14ac:dyDescent="0.2">
      <c r="A799" s="33" t="s">
        <v>537</v>
      </c>
      <c r="B799" s="15" t="s">
        <v>538</v>
      </c>
      <c r="C799" s="13">
        <v>2270200000</v>
      </c>
      <c r="D799" s="35">
        <f>SUM(D800:D802)</f>
        <v>0</v>
      </c>
      <c r="E799" s="35">
        <f t="shared" ref="E799:AH799" si="246">SUM(E800:E802)</f>
        <v>0</v>
      </c>
      <c r="F799" s="35">
        <f t="shared" si="246"/>
        <v>0</v>
      </c>
      <c r="G799" s="35">
        <f t="shared" si="246"/>
        <v>0</v>
      </c>
      <c r="H799" s="35">
        <f t="shared" si="246"/>
        <v>0</v>
      </c>
      <c r="I799" s="35">
        <f t="shared" si="246"/>
        <v>0</v>
      </c>
      <c r="J799" s="35">
        <f t="shared" si="246"/>
        <v>0</v>
      </c>
      <c r="K799" s="35">
        <f t="shared" si="246"/>
        <v>0</v>
      </c>
      <c r="L799" s="35">
        <f t="shared" si="246"/>
        <v>0</v>
      </c>
      <c r="M799" s="35">
        <f t="shared" si="246"/>
        <v>0</v>
      </c>
      <c r="N799" s="35">
        <f t="shared" si="246"/>
        <v>0</v>
      </c>
      <c r="O799" s="35">
        <f t="shared" si="246"/>
        <v>0</v>
      </c>
      <c r="P799" s="35">
        <f t="shared" si="246"/>
        <v>0</v>
      </c>
      <c r="Q799" s="35">
        <f t="shared" si="246"/>
        <v>0</v>
      </c>
      <c r="R799" s="35">
        <f t="shared" si="246"/>
        <v>0</v>
      </c>
      <c r="S799" s="35">
        <f t="shared" si="246"/>
        <v>0</v>
      </c>
      <c r="T799" s="35">
        <f t="shared" si="246"/>
        <v>0</v>
      </c>
      <c r="U799" s="35">
        <f t="shared" si="246"/>
        <v>0</v>
      </c>
      <c r="V799" s="35">
        <f t="shared" si="246"/>
        <v>0</v>
      </c>
      <c r="W799" s="35">
        <f t="shared" si="246"/>
        <v>0</v>
      </c>
      <c r="X799" s="35">
        <f t="shared" si="246"/>
        <v>0</v>
      </c>
      <c r="Y799" s="35">
        <f t="shared" si="246"/>
        <v>0</v>
      </c>
      <c r="Z799" s="35">
        <f t="shared" si="246"/>
        <v>0</v>
      </c>
      <c r="AA799" s="35">
        <f t="shared" si="246"/>
        <v>0</v>
      </c>
      <c r="AB799" s="35">
        <f t="shared" si="246"/>
        <v>0</v>
      </c>
      <c r="AC799" s="35">
        <f t="shared" si="246"/>
        <v>0</v>
      </c>
      <c r="AD799" s="35">
        <f t="shared" si="246"/>
        <v>0</v>
      </c>
      <c r="AE799" s="35">
        <f t="shared" si="246"/>
        <v>0</v>
      </c>
      <c r="AF799" s="35">
        <f t="shared" si="246"/>
        <v>0</v>
      </c>
      <c r="AG799" s="35">
        <f t="shared" si="246"/>
        <v>0</v>
      </c>
      <c r="AH799" s="35">
        <f t="shared" si="246"/>
        <v>0</v>
      </c>
      <c r="AI799" s="72">
        <f t="shared" si="243"/>
        <v>0</v>
      </c>
    </row>
    <row r="800" spans="1:35" outlineLevel="2" x14ac:dyDescent="0.2">
      <c r="A800" s="33"/>
      <c r="B800" s="41" t="s">
        <v>708</v>
      </c>
      <c r="C800" s="13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D800" s="50"/>
      <c r="AE800" s="50"/>
      <c r="AF800" s="50"/>
      <c r="AG800" s="50"/>
      <c r="AH800" s="50"/>
      <c r="AI800" s="72">
        <f t="shared" si="243"/>
        <v>0</v>
      </c>
    </row>
    <row r="801" spans="1:35" outlineLevel="2" x14ac:dyDescent="0.2">
      <c r="A801" s="33"/>
      <c r="B801" s="41" t="s">
        <v>709</v>
      </c>
      <c r="C801" s="13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D801" s="50"/>
      <c r="AE801" s="50"/>
      <c r="AF801" s="50"/>
      <c r="AG801" s="50"/>
      <c r="AH801" s="50"/>
      <c r="AI801" s="72">
        <f t="shared" si="243"/>
        <v>0</v>
      </c>
    </row>
    <row r="802" spans="1:35" outlineLevel="2" x14ac:dyDescent="0.2">
      <c r="A802" s="33"/>
      <c r="B802" s="41" t="s">
        <v>710</v>
      </c>
      <c r="C802" s="13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D802" s="50"/>
      <c r="AE802" s="50"/>
      <c r="AF802" s="50"/>
      <c r="AG802" s="50"/>
      <c r="AH802" s="50"/>
      <c r="AI802" s="72">
        <f t="shared" si="243"/>
        <v>0</v>
      </c>
    </row>
    <row r="803" spans="1:35" outlineLevel="1" x14ac:dyDescent="0.2">
      <c r="A803" s="33" t="s">
        <v>539</v>
      </c>
      <c r="B803" s="15" t="s">
        <v>540</v>
      </c>
      <c r="C803" s="13">
        <v>2270300000</v>
      </c>
      <c r="D803" s="35">
        <f>SUM(D804:D806)</f>
        <v>0</v>
      </c>
      <c r="E803" s="35">
        <f t="shared" ref="E803:AH803" si="247">SUM(E804:E806)</f>
        <v>0</v>
      </c>
      <c r="F803" s="35">
        <f t="shared" si="247"/>
        <v>0</v>
      </c>
      <c r="G803" s="35">
        <f t="shared" si="247"/>
        <v>0</v>
      </c>
      <c r="H803" s="35">
        <f t="shared" si="247"/>
        <v>0</v>
      </c>
      <c r="I803" s="35">
        <f t="shared" si="247"/>
        <v>0</v>
      </c>
      <c r="J803" s="35">
        <f t="shared" si="247"/>
        <v>0</v>
      </c>
      <c r="K803" s="35">
        <f t="shared" si="247"/>
        <v>0</v>
      </c>
      <c r="L803" s="35">
        <f t="shared" si="247"/>
        <v>0</v>
      </c>
      <c r="M803" s="35">
        <f t="shared" si="247"/>
        <v>0</v>
      </c>
      <c r="N803" s="35">
        <f t="shared" si="247"/>
        <v>0</v>
      </c>
      <c r="O803" s="35">
        <f t="shared" si="247"/>
        <v>0</v>
      </c>
      <c r="P803" s="35">
        <f t="shared" si="247"/>
        <v>0</v>
      </c>
      <c r="Q803" s="35">
        <f t="shared" si="247"/>
        <v>0</v>
      </c>
      <c r="R803" s="35">
        <f t="shared" si="247"/>
        <v>0</v>
      </c>
      <c r="S803" s="35">
        <f t="shared" si="247"/>
        <v>0</v>
      </c>
      <c r="T803" s="35">
        <f t="shared" si="247"/>
        <v>0</v>
      </c>
      <c r="U803" s="35">
        <f t="shared" si="247"/>
        <v>0</v>
      </c>
      <c r="V803" s="35">
        <f t="shared" si="247"/>
        <v>0</v>
      </c>
      <c r="W803" s="35">
        <f t="shared" si="247"/>
        <v>0</v>
      </c>
      <c r="X803" s="35">
        <f t="shared" si="247"/>
        <v>0</v>
      </c>
      <c r="Y803" s="35">
        <f t="shared" si="247"/>
        <v>0</v>
      </c>
      <c r="Z803" s="35">
        <f t="shared" si="247"/>
        <v>0</v>
      </c>
      <c r="AA803" s="35">
        <f t="shared" si="247"/>
        <v>0</v>
      </c>
      <c r="AB803" s="35">
        <f t="shared" si="247"/>
        <v>0</v>
      </c>
      <c r="AC803" s="35">
        <f t="shared" si="247"/>
        <v>0</v>
      </c>
      <c r="AD803" s="35">
        <f t="shared" si="247"/>
        <v>0</v>
      </c>
      <c r="AE803" s="35">
        <f t="shared" si="247"/>
        <v>0</v>
      </c>
      <c r="AF803" s="35">
        <f t="shared" si="247"/>
        <v>0</v>
      </c>
      <c r="AG803" s="35">
        <f t="shared" si="247"/>
        <v>0</v>
      </c>
      <c r="AH803" s="35">
        <f t="shared" si="247"/>
        <v>0</v>
      </c>
      <c r="AI803" s="72">
        <f t="shared" si="243"/>
        <v>0</v>
      </c>
    </row>
    <row r="804" spans="1:35" outlineLevel="2" x14ac:dyDescent="0.2">
      <c r="A804" s="33"/>
      <c r="B804" s="41" t="s">
        <v>708</v>
      </c>
      <c r="C804" s="13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D804" s="50"/>
      <c r="AE804" s="50"/>
      <c r="AF804" s="50"/>
      <c r="AG804" s="50"/>
      <c r="AH804" s="50"/>
      <c r="AI804" s="72">
        <f t="shared" si="243"/>
        <v>0</v>
      </c>
    </row>
    <row r="805" spans="1:35" outlineLevel="2" x14ac:dyDescent="0.2">
      <c r="A805" s="33"/>
      <c r="B805" s="41" t="s">
        <v>709</v>
      </c>
      <c r="C805" s="13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D805" s="50"/>
      <c r="AE805" s="50"/>
      <c r="AF805" s="50"/>
      <c r="AG805" s="50"/>
      <c r="AH805" s="50"/>
      <c r="AI805" s="72">
        <f t="shared" si="243"/>
        <v>0</v>
      </c>
    </row>
    <row r="806" spans="1:35" outlineLevel="2" x14ac:dyDescent="0.2">
      <c r="A806" s="33"/>
      <c r="B806" s="41" t="s">
        <v>710</v>
      </c>
      <c r="C806" s="13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D806" s="50"/>
      <c r="AE806" s="50"/>
      <c r="AF806" s="50"/>
      <c r="AG806" s="50"/>
      <c r="AH806" s="50"/>
      <c r="AI806" s="72">
        <f t="shared" si="243"/>
        <v>0</v>
      </c>
    </row>
    <row r="807" spans="1:35" outlineLevel="1" x14ac:dyDescent="0.2">
      <c r="A807" s="33" t="s">
        <v>541</v>
      </c>
      <c r="B807" s="15" t="s">
        <v>542</v>
      </c>
      <c r="C807" s="13">
        <v>2270400000</v>
      </c>
      <c r="D807" s="35">
        <f>SUM(D808:D810)</f>
        <v>0</v>
      </c>
      <c r="E807" s="35">
        <f t="shared" ref="E807:AH807" si="248">SUM(E808:E810)</f>
        <v>0</v>
      </c>
      <c r="F807" s="35">
        <f t="shared" si="248"/>
        <v>0</v>
      </c>
      <c r="G807" s="35">
        <f t="shared" si="248"/>
        <v>0</v>
      </c>
      <c r="H807" s="35">
        <f t="shared" si="248"/>
        <v>0</v>
      </c>
      <c r="I807" s="35">
        <f t="shared" si="248"/>
        <v>0</v>
      </c>
      <c r="J807" s="35">
        <f t="shared" si="248"/>
        <v>0</v>
      </c>
      <c r="K807" s="35">
        <f t="shared" si="248"/>
        <v>0</v>
      </c>
      <c r="L807" s="35">
        <f t="shared" si="248"/>
        <v>0</v>
      </c>
      <c r="M807" s="35">
        <f t="shared" si="248"/>
        <v>0</v>
      </c>
      <c r="N807" s="35">
        <f t="shared" si="248"/>
        <v>0</v>
      </c>
      <c r="O807" s="35">
        <f t="shared" si="248"/>
        <v>0</v>
      </c>
      <c r="P807" s="35">
        <f t="shared" si="248"/>
        <v>0</v>
      </c>
      <c r="Q807" s="35">
        <f t="shared" si="248"/>
        <v>0</v>
      </c>
      <c r="R807" s="35">
        <f t="shared" si="248"/>
        <v>0</v>
      </c>
      <c r="S807" s="35">
        <f t="shared" si="248"/>
        <v>0</v>
      </c>
      <c r="T807" s="35">
        <f t="shared" si="248"/>
        <v>0</v>
      </c>
      <c r="U807" s="35">
        <f t="shared" si="248"/>
        <v>0</v>
      </c>
      <c r="V807" s="35">
        <f t="shared" si="248"/>
        <v>0</v>
      </c>
      <c r="W807" s="35">
        <f t="shared" si="248"/>
        <v>0</v>
      </c>
      <c r="X807" s="35">
        <f t="shared" si="248"/>
        <v>0</v>
      </c>
      <c r="Y807" s="35">
        <f t="shared" si="248"/>
        <v>0</v>
      </c>
      <c r="Z807" s="35">
        <f t="shared" si="248"/>
        <v>0</v>
      </c>
      <c r="AA807" s="35">
        <f t="shared" si="248"/>
        <v>0</v>
      </c>
      <c r="AB807" s="35">
        <f t="shared" si="248"/>
        <v>0</v>
      </c>
      <c r="AC807" s="35">
        <f t="shared" si="248"/>
        <v>0</v>
      </c>
      <c r="AD807" s="35">
        <f t="shared" si="248"/>
        <v>0</v>
      </c>
      <c r="AE807" s="35">
        <f t="shared" si="248"/>
        <v>0</v>
      </c>
      <c r="AF807" s="35">
        <f t="shared" si="248"/>
        <v>0</v>
      </c>
      <c r="AG807" s="35">
        <f t="shared" si="248"/>
        <v>0</v>
      </c>
      <c r="AH807" s="35">
        <f t="shared" si="248"/>
        <v>0</v>
      </c>
      <c r="AI807" s="72">
        <f t="shared" si="243"/>
        <v>0</v>
      </c>
    </row>
    <row r="808" spans="1:35" outlineLevel="2" x14ac:dyDescent="0.2">
      <c r="A808" s="33"/>
      <c r="B808" s="41" t="s">
        <v>708</v>
      </c>
      <c r="C808" s="13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D808" s="50"/>
      <c r="AE808" s="50"/>
      <c r="AF808" s="50"/>
      <c r="AG808" s="50"/>
      <c r="AH808" s="50"/>
      <c r="AI808" s="72">
        <f t="shared" si="243"/>
        <v>0</v>
      </c>
    </row>
    <row r="809" spans="1:35" outlineLevel="2" x14ac:dyDescent="0.2">
      <c r="A809" s="33"/>
      <c r="B809" s="41" t="s">
        <v>709</v>
      </c>
      <c r="C809" s="13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D809" s="50"/>
      <c r="AE809" s="50"/>
      <c r="AF809" s="50"/>
      <c r="AG809" s="50"/>
      <c r="AH809" s="50"/>
      <c r="AI809" s="72">
        <f t="shared" si="243"/>
        <v>0</v>
      </c>
    </row>
    <row r="810" spans="1:35" outlineLevel="2" x14ac:dyDescent="0.2">
      <c r="A810" s="33"/>
      <c r="B810" s="41" t="s">
        <v>710</v>
      </c>
      <c r="C810" s="13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D810" s="50"/>
      <c r="AE810" s="50"/>
      <c r="AF810" s="50"/>
      <c r="AG810" s="50"/>
      <c r="AH810" s="50"/>
      <c r="AI810" s="72">
        <f t="shared" si="243"/>
        <v>0</v>
      </c>
    </row>
    <row r="811" spans="1:35" outlineLevel="1" x14ac:dyDescent="0.2">
      <c r="A811" s="33" t="s">
        <v>543</v>
      </c>
      <c r="B811" s="15" t="s">
        <v>221</v>
      </c>
      <c r="C811" s="13">
        <v>2270500000</v>
      </c>
      <c r="D811" s="35">
        <f>SUM(D812:D814)</f>
        <v>0</v>
      </c>
      <c r="E811" s="35">
        <f t="shared" ref="E811:AH811" si="249">SUM(E812:E814)</f>
        <v>0</v>
      </c>
      <c r="F811" s="35">
        <f t="shared" si="249"/>
        <v>0</v>
      </c>
      <c r="G811" s="35">
        <f t="shared" si="249"/>
        <v>0</v>
      </c>
      <c r="H811" s="35">
        <f t="shared" si="249"/>
        <v>0</v>
      </c>
      <c r="I811" s="35">
        <f t="shared" si="249"/>
        <v>0</v>
      </c>
      <c r="J811" s="35">
        <f t="shared" si="249"/>
        <v>0</v>
      </c>
      <c r="K811" s="35">
        <f t="shared" si="249"/>
        <v>0</v>
      </c>
      <c r="L811" s="35">
        <f t="shared" si="249"/>
        <v>0</v>
      </c>
      <c r="M811" s="35">
        <f t="shared" si="249"/>
        <v>0</v>
      </c>
      <c r="N811" s="35">
        <f t="shared" si="249"/>
        <v>0</v>
      </c>
      <c r="O811" s="35">
        <f t="shared" si="249"/>
        <v>0</v>
      </c>
      <c r="P811" s="35">
        <f t="shared" si="249"/>
        <v>0</v>
      </c>
      <c r="Q811" s="35">
        <f t="shared" si="249"/>
        <v>0</v>
      </c>
      <c r="R811" s="35">
        <f t="shared" si="249"/>
        <v>0</v>
      </c>
      <c r="S811" s="35">
        <f t="shared" si="249"/>
        <v>0</v>
      </c>
      <c r="T811" s="35">
        <f t="shared" si="249"/>
        <v>0</v>
      </c>
      <c r="U811" s="35">
        <f t="shared" si="249"/>
        <v>0</v>
      </c>
      <c r="V811" s="35">
        <f t="shared" si="249"/>
        <v>0</v>
      </c>
      <c r="W811" s="35">
        <f t="shared" si="249"/>
        <v>0</v>
      </c>
      <c r="X811" s="35">
        <f t="shared" si="249"/>
        <v>0</v>
      </c>
      <c r="Y811" s="35">
        <f t="shared" si="249"/>
        <v>0</v>
      </c>
      <c r="Z811" s="35">
        <f t="shared" si="249"/>
        <v>0</v>
      </c>
      <c r="AA811" s="35">
        <f t="shared" si="249"/>
        <v>0</v>
      </c>
      <c r="AB811" s="35">
        <f t="shared" si="249"/>
        <v>0</v>
      </c>
      <c r="AC811" s="35">
        <f t="shared" si="249"/>
        <v>0</v>
      </c>
      <c r="AD811" s="35">
        <f t="shared" si="249"/>
        <v>0</v>
      </c>
      <c r="AE811" s="35">
        <f t="shared" si="249"/>
        <v>0</v>
      </c>
      <c r="AF811" s="35">
        <f t="shared" si="249"/>
        <v>0</v>
      </c>
      <c r="AG811" s="35">
        <f t="shared" si="249"/>
        <v>0</v>
      </c>
      <c r="AH811" s="35">
        <f t="shared" si="249"/>
        <v>0</v>
      </c>
      <c r="AI811" s="72">
        <f t="shared" si="243"/>
        <v>0</v>
      </c>
    </row>
    <row r="812" spans="1:35" outlineLevel="2" x14ac:dyDescent="0.2">
      <c r="A812" s="33"/>
      <c r="B812" s="41" t="s">
        <v>708</v>
      </c>
      <c r="C812" s="13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D812" s="50"/>
      <c r="AE812" s="50"/>
      <c r="AF812" s="50"/>
      <c r="AG812" s="50"/>
      <c r="AH812" s="50"/>
      <c r="AI812" s="72">
        <f t="shared" si="243"/>
        <v>0</v>
      </c>
    </row>
    <row r="813" spans="1:35" outlineLevel="2" x14ac:dyDescent="0.2">
      <c r="A813" s="33"/>
      <c r="B813" s="41" t="s">
        <v>709</v>
      </c>
      <c r="C813" s="13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D813" s="50"/>
      <c r="AE813" s="50"/>
      <c r="AF813" s="50"/>
      <c r="AG813" s="50"/>
      <c r="AH813" s="50"/>
      <c r="AI813" s="72">
        <f t="shared" si="243"/>
        <v>0</v>
      </c>
    </row>
    <row r="814" spans="1:35" outlineLevel="2" x14ac:dyDescent="0.2">
      <c r="A814" s="33"/>
      <c r="B814" s="41" t="s">
        <v>710</v>
      </c>
      <c r="C814" s="13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D814" s="50"/>
      <c r="AE814" s="50"/>
      <c r="AF814" s="50"/>
      <c r="AG814" s="50"/>
      <c r="AH814" s="50"/>
      <c r="AI814" s="72">
        <f t="shared" si="243"/>
        <v>0</v>
      </c>
    </row>
    <row r="815" spans="1:35" outlineLevel="1" x14ac:dyDescent="0.2">
      <c r="A815" s="33" t="s">
        <v>544</v>
      </c>
      <c r="B815" s="15" t="s">
        <v>545</v>
      </c>
      <c r="C815" s="13">
        <v>2270600000</v>
      </c>
      <c r="D815" s="35">
        <f>SUM(D816:D818)</f>
        <v>0</v>
      </c>
      <c r="E815" s="35">
        <f t="shared" ref="E815:AH815" si="250">SUM(E816:E818)</f>
        <v>0</v>
      </c>
      <c r="F815" s="35">
        <f t="shared" si="250"/>
        <v>0</v>
      </c>
      <c r="G815" s="35">
        <f t="shared" si="250"/>
        <v>0</v>
      </c>
      <c r="H815" s="35">
        <f t="shared" si="250"/>
        <v>0</v>
      </c>
      <c r="I815" s="35">
        <f t="shared" si="250"/>
        <v>0</v>
      </c>
      <c r="J815" s="35">
        <f t="shared" si="250"/>
        <v>0</v>
      </c>
      <c r="K815" s="35">
        <f t="shared" si="250"/>
        <v>0</v>
      </c>
      <c r="L815" s="35">
        <f t="shared" si="250"/>
        <v>0</v>
      </c>
      <c r="M815" s="35">
        <f t="shared" si="250"/>
        <v>0</v>
      </c>
      <c r="N815" s="35">
        <f t="shared" si="250"/>
        <v>0</v>
      </c>
      <c r="O815" s="35">
        <f t="shared" si="250"/>
        <v>0</v>
      </c>
      <c r="P815" s="35">
        <f t="shared" si="250"/>
        <v>0</v>
      </c>
      <c r="Q815" s="35">
        <f t="shared" si="250"/>
        <v>0</v>
      </c>
      <c r="R815" s="35">
        <f t="shared" si="250"/>
        <v>0</v>
      </c>
      <c r="S815" s="35">
        <f t="shared" si="250"/>
        <v>0</v>
      </c>
      <c r="T815" s="35">
        <f t="shared" si="250"/>
        <v>0</v>
      </c>
      <c r="U815" s="35">
        <f t="shared" si="250"/>
        <v>0</v>
      </c>
      <c r="V815" s="35">
        <f t="shared" si="250"/>
        <v>0</v>
      </c>
      <c r="W815" s="35">
        <f t="shared" si="250"/>
        <v>0</v>
      </c>
      <c r="X815" s="35">
        <f t="shared" si="250"/>
        <v>0</v>
      </c>
      <c r="Y815" s="35">
        <f t="shared" si="250"/>
        <v>0</v>
      </c>
      <c r="Z815" s="35">
        <f t="shared" si="250"/>
        <v>0</v>
      </c>
      <c r="AA815" s="35">
        <f t="shared" si="250"/>
        <v>0</v>
      </c>
      <c r="AB815" s="35">
        <f t="shared" si="250"/>
        <v>0</v>
      </c>
      <c r="AC815" s="35">
        <f t="shared" si="250"/>
        <v>0</v>
      </c>
      <c r="AD815" s="35">
        <f t="shared" si="250"/>
        <v>0</v>
      </c>
      <c r="AE815" s="35">
        <f t="shared" si="250"/>
        <v>0</v>
      </c>
      <c r="AF815" s="35">
        <f t="shared" si="250"/>
        <v>0</v>
      </c>
      <c r="AG815" s="35">
        <f t="shared" si="250"/>
        <v>0</v>
      </c>
      <c r="AH815" s="35">
        <f t="shared" si="250"/>
        <v>0</v>
      </c>
      <c r="AI815" s="72">
        <f t="shared" si="243"/>
        <v>0</v>
      </c>
    </row>
    <row r="816" spans="1:35" outlineLevel="2" x14ac:dyDescent="0.2">
      <c r="A816" s="33"/>
      <c r="B816" s="41" t="s">
        <v>708</v>
      </c>
      <c r="C816" s="13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D816" s="50"/>
      <c r="AE816" s="50"/>
      <c r="AF816" s="50"/>
      <c r="AG816" s="50"/>
      <c r="AH816" s="50"/>
      <c r="AI816" s="72">
        <f t="shared" si="243"/>
        <v>0</v>
      </c>
    </row>
    <row r="817" spans="1:35" outlineLevel="2" x14ac:dyDescent="0.2">
      <c r="A817" s="33"/>
      <c r="B817" s="41" t="s">
        <v>709</v>
      </c>
      <c r="C817" s="13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D817" s="50"/>
      <c r="AE817" s="50"/>
      <c r="AF817" s="50"/>
      <c r="AG817" s="50"/>
      <c r="AH817" s="50"/>
      <c r="AI817" s="72">
        <f t="shared" si="243"/>
        <v>0</v>
      </c>
    </row>
    <row r="818" spans="1:35" outlineLevel="2" x14ac:dyDescent="0.2">
      <c r="A818" s="33"/>
      <c r="B818" s="41" t="s">
        <v>710</v>
      </c>
      <c r="C818" s="13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D818" s="50"/>
      <c r="AE818" s="50"/>
      <c r="AF818" s="50"/>
      <c r="AG818" s="50"/>
      <c r="AH818" s="50"/>
      <c r="AI818" s="72">
        <f t="shared" si="243"/>
        <v>0</v>
      </c>
    </row>
    <row r="819" spans="1:35" outlineLevel="1" x14ac:dyDescent="0.2">
      <c r="A819" s="33" t="s">
        <v>546</v>
      </c>
      <c r="B819" s="15" t="s">
        <v>247</v>
      </c>
      <c r="C819" s="13">
        <v>2270700000</v>
      </c>
      <c r="D819" s="35">
        <f>SUM(D820:D822)</f>
        <v>0</v>
      </c>
      <c r="E819" s="35">
        <f t="shared" ref="E819:AH819" si="251">SUM(E820:E822)</f>
        <v>0</v>
      </c>
      <c r="F819" s="35">
        <f t="shared" si="251"/>
        <v>0</v>
      </c>
      <c r="G819" s="35">
        <f t="shared" si="251"/>
        <v>0</v>
      </c>
      <c r="H819" s="35">
        <f t="shared" si="251"/>
        <v>0</v>
      </c>
      <c r="I819" s="35">
        <f t="shared" si="251"/>
        <v>0</v>
      </c>
      <c r="J819" s="35">
        <f t="shared" si="251"/>
        <v>0</v>
      </c>
      <c r="K819" s="35">
        <f t="shared" si="251"/>
        <v>0</v>
      </c>
      <c r="L819" s="35">
        <f t="shared" si="251"/>
        <v>0</v>
      </c>
      <c r="M819" s="35">
        <f t="shared" si="251"/>
        <v>0</v>
      </c>
      <c r="N819" s="35">
        <f t="shared" si="251"/>
        <v>0</v>
      </c>
      <c r="O819" s="35">
        <f t="shared" si="251"/>
        <v>0</v>
      </c>
      <c r="P819" s="35">
        <f t="shared" si="251"/>
        <v>0</v>
      </c>
      <c r="Q819" s="35">
        <f t="shared" si="251"/>
        <v>0</v>
      </c>
      <c r="R819" s="35">
        <f t="shared" si="251"/>
        <v>0</v>
      </c>
      <c r="S819" s="35">
        <f t="shared" si="251"/>
        <v>0</v>
      </c>
      <c r="T819" s="35">
        <f t="shared" si="251"/>
        <v>0</v>
      </c>
      <c r="U819" s="35">
        <f t="shared" si="251"/>
        <v>0</v>
      </c>
      <c r="V819" s="35">
        <f t="shared" si="251"/>
        <v>0</v>
      </c>
      <c r="W819" s="35">
        <f t="shared" si="251"/>
        <v>0</v>
      </c>
      <c r="X819" s="35">
        <f t="shared" si="251"/>
        <v>0</v>
      </c>
      <c r="Y819" s="35">
        <f t="shared" si="251"/>
        <v>0</v>
      </c>
      <c r="Z819" s="35">
        <f t="shared" si="251"/>
        <v>0</v>
      </c>
      <c r="AA819" s="35">
        <f t="shared" si="251"/>
        <v>0</v>
      </c>
      <c r="AB819" s="35">
        <f t="shared" si="251"/>
        <v>0</v>
      </c>
      <c r="AC819" s="35">
        <f t="shared" si="251"/>
        <v>0</v>
      </c>
      <c r="AD819" s="35">
        <f t="shared" si="251"/>
        <v>0</v>
      </c>
      <c r="AE819" s="35">
        <f t="shared" si="251"/>
        <v>0</v>
      </c>
      <c r="AF819" s="35">
        <f t="shared" si="251"/>
        <v>0</v>
      </c>
      <c r="AG819" s="35">
        <f t="shared" si="251"/>
        <v>0</v>
      </c>
      <c r="AH819" s="35">
        <f t="shared" si="251"/>
        <v>0</v>
      </c>
      <c r="AI819" s="72">
        <f t="shared" si="243"/>
        <v>0</v>
      </c>
    </row>
    <row r="820" spans="1:35" outlineLevel="2" x14ac:dyDescent="0.2">
      <c r="A820" s="33"/>
      <c r="B820" s="41" t="s">
        <v>708</v>
      </c>
      <c r="C820" s="13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D820" s="50"/>
      <c r="AE820" s="50"/>
      <c r="AF820" s="50"/>
      <c r="AG820" s="50"/>
      <c r="AH820" s="50"/>
      <c r="AI820" s="72">
        <f t="shared" si="243"/>
        <v>0</v>
      </c>
    </row>
    <row r="821" spans="1:35" outlineLevel="2" x14ac:dyDescent="0.2">
      <c r="A821" s="33"/>
      <c r="B821" s="41" t="s">
        <v>709</v>
      </c>
      <c r="C821" s="13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D821" s="50"/>
      <c r="AE821" s="50"/>
      <c r="AF821" s="50"/>
      <c r="AG821" s="50"/>
      <c r="AH821" s="50"/>
      <c r="AI821" s="72">
        <f t="shared" si="243"/>
        <v>0</v>
      </c>
    </row>
    <row r="822" spans="1:35" outlineLevel="2" x14ac:dyDescent="0.2">
      <c r="A822" s="33"/>
      <c r="B822" s="41" t="s">
        <v>710</v>
      </c>
      <c r="C822" s="13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D822" s="50"/>
      <c r="AE822" s="50"/>
      <c r="AF822" s="50"/>
      <c r="AG822" s="50"/>
      <c r="AH822" s="50"/>
      <c r="AI822" s="72">
        <f t="shared" si="243"/>
        <v>0</v>
      </c>
    </row>
    <row r="823" spans="1:35" outlineLevel="1" x14ac:dyDescent="0.2">
      <c r="A823" s="33" t="s">
        <v>547</v>
      </c>
      <c r="B823" s="15" t="s">
        <v>250</v>
      </c>
      <c r="C823" s="13">
        <v>2270800000</v>
      </c>
      <c r="D823" s="35">
        <f>SUM(D824:D826)</f>
        <v>0</v>
      </c>
      <c r="E823" s="35">
        <f t="shared" ref="E823:AH823" si="252">SUM(E824:E826)</f>
        <v>0</v>
      </c>
      <c r="F823" s="35">
        <f t="shared" si="252"/>
        <v>0</v>
      </c>
      <c r="G823" s="35">
        <f t="shared" si="252"/>
        <v>0</v>
      </c>
      <c r="H823" s="35">
        <f t="shared" si="252"/>
        <v>0</v>
      </c>
      <c r="I823" s="35">
        <f t="shared" si="252"/>
        <v>0</v>
      </c>
      <c r="J823" s="35">
        <f t="shared" si="252"/>
        <v>0</v>
      </c>
      <c r="K823" s="35">
        <f t="shared" si="252"/>
        <v>0</v>
      </c>
      <c r="L823" s="35">
        <f t="shared" si="252"/>
        <v>0</v>
      </c>
      <c r="M823" s="35">
        <f t="shared" si="252"/>
        <v>0</v>
      </c>
      <c r="N823" s="35">
        <f t="shared" si="252"/>
        <v>0</v>
      </c>
      <c r="O823" s="35">
        <f t="shared" si="252"/>
        <v>0</v>
      </c>
      <c r="P823" s="35">
        <f t="shared" si="252"/>
        <v>0</v>
      </c>
      <c r="Q823" s="35">
        <f t="shared" si="252"/>
        <v>0</v>
      </c>
      <c r="R823" s="35">
        <f t="shared" si="252"/>
        <v>0</v>
      </c>
      <c r="S823" s="35">
        <f t="shared" si="252"/>
        <v>0</v>
      </c>
      <c r="T823" s="35">
        <f t="shared" si="252"/>
        <v>0</v>
      </c>
      <c r="U823" s="35">
        <f t="shared" si="252"/>
        <v>0</v>
      </c>
      <c r="V823" s="35">
        <f t="shared" si="252"/>
        <v>0</v>
      </c>
      <c r="W823" s="35">
        <f t="shared" si="252"/>
        <v>0</v>
      </c>
      <c r="X823" s="35">
        <f t="shared" si="252"/>
        <v>0</v>
      </c>
      <c r="Y823" s="35">
        <f t="shared" si="252"/>
        <v>0</v>
      </c>
      <c r="Z823" s="35">
        <f t="shared" si="252"/>
        <v>0</v>
      </c>
      <c r="AA823" s="35">
        <f t="shared" si="252"/>
        <v>0</v>
      </c>
      <c r="AB823" s="35">
        <f t="shared" si="252"/>
        <v>0</v>
      </c>
      <c r="AC823" s="35">
        <f t="shared" si="252"/>
        <v>0</v>
      </c>
      <c r="AD823" s="35">
        <f t="shared" si="252"/>
        <v>0</v>
      </c>
      <c r="AE823" s="35">
        <f t="shared" si="252"/>
        <v>0</v>
      </c>
      <c r="AF823" s="35">
        <f t="shared" si="252"/>
        <v>0</v>
      </c>
      <c r="AG823" s="35">
        <f t="shared" si="252"/>
        <v>0</v>
      </c>
      <c r="AH823" s="35">
        <f t="shared" si="252"/>
        <v>0</v>
      </c>
      <c r="AI823" s="72">
        <f t="shared" si="243"/>
        <v>0</v>
      </c>
    </row>
    <row r="824" spans="1:35" outlineLevel="2" x14ac:dyDescent="0.2">
      <c r="A824" s="33"/>
      <c r="B824" s="41" t="s">
        <v>708</v>
      </c>
      <c r="C824" s="13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D824" s="50"/>
      <c r="AE824" s="50"/>
      <c r="AF824" s="50"/>
      <c r="AG824" s="50"/>
      <c r="AH824" s="50"/>
      <c r="AI824" s="72">
        <f t="shared" si="243"/>
        <v>0</v>
      </c>
    </row>
    <row r="825" spans="1:35" outlineLevel="2" x14ac:dyDescent="0.2">
      <c r="A825" s="33"/>
      <c r="B825" s="41" t="s">
        <v>709</v>
      </c>
      <c r="C825" s="13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D825" s="50"/>
      <c r="AE825" s="50"/>
      <c r="AF825" s="50"/>
      <c r="AG825" s="50"/>
      <c r="AH825" s="50"/>
      <c r="AI825" s="72">
        <f t="shared" si="243"/>
        <v>0</v>
      </c>
    </row>
    <row r="826" spans="1:35" outlineLevel="2" x14ac:dyDescent="0.2">
      <c r="A826" s="33"/>
      <c r="B826" s="41" t="s">
        <v>710</v>
      </c>
      <c r="C826" s="13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D826" s="50"/>
      <c r="AE826" s="50"/>
      <c r="AF826" s="50"/>
      <c r="AG826" s="50"/>
      <c r="AH826" s="50"/>
      <c r="AI826" s="72">
        <f t="shared" si="243"/>
        <v>0</v>
      </c>
    </row>
    <row r="827" spans="1:35" outlineLevel="1" x14ac:dyDescent="0.2">
      <c r="A827" s="33" t="s">
        <v>548</v>
      </c>
      <c r="B827" s="15" t="s">
        <v>549</v>
      </c>
      <c r="C827" s="13">
        <v>2270900000</v>
      </c>
      <c r="D827" s="35">
        <f>SUM(D828:D830)</f>
        <v>0</v>
      </c>
      <c r="E827" s="35">
        <f t="shared" ref="E827:AH827" si="253">SUM(E828:E830)</f>
        <v>0</v>
      </c>
      <c r="F827" s="35">
        <f t="shared" si="253"/>
        <v>0</v>
      </c>
      <c r="G827" s="35">
        <f t="shared" si="253"/>
        <v>0</v>
      </c>
      <c r="H827" s="35">
        <f t="shared" si="253"/>
        <v>0</v>
      </c>
      <c r="I827" s="35">
        <f t="shared" si="253"/>
        <v>0</v>
      </c>
      <c r="J827" s="35">
        <f t="shared" si="253"/>
        <v>0</v>
      </c>
      <c r="K827" s="35">
        <f t="shared" si="253"/>
        <v>0</v>
      </c>
      <c r="L827" s="35">
        <f t="shared" si="253"/>
        <v>0</v>
      </c>
      <c r="M827" s="35">
        <f t="shared" si="253"/>
        <v>0</v>
      </c>
      <c r="N827" s="35">
        <f t="shared" si="253"/>
        <v>0</v>
      </c>
      <c r="O827" s="35">
        <f t="shared" si="253"/>
        <v>0</v>
      </c>
      <c r="P827" s="35">
        <f t="shared" si="253"/>
        <v>0</v>
      </c>
      <c r="Q827" s="35">
        <f t="shared" si="253"/>
        <v>0</v>
      </c>
      <c r="R827" s="35">
        <f t="shared" si="253"/>
        <v>0</v>
      </c>
      <c r="S827" s="35">
        <f t="shared" si="253"/>
        <v>0</v>
      </c>
      <c r="T827" s="35">
        <f t="shared" si="253"/>
        <v>0</v>
      </c>
      <c r="U827" s="35">
        <f t="shared" si="253"/>
        <v>0</v>
      </c>
      <c r="V827" s="35">
        <f t="shared" si="253"/>
        <v>0</v>
      </c>
      <c r="W827" s="35">
        <f t="shared" si="253"/>
        <v>0</v>
      </c>
      <c r="X827" s="35">
        <f t="shared" si="253"/>
        <v>0</v>
      </c>
      <c r="Y827" s="35">
        <f t="shared" si="253"/>
        <v>0</v>
      </c>
      <c r="Z827" s="35">
        <f t="shared" si="253"/>
        <v>0</v>
      </c>
      <c r="AA827" s="35">
        <f t="shared" si="253"/>
        <v>0</v>
      </c>
      <c r="AB827" s="35">
        <f t="shared" si="253"/>
        <v>0</v>
      </c>
      <c r="AC827" s="35">
        <f t="shared" si="253"/>
        <v>0</v>
      </c>
      <c r="AD827" s="35">
        <f t="shared" si="253"/>
        <v>0</v>
      </c>
      <c r="AE827" s="35">
        <f t="shared" si="253"/>
        <v>0</v>
      </c>
      <c r="AF827" s="35">
        <f t="shared" si="253"/>
        <v>0</v>
      </c>
      <c r="AG827" s="35">
        <f t="shared" si="253"/>
        <v>0</v>
      </c>
      <c r="AH827" s="35">
        <f t="shared" si="253"/>
        <v>0</v>
      </c>
      <c r="AI827" s="72">
        <f t="shared" si="243"/>
        <v>0</v>
      </c>
    </row>
    <row r="828" spans="1:35" outlineLevel="2" x14ac:dyDescent="0.2">
      <c r="A828" s="33"/>
      <c r="B828" s="41" t="s">
        <v>708</v>
      </c>
      <c r="C828" s="13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D828" s="50"/>
      <c r="AE828" s="50"/>
      <c r="AF828" s="50"/>
      <c r="AG828" s="50"/>
      <c r="AH828" s="50"/>
      <c r="AI828" s="72">
        <f t="shared" si="243"/>
        <v>0</v>
      </c>
    </row>
    <row r="829" spans="1:35" outlineLevel="2" x14ac:dyDescent="0.2">
      <c r="A829" s="33"/>
      <c r="B829" s="41" t="s">
        <v>709</v>
      </c>
      <c r="C829" s="13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D829" s="50"/>
      <c r="AE829" s="50"/>
      <c r="AF829" s="50"/>
      <c r="AG829" s="50"/>
      <c r="AH829" s="50"/>
      <c r="AI829" s="72">
        <f t="shared" si="243"/>
        <v>0</v>
      </c>
    </row>
    <row r="830" spans="1:35" outlineLevel="2" x14ac:dyDescent="0.2">
      <c r="A830" s="33"/>
      <c r="B830" s="41" t="s">
        <v>710</v>
      </c>
      <c r="C830" s="13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D830" s="50"/>
      <c r="AE830" s="50"/>
      <c r="AF830" s="50"/>
      <c r="AG830" s="50"/>
      <c r="AH830" s="50"/>
      <c r="AI830" s="72">
        <f t="shared" si="243"/>
        <v>0</v>
      </c>
    </row>
    <row r="831" spans="1:35" outlineLevel="1" x14ac:dyDescent="0.2">
      <c r="A831" s="33" t="s">
        <v>550</v>
      </c>
      <c r="B831" s="15" t="s">
        <v>551</v>
      </c>
      <c r="C831" s="13">
        <v>2271000000</v>
      </c>
      <c r="D831" s="35">
        <f>SUM(D832:D834)</f>
        <v>0</v>
      </c>
      <c r="E831" s="35">
        <f t="shared" ref="E831:AH831" si="254">SUM(E832:E834)</f>
        <v>0</v>
      </c>
      <c r="F831" s="35">
        <f t="shared" si="254"/>
        <v>0</v>
      </c>
      <c r="G831" s="35">
        <f t="shared" si="254"/>
        <v>0</v>
      </c>
      <c r="H831" s="35">
        <f t="shared" si="254"/>
        <v>0</v>
      </c>
      <c r="I831" s="35">
        <f t="shared" si="254"/>
        <v>0</v>
      </c>
      <c r="J831" s="35">
        <f t="shared" si="254"/>
        <v>0</v>
      </c>
      <c r="K831" s="35">
        <f t="shared" si="254"/>
        <v>0</v>
      </c>
      <c r="L831" s="35">
        <f t="shared" si="254"/>
        <v>0</v>
      </c>
      <c r="M831" s="35">
        <f t="shared" si="254"/>
        <v>0</v>
      </c>
      <c r="N831" s="35">
        <f t="shared" si="254"/>
        <v>0</v>
      </c>
      <c r="O831" s="35">
        <f t="shared" si="254"/>
        <v>0</v>
      </c>
      <c r="P831" s="35">
        <f t="shared" si="254"/>
        <v>0</v>
      </c>
      <c r="Q831" s="35">
        <f t="shared" si="254"/>
        <v>0</v>
      </c>
      <c r="R831" s="35">
        <f t="shared" si="254"/>
        <v>0</v>
      </c>
      <c r="S831" s="35">
        <f t="shared" si="254"/>
        <v>0</v>
      </c>
      <c r="T831" s="35">
        <f t="shared" si="254"/>
        <v>0</v>
      </c>
      <c r="U831" s="35">
        <f t="shared" si="254"/>
        <v>0</v>
      </c>
      <c r="V831" s="35">
        <f t="shared" si="254"/>
        <v>0</v>
      </c>
      <c r="W831" s="35">
        <f t="shared" si="254"/>
        <v>0</v>
      </c>
      <c r="X831" s="35">
        <f t="shared" si="254"/>
        <v>0</v>
      </c>
      <c r="Y831" s="35">
        <f t="shared" si="254"/>
        <v>0</v>
      </c>
      <c r="Z831" s="35">
        <f t="shared" si="254"/>
        <v>0</v>
      </c>
      <c r="AA831" s="35">
        <f t="shared" si="254"/>
        <v>0</v>
      </c>
      <c r="AB831" s="35">
        <f t="shared" si="254"/>
        <v>0</v>
      </c>
      <c r="AC831" s="35">
        <f t="shared" si="254"/>
        <v>0</v>
      </c>
      <c r="AD831" s="35">
        <f t="shared" si="254"/>
        <v>0</v>
      </c>
      <c r="AE831" s="35">
        <f t="shared" si="254"/>
        <v>0</v>
      </c>
      <c r="AF831" s="35">
        <f t="shared" si="254"/>
        <v>0</v>
      </c>
      <c r="AG831" s="35">
        <f t="shared" si="254"/>
        <v>0</v>
      </c>
      <c r="AH831" s="35">
        <f t="shared" si="254"/>
        <v>0</v>
      </c>
      <c r="AI831" s="72">
        <f t="shared" si="243"/>
        <v>0</v>
      </c>
    </row>
    <row r="832" spans="1:35" outlineLevel="2" x14ac:dyDescent="0.2">
      <c r="A832" s="33"/>
      <c r="B832" s="41" t="s">
        <v>708</v>
      </c>
      <c r="C832" s="13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D832" s="50"/>
      <c r="AE832" s="50"/>
      <c r="AF832" s="50"/>
      <c r="AG832" s="50"/>
      <c r="AH832" s="50"/>
      <c r="AI832" s="72">
        <f t="shared" si="243"/>
        <v>0</v>
      </c>
    </row>
    <row r="833" spans="1:35" outlineLevel="2" x14ac:dyDescent="0.2">
      <c r="A833" s="33"/>
      <c r="B833" s="41" t="s">
        <v>709</v>
      </c>
      <c r="C833" s="13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D833" s="50"/>
      <c r="AE833" s="50"/>
      <c r="AF833" s="50"/>
      <c r="AG833" s="50"/>
      <c r="AH833" s="50"/>
      <c r="AI833" s="72">
        <f t="shared" si="243"/>
        <v>0</v>
      </c>
    </row>
    <row r="834" spans="1:35" outlineLevel="2" x14ac:dyDescent="0.2">
      <c r="A834" s="33"/>
      <c r="B834" s="41" t="s">
        <v>710</v>
      </c>
      <c r="C834" s="13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D834" s="50"/>
      <c r="AE834" s="50"/>
      <c r="AF834" s="50"/>
      <c r="AG834" s="50"/>
      <c r="AH834" s="50"/>
      <c r="AI834" s="72">
        <f t="shared" si="243"/>
        <v>0</v>
      </c>
    </row>
    <row r="835" spans="1:35" outlineLevel="1" x14ac:dyDescent="0.2">
      <c r="A835" s="33" t="s">
        <v>552</v>
      </c>
      <c r="B835" s="15" t="s">
        <v>553</v>
      </c>
      <c r="C835" s="13">
        <v>2271100000</v>
      </c>
      <c r="D835" s="35">
        <f>SUM(D836:D838)</f>
        <v>0</v>
      </c>
      <c r="E835" s="35">
        <f t="shared" ref="E835:AH835" si="255">SUM(E836:E838)</f>
        <v>0</v>
      </c>
      <c r="F835" s="35">
        <f t="shared" si="255"/>
        <v>0</v>
      </c>
      <c r="G835" s="35">
        <f t="shared" si="255"/>
        <v>0</v>
      </c>
      <c r="H835" s="35">
        <f t="shared" si="255"/>
        <v>0</v>
      </c>
      <c r="I835" s="35">
        <f t="shared" si="255"/>
        <v>0</v>
      </c>
      <c r="J835" s="35">
        <f t="shared" si="255"/>
        <v>0</v>
      </c>
      <c r="K835" s="35">
        <f t="shared" si="255"/>
        <v>0</v>
      </c>
      <c r="L835" s="35">
        <f t="shared" si="255"/>
        <v>0</v>
      </c>
      <c r="M835" s="35">
        <f t="shared" si="255"/>
        <v>0</v>
      </c>
      <c r="N835" s="35">
        <f t="shared" si="255"/>
        <v>0</v>
      </c>
      <c r="O835" s="35">
        <f t="shared" si="255"/>
        <v>0</v>
      </c>
      <c r="P835" s="35">
        <f t="shared" si="255"/>
        <v>0</v>
      </c>
      <c r="Q835" s="35">
        <f t="shared" si="255"/>
        <v>0</v>
      </c>
      <c r="R835" s="35">
        <f t="shared" si="255"/>
        <v>0</v>
      </c>
      <c r="S835" s="35">
        <f t="shared" si="255"/>
        <v>0</v>
      </c>
      <c r="T835" s="35">
        <f t="shared" si="255"/>
        <v>0</v>
      </c>
      <c r="U835" s="35">
        <f t="shared" si="255"/>
        <v>0</v>
      </c>
      <c r="V835" s="35">
        <f t="shared" si="255"/>
        <v>0</v>
      </c>
      <c r="W835" s="35">
        <f t="shared" si="255"/>
        <v>0</v>
      </c>
      <c r="X835" s="35">
        <f t="shared" si="255"/>
        <v>0</v>
      </c>
      <c r="Y835" s="35">
        <f t="shared" si="255"/>
        <v>0</v>
      </c>
      <c r="Z835" s="35">
        <f t="shared" si="255"/>
        <v>0</v>
      </c>
      <c r="AA835" s="35">
        <f t="shared" si="255"/>
        <v>0</v>
      </c>
      <c r="AB835" s="35">
        <f t="shared" si="255"/>
        <v>0</v>
      </c>
      <c r="AC835" s="35">
        <f t="shared" si="255"/>
        <v>0</v>
      </c>
      <c r="AD835" s="35">
        <f t="shared" si="255"/>
        <v>0</v>
      </c>
      <c r="AE835" s="35">
        <f t="shared" si="255"/>
        <v>0</v>
      </c>
      <c r="AF835" s="35">
        <f t="shared" si="255"/>
        <v>0</v>
      </c>
      <c r="AG835" s="35">
        <f t="shared" si="255"/>
        <v>0</v>
      </c>
      <c r="AH835" s="35">
        <f t="shared" si="255"/>
        <v>0</v>
      </c>
      <c r="AI835" s="72">
        <f t="shared" si="243"/>
        <v>0</v>
      </c>
    </row>
    <row r="836" spans="1:35" outlineLevel="2" x14ac:dyDescent="0.2">
      <c r="A836" s="33"/>
      <c r="B836" s="41" t="s">
        <v>708</v>
      </c>
      <c r="C836" s="13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D836" s="50"/>
      <c r="AE836" s="50"/>
      <c r="AF836" s="50"/>
      <c r="AG836" s="50"/>
      <c r="AH836" s="50"/>
      <c r="AI836" s="72">
        <f t="shared" si="243"/>
        <v>0</v>
      </c>
    </row>
    <row r="837" spans="1:35" outlineLevel="2" x14ac:dyDescent="0.2">
      <c r="A837" s="33"/>
      <c r="B837" s="41" t="s">
        <v>709</v>
      </c>
      <c r="C837" s="13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D837" s="50"/>
      <c r="AE837" s="50"/>
      <c r="AF837" s="50"/>
      <c r="AG837" s="50"/>
      <c r="AH837" s="50"/>
      <c r="AI837" s="72">
        <f t="shared" si="243"/>
        <v>0</v>
      </c>
    </row>
    <row r="838" spans="1:35" outlineLevel="2" x14ac:dyDescent="0.2">
      <c r="A838" s="33"/>
      <c r="B838" s="41" t="s">
        <v>710</v>
      </c>
      <c r="C838" s="13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D838" s="50"/>
      <c r="AE838" s="50"/>
      <c r="AF838" s="50"/>
      <c r="AG838" s="50"/>
      <c r="AH838" s="50"/>
      <c r="AI838" s="72">
        <f t="shared" si="243"/>
        <v>0</v>
      </c>
    </row>
    <row r="839" spans="1:35" outlineLevel="1" x14ac:dyDescent="0.2">
      <c r="A839" s="15" t="s">
        <v>554</v>
      </c>
      <c r="B839" s="11" t="s">
        <v>555</v>
      </c>
      <c r="C839" s="13">
        <v>2271200000</v>
      </c>
      <c r="D839" s="35">
        <f>SUM(D840:D842)</f>
        <v>0</v>
      </c>
      <c r="E839" s="35">
        <f t="shared" ref="E839:AH839" si="256">SUM(E840:E842)</f>
        <v>0</v>
      </c>
      <c r="F839" s="35">
        <f t="shared" si="256"/>
        <v>0</v>
      </c>
      <c r="G839" s="35">
        <f t="shared" si="256"/>
        <v>0</v>
      </c>
      <c r="H839" s="35">
        <f t="shared" si="256"/>
        <v>0</v>
      </c>
      <c r="I839" s="35">
        <f t="shared" si="256"/>
        <v>0</v>
      </c>
      <c r="J839" s="35">
        <f t="shared" si="256"/>
        <v>0</v>
      </c>
      <c r="K839" s="35">
        <f t="shared" si="256"/>
        <v>0</v>
      </c>
      <c r="L839" s="35">
        <f t="shared" si="256"/>
        <v>0</v>
      </c>
      <c r="M839" s="35">
        <f t="shared" si="256"/>
        <v>0</v>
      </c>
      <c r="N839" s="35">
        <f t="shared" si="256"/>
        <v>0</v>
      </c>
      <c r="O839" s="35">
        <f t="shared" si="256"/>
        <v>0</v>
      </c>
      <c r="P839" s="35">
        <f t="shared" si="256"/>
        <v>0</v>
      </c>
      <c r="Q839" s="35">
        <f t="shared" si="256"/>
        <v>0</v>
      </c>
      <c r="R839" s="35">
        <f t="shared" si="256"/>
        <v>0</v>
      </c>
      <c r="S839" s="35">
        <f t="shared" si="256"/>
        <v>0</v>
      </c>
      <c r="T839" s="35">
        <f t="shared" si="256"/>
        <v>0</v>
      </c>
      <c r="U839" s="35">
        <f t="shared" si="256"/>
        <v>0</v>
      </c>
      <c r="V839" s="35">
        <f t="shared" si="256"/>
        <v>0</v>
      </c>
      <c r="W839" s="35">
        <f t="shared" si="256"/>
        <v>0</v>
      </c>
      <c r="X839" s="35">
        <f t="shared" si="256"/>
        <v>0</v>
      </c>
      <c r="Y839" s="35">
        <f t="shared" si="256"/>
        <v>0</v>
      </c>
      <c r="Z839" s="35">
        <f t="shared" si="256"/>
        <v>0</v>
      </c>
      <c r="AA839" s="35">
        <f t="shared" si="256"/>
        <v>0</v>
      </c>
      <c r="AB839" s="35">
        <f t="shared" si="256"/>
        <v>0</v>
      </c>
      <c r="AC839" s="35">
        <f t="shared" si="256"/>
        <v>0</v>
      </c>
      <c r="AD839" s="35">
        <f t="shared" si="256"/>
        <v>0</v>
      </c>
      <c r="AE839" s="35">
        <f t="shared" si="256"/>
        <v>0</v>
      </c>
      <c r="AF839" s="35">
        <f t="shared" si="256"/>
        <v>0</v>
      </c>
      <c r="AG839" s="35">
        <f t="shared" si="256"/>
        <v>0</v>
      </c>
      <c r="AH839" s="35">
        <f t="shared" si="256"/>
        <v>0</v>
      </c>
      <c r="AI839" s="72">
        <f t="shared" si="243"/>
        <v>0</v>
      </c>
    </row>
    <row r="840" spans="1:35" outlineLevel="2" x14ac:dyDescent="0.2">
      <c r="A840" s="15"/>
      <c r="B840" s="41" t="s">
        <v>708</v>
      </c>
      <c r="C840" s="13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  <c r="AA840" s="50"/>
      <c r="AB840" s="50"/>
      <c r="AC840" s="50"/>
      <c r="AD840" s="50"/>
      <c r="AE840" s="50"/>
      <c r="AF840" s="50"/>
      <c r="AG840" s="50"/>
      <c r="AH840" s="50"/>
      <c r="AI840" s="72">
        <f t="shared" si="243"/>
        <v>0</v>
      </c>
    </row>
    <row r="841" spans="1:35" outlineLevel="2" x14ac:dyDescent="0.2">
      <c r="A841" s="15"/>
      <c r="B841" s="41" t="s">
        <v>709</v>
      </c>
      <c r="C841" s="13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  <c r="AA841" s="50"/>
      <c r="AB841" s="50"/>
      <c r="AC841" s="50"/>
      <c r="AD841" s="50"/>
      <c r="AE841" s="50"/>
      <c r="AF841" s="50"/>
      <c r="AG841" s="50"/>
      <c r="AH841" s="50"/>
      <c r="AI841" s="72">
        <f t="shared" si="243"/>
        <v>0</v>
      </c>
    </row>
    <row r="842" spans="1:35" outlineLevel="2" x14ac:dyDescent="0.2">
      <c r="A842" s="15"/>
      <c r="B842" s="41" t="s">
        <v>710</v>
      </c>
      <c r="C842" s="13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  <c r="AA842" s="50"/>
      <c r="AB842" s="50"/>
      <c r="AC842" s="50"/>
      <c r="AD842" s="50"/>
      <c r="AE842" s="50"/>
      <c r="AF842" s="50"/>
      <c r="AG842" s="50"/>
      <c r="AH842" s="50"/>
      <c r="AI842" s="72">
        <f t="shared" si="243"/>
        <v>0</v>
      </c>
    </row>
    <row r="843" spans="1:35" s="3" customFormat="1" x14ac:dyDescent="0.2">
      <c r="A843" s="65">
        <v>8</v>
      </c>
      <c r="B843" s="39" t="s">
        <v>644</v>
      </c>
      <c r="C843" s="66">
        <v>2280000000</v>
      </c>
      <c r="D843" s="44">
        <f>D844+D848+D852+D856+D860+D864+D868+D872+D876+D880+D884+D888+D892+D896+D900+D904+D908+D912+D916+D920+D924+D928+D932</f>
        <v>0</v>
      </c>
      <c r="E843" s="44">
        <f t="shared" ref="E843:AH843" si="257">E844+E848+E852+E856+E860+E864+E868+E872+E876+E880+E884+E888+E892+E896+E900+E904+E908+E912+E916+E920+E924+E928+E932</f>
        <v>0</v>
      </c>
      <c r="F843" s="44">
        <f t="shared" si="257"/>
        <v>0</v>
      </c>
      <c r="G843" s="44">
        <f t="shared" si="257"/>
        <v>0</v>
      </c>
      <c r="H843" s="44">
        <f t="shared" si="257"/>
        <v>0</v>
      </c>
      <c r="I843" s="44">
        <f t="shared" si="257"/>
        <v>0</v>
      </c>
      <c r="J843" s="44">
        <f t="shared" si="257"/>
        <v>0</v>
      </c>
      <c r="K843" s="44">
        <f t="shared" si="257"/>
        <v>0</v>
      </c>
      <c r="L843" s="44">
        <f t="shared" si="257"/>
        <v>0</v>
      </c>
      <c r="M843" s="44">
        <f t="shared" si="257"/>
        <v>0</v>
      </c>
      <c r="N843" s="44">
        <f t="shared" si="257"/>
        <v>0</v>
      </c>
      <c r="O843" s="44">
        <f t="shared" si="257"/>
        <v>0</v>
      </c>
      <c r="P843" s="44">
        <f t="shared" si="257"/>
        <v>0</v>
      </c>
      <c r="Q843" s="44">
        <f t="shared" si="257"/>
        <v>0</v>
      </c>
      <c r="R843" s="44">
        <f t="shared" si="257"/>
        <v>0</v>
      </c>
      <c r="S843" s="44">
        <f t="shared" si="257"/>
        <v>0</v>
      </c>
      <c r="T843" s="44">
        <f t="shared" si="257"/>
        <v>0</v>
      </c>
      <c r="U843" s="44">
        <f t="shared" si="257"/>
        <v>0</v>
      </c>
      <c r="V843" s="44">
        <f t="shared" si="257"/>
        <v>0</v>
      </c>
      <c r="W843" s="44">
        <f t="shared" si="257"/>
        <v>0</v>
      </c>
      <c r="X843" s="44">
        <f t="shared" si="257"/>
        <v>0</v>
      </c>
      <c r="Y843" s="44">
        <f t="shared" si="257"/>
        <v>0</v>
      </c>
      <c r="Z843" s="44">
        <f t="shared" si="257"/>
        <v>0</v>
      </c>
      <c r="AA843" s="44">
        <f t="shared" si="257"/>
        <v>0</v>
      </c>
      <c r="AB843" s="44">
        <f t="shared" si="257"/>
        <v>0</v>
      </c>
      <c r="AC843" s="44">
        <f t="shared" si="257"/>
        <v>0</v>
      </c>
      <c r="AD843" s="44">
        <f t="shared" si="257"/>
        <v>0</v>
      </c>
      <c r="AE843" s="44">
        <f t="shared" si="257"/>
        <v>0</v>
      </c>
      <c r="AF843" s="44">
        <f t="shared" si="257"/>
        <v>0</v>
      </c>
      <c r="AG843" s="44">
        <f t="shared" si="257"/>
        <v>0</v>
      </c>
      <c r="AH843" s="44">
        <f t="shared" si="257"/>
        <v>0</v>
      </c>
      <c r="AI843" s="72">
        <f t="shared" si="243"/>
        <v>0</v>
      </c>
    </row>
    <row r="844" spans="1:35" outlineLevel="1" x14ac:dyDescent="0.2">
      <c r="A844" s="67" t="s">
        <v>598</v>
      </c>
      <c r="B844" s="38" t="s">
        <v>621</v>
      </c>
      <c r="C844" s="68">
        <v>2280100000</v>
      </c>
      <c r="D844" s="35">
        <f>SUM(D845:D847)</f>
        <v>0</v>
      </c>
      <c r="E844" s="35">
        <f t="shared" ref="E844:AH844" si="258">SUM(E845:E847)</f>
        <v>0</v>
      </c>
      <c r="F844" s="35">
        <f t="shared" si="258"/>
        <v>0</v>
      </c>
      <c r="G844" s="35">
        <f t="shared" si="258"/>
        <v>0</v>
      </c>
      <c r="H844" s="35">
        <f t="shared" si="258"/>
        <v>0</v>
      </c>
      <c r="I844" s="35">
        <f t="shared" si="258"/>
        <v>0</v>
      </c>
      <c r="J844" s="35">
        <f t="shared" si="258"/>
        <v>0</v>
      </c>
      <c r="K844" s="35">
        <f t="shared" si="258"/>
        <v>0</v>
      </c>
      <c r="L844" s="35">
        <f t="shared" si="258"/>
        <v>0</v>
      </c>
      <c r="M844" s="35">
        <f t="shared" si="258"/>
        <v>0</v>
      </c>
      <c r="N844" s="35">
        <f t="shared" si="258"/>
        <v>0</v>
      </c>
      <c r="O844" s="35">
        <f t="shared" si="258"/>
        <v>0</v>
      </c>
      <c r="P844" s="35">
        <f t="shared" si="258"/>
        <v>0</v>
      </c>
      <c r="Q844" s="35">
        <f t="shared" si="258"/>
        <v>0</v>
      </c>
      <c r="R844" s="35">
        <f t="shared" si="258"/>
        <v>0</v>
      </c>
      <c r="S844" s="35">
        <f t="shared" si="258"/>
        <v>0</v>
      </c>
      <c r="T844" s="35">
        <f t="shared" si="258"/>
        <v>0</v>
      </c>
      <c r="U844" s="35">
        <f t="shared" si="258"/>
        <v>0</v>
      </c>
      <c r="V844" s="35">
        <f t="shared" si="258"/>
        <v>0</v>
      </c>
      <c r="W844" s="35">
        <f t="shared" si="258"/>
        <v>0</v>
      </c>
      <c r="X844" s="35">
        <f t="shared" si="258"/>
        <v>0</v>
      </c>
      <c r="Y844" s="35">
        <f t="shared" si="258"/>
        <v>0</v>
      </c>
      <c r="Z844" s="35">
        <f t="shared" si="258"/>
        <v>0</v>
      </c>
      <c r="AA844" s="35">
        <f t="shared" si="258"/>
        <v>0</v>
      </c>
      <c r="AB844" s="35">
        <f t="shared" si="258"/>
        <v>0</v>
      </c>
      <c r="AC844" s="35">
        <f t="shared" si="258"/>
        <v>0</v>
      </c>
      <c r="AD844" s="35">
        <f t="shared" si="258"/>
        <v>0</v>
      </c>
      <c r="AE844" s="35">
        <f t="shared" si="258"/>
        <v>0</v>
      </c>
      <c r="AF844" s="35">
        <f t="shared" si="258"/>
        <v>0</v>
      </c>
      <c r="AG844" s="35">
        <f t="shared" si="258"/>
        <v>0</v>
      </c>
      <c r="AH844" s="35">
        <f t="shared" si="258"/>
        <v>0</v>
      </c>
      <c r="AI844" s="72">
        <f t="shared" si="243"/>
        <v>0</v>
      </c>
    </row>
    <row r="845" spans="1:35" outlineLevel="2" x14ac:dyDescent="0.2">
      <c r="A845" s="67"/>
      <c r="B845" s="42" t="s">
        <v>708</v>
      </c>
      <c r="C845" s="68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  <c r="AA845" s="50"/>
      <c r="AB845" s="50"/>
      <c r="AC845" s="50"/>
      <c r="AD845" s="50"/>
      <c r="AE845" s="50"/>
      <c r="AF845" s="50"/>
      <c r="AG845" s="50"/>
      <c r="AH845" s="50"/>
      <c r="AI845" s="72">
        <f t="shared" si="243"/>
        <v>0</v>
      </c>
    </row>
    <row r="846" spans="1:35" outlineLevel="2" x14ac:dyDescent="0.2">
      <c r="A846" s="67"/>
      <c r="B846" s="42" t="s">
        <v>709</v>
      </c>
      <c r="C846" s="68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  <c r="AA846" s="50"/>
      <c r="AB846" s="50"/>
      <c r="AC846" s="50"/>
      <c r="AD846" s="50"/>
      <c r="AE846" s="50"/>
      <c r="AF846" s="50"/>
      <c r="AG846" s="50"/>
      <c r="AH846" s="50"/>
      <c r="AI846" s="72">
        <f t="shared" si="243"/>
        <v>0</v>
      </c>
    </row>
    <row r="847" spans="1:35" outlineLevel="2" x14ac:dyDescent="0.2">
      <c r="A847" s="67"/>
      <c r="B847" s="42" t="s">
        <v>710</v>
      </c>
      <c r="C847" s="68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  <c r="AA847" s="50"/>
      <c r="AB847" s="50"/>
      <c r="AC847" s="50"/>
      <c r="AD847" s="50"/>
      <c r="AE847" s="50"/>
      <c r="AF847" s="50"/>
      <c r="AG847" s="50"/>
      <c r="AH847" s="50"/>
      <c r="AI847" s="72">
        <f t="shared" si="243"/>
        <v>0</v>
      </c>
    </row>
    <row r="848" spans="1:35" outlineLevel="1" x14ac:dyDescent="0.2">
      <c r="A848" s="67" t="s">
        <v>599</v>
      </c>
      <c r="B848" s="38" t="s">
        <v>622</v>
      </c>
      <c r="C848" s="68">
        <v>2280200000</v>
      </c>
      <c r="D848" s="35">
        <f>SUM(D849:D851)</f>
        <v>0</v>
      </c>
      <c r="E848" s="35">
        <f t="shared" ref="E848:AH848" si="259">SUM(E849:E851)</f>
        <v>0</v>
      </c>
      <c r="F848" s="35">
        <f t="shared" si="259"/>
        <v>0</v>
      </c>
      <c r="G848" s="35">
        <f t="shared" si="259"/>
        <v>0</v>
      </c>
      <c r="H848" s="35">
        <f t="shared" si="259"/>
        <v>0</v>
      </c>
      <c r="I848" s="35">
        <f t="shared" si="259"/>
        <v>0</v>
      </c>
      <c r="J848" s="35">
        <f t="shared" si="259"/>
        <v>0</v>
      </c>
      <c r="K848" s="35">
        <f t="shared" si="259"/>
        <v>0</v>
      </c>
      <c r="L848" s="35">
        <f t="shared" si="259"/>
        <v>0</v>
      </c>
      <c r="M848" s="35">
        <f t="shared" si="259"/>
        <v>0</v>
      </c>
      <c r="N848" s="35">
        <f t="shared" si="259"/>
        <v>0</v>
      </c>
      <c r="O848" s="35">
        <f t="shared" si="259"/>
        <v>0</v>
      </c>
      <c r="P848" s="35">
        <f t="shared" si="259"/>
        <v>0</v>
      </c>
      <c r="Q848" s="35">
        <f t="shared" si="259"/>
        <v>0</v>
      </c>
      <c r="R848" s="35">
        <f t="shared" si="259"/>
        <v>0</v>
      </c>
      <c r="S848" s="35">
        <f t="shared" si="259"/>
        <v>0</v>
      </c>
      <c r="T848" s="35">
        <f t="shared" si="259"/>
        <v>0</v>
      </c>
      <c r="U848" s="35">
        <f t="shared" si="259"/>
        <v>0</v>
      </c>
      <c r="V848" s="35">
        <f t="shared" si="259"/>
        <v>0</v>
      </c>
      <c r="W848" s="35">
        <f t="shared" si="259"/>
        <v>0</v>
      </c>
      <c r="X848" s="35">
        <f t="shared" si="259"/>
        <v>0</v>
      </c>
      <c r="Y848" s="35">
        <f t="shared" si="259"/>
        <v>0</v>
      </c>
      <c r="Z848" s="35">
        <f t="shared" si="259"/>
        <v>0</v>
      </c>
      <c r="AA848" s="35">
        <f t="shared" si="259"/>
        <v>0</v>
      </c>
      <c r="AB848" s="35">
        <f t="shared" si="259"/>
        <v>0</v>
      </c>
      <c r="AC848" s="35">
        <f t="shared" si="259"/>
        <v>0</v>
      </c>
      <c r="AD848" s="35">
        <f t="shared" si="259"/>
        <v>0</v>
      </c>
      <c r="AE848" s="35">
        <f t="shared" si="259"/>
        <v>0</v>
      </c>
      <c r="AF848" s="35">
        <f t="shared" si="259"/>
        <v>0</v>
      </c>
      <c r="AG848" s="35">
        <f t="shared" si="259"/>
        <v>0</v>
      </c>
      <c r="AH848" s="35">
        <f t="shared" si="259"/>
        <v>0</v>
      </c>
      <c r="AI848" s="72">
        <f t="shared" si="243"/>
        <v>0</v>
      </c>
    </row>
    <row r="849" spans="1:35" outlineLevel="2" x14ac:dyDescent="0.2">
      <c r="A849" s="67"/>
      <c r="B849" s="42" t="s">
        <v>708</v>
      </c>
      <c r="C849" s="68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  <c r="AA849" s="50"/>
      <c r="AB849" s="50"/>
      <c r="AC849" s="50"/>
      <c r="AD849" s="50"/>
      <c r="AE849" s="50"/>
      <c r="AF849" s="50"/>
      <c r="AG849" s="50"/>
      <c r="AH849" s="50"/>
      <c r="AI849" s="72">
        <f t="shared" si="243"/>
        <v>0</v>
      </c>
    </row>
    <row r="850" spans="1:35" outlineLevel="2" x14ac:dyDescent="0.2">
      <c r="A850" s="67"/>
      <c r="B850" s="42" t="s">
        <v>709</v>
      </c>
      <c r="C850" s="68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  <c r="AA850" s="50"/>
      <c r="AB850" s="50"/>
      <c r="AC850" s="50"/>
      <c r="AD850" s="50"/>
      <c r="AE850" s="50"/>
      <c r="AF850" s="50"/>
      <c r="AG850" s="50"/>
      <c r="AH850" s="50"/>
      <c r="AI850" s="72">
        <f t="shared" si="243"/>
        <v>0</v>
      </c>
    </row>
    <row r="851" spans="1:35" outlineLevel="2" x14ac:dyDescent="0.2">
      <c r="A851" s="67"/>
      <c r="B851" s="42" t="s">
        <v>710</v>
      </c>
      <c r="C851" s="68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  <c r="AA851" s="50"/>
      <c r="AB851" s="50"/>
      <c r="AC851" s="50"/>
      <c r="AD851" s="50"/>
      <c r="AE851" s="50"/>
      <c r="AF851" s="50"/>
      <c r="AG851" s="50"/>
      <c r="AH851" s="50"/>
      <c r="AI851" s="72">
        <f t="shared" si="243"/>
        <v>0</v>
      </c>
    </row>
    <row r="852" spans="1:35" outlineLevel="1" x14ac:dyDescent="0.2">
      <c r="A852" s="67" t="s">
        <v>600</v>
      </c>
      <c r="B852" s="38" t="s">
        <v>623</v>
      </c>
      <c r="C852" s="68">
        <v>2280300000</v>
      </c>
      <c r="D852" s="35">
        <f>SUM(D853:D855)</f>
        <v>0</v>
      </c>
      <c r="E852" s="35">
        <f t="shared" ref="E852:AH852" si="260">SUM(E853:E855)</f>
        <v>0</v>
      </c>
      <c r="F852" s="35">
        <f t="shared" si="260"/>
        <v>0</v>
      </c>
      <c r="G852" s="35">
        <f t="shared" si="260"/>
        <v>0</v>
      </c>
      <c r="H852" s="35">
        <f t="shared" si="260"/>
        <v>0</v>
      </c>
      <c r="I852" s="35">
        <f t="shared" si="260"/>
        <v>0</v>
      </c>
      <c r="J852" s="35">
        <f t="shared" si="260"/>
        <v>0</v>
      </c>
      <c r="K852" s="35">
        <f t="shared" si="260"/>
        <v>0</v>
      </c>
      <c r="L852" s="35">
        <f t="shared" si="260"/>
        <v>0</v>
      </c>
      <c r="M852" s="35">
        <f t="shared" si="260"/>
        <v>0</v>
      </c>
      <c r="N852" s="35">
        <f t="shared" si="260"/>
        <v>0</v>
      </c>
      <c r="O852" s="35">
        <f t="shared" si="260"/>
        <v>0</v>
      </c>
      <c r="P852" s="35">
        <f t="shared" si="260"/>
        <v>0</v>
      </c>
      <c r="Q852" s="35">
        <f t="shared" si="260"/>
        <v>0</v>
      </c>
      <c r="R852" s="35">
        <f t="shared" si="260"/>
        <v>0</v>
      </c>
      <c r="S852" s="35">
        <f t="shared" si="260"/>
        <v>0</v>
      </c>
      <c r="T852" s="35">
        <f t="shared" si="260"/>
        <v>0</v>
      </c>
      <c r="U852" s="35">
        <f t="shared" si="260"/>
        <v>0</v>
      </c>
      <c r="V852" s="35">
        <f t="shared" si="260"/>
        <v>0</v>
      </c>
      <c r="W852" s="35">
        <f t="shared" si="260"/>
        <v>0</v>
      </c>
      <c r="X852" s="35">
        <f t="shared" si="260"/>
        <v>0</v>
      </c>
      <c r="Y852" s="35">
        <f t="shared" si="260"/>
        <v>0</v>
      </c>
      <c r="Z852" s="35">
        <f t="shared" si="260"/>
        <v>0</v>
      </c>
      <c r="AA852" s="35">
        <f t="shared" si="260"/>
        <v>0</v>
      </c>
      <c r="AB852" s="35">
        <f t="shared" si="260"/>
        <v>0</v>
      </c>
      <c r="AC852" s="35">
        <f t="shared" si="260"/>
        <v>0</v>
      </c>
      <c r="AD852" s="35">
        <f t="shared" si="260"/>
        <v>0</v>
      </c>
      <c r="AE852" s="35">
        <f t="shared" si="260"/>
        <v>0</v>
      </c>
      <c r="AF852" s="35">
        <f t="shared" si="260"/>
        <v>0</v>
      </c>
      <c r="AG852" s="35">
        <f t="shared" si="260"/>
        <v>0</v>
      </c>
      <c r="AH852" s="35">
        <f t="shared" si="260"/>
        <v>0</v>
      </c>
      <c r="AI852" s="72">
        <f t="shared" si="243"/>
        <v>0</v>
      </c>
    </row>
    <row r="853" spans="1:35" outlineLevel="2" x14ac:dyDescent="0.2">
      <c r="A853" s="67"/>
      <c r="B853" s="42" t="s">
        <v>708</v>
      </c>
      <c r="C853" s="68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  <c r="AA853" s="50"/>
      <c r="AB853" s="50"/>
      <c r="AC853" s="50"/>
      <c r="AD853" s="50"/>
      <c r="AE853" s="50"/>
      <c r="AF853" s="50"/>
      <c r="AG853" s="50"/>
      <c r="AH853" s="50"/>
      <c r="AI853" s="72">
        <f t="shared" si="243"/>
        <v>0</v>
      </c>
    </row>
    <row r="854" spans="1:35" outlineLevel="2" x14ac:dyDescent="0.2">
      <c r="A854" s="67"/>
      <c r="B854" s="42" t="s">
        <v>709</v>
      </c>
      <c r="C854" s="68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  <c r="AA854" s="50"/>
      <c r="AB854" s="50"/>
      <c r="AC854" s="50"/>
      <c r="AD854" s="50"/>
      <c r="AE854" s="50"/>
      <c r="AF854" s="50"/>
      <c r="AG854" s="50"/>
      <c r="AH854" s="50"/>
      <c r="AI854" s="72">
        <f t="shared" si="243"/>
        <v>0</v>
      </c>
    </row>
    <row r="855" spans="1:35" outlineLevel="2" x14ac:dyDescent="0.2">
      <c r="A855" s="67"/>
      <c r="B855" s="42" t="s">
        <v>710</v>
      </c>
      <c r="C855" s="68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  <c r="AA855" s="50"/>
      <c r="AB855" s="50"/>
      <c r="AC855" s="50"/>
      <c r="AD855" s="50"/>
      <c r="AE855" s="50"/>
      <c r="AF855" s="50"/>
      <c r="AG855" s="50"/>
      <c r="AH855" s="50"/>
      <c r="AI855" s="72">
        <f t="shared" si="243"/>
        <v>0</v>
      </c>
    </row>
    <row r="856" spans="1:35" ht="25.5" outlineLevel="1" x14ac:dyDescent="0.2">
      <c r="A856" s="67" t="s">
        <v>601</v>
      </c>
      <c r="B856" s="38" t="s">
        <v>624</v>
      </c>
      <c r="C856" s="68">
        <v>2280400000</v>
      </c>
      <c r="D856" s="35">
        <f>SUM(D857:D859)</f>
        <v>0</v>
      </c>
      <c r="E856" s="35">
        <f t="shared" ref="E856:AH856" si="261">SUM(E857:E859)</f>
        <v>0</v>
      </c>
      <c r="F856" s="35">
        <f t="shared" si="261"/>
        <v>0</v>
      </c>
      <c r="G856" s="35">
        <f t="shared" si="261"/>
        <v>0</v>
      </c>
      <c r="H856" s="35">
        <f t="shared" si="261"/>
        <v>0</v>
      </c>
      <c r="I856" s="35">
        <f t="shared" si="261"/>
        <v>0</v>
      </c>
      <c r="J856" s="35">
        <f t="shared" si="261"/>
        <v>0</v>
      </c>
      <c r="K856" s="35">
        <f t="shared" si="261"/>
        <v>0</v>
      </c>
      <c r="L856" s="35">
        <f t="shared" si="261"/>
        <v>0</v>
      </c>
      <c r="M856" s="35">
        <f t="shared" si="261"/>
        <v>0</v>
      </c>
      <c r="N856" s="35">
        <f t="shared" si="261"/>
        <v>0</v>
      </c>
      <c r="O856" s="35">
        <f t="shared" si="261"/>
        <v>0</v>
      </c>
      <c r="P856" s="35">
        <f t="shared" si="261"/>
        <v>0</v>
      </c>
      <c r="Q856" s="35">
        <f t="shared" si="261"/>
        <v>0</v>
      </c>
      <c r="R856" s="35">
        <f t="shared" si="261"/>
        <v>0</v>
      </c>
      <c r="S856" s="35">
        <f t="shared" si="261"/>
        <v>0</v>
      </c>
      <c r="T856" s="35">
        <f t="shared" si="261"/>
        <v>0</v>
      </c>
      <c r="U856" s="35">
        <f t="shared" si="261"/>
        <v>0</v>
      </c>
      <c r="V856" s="35">
        <f t="shared" si="261"/>
        <v>0</v>
      </c>
      <c r="W856" s="35">
        <f t="shared" si="261"/>
        <v>0</v>
      </c>
      <c r="X856" s="35">
        <f t="shared" si="261"/>
        <v>0</v>
      </c>
      <c r="Y856" s="35">
        <f t="shared" si="261"/>
        <v>0</v>
      </c>
      <c r="Z856" s="35">
        <f t="shared" si="261"/>
        <v>0</v>
      </c>
      <c r="AA856" s="35">
        <f t="shared" si="261"/>
        <v>0</v>
      </c>
      <c r="AB856" s="35">
        <f t="shared" si="261"/>
        <v>0</v>
      </c>
      <c r="AC856" s="35">
        <f t="shared" si="261"/>
        <v>0</v>
      </c>
      <c r="AD856" s="35">
        <f t="shared" si="261"/>
        <v>0</v>
      </c>
      <c r="AE856" s="35">
        <f t="shared" si="261"/>
        <v>0</v>
      </c>
      <c r="AF856" s="35">
        <f t="shared" si="261"/>
        <v>0</v>
      </c>
      <c r="AG856" s="35">
        <f t="shared" si="261"/>
        <v>0</v>
      </c>
      <c r="AH856" s="35">
        <f t="shared" si="261"/>
        <v>0</v>
      </c>
      <c r="AI856" s="72">
        <f t="shared" si="243"/>
        <v>0</v>
      </c>
    </row>
    <row r="857" spans="1:35" outlineLevel="2" x14ac:dyDescent="0.2">
      <c r="A857" s="67"/>
      <c r="B857" s="42" t="s">
        <v>708</v>
      </c>
      <c r="C857" s="68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  <c r="AA857" s="50"/>
      <c r="AB857" s="50"/>
      <c r="AC857" s="50"/>
      <c r="AD857" s="50"/>
      <c r="AE857" s="50"/>
      <c r="AF857" s="50"/>
      <c r="AG857" s="50"/>
      <c r="AH857" s="50"/>
      <c r="AI857" s="72">
        <f t="shared" ref="AI857:AI920" si="262">SUM(D857:AH857)</f>
        <v>0</v>
      </c>
    </row>
    <row r="858" spans="1:35" outlineLevel="2" x14ac:dyDescent="0.2">
      <c r="A858" s="67"/>
      <c r="B858" s="42" t="s">
        <v>709</v>
      </c>
      <c r="C858" s="68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  <c r="AA858" s="50"/>
      <c r="AB858" s="50"/>
      <c r="AC858" s="50"/>
      <c r="AD858" s="50"/>
      <c r="AE858" s="50"/>
      <c r="AF858" s="50"/>
      <c r="AG858" s="50"/>
      <c r="AH858" s="50"/>
      <c r="AI858" s="72">
        <f t="shared" si="262"/>
        <v>0</v>
      </c>
    </row>
    <row r="859" spans="1:35" outlineLevel="2" x14ac:dyDescent="0.2">
      <c r="A859" s="67"/>
      <c r="B859" s="42" t="s">
        <v>710</v>
      </c>
      <c r="C859" s="68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  <c r="AA859" s="50"/>
      <c r="AB859" s="50"/>
      <c r="AC859" s="50"/>
      <c r="AD859" s="50"/>
      <c r="AE859" s="50"/>
      <c r="AF859" s="50"/>
      <c r="AG859" s="50"/>
      <c r="AH859" s="50"/>
      <c r="AI859" s="72">
        <f t="shared" si="262"/>
        <v>0</v>
      </c>
    </row>
    <row r="860" spans="1:35" outlineLevel="1" x14ac:dyDescent="0.2">
      <c r="A860" s="67" t="s">
        <v>602</v>
      </c>
      <c r="B860" s="38" t="s">
        <v>625</v>
      </c>
      <c r="C860" s="68">
        <v>2280500000</v>
      </c>
      <c r="D860" s="35">
        <f>SUM(D861:D863)</f>
        <v>0</v>
      </c>
      <c r="E860" s="35">
        <f t="shared" ref="E860:AH860" si="263">SUM(E861:E863)</f>
        <v>0</v>
      </c>
      <c r="F860" s="35">
        <f t="shared" si="263"/>
        <v>0</v>
      </c>
      <c r="G860" s="35">
        <f t="shared" si="263"/>
        <v>0</v>
      </c>
      <c r="H860" s="35">
        <f t="shared" si="263"/>
        <v>0</v>
      </c>
      <c r="I860" s="35">
        <f t="shared" si="263"/>
        <v>0</v>
      </c>
      <c r="J860" s="35">
        <f t="shared" si="263"/>
        <v>0</v>
      </c>
      <c r="K860" s="35">
        <f t="shared" si="263"/>
        <v>0</v>
      </c>
      <c r="L860" s="35">
        <f t="shared" si="263"/>
        <v>0</v>
      </c>
      <c r="M860" s="35">
        <f t="shared" si="263"/>
        <v>0</v>
      </c>
      <c r="N860" s="35">
        <f t="shared" si="263"/>
        <v>0</v>
      </c>
      <c r="O860" s="35">
        <f t="shared" si="263"/>
        <v>0</v>
      </c>
      <c r="P860" s="35">
        <f t="shared" si="263"/>
        <v>0</v>
      </c>
      <c r="Q860" s="35">
        <f t="shared" si="263"/>
        <v>0</v>
      </c>
      <c r="R860" s="35">
        <f t="shared" si="263"/>
        <v>0</v>
      </c>
      <c r="S860" s="35">
        <f t="shared" si="263"/>
        <v>0</v>
      </c>
      <c r="T860" s="35">
        <f t="shared" si="263"/>
        <v>0</v>
      </c>
      <c r="U860" s="35">
        <f t="shared" si="263"/>
        <v>0</v>
      </c>
      <c r="V860" s="35">
        <f t="shared" si="263"/>
        <v>0</v>
      </c>
      <c r="W860" s="35">
        <f t="shared" si="263"/>
        <v>0</v>
      </c>
      <c r="X860" s="35">
        <f t="shared" si="263"/>
        <v>0</v>
      </c>
      <c r="Y860" s="35">
        <f t="shared" si="263"/>
        <v>0</v>
      </c>
      <c r="Z860" s="35">
        <f t="shared" si="263"/>
        <v>0</v>
      </c>
      <c r="AA860" s="35">
        <f t="shared" si="263"/>
        <v>0</v>
      </c>
      <c r="AB860" s="35">
        <f t="shared" si="263"/>
        <v>0</v>
      </c>
      <c r="AC860" s="35">
        <f t="shared" si="263"/>
        <v>0</v>
      </c>
      <c r="AD860" s="35">
        <f t="shared" si="263"/>
        <v>0</v>
      </c>
      <c r="AE860" s="35">
        <f t="shared" si="263"/>
        <v>0</v>
      </c>
      <c r="AF860" s="35">
        <f t="shared" si="263"/>
        <v>0</v>
      </c>
      <c r="AG860" s="35">
        <f t="shared" si="263"/>
        <v>0</v>
      </c>
      <c r="AH860" s="35">
        <f t="shared" si="263"/>
        <v>0</v>
      </c>
      <c r="AI860" s="72">
        <f t="shared" si="262"/>
        <v>0</v>
      </c>
    </row>
    <row r="861" spans="1:35" outlineLevel="2" x14ac:dyDescent="0.2">
      <c r="A861" s="67"/>
      <c r="B861" s="42" t="s">
        <v>708</v>
      </c>
      <c r="C861" s="68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  <c r="AA861" s="50"/>
      <c r="AB861" s="50"/>
      <c r="AC861" s="50"/>
      <c r="AD861" s="50"/>
      <c r="AE861" s="50"/>
      <c r="AF861" s="50"/>
      <c r="AG861" s="50"/>
      <c r="AH861" s="50"/>
      <c r="AI861" s="72">
        <f t="shared" si="262"/>
        <v>0</v>
      </c>
    </row>
    <row r="862" spans="1:35" outlineLevel="2" x14ac:dyDescent="0.2">
      <c r="A862" s="67"/>
      <c r="B862" s="42" t="s">
        <v>709</v>
      </c>
      <c r="C862" s="68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  <c r="AA862" s="50"/>
      <c r="AB862" s="50"/>
      <c r="AC862" s="50"/>
      <c r="AD862" s="50"/>
      <c r="AE862" s="50"/>
      <c r="AF862" s="50"/>
      <c r="AG862" s="50"/>
      <c r="AH862" s="50"/>
      <c r="AI862" s="72">
        <f t="shared" si="262"/>
        <v>0</v>
      </c>
    </row>
    <row r="863" spans="1:35" outlineLevel="2" x14ac:dyDescent="0.2">
      <c r="A863" s="67"/>
      <c r="B863" s="42" t="s">
        <v>710</v>
      </c>
      <c r="C863" s="68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  <c r="AA863" s="50"/>
      <c r="AB863" s="50"/>
      <c r="AC863" s="50"/>
      <c r="AD863" s="50"/>
      <c r="AE863" s="50"/>
      <c r="AF863" s="50"/>
      <c r="AG863" s="50"/>
      <c r="AH863" s="50"/>
      <c r="AI863" s="72">
        <f t="shared" si="262"/>
        <v>0</v>
      </c>
    </row>
    <row r="864" spans="1:35" outlineLevel="1" x14ac:dyDescent="0.2">
      <c r="A864" s="67" t="s">
        <v>603</v>
      </c>
      <c r="B864" s="38" t="s">
        <v>626</v>
      </c>
      <c r="C864" s="68">
        <v>2280600000</v>
      </c>
      <c r="D864" s="35">
        <f>SUM(D865:D867)</f>
        <v>0</v>
      </c>
      <c r="E864" s="35">
        <f t="shared" ref="E864:AH864" si="264">SUM(E865:E867)</f>
        <v>0</v>
      </c>
      <c r="F864" s="35">
        <f t="shared" si="264"/>
        <v>0</v>
      </c>
      <c r="G864" s="35">
        <f t="shared" si="264"/>
        <v>0</v>
      </c>
      <c r="H864" s="35">
        <f t="shared" si="264"/>
        <v>0</v>
      </c>
      <c r="I864" s="35">
        <f t="shared" si="264"/>
        <v>0</v>
      </c>
      <c r="J864" s="35">
        <f t="shared" si="264"/>
        <v>0</v>
      </c>
      <c r="K864" s="35">
        <f t="shared" si="264"/>
        <v>0</v>
      </c>
      <c r="L864" s="35">
        <f t="shared" si="264"/>
        <v>0</v>
      </c>
      <c r="M864" s="35">
        <f t="shared" si="264"/>
        <v>0</v>
      </c>
      <c r="N864" s="35">
        <f t="shared" si="264"/>
        <v>0</v>
      </c>
      <c r="O864" s="35">
        <f t="shared" si="264"/>
        <v>0</v>
      </c>
      <c r="P864" s="35">
        <f t="shared" si="264"/>
        <v>0</v>
      </c>
      <c r="Q864" s="35">
        <f t="shared" si="264"/>
        <v>0</v>
      </c>
      <c r="R864" s="35">
        <f t="shared" si="264"/>
        <v>0</v>
      </c>
      <c r="S864" s="35">
        <f t="shared" si="264"/>
        <v>0</v>
      </c>
      <c r="T864" s="35">
        <f t="shared" si="264"/>
        <v>0</v>
      </c>
      <c r="U864" s="35">
        <f t="shared" si="264"/>
        <v>0</v>
      </c>
      <c r="V864" s="35">
        <f t="shared" si="264"/>
        <v>0</v>
      </c>
      <c r="W864" s="35">
        <f t="shared" si="264"/>
        <v>0</v>
      </c>
      <c r="X864" s="35">
        <f t="shared" si="264"/>
        <v>0</v>
      </c>
      <c r="Y864" s="35">
        <f t="shared" si="264"/>
        <v>0</v>
      </c>
      <c r="Z864" s="35">
        <f t="shared" si="264"/>
        <v>0</v>
      </c>
      <c r="AA864" s="35">
        <f t="shared" si="264"/>
        <v>0</v>
      </c>
      <c r="AB864" s="35">
        <f t="shared" si="264"/>
        <v>0</v>
      </c>
      <c r="AC864" s="35">
        <f t="shared" si="264"/>
        <v>0</v>
      </c>
      <c r="AD864" s="35">
        <f t="shared" si="264"/>
        <v>0</v>
      </c>
      <c r="AE864" s="35">
        <f t="shared" si="264"/>
        <v>0</v>
      </c>
      <c r="AF864" s="35">
        <f t="shared" si="264"/>
        <v>0</v>
      </c>
      <c r="AG864" s="35">
        <f t="shared" si="264"/>
        <v>0</v>
      </c>
      <c r="AH864" s="35">
        <f t="shared" si="264"/>
        <v>0</v>
      </c>
      <c r="AI864" s="72">
        <f t="shared" si="262"/>
        <v>0</v>
      </c>
    </row>
    <row r="865" spans="1:35" outlineLevel="2" x14ac:dyDescent="0.2">
      <c r="A865" s="67"/>
      <c r="B865" s="42" t="s">
        <v>708</v>
      </c>
      <c r="C865" s="68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  <c r="AA865" s="50"/>
      <c r="AB865" s="50"/>
      <c r="AC865" s="50"/>
      <c r="AD865" s="50"/>
      <c r="AE865" s="50"/>
      <c r="AF865" s="50"/>
      <c r="AG865" s="50"/>
      <c r="AH865" s="50"/>
      <c r="AI865" s="72">
        <f t="shared" si="262"/>
        <v>0</v>
      </c>
    </row>
    <row r="866" spans="1:35" outlineLevel="2" x14ac:dyDescent="0.2">
      <c r="A866" s="67"/>
      <c r="B866" s="42" t="s">
        <v>709</v>
      </c>
      <c r="C866" s="68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  <c r="AA866" s="50"/>
      <c r="AB866" s="50"/>
      <c r="AC866" s="50"/>
      <c r="AD866" s="50"/>
      <c r="AE866" s="50"/>
      <c r="AF866" s="50"/>
      <c r="AG866" s="50"/>
      <c r="AH866" s="50"/>
      <c r="AI866" s="72">
        <f t="shared" si="262"/>
        <v>0</v>
      </c>
    </row>
    <row r="867" spans="1:35" outlineLevel="2" x14ac:dyDescent="0.2">
      <c r="A867" s="67"/>
      <c r="B867" s="42" t="s">
        <v>710</v>
      </c>
      <c r="C867" s="68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  <c r="AA867" s="50"/>
      <c r="AB867" s="50"/>
      <c r="AC867" s="50"/>
      <c r="AD867" s="50"/>
      <c r="AE867" s="50"/>
      <c r="AF867" s="50"/>
      <c r="AG867" s="50"/>
      <c r="AH867" s="50"/>
      <c r="AI867" s="72">
        <f t="shared" si="262"/>
        <v>0</v>
      </c>
    </row>
    <row r="868" spans="1:35" outlineLevel="1" x14ac:dyDescent="0.2">
      <c r="A868" s="67" t="s">
        <v>604</v>
      </c>
      <c r="B868" s="38" t="s">
        <v>627</v>
      </c>
      <c r="C868" s="68">
        <v>2280700000</v>
      </c>
      <c r="D868" s="35">
        <f>SUM(D869:D871)</f>
        <v>0</v>
      </c>
      <c r="E868" s="35">
        <f t="shared" ref="E868:AH868" si="265">SUM(E869:E871)</f>
        <v>0</v>
      </c>
      <c r="F868" s="35">
        <f t="shared" si="265"/>
        <v>0</v>
      </c>
      <c r="G868" s="35">
        <f t="shared" si="265"/>
        <v>0</v>
      </c>
      <c r="H868" s="35">
        <f t="shared" si="265"/>
        <v>0</v>
      </c>
      <c r="I868" s="35">
        <f t="shared" si="265"/>
        <v>0</v>
      </c>
      <c r="J868" s="35">
        <f t="shared" si="265"/>
        <v>0</v>
      </c>
      <c r="K868" s="35">
        <f t="shared" si="265"/>
        <v>0</v>
      </c>
      <c r="L868" s="35">
        <f t="shared" si="265"/>
        <v>0</v>
      </c>
      <c r="M868" s="35">
        <f t="shared" si="265"/>
        <v>0</v>
      </c>
      <c r="N868" s="35">
        <f t="shared" si="265"/>
        <v>0</v>
      </c>
      <c r="O868" s="35">
        <f t="shared" si="265"/>
        <v>0</v>
      </c>
      <c r="P868" s="35">
        <f t="shared" si="265"/>
        <v>0</v>
      </c>
      <c r="Q868" s="35">
        <f t="shared" si="265"/>
        <v>0</v>
      </c>
      <c r="R868" s="35">
        <f t="shared" si="265"/>
        <v>0</v>
      </c>
      <c r="S868" s="35">
        <f t="shared" si="265"/>
        <v>0</v>
      </c>
      <c r="T868" s="35">
        <f t="shared" si="265"/>
        <v>0</v>
      </c>
      <c r="U868" s="35">
        <f t="shared" si="265"/>
        <v>0</v>
      </c>
      <c r="V868" s="35">
        <f t="shared" si="265"/>
        <v>0</v>
      </c>
      <c r="W868" s="35">
        <f t="shared" si="265"/>
        <v>0</v>
      </c>
      <c r="X868" s="35">
        <f t="shared" si="265"/>
        <v>0</v>
      </c>
      <c r="Y868" s="35">
        <f t="shared" si="265"/>
        <v>0</v>
      </c>
      <c r="Z868" s="35">
        <f t="shared" si="265"/>
        <v>0</v>
      </c>
      <c r="AA868" s="35">
        <f t="shared" si="265"/>
        <v>0</v>
      </c>
      <c r="AB868" s="35">
        <f t="shared" si="265"/>
        <v>0</v>
      </c>
      <c r="AC868" s="35">
        <f t="shared" si="265"/>
        <v>0</v>
      </c>
      <c r="AD868" s="35">
        <f t="shared" si="265"/>
        <v>0</v>
      </c>
      <c r="AE868" s="35">
        <f t="shared" si="265"/>
        <v>0</v>
      </c>
      <c r="AF868" s="35">
        <f t="shared" si="265"/>
        <v>0</v>
      </c>
      <c r="AG868" s="35">
        <f t="shared" si="265"/>
        <v>0</v>
      </c>
      <c r="AH868" s="35">
        <f t="shared" si="265"/>
        <v>0</v>
      </c>
      <c r="AI868" s="72">
        <f t="shared" si="262"/>
        <v>0</v>
      </c>
    </row>
    <row r="869" spans="1:35" outlineLevel="2" x14ac:dyDescent="0.2">
      <c r="A869" s="67"/>
      <c r="B869" s="42" t="s">
        <v>708</v>
      </c>
      <c r="C869" s="68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  <c r="AA869" s="50"/>
      <c r="AB869" s="50"/>
      <c r="AC869" s="50"/>
      <c r="AD869" s="50"/>
      <c r="AE869" s="50"/>
      <c r="AF869" s="50"/>
      <c r="AG869" s="50"/>
      <c r="AH869" s="50"/>
      <c r="AI869" s="72">
        <f t="shared" si="262"/>
        <v>0</v>
      </c>
    </row>
    <row r="870" spans="1:35" outlineLevel="2" x14ac:dyDescent="0.2">
      <c r="A870" s="67"/>
      <c r="B870" s="42" t="s">
        <v>709</v>
      </c>
      <c r="C870" s="68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  <c r="AA870" s="50"/>
      <c r="AB870" s="50"/>
      <c r="AC870" s="50"/>
      <c r="AD870" s="50"/>
      <c r="AE870" s="50"/>
      <c r="AF870" s="50"/>
      <c r="AG870" s="50"/>
      <c r="AH870" s="50"/>
      <c r="AI870" s="72">
        <f t="shared" si="262"/>
        <v>0</v>
      </c>
    </row>
    <row r="871" spans="1:35" outlineLevel="2" x14ac:dyDescent="0.2">
      <c r="A871" s="67"/>
      <c r="B871" s="42" t="s">
        <v>710</v>
      </c>
      <c r="C871" s="68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  <c r="AA871" s="50"/>
      <c r="AB871" s="50"/>
      <c r="AC871" s="50"/>
      <c r="AD871" s="50"/>
      <c r="AE871" s="50"/>
      <c r="AF871" s="50"/>
      <c r="AG871" s="50"/>
      <c r="AH871" s="50"/>
      <c r="AI871" s="72">
        <f t="shared" si="262"/>
        <v>0</v>
      </c>
    </row>
    <row r="872" spans="1:35" outlineLevel="1" x14ac:dyDescent="0.2">
      <c r="A872" s="67" t="s">
        <v>605</v>
      </c>
      <c r="B872" s="38" t="s">
        <v>628</v>
      </c>
      <c r="C872" s="68">
        <v>2280800000</v>
      </c>
      <c r="D872" s="35">
        <f>SUM(D873:D875)</f>
        <v>0</v>
      </c>
      <c r="E872" s="35">
        <f t="shared" ref="E872:AH872" si="266">SUM(E873:E875)</f>
        <v>0</v>
      </c>
      <c r="F872" s="35">
        <f t="shared" si="266"/>
        <v>0</v>
      </c>
      <c r="G872" s="35">
        <f t="shared" si="266"/>
        <v>0</v>
      </c>
      <c r="H872" s="35">
        <f t="shared" si="266"/>
        <v>0</v>
      </c>
      <c r="I872" s="35">
        <f t="shared" si="266"/>
        <v>0</v>
      </c>
      <c r="J872" s="35">
        <f t="shared" si="266"/>
        <v>0</v>
      </c>
      <c r="K872" s="35">
        <f t="shared" si="266"/>
        <v>0</v>
      </c>
      <c r="L872" s="35">
        <f t="shared" si="266"/>
        <v>0</v>
      </c>
      <c r="M872" s="35">
        <f t="shared" si="266"/>
        <v>0</v>
      </c>
      <c r="N872" s="35">
        <f t="shared" si="266"/>
        <v>0</v>
      </c>
      <c r="O872" s="35">
        <f t="shared" si="266"/>
        <v>0</v>
      </c>
      <c r="P872" s="35">
        <f t="shared" si="266"/>
        <v>0</v>
      </c>
      <c r="Q872" s="35">
        <f t="shared" si="266"/>
        <v>0</v>
      </c>
      <c r="R872" s="35">
        <f t="shared" si="266"/>
        <v>0</v>
      </c>
      <c r="S872" s="35">
        <f t="shared" si="266"/>
        <v>0</v>
      </c>
      <c r="T872" s="35">
        <f t="shared" si="266"/>
        <v>0</v>
      </c>
      <c r="U872" s="35">
        <f t="shared" si="266"/>
        <v>0</v>
      </c>
      <c r="V872" s="35">
        <f t="shared" si="266"/>
        <v>0</v>
      </c>
      <c r="W872" s="35">
        <f t="shared" si="266"/>
        <v>0</v>
      </c>
      <c r="X872" s="35">
        <f t="shared" si="266"/>
        <v>0</v>
      </c>
      <c r="Y872" s="35">
        <f t="shared" si="266"/>
        <v>0</v>
      </c>
      <c r="Z872" s="35">
        <f t="shared" si="266"/>
        <v>0</v>
      </c>
      <c r="AA872" s="35">
        <f t="shared" si="266"/>
        <v>0</v>
      </c>
      <c r="AB872" s="35">
        <f t="shared" si="266"/>
        <v>0</v>
      </c>
      <c r="AC872" s="35">
        <f t="shared" si="266"/>
        <v>0</v>
      </c>
      <c r="AD872" s="35">
        <f t="shared" si="266"/>
        <v>0</v>
      </c>
      <c r="AE872" s="35">
        <f t="shared" si="266"/>
        <v>0</v>
      </c>
      <c r="AF872" s="35">
        <f t="shared" si="266"/>
        <v>0</v>
      </c>
      <c r="AG872" s="35">
        <f t="shared" si="266"/>
        <v>0</v>
      </c>
      <c r="AH872" s="35">
        <f t="shared" si="266"/>
        <v>0</v>
      </c>
      <c r="AI872" s="72">
        <f t="shared" si="262"/>
        <v>0</v>
      </c>
    </row>
    <row r="873" spans="1:35" outlineLevel="2" x14ac:dyDescent="0.2">
      <c r="A873" s="67"/>
      <c r="B873" s="42" t="s">
        <v>708</v>
      </c>
      <c r="C873" s="68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  <c r="AA873" s="50"/>
      <c r="AB873" s="50"/>
      <c r="AC873" s="50"/>
      <c r="AD873" s="50"/>
      <c r="AE873" s="50"/>
      <c r="AF873" s="50"/>
      <c r="AG873" s="50"/>
      <c r="AH873" s="50"/>
      <c r="AI873" s="72">
        <f t="shared" si="262"/>
        <v>0</v>
      </c>
    </row>
    <row r="874" spans="1:35" outlineLevel="2" x14ac:dyDescent="0.2">
      <c r="A874" s="67"/>
      <c r="B874" s="42" t="s">
        <v>709</v>
      </c>
      <c r="C874" s="68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  <c r="AA874" s="50"/>
      <c r="AB874" s="50"/>
      <c r="AC874" s="50"/>
      <c r="AD874" s="50"/>
      <c r="AE874" s="50"/>
      <c r="AF874" s="50"/>
      <c r="AG874" s="50"/>
      <c r="AH874" s="50"/>
      <c r="AI874" s="72">
        <f t="shared" si="262"/>
        <v>0</v>
      </c>
    </row>
    <row r="875" spans="1:35" outlineLevel="2" x14ac:dyDescent="0.2">
      <c r="A875" s="67"/>
      <c r="B875" s="42" t="s">
        <v>710</v>
      </c>
      <c r="C875" s="68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  <c r="AA875" s="50"/>
      <c r="AB875" s="50"/>
      <c r="AC875" s="50"/>
      <c r="AD875" s="50"/>
      <c r="AE875" s="50"/>
      <c r="AF875" s="50"/>
      <c r="AG875" s="50"/>
      <c r="AH875" s="50"/>
      <c r="AI875" s="72">
        <f t="shared" si="262"/>
        <v>0</v>
      </c>
    </row>
    <row r="876" spans="1:35" outlineLevel="1" x14ac:dyDescent="0.2">
      <c r="A876" s="67" t="s">
        <v>606</v>
      </c>
      <c r="B876" s="38" t="s">
        <v>629</v>
      </c>
      <c r="C876" s="68">
        <v>2280900000</v>
      </c>
      <c r="D876" s="35">
        <f>SUM(D877:D879)</f>
        <v>0</v>
      </c>
      <c r="E876" s="35">
        <f t="shared" ref="E876:AH876" si="267">SUM(E877:E879)</f>
        <v>0</v>
      </c>
      <c r="F876" s="35">
        <f t="shared" si="267"/>
        <v>0</v>
      </c>
      <c r="G876" s="35">
        <f t="shared" si="267"/>
        <v>0</v>
      </c>
      <c r="H876" s="35">
        <f t="shared" si="267"/>
        <v>0</v>
      </c>
      <c r="I876" s="35">
        <f t="shared" si="267"/>
        <v>0</v>
      </c>
      <c r="J876" s="35">
        <f t="shared" si="267"/>
        <v>0</v>
      </c>
      <c r="K876" s="35">
        <f t="shared" si="267"/>
        <v>0</v>
      </c>
      <c r="L876" s="35">
        <f t="shared" si="267"/>
        <v>0</v>
      </c>
      <c r="M876" s="35">
        <f t="shared" si="267"/>
        <v>0</v>
      </c>
      <c r="N876" s="35">
        <f t="shared" si="267"/>
        <v>0</v>
      </c>
      <c r="O876" s="35">
        <f t="shared" si="267"/>
        <v>0</v>
      </c>
      <c r="P876" s="35">
        <f t="shared" si="267"/>
        <v>0</v>
      </c>
      <c r="Q876" s="35">
        <f t="shared" si="267"/>
        <v>0</v>
      </c>
      <c r="R876" s="35">
        <f t="shared" si="267"/>
        <v>0</v>
      </c>
      <c r="S876" s="35">
        <f t="shared" si="267"/>
        <v>0</v>
      </c>
      <c r="T876" s="35">
        <f t="shared" si="267"/>
        <v>0</v>
      </c>
      <c r="U876" s="35">
        <f t="shared" si="267"/>
        <v>0</v>
      </c>
      <c r="V876" s="35">
        <f t="shared" si="267"/>
        <v>0</v>
      </c>
      <c r="W876" s="35">
        <f t="shared" si="267"/>
        <v>0</v>
      </c>
      <c r="X876" s="35">
        <f t="shared" si="267"/>
        <v>0</v>
      </c>
      <c r="Y876" s="35">
        <f t="shared" si="267"/>
        <v>0</v>
      </c>
      <c r="Z876" s="35">
        <f t="shared" si="267"/>
        <v>0</v>
      </c>
      <c r="AA876" s="35">
        <f t="shared" si="267"/>
        <v>0</v>
      </c>
      <c r="AB876" s="35">
        <f t="shared" si="267"/>
        <v>0</v>
      </c>
      <c r="AC876" s="35">
        <f t="shared" si="267"/>
        <v>0</v>
      </c>
      <c r="AD876" s="35">
        <f t="shared" si="267"/>
        <v>0</v>
      </c>
      <c r="AE876" s="35">
        <f t="shared" si="267"/>
        <v>0</v>
      </c>
      <c r="AF876" s="35">
        <f t="shared" si="267"/>
        <v>0</v>
      </c>
      <c r="AG876" s="35">
        <f t="shared" si="267"/>
        <v>0</v>
      </c>
      <c r="AH876" s="35">
        <f t="shared" si="267"/>
        <v>0</v>
      </c>
      <c r="AI876" s="72">
        <f t="shared" si="262"/>
        <v>0</v>
      </c>
    </row>
    <row r="877" spans="1:35" outlineLevel="2" x14ac:dyDescent="0.2">
      <c r="A877" s="67"/>
      <c r="B877" s="42" t="s">
        <v>708</v>
      </c>
      <c r="C877" s="68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  <c r="AA877" s="50"/>
      <c r="AB877" s="50"/>
      <c r="AC877" s="50"/>
      <c r="AD877" s="50"/>
      <c r="AE877" s="50"/>
      <c r="AF877" s="50"/>
      <c r="AG877" s="50"/>
      <c r="AH877" s="50"/>
      <c r="AI877" s="72">
        <f t="shared" si="262"/>
        <v>0</v>
      </c>
    </row>
    <row r="878" spans="1:35" outlineLevel="2" x14ac:dyDescent="0.2">
      <c r="A878" s="67"/>
      <c r="B878" s="42" t="s">
        <v>709</v>
      </c>
      <c r="C878" s="68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  <c r="AA878" s="50"/>
      <c r="AB878" s="50"/>
      <c r="AC878" s="50"/>
      <c r="AD878" s="50"/>
      <c r="AE878" s="50"/>
      <c r="AF878" s="50"/>
      <c r="AG878" s="50"/>
      <c r="AH878" s="50"/>
      <c r="AI878" s="72">
        <f t="shared" si="262"/>
        <v>0</v>
      </c>
    </row>
    <row r="879" spans="1:35" outlineLevel="2" x14ac:dyDescent="0.2">
      <c r="A879" s="67"/>
      <c r="B879" s="42" t="s">
        <v>710</v>
      </c>
      <c r="C879" s="68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  <c r="AA879" s="50"/>
      <c r="AB879" s="50"/>
      <c r="AC879" s="50"/>
      <c r="AD879" s="50"/>
      <c r="AE879" s="50"/>
      <c r="AF879" s="50"/>
      <c r="AG879" s="50"/>
      <c r="AH879" s="50"/>
      <c r="AI879" s="72">
        <f t="shared" si="262"/>
        <v>0</v>
      </c>
    </row>
    <row r="880" spans="1:35" outlineLevel="1" x14ac:dyDescent="0.2">
      <c r="A880" s="67" t="s">
        <v>607</v>
      </c>
      <c r="B880" s="38" t="s">
        <v>630</v>
      </c>
      <c r="C880" s="68">
        <v>2281000000</v>
      </c>
      <c r="D880" s="35">
        <f>SUM(D881:D883)</f>
        <v>0</v>
      </c>
      <c r="E880" s="35">
        <f t="shared" ref="E880:AH880" si="268">SUM(E881:E883)</f>
        <v>0</v>
      </c>
      <c r="F880" s="35">
        <f t="shared" si="268"/>
        <v>0</v>
      </c>
      <c r="G880" s="35">
        <f t="shared" si="268"/>
        <v>0</v>
      </c>
      <c r="H880" s="35">
        <f t="shared" si="268"/>
        <v>0</v>
      </c>
      <c r="I880" s="35">
        <f t="shared" si="268"/>
        <v>0</v>
      </c>
      <c r="J880" s="35">
        <f t="shared" si="268"/>
        <v>0</v>
      </c>
      <c r="K880" s="35">
        <f t="shared" si="268"/>
        <v>0</v>
      </c>
      <c r="L880" s="35">
        <f t="shared" si="268"/>
        <v>0</v>
      </c>
      <c r="M880" s="35">
        <f t="shared" si="268"/>
        <v>0</v>
      </c>
      <c r="N880" s="35">
        <f t="shared" si="268"/>
        <v>0</v>
      </c>
      <c r="O880" s="35">
        <f t="shared" si="268"/>
        <v>0</v>
      </c>
      <c r="P880" s="35">
        <f t="shared" si="268"/>
        <v>0</v>
      </c>
      <c r="Q880" s="35">
        <f t="shared" si="268"/>
        <v>0</v>
      </c>
      <c r="R880" s="35">
        <f t="shared" si="268"/>
        <v>0</v>
      </c>
      <c r="S880" s="35">
        <f t="shared" si="268"/>
        <v>0</v>
      </c>
      <c r="T880" s="35">
        <f t="shared" si="268"/>
        <v>0</v>
      </c>
      <c r="U880" s="35">
        <f t="shared" si="268"/>
        <v>0</v>
      </c>
      <c r="V880" s="35">
        <f t="shared" si="268"/>
        <v>0</v>
      </c>
      <c r="W880" s="35">
        <f t="shared" si="268"/>
        <v>0</v>
      </c>
      <c r="X880" s="35">
        <f t="shared" si="268"/>
        <v>0</v>
      </c>
      <c r="Y880" s="35">
        <f t="shared" si="268"/>
        <v>0</v>
      </c>
      <c r="Z880" s="35">
        <f t="shared" si="268"/>
        <v>0</v>
      </c>
      <c r="AA880" s="35">
        <f t="shared" si="268"/>
        <v>0</v>
      </c>
      <c r="AB880" s="35">
        <f t="shared" si="268"/>
        <v>0</v>
      </c>
      <c r="AC880" s="35">
        <f t="shared" si="268"/>
        <v>0</v>
      </c>
      <c r="AD880" s="35">
        <f t="shared" si="268"/>
        <v>0</v>
      </c>
      <c r="AE880" s="35">
        <f t="shared" si="268"/>
        <v>0</v>
      </c>
      <c r="AF880" s="35">
        <f t="shared" si="268"/>
        <v>0</v>
      </c>
      <c r="AG880" s="35">
        <f t="shared" si="268"/>
        <v>0</v>
      </c>
      <c r="AH880" s="35">
        <f t="shared" si="268"/>
        <v>0</v>
      </c>
      <c r="AI880" s="72">
        <f t="shared" si="262"/>
        <v>0</v>
      </c>
    </row>
    <row r="881" spans="1:35" outlineLevel="2" x14ac:dyDescent="0.2">
      <c r="A881" s="67"/>
      <c r="B881" s="42" t="s">
        <v>708</v>
      </c>
      <c r="C881" s="68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  <c r="AA881" s="50"/>
      <c r="AB881" s="50"/>
      <c r="AC881" s="50"/>
      <c r="AD881" s="50"/>
      <c r="AE881" s="50"/>
      <c r="AF881" s="50"/>
      <c r="AG881" s="50"/>
      <c r="AH881" s="50"/>
      <c r="AI881" s="72">
        <f t="shared" si="262"/>
        <v>0</v>
      </c>
    </row>
    <row r="882" spans="1:35" outlineLevel="2" x14ac:dyDescent="0.2">
      <c r="A882" s="67"/>
      <c r="B882" s="42" t="s">
        <v>709</v>
      </c>
      <c r="C882" s="68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  <c r="AA882" s="50"/>
      <c r="AB882" s="50"/>
      <c r="AC882" s="50"/>
      <c r="AD882" s="50"/>
      <c r="AE882" s="50"/>
      <c r="AF882" s="50"/>
      <c r="AG882" s="50"/>
      <c r="AH882" s="50"/>
      <c r="AI882" s="72">
        <f t="shared" si="262"/>
        <v>0</v>
      </c>
    </row>
    <row r="883" spans="1:35" outlineLevel="2" x14ac:dyDescent="0.2">
      <c r="A883" s="67"/>
      <c r="B883" s="42" t="s">
        <v>710</v>
      </c>
      <c r="C883" s="68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  <c r="AA883" s="50"/>
      <c r="AB883" s="50"/>
      <c r="AC883" s="50"/>
      <c r="AD883" s="50"/>
      <c r="AE883" s="50"/>
      <c r="AF883" s="50"/>
      <c r="AG883" s="50"/>
      <c r="AH883" s="50"/>
      <c r="AI883" s="72">
        <f t="shared" si="262"/>
        <v>0</v>
      </c>
    </row>
    <row r="884" spans="1:35" outlineLevel="1" x14ac:dyDescent="0.2">
      <c r="A884" s="67" t="s">
        <v>608</v>
      </c>
      <c r="B884" s="38" t="s">
        <v>631</v>
      </c>
      <c r="C884" s="68">
        <v>2281100000</v>
      </c>
      <c r="D884" s="35">
        <f>SUM(D885:D887)</f>
        <v>0</v>
      </c>
      <c r="E884" s="35">
        <f t="shared" ref="E884:AH884" si="269">SUM(E885:E887)</f>
        <v>0</v>
      </c>
      <c r="F884" s="35">
        <f t="shared" si="269"/>
        <v>0</v>
      </c>
      <c r="G884" s="35">
        <f t="shared" si="269"/>
        <v>0</v>
      </c>
      <c r="H884" s="35">
        <f t="shared" si="269"/>
        <v>0</v>
      </c>
      <c r="I884" s="35">
        <f t="shared" si="269"/>
        <v>0</v>
      </c>
      <c r="J884" s="35">
        <f t="shared" si="269"/>
        <v>0</v>
      </c>
      <c r="K884" s="35">
        <f t="shared" si="269"/>
        <v>0</v>
      </c>
      <c r="L884" s="35">
        <f t="shared" si="269"/>
        <v>0</v>
      </c>
      <c r="M884" s="35">
        <f t="shared" si="269"/>
        <v>0</v>
      </c>
      <c r="N884" s="35">
        <f t="shared" si="269"/>
        <v>0</v>
      </c>
      <c r="O884" s="35">
        <f t="shared" si="269"/>
        <v>0</v>
      </c>
      <c r="P884" s="35">
        <f t="shared" si="269"/>
        <v>0</v>
      </c>
      <c r="Q884" s="35">
        <f t="shared" si="269"/>
        <v>0</v>
      </c>
      <c r="R884" s="35">
        <f t="shared" si="269"/>
        <v>0</v>
      </c>
      <c r="S884" s="35">
        <f t="shared" si="269"/>
        <v>0</v>
      </c>
      <c r="T884" s="35">
        <f t="shared" si="269"/>
        <v>0</v>
      </c>
      <c r="U884" s="35">
        <f t="shared" si="269"/>
        <v>0</v>
      </c>
      <c r="V884" s="35">
        <f t="shared" si="269"/>
        <v>0</v>
      </c>
      <c r="W884" s="35">
        <f t="shared" si="269"/>
        <v>0</v>
      </c>
      <c r="X884" s="35">
        <f t="shared" si="269"/>
        <v>0</v>
      </c>
      <c r="Y884" s="35">
        <f t="shared" si="269"/>
        <v>0</v>
      </c>
      <c r="Z884" s="35">
        <f t="shared" si="269"/>
        <v>0</v>
      </c>
      <c r="AA884" s="35">
        <f t="shared" si="269"/>
        <v>0</v>
      </c>
      <c r="AB884" s="35">
        <f t="shared" si="269"/>
        <v>0</v>
      </c>
      <c r="AC884" s="35">
        <f t="shared" si="269"/>
        <v>0</v>
      </c>
      <c r="AD884" s="35">
        <f t="shared" si="269"/>
        <v>0</v>
      </c>
      <c r="AE884" s="35">
        <f t="shared" si="269"/>
        <v>0</v>
      </c>
      <c r="AF884" s="35">
        <f t="shared" si="269"/>
        <v>0</v>
      </c>
      <c r="AG884" s="35">
        <f t="shared" si="269"/>
        <v>0</v>
      </c>
      <c r="AH884" s="35">
        <f t="shared" si="269"/>
        <v>0</v>
      </c>
      <c r="AI884" s="72">
        <f t="shared" si="262"/>
        <v>0</v>
      </c>
    </row>
    <row r="885" spans="1:35" outlineLevel="2" x14ac:dyDescent="0.2">
      <c r="A885" s="67"/>
      <c r="B885" s="42" t="s">
        <v>708</v>
      </c>
      <c r="C885" s="68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  <c r="AA885" s="50"/>
      <c r="AB885" s="50"/>
      <c r="AC885" s="50"/>
      <c r="AD885" s="50"/>
      <c r="AE885" s="50"/>
      <c r="AF885" s="50"/>
      <c r="AG885" s="50"/>
      <c r="AH885" s="50"/>
      <c r="AI885" s="72">
        <f t="shared" si="262"/>
        <v>0</v>
      </c>
    </row>
    <row r="886" spans="1:35" outlineLevel="2" x14ac:dyDescent="0.2">
      <c r="A886" s="67"/>
      <c r="B886" s="42" t="s">
        <v>709</v>
      </c>
      <c r="C886" s="68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  <c r="AA886" s="50"/>
      <c r="AB886" s="50"/>
      <c r="AC886" s="50"/>
      <c r="AD886" s="50"/>
      <c r="AE886" s="50"/>
      <c r="AF886" s="50"/>
      <c r="AG886" s="50"/>
      <c r="AH886" s="50"/>
      <c r="AI886" s="72">
        <f t="shared" si="262"/>
        <v>0</v>
      </c>
    </row>
    <row r="887" spans="1:35" outlineLevel="2" x14ac:dyDescent="0.2">
      <c r="A887" s="67"/>
      <c r="B887" s="42" t="s">
        <v>710</v>
      </c>
      <c r="C887" s="68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  <c r="AA887" s="50"/>
      <c r="AB887" s="50"/>
      <c r="AC887" s="50"/>
      <c r="AD887" s="50"/>
      <c r="AE887" s="50"/>
      <c r="AF887" s="50"/>
      <c r="AG887" s="50"/>
      <c r="AH887" s="50"/>
      <c r="AI887" s="72">
        <f t="shared" si="262"/>
        <v>0</v>
      </c>
    </row>
    <row r="888" spans="1:35" outlineLevel="1" x14ac:dyDescent="0.2">
      <c r="A888" s="67" t="s">
        <v>609</v>
      </c>
      <c r="B888" s="38" t="s">
        <v>632</v>
      </c>
      <c r="C888" s="68">
        <v>2281200000</v>
      </c>
      <c r="D888" s="35">
        <f>SUM(D889:D891)</f>
        <v>0</v>
      </c>
      <c r="E888" s="35">
        <f t="shared" ref="E888:AH888" si="270">SUM(E889:E891)</f>
        <v>0</v>
      </c>
      <c r="F888" s="35">
        <f t="shared" si="270"/>
        <v>0</v>
      </c>
      <c r="G888" s="35">
        <f t="shared" si="270"/>
        <v>0</v>
      </c>
      <c r="H888" s="35">
        <f t="shared" si="270"/>
        <v>0</v>
      </c>
      <c r="I888" s="35">
        <f t="shared" si="270"/>
        <v>0</v>
      </c>
      <c r="J888" s="35">
        <f t="shared" si="270"/>
        <v>0</v>
      </c>
      <c r="K888" s="35">
        <f t="shared" si="270"/>
        <v>0</v>
      </c>
      <c r="L888" s="35">
        <f t="shared" si="270"/>
        <v>0</v>
      </c>
      <c r="M888" s="35">
        <f t="shared" si="270"/>
        <v>0</v>
      </c>
      <c r="N888" s="35">
        <f t="shared" si="270"/>
        <v>0</v>
      </c>
      <c r="O888" s="35">
        <f t="shared" si="270"/>
        <v>0</v>
      </c>
      <c r="P888" s="35">
        <f t="shared" si="270"/>
        <v>0</v>
      </c>
      <c r="Q888" s="35">
        <f t="shared" si="270"/>
        <v>0</v>
      </c>
      <c r="R888" s="35">
        <f t="shared" si="270"/>
        <v>0</v>
      </c>
      <c r="S888" s="35">
        <f t="shared" si="270"/>
        <v>0</v>
      </c>
      <c r="T888" s="35">
        <f t="shared" si="270"/>
        <v>0</v>
      </c>
      <c r="U888" s="35">
        <f t="shared" si="270"/>
        <v>0</v>
      </c>
      <c r="V888" s="35">
        <f t="shared" si="270"/>
        <v>0</v>
      </c>
      <c r="W888" s="35">
        <f t="shared" si="270"/>
        <v>0</v>
      </c>
      <c r="X888" s="35">
        <f t="shared" si="270"/>
        <v>0</v>
      </c>
      <c r="Y888" s="35">
        <f t="shared" si="270"/>
        <v>0</v>
      </c>
      <c r="Z888" s="35">
        <f t="shared" si="270"/>
        <v>0</v>
      </c>
      <c r="AA888" s="35">
        <f t="shared" si="270"/>
        <v>0</v>
      </c>
      <c r="AB888" s="35">
        <f t="shared" si="270"/>
        <v>0</v>
      </c>
      <c r="AC888" s="35">
        <f t="shared" si="270"/>
        <v>0</v>
      </c>
      <c r="AD888" s="35">
        <f t="shared" si="270"/>
        <v>0</v>
      </c>
      <c r="AE888" s="35">
        <f t="shared" si="270"/>
        <v>0</v>
      </c>
      <c r="AF888" s="35">
        <f t="shared" si="270"/>
        <v>0</v>
      </c>
      <c r="AG888" s="35">
        <f t="shared" si="270"/>
        <v>0</v>
      </c>
      <c r="AH888" s="35">
        <f t="shared" si="270"/>
        <v>0</v>
      </c>
      <c r="AI888" s="72">
        <f t="shared" si="262"/>
        <v>0</v>
      </c>
    </row>
    <row r="889" spans="1:35" outlineLevel="2" x14ac:dyDescent="0.2">
      <c r="A889" s="67"/>
      <c r="B889" s="42" t="s">
        <v>708</v>
      </c>
      <c r="C889" s="68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  <c r="AA889" s="50"/>
      <c r="AB889" s="50"/>
      <c r="AC889" s="50"/>
      <c r="AD889" s="50"/>
      <c r="AE889" s="50"/>
      <c r="AF889" s="50"/>
      <c r="AG889" s="50"/>
      <c r="AH889" s="50"/>
      <c r="AI889" s="72">
        <f t="shared" si="262"/>
        <v>0</v>
      </c>
    </row>
    <row r="890" spans="1:35" outlineLevel="2" x14ac:dyDescent="0.2">
      <c r="A890" s="67"/>
      <c r="B890" s="42" t="s">
        <v>709</v>
      </c>
      <c r="C890" s="68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  <c r="AA890" s="50"/>
      <c r="AB890" s="50"/>
      <c r="AC890" s="50"/>
      <c r="AD890" s="50"/>
      <c r="AE890" s="50"/>
      <c r="AF890" s="50"/>
      <c r="AG890" s="50"/>
      <c r="AH890" s="50"/>
      <c r="AI890" s="72">
        <f t="shared" si="262"/>
        <v>0</v>
      </c>
    </row>
    <row r="891" spans="1:35" outlineLevel="2" x14ac:dyDescent="0.2">
      <c r="A891" s="67"/>
      <c r="B891" s="42" t="s">
        <v>710</v>
      </c>
      <c r="C891" s="68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  <c r="AA891" s="50"/>
      <c r="AB891" s="50"/>
      <c r="AC891" s="50"/>
      <c r="AD891" s="50"/>
      <c r="AE891" s="50"/>
      <c r="AF891" s="50"/>
      <c r="AG891" s="50"/>
      <c r="AH891" s="50"/>
      <c r="AI891" s="72">
        <f t="shared" si="262"/>
        <v>0</v>
      </c>
    </row>
    <row r="892" spans="1:35" outlineLevel="1" x14ac:dyDescent="0.2">
      <c r="A892" s="67" t="s">
        <v>610</v>
      </c>
      <c r="B892" s="38" t="s">
        <v>633</v>
      </c>
      <c r="C892" s="68">
        <v>2281300000</v>
      </c>
      <c r="D892" s="35">
        <f>SUM(D893:D895)</f>
        <v>0</v>
      </c>
      <c r="E892" s="35">
        <f t="shared" ref="E892:AH892" si="271">SUM(E893:E895)</f>
        <v>0</v>
      </c>
      <c r="F892" s="35">
        <f t="shared" si="271"/>
        <v>0</v>
      </c>
      <c r="G892" s="35">
        <f t="shared" si="271"/>
        <v>0</v>
      </c>
      <c r="H892" s="35">
        <f t="shared" si="271"/>
        <v>0</v>
      </c>
      <c r="I892" s="35">
        <f t="shared" si="271"/>
        <v>0</v>
      </c>
      <c r="J892" s="35">
        <f t="shared" si="271"/>
        <v>0</v>
      </c>
      <c r="K892" s="35">
        <f t="shared" si="271"/>
        <v>0</v>
      </c>
      <c r="L892" s="35">
        <f t="shared" si="271"/>
        <v>0</v>
      </c>
      <c r="M892" s="35">
        <f t="shared" si="271"/>
        <v>0</v>
      </c>
      <c r="N892" s="35">
        <f t="shared" si="271"/>
        <v>0</v>
      </c>
      <c r="O892" s="35">
        <f t="shared" si="271"/>
        <v>0</v>
      </c>
      <c r="P892" s="35">
        <f t="shared" si="271"/>
        <v>0</v>
      </c>
      <c r="Q892" s="35">
        <f t="shared" si="271"/>
        <v>0</v>
      </c>
      <c r="R892" s="35">
        <f t="shared" si="271"/>
        <v>0</v>
      </c>
      <c r="S892" s="35">
        <f t="shared" si="271"/>
        <v>0</v>
      </c>
      <c r="T892" s="35">
        <f t="shared" si="271"/>
        <v>0</v>
      </c>
      <c r="U892" s="35">
        <f t="shared" si="271"/>
        <v>0</v>
      </c>
      <c r="V892" s="35">
        <f t="shared" si="271"/>
        <v>0</v>
      </c>
      <c r="W892" s="35">
        <f t="shared" si="271"/>
        <v>0</v>
      </c>
      <c r="X892" s="35">
        <f t="shared" si="271"/>
        <v>0</v>
      </c>
      <c r="Y892" s="35">
        <f t="shared" si="271"/>
        <v>0</v>
      </c>
      <c r="Z892" s="35">
        <f t="shared" si="271"/>
        <v>0</v>
      </c>
      <c r="AA892" s="35">
        <f t="shared" si="271"/>
        <v>0</v>
      </c>
      <c r="AB892" s="35">
        <f t="shared" si="271"/>
        <v>0</v>
      </c>
      <c r="AC892" s="35">
        <f t="shared" si="271"/>
        <v>0</v>
      </c>
      <c r="AD892" s="35">
        <f t="shared" si="271"/>
        <v>0</v>
      </c>
      <c r="AE892" s="35">
        <f t="shared" si="271"/>
        <v>0</v>
      </c>
      <c r="AF892" s="35">
        <f t="shared" si="271"/>
        <v>0</v>
      </c>
      <c r="AG892" s="35">
        <f t="shared" si="271"/>
        <v>0</v>
      </c>
      <c r="AH892" s="35">
        <f t="shared" si="271"/>
        <v>0</v>
      </c>
      <c r="AI892" s="72">
        <f t="shared" si="262"/>
        <v>0</v>
      </c>
    </row>
    <row r="893" spans="1:35" outlineLevel="2" x14ac:dyDescent="0.2">
      <c r="A893" s="67"/>
      <c r="B893" s="42" t="s">
        <v>708</v>
      </c>
      <c r="C893" s="68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  <c r="AA893" s="50"/>
      <c r="AB893" s="50"/>
      <c r="AC893" s="50"/>
      <c r="AD893" s="50"/>
      <c r="AE893" s="50"/>
      <c r="AF893" s="50"/>
      <c r="AG893" s="50"/>
      <c r="AH893" s="50"/>
      <c r="AI893" s="72">
        <f t="shared" si="262"/>
        <v>0</v>
      </c>
    </row>
    <row r="894" spans="1:35" outlineLevel="2" x14ac:dyDescent="0.2">
      <c r="A894" s="67"/>
      <c r="B894" s="42" t="s">
        <v>709</v>
      </c>
      <c r="C894" s="68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  <c r="AA894" s="50"/>
      <c r="AB894" s="50"/>
      <c r="AC894" s="50"/>
      <c r="AD894" s="50"/>
      <c r="AE894" s="50"/>
      <c r="AF894" s="50"/>
      <c r="AG894" s="50"/>
      <c r="AH894" s="50"/>
      <c r="AI894" s="72">
        <f t="shared" si="262"/>
        <v>0</v>
      </c>
    </row>
    <row r="895" spans="1:35" outlineLevel="2" x14ac:dyDescent="0.2">
      <c r="A895" s="67"/>
      <c r="B895" s="42" t="s">
        <v>710</v>
      </c>
      <c r="C895" s="68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  <c r="AA895" s="50"/>
      <c r="AB895" s="50"/>
      <c r="AC895" s="50"/>
      <c r="AD895" s="50"/>
      <c r="AE895" s="50"/>
      <c r="AF895" s="50"/>
      <c r="AG895" s="50"/>
      <c r="AH895" s="50"/>
      <c r="AI895" s="72">
        <f t="shared" si="262"/>
        <v>0</v>
      </c>
    </row>
    <row r="896" spans="1:35" outlineLevel="1" x14ac:dyDescent="0.2">
      <c r="A896" s="67" t="s">
        <v>611</v>
      </c>
      <c r="B896" s="38" t="s">
        <v>634</v>
      </c>
      <c r="C896" s="68">
        <v>2281400000</v>
      </c>
      <c r="D896" s="35">
        <f>SUM(D897:D899)</f>
        <v>0</v>
      </c>
      <c r="E896" s="35">
        <f t="shared" ref="E896:AH896" si="272">SUM(E897:E899)</f>
        <v>0</v>
      </c>
      <c r="F896" s="35">
        <f t="shared" si="272"/>
        <v>0</v>
      </c>
      <c r="G896" s="35">
        <f t="shared" si="272"/>
        <v>0</v>
      </c>
      <c r="H896" s="35">
        <f t="shared" si="272"/>
        <v>0</v>
      </c>
      <c r="I896" s="35">
        <f t="shared" si="272"/>
        <v>0</v>
      </c>
      <c r="J896" s="35">
        <f t="shared" si="272"/>
        <v>0</v>
      </c>
      <c r="K896" s="35">
        <f t="shared" si="272"/>
        <v>0</v>
      </c>
      <c r="L896" s="35">
        <f t="shared" si="272"/>
        <v>0</v>
      </c>
      <c r="M896" s="35">
        <f t="shared" si="272"/>
        <v>0</v>
      </c>
      <c r="N896" s="35">
        <f t="shared" si="272"/>
        <v>0</v>
      </c>
      <c r="O896" s="35">
        <f t="shared" si="272"/>
        <v>0</v>
      </c>
      <c r="P896" s="35">
        <f t="shared" si="272"/>
        <v>0</v>
      </c>
      <c r="Q896" s="35">
        <f t="shared" si="272"/>
        <v>0</v>
      </c>
      <c r="R896" s="35">
        <f t="shared" si="272"/>
        <v>0</v>
      </c>
      <c r="S896" s="35">
        <f t="shared" si="272"/>
        <v>0</v>
      </c>
      <c r="T896" s="35">
        <f t="shared" si="272"/>
        <v>0</v>
      </c>
      <c r="U896" s="35">
        <f t="shared" si="272"/>
        <v>0</v>
      </c>
      <c r="V896" s="35">
        <f t="shared" si="272"/>
        <v>0</v>
      </c>
      <c r="W896" s="35">
        <f t="shared" si="272"/>
        <v>0</v>
      </c>
      <c r="X896" s="35">
        <f t="shared" si="272"/>
        <v>0</v>
      </c>
      <c r="Y896" s="35">
        <f t="shared" si="272"/>
        <v>0</v>
      </c>
      <c r="Z896" s="35">
        <f t="shared" si="272"/>
        <v>0</v>
      </c>
      <c r="AA896" s="35">
        <f t="shared" si="272"/>
        <v>0</v>
      </c>
      <c r="AB896" s="35">
        <f t="shared" si="272"/>
        <v>0</v>
      </c>
      <c r="AC896" s="35">
        <f t="shared" si="272"/>
        <v>0</v>
      </c>
      <c r="AD896" s="35">
        <f t="shared" si="272"/>
        <v>0</v>
      </c>
      <c r="AE896" s="35">
        <f t="shared" si="272"/>
        <v>0</v>
      </c>
      <c r="AF896" s="35">
        <f t="shared" si="272"/>
        <v>0</v>
      </c>
      <c r="AG896" s="35">
        <f t="shared" si="272"/>
        <v>0</v>
      </c>
      <c r="AH896" s="35">
        <f t="shared" si="272"/>
        <v>0</v>
      </c>
      <c r="AI896" s="72">
        <f t="shared" si="262"/>
        <v>0</v>
      </c>
    </row>
    <row r="897" spans="1:35" outlineLevel="2" x14ac:dyDescent="0.2">
      <c r="A897" s="67"/>
      <c r="B897" s="42" t="s">
        <v>708</v>
      </c>
      <c r="C897" s="68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  <c r="AA897" s="50"/>
      <c r="AB897" s="50"/>
      <c r="AC897" s="50"/>
      <c r="AD897" s="50"/>
      <c r="AE897" s="50"/>
      <c r="AF897" s="50"/>
      <c r="AG897" s="50"/>
      <c r="AH897" s="50"/>
      <c r="AI897" s="72">
        <f t="shared" si="262"/>
        <v>0</v>
      </c>
    </row>
    <row r="898" spans="1:35" outlineLevel="2" x14ac:dyDescent="0.2">
      <c r="A898" s="67"/>
      <c r="B898" s="42" t="s">
        <v>709</v>
      </c>
      <c r="C898" s="68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  <c r="AA898" s="50"/>
      <c r="AB898" s="50"/>
      <c r="AC898" s="50"/>
      <c r="AD898" s="50"/>
      <c r="AE898" s="50"/>
      <c r="AF898" s="50"/>
      <c r="AG898" s="50"/>
      <c r="AH898" s="50"/>
      <c r="AI898" s="72">
        <f t="shared" si="262"/>
        <v>0</v>
      </c>
    </row>
    <row r="899" spans="1:35" outlineLevel="2" x14ac:dyDescent="0.2">
      <c r="A899" s="67"/>
      <c r="B899" s="42" t="s">
        <v>710</v>
      </c>
      <c r="C899" s="68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  <c r="AA899" s="50"/>
      <c r="AB899" s="50"/>
      <c r="AC899" s="50"/>
      <c r="AD899" s="50"/>
      <c r="AE899" s="50"/>
      <c r="AF899" s="50"/>
      <c r="AG899" s="50"/>
      <c r="AH899" s="50"/>
      <c r="AI899" s="72">
        <f t="shared" si="262"/>
        <v>0</v>
      </c>
    </row>
    <row r="900" spans="1:35" outlineLevel="1" x14ac:dyDescent="0.2">
      <c r="A900" s="67" t="s">
        <v>612</v>
      </c>
      <c r="B900" s="38" t="s">
        <v>635</v>
      </c>
      <c r="C900" s="68">
        <v>2281500000</v>
      </c>
      <c r="D900" s="35">
        <f>SUM(D901:D903)</f>
        <v>0</v>
      </c>
      <c r="E900" s="35">
        <f t="shared" ref="E900:AH900" si="273">SUM(E901:E903)</f>
        <v>0</v>
      </c>
      <c r="F900" s="35">
        <f t="shared" si="273"/>
        <v>0</v>
      </c>
      <c r="G900" s="35">
        <f t="shared" si="273"/>
        <v>0</v>
      </c>
      <c r="H900" s="35">
        <f t="shared" si="273"/>
        <v>0</v>
      </c>
      <c r="I900" s="35">
        <f t="shared" si="273"/>
        <v>0</v>
      </c>
      <c r="J900" s="35">
        <f t="shared" si="273"/>
        <v>0</v>
      </c>
      <c r="K900" s="35">
        <f t="shared" si="273"/>
        <v>0</v>
      </c>
      <c r="L900" s="35">
        <f t="shared" si="273"/>
        <v>0</v>
      </c>
      <c r="M900" s="35">
        <f t="shared" si="273"/>
        <v>0</v>
      </c>
      <c r="N900" s="35">
        <f t="shared" si="273"/>
        <v>0</v>
      </c>
      <c r="O900" s="35">
        <f t="shared" si="273"/>
        <v>0</v>
      </c>
      <c r="P900" s="35">
        <f t="shared" si="273"/>
        <v>0</v>
      </c>
      <c r="Q900" s="35">
        <f t="shared" si="273"/>
        <v>0</v>
      </c>
      <c r="R900" s="35">
        <f t="shared" si="273"/>
        <v>0</v>
      </c>
      <c r="S900" s="35">
        <f t="shared" si="273"/>
        <v>0</v>
      </c>
      <c r="T900" s="35">
        <f t="shared" si="273"/>
        <v>0</v>
      </c>
      <c r="U900" s="35">
        <f t="shared" si="273"/>
        <v>0</v>
      </c>
      <c r="V900" s="35">
        <f t="shared" si="273"/>
        <v>0</v>
      </c>
      <c r="W900" s="35">
        <f t="shared" si="273"/>
        <v>0</v>
      </c>
      <c r="X900" s="35">
        <f t="shared" si="273"/>
        <v>0</v>
      </c>
      <c r="Y900" s="35">
        <f t="shared" si="273"/>
        <v>0</v>
      </c>
      <c r="Z900" s="35">
        <f t="shared" si="273"/>
        <v>0</v>
      </c>
      <c r="AA900" s="35">
        <f t="shared" si="273"/>
        <v>0</v>
      </c>
      <c r="AB900" s="35">
        <f t="shared" si="273"/>
        <v>0</v>
      </c>
      <c r="AC900" s="35">
        <f t="shared" si="273"/>
        <v>0</v>
      </c>
      <c r="AD900" s="35">
        <f t="shared" si="273"/>
        <v>0</v>
      </c>
      <c r="AE900" s="35">
        <f t="shared" si="273"/>
        <v>0</v>
      </c>
      <c r="AF900" s="35">
        <f t="shared" si="273"/>
        <v>0</v>
      </c>
      <c r="AG900" s="35">
        <f t="shared" si="273"/>
        <v>0</v>
      </c>
      <c r="AH900" s="35">
        <f t="shared" si="273"/>
        <v>0</v>
      </c>
      <c r="AI900" s="72">
        <f t="shared" si="262"/>
        <v>0</v>
      </c>
    </row>
    <row r="901" spans="1:35" outlineLevel="2" x14ac:dyDescent="0.2">
      <c r="A901" s="67"/>
      <c r="B901" s="42" t="s">
        <v>708</v>
      </c>
      <c r="C901" s="68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  <c r="AA901" s="50"/>
      <c r="AB901" s="50"/>
      <c r="AC901" s="50"/>
      <c r="AD901" s="50"/>
      <c r="AE901" s="50"/>
      <c r="AF901" s="50"/>
      <c r="AG901" s="50"/>
      <c r="AH901" s="50"/>
      <c r="AI901" s="72">
        <f t="shared" si="262"/>
        <v>0</v>
      </c>
    </row>
    <row r="902" spans="1:35" outlineLevel="2" x14ac:dyDescent="0.2">
      <c r="A902" s="67"/>
      <c r="B902" s="42" t="s">
        <v>709</v>
      </c>
      <c r="C902" s="68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  <c r="AA902" s="50"/>
      <c r="AB902" s="50"/>
      <c r="AC902" s="50"/>
      <c r="AD902" s="50"/>
      <c r="AE902" s="50"/>
      <c r="AF902" s="50"/>
      <c r="AG902" s="50"/>
      <c r="AH902" s="50"/>
      <c r="AI902" s="72">
        <f t="shared" si="262"/>
        <v>0</v>
      </c>
    </row>
    <row r="903" spans="1:35" outlineLevel="2" x14ac:dyDescent="0.2">
      <c r="A903" s="67"/>
      <c r="B903" s="42" t="s">
        <v>710</v>
      </c>
      <c r="C903" s="68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  <c r="AA903" s="50"/>
      <c r="AB903" s="50"/>
      <c r="AC903" s="50"/>
      <c r="AD903" s="50"/>
      <c r="AE903" s="50"/>
      <c r="AF903" s="50"/>
      <c r="AG903" s="50"/>
      <c r="AH903" s="50"/>
      <c r="AI903" s="72">
        <f t="shared" si="262"/>
        <v>0</v>
      </c>
    </row>
    <row r="904" spans="1:35" outlineLevel="1" x14ac:dyDescent="0.2">
      <c r="A904" s="67" t="s">
        <v>613</v>
      </c>
      <c r="B904" s="38" t="s">
        <v>636</v>
      </c>
      <c r="C904" s="68">
        <v>2281600000</v>
      </c>
      <c r="D904" s="35">
        <f>SUM(D905:D907)</f>
        <v>0</v>
      </c>
      <c r="E904" s="35">
        <f t="shared" ref="E904:AH904" si="274">SUM(E905:E907)</f>
        <v>0</v>
      </c>
      <c r="F904" s="35">
        <f t="shared" si="274"/>
        <v>0</v>
      </c>
      <c r="G904" s="35">
        <f t="shared" si="274"/>
        <v>0</v>
      </c>
      <c r="H904" s="35">
        <f t="shared" si="274"/>
        <v>0</v>
      </c>
      <c r="I904" s="35">
        <f t="shared" si="274"/>
        <v>0</v>
      </c>
      <c r="J904" s="35">
        <f t="shared" si="274"/>
        <v>0</v>
      </c>
      <c r="K904" s="35">
        <f t="shared" si="274"/>
        <v>0</v>
      </c>
      <c r="L904" s="35">
        <f t="shared" si="274"/>
        <v>0</v>
      </c>
      <c r="M904" s="35">
        <f t="shared" si="274"/>
        <v>0</v>
      </c>
      <c r="N904" s="35">
        <f t="shared" si="274"/>
        <v>0</v>
      </c>
      <c r="O904" s="35">
        <f t="shared" si="274"/>
        <v>0</v>
      </c>
      <c r="P904" s="35">
        <f t="shared" si="274"/>
        <v>0</v>
      </c>
      <c r="Q904" s="35">
        <f t="shared" si="274"/>
        <v>0</v>
      </c>
      <c r="R904" s="35">
        <f t="shared" si="274"/>
        <v>0</v>
      </c>
      <c r="S904" s="35">
        <f t="shared" si="274"/>
        <v>0</v>
      </c>
      <c r="T904" s="35">
        <f t="shared" si="274"/>
        <v>0</v>
      </c>
      <c r="U904" s="35">
        <f t="shared" si="274"/>
        <v>0</v>
      </c>
      <c r="V904" s="35">
        <f t="shared" si="274"/>
        <v>0</v>
      </c>
      <c r="W904" s="35">
        <f t="shared" si="274"/>
        <v>0</v>
      </c>
      <c r="X904" s="35">
        <f t="shared" si="274"/>
        <v>0</v>
      </c>
      <c r="Y904" s="35">
        <f t="shared" si="274"/>
        <v>0</v>
      </c>
      <c r="Z904" s="35">
        <f t="shared" si="274"/>
        <v>0</v>
      </c>
      <c r="AA904" s="35">
        <f t="shared" si="274"/>
        <v>0</v>
      </c>
      <c r="AB904" s="35">
        <f t="shared" si="274"/>
        <v>0</v>
      </c>
      <c r="AC904" s="35">
        <f t="shared" si="274"/>
        <v>0</v>
      </c>
      <c r="AD904" s="35">
        <f t="shared" si="274"/>
        <v>0</v>
      </c>
      <c r="AE904" s="35">
        <f t="shared" si="274"/>
        <v>0</v>
      </c>
      <c r="AF904" s="35">
        <f t="shared" si="274"/>
        <v>0</v>
      </c>
      <c r="AG904" s="35">
        <f t="shared" si="274"/>
        <v>0</v>
      </c>
      <c r="AH904" s="35">
        <f t="shared" si="274"/>
        <v>0</v>
      </c>
      <c r="AI904" s="72">
        <f t="shared" si="262"/>
        <v>0</v>
      </c>
    </row>
    <row r="905" spans="1:35" outlineLevel="2" x14ac:dyDescent="0.2">
      <c r="A905" s="67"/>
      <c r="B905" s="42" t="s">
        <v>708</v>
      </c>
      <c r="C905" s="68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  <c r="AA905" s="50"/>
      <c r="AB905" s="50"/>
      <c r="AC905" s="50"/>
      <c r="AD905" s="50"/>
      <c r="AE905" s="50"/>
      <c r="AF905" s="50"/>
      <c r="AG905" s="50"/>
      <c r="AH905" s="50"/>
      <c r="AI905" s="72">
        <f t="shared" si="262"/>
        <v>0</v>
      </c>
    </row>
    <row r="906" spans="1:35" outlineLevel="2" x14ac:dyDescent="0.2">
      <c r="A906" s="67"/>
      <c r="B906" s="42" t="s">
        <v>709</v>
      </c>
      <c r="C906" s="68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  <c r="AA906" s="50"/>
      <c r="AB906" s="50"/>
      <c r="AC906" s="50"/>
      <c r="AD906" s="50"/>
      <c r="AE906" s="50"/>
      <c r="AF906" s="50"/>
      <c r="AG906" s="50"/>
      <c r="AH906" s="50"/>
      <c r="AI906" s="72">
        <f t="shared" si="262"/>
        <v>0</v>
      </c>
    </row>
    <row r="907" spans="1:35" outlineLevel="2" x14ac:dyDescent="0.2">
      <c r="A907" s="67"/>
      <c r="B907" s="42" t="s">
        <v>710</v>
      </c>
      <c r="C907" s="68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  <c r="AA907" s="50"/>
      <c r="AB907" s="50"/>
      <c r="AC907" s="50"/>
      <c r="AD907" s="50"/>
      <c r="AE907" s="50"/>
      <c r="AF907" s="50"/>
      <c r="AG907" s="50"/>
      <c r="AH907" s="50"/>
      <c r="AI907" s="72">
        <f t="shared" si="262"/>
        <v>0</v>
      </c>
    </row>
    <row r="908" spans="1:35" outlineLevel="1" x14ac:dyDescent="0.2">
      <c r="A908" s="67" t="s">
        <v>614</v>
      </c>
      <c r="B908" s="38" t="s">
        <v>637</v>
      </c>
      <c r="C908" s="68">
        <v>2281700000</v>
      </c>
      <c r="D908" s="35">
        <f>SUM(D909:D911)</f>
        <v>0</v>
      </c>
      <c r="E908" s="35">
        <f t="shared" ref="E908:AH908" si="275">SUM(E909:E911)</f>
        <v>0</v>
      </c>
      <c r="F908" s="35">
        <f t="shared" si="275"/>
        <v>0</v>
      </c>
      <c r="G908" s="35">
        <f t="shared" si="275"/>
        <v>0</v>
      </c>
      <c r="H908" s="35">
        <f t="shared" si="275"/>
        <v>0</v>
      </c>
      <c r="I908" s="35">
        <f t="shared" si="275"/>
        <v>0</v>
      </c>
      <c r="J908" s="35">
        <f t="shared" si="275"/>
        <v>0</v>
      </c>
      <c r="K908" s="35">
        <f t="shared" si="275"/>
        <v>0</v>
      </c>
      <c r="L908" s="35">
        <f t="shared" si="275"/>
        <v>0</v>
      </c>
      <c r="M908" s="35">
        <f t="shared" si="275"/>
        <v>0</v>
      </c>
      <c r="N908" s="35">
        <f t="shared" si="275"/>
        <v>0</v>
      </c>
      <c r="O908" s="35">
        <f t="shared" si="275"/>
        <v>0</v>
      </c>
      <c r="P908" s="35">
        <f t="shared" si="275"/>
        <v>0</v>
      </c>
      <c r="Q908" s="35">
        <f t="shared" si="275"/>
        <v>0</v>
      </c>
      <c r="R908" s="35">
        <f t="shared" si="275"/>
        <v>0</v>
      </c>
      <c r="S908" s="35">
        <f t="shared" si="275"/>
        <v>0</v>
      </c>
      <c r="T908" s="35">
        <f t="shared" si="275"/>
        <v>0</v>
      </c>
      <c r="U908" s="35">
        <f t="shared" si="275"/>
        <v>0</v>
      </c>
      <c r="V908" s="35">
        <f t="shared" si="275"/>
        <v>0</v>
      </c>
      <c r="W908" s="35">
        <f t="shared" si="275"/>
        <v>0</v>
      </c>
      <c r="X908" s="35">
        <f t="shared" si="275"/>
        <v>0</v>
      </c>
      <c r="Y908" s="35">
        <f t="shared" si="275"/>
        <v>0</v>
      </c>
      <c r="Z908" s="35">
        <f t="shared" si="275"/>
        <v>0</v>
      </c>
      <c r="AA908" s="35">
        <f t="shared" si="275"/>
        <v>0</v>
      </c>
      <c r="AB908" s="35">
        <f t="shared" si="275"/>
        <v>0</v>
      </c>
      <c r="AC908" s="35">
        <f t="shared" si="275"/>
        <v>0</v>
      </c>
      <c r="AD908" s="35">
        <f t="shared" si="275"/>
        <v>0</v>
      </c>
      <c r="AE908" s="35">
        <f t="shared" si="275"/>
        <v>0</v>
      </c>
      <c r="AF908" s="35">
        <f t="shared" si="275"/>
        <v>0</v>
      </c>
      <c r="AG908" s="35">
        <f t="shared" si="275"/>
        <v>0</v>
      </c>
      <c r="AH908" s="35">
        <f t="shared" si="275"/>
        <v>0</v>
      </c>
      <c r="AI908" s="72">
        <f t="shared" si="262"/>
        <v>0</v>
      </c>
    </row>
    <row r="909" spans="1:35" outlineLevel="2" x14ac:dyDescent="0.2">
      <c r="A909" s="67"/>
      <c r="B909" s="42" t="s">
        <v>708</v>
      </c>
      <c r="C909" s="68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  <c r="AA909" s="50"/>
      <c r="AB909" s="50"/>
      <c r="AC909" s="50"/>
      <c r="AD909" s="50"/>
      <c r="AE909" s="50"/>
      <c r="AF909" s="50"/>
      <c r="AG909" s="50"/>
      <c r="AH909" s="50"/>
      <c r="AI909" s="72">
        <f t="shared" si="262"/>
        <v>0</v>
      </c>
    </row>
    <row r="910" spans="1:35" outlineLevel="2" x14ac:dyDescent="0.2">
      <c r="A910" s="67"/>
      <c r="B910" s="42" t="s">
        <v>709</v>
      </c>
      <c r="C910" s="68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  <c r="AA910" s="50"/>
      <c r="AB910" s="50"/>
      <c r="AC910" s="50"/>
      <c r="AD910" s="50"/>
      <c r="AE910" s="50"/>
      <c r="AF910" s="50"/>
      <c r="AG910" s="50"/>
      <c r="AH910" s="50"/>
      <c r="AI910" s="72">
        <f t="shared" si="262"/>
        <v>0</v>
      </c>
    </row>
    <row r="911" spans="1:35" outlineLevel="2" x14ac:dyDescent="0.2">
      <c r="A911" s="67"/>
      <c r="B911" s="42" t="s">
        <v>710</v>
      </c>
      <c r="C911" s="68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  <c r="AA911" s="50"/>
      <c r="AB911" s="50"/>
      <c r="AC911" s="50"/>
      <c r="AD911" s="50"/>
      <c r="AE911" s="50"/>
      <c r="AF911" s="50"/>
      <c r="AG911" s="50"/>
      <c r="AH911" s="50"/>
      <c r="AI911" s="72">
        <f t="shared" si="262"/>
        <v>0</v>
      </c>
    </row>
    <row r="912" spans="1:35" outlineLevel="1" x14ac:dyDescent="0.2">
      <c r="A912" s="67" t="s">
        <v>615</v>
      </c>
      <c r="B912" s="40" t="s">
        <v>638</v>
      </c>
      <c r="C912" s="68">
        <v>2281800000</v>
      </c>
      <c r="D912" s="35">
        <f>SUM(D913:D915)</f>
        <v>0</v>
      </c>
      <c r="E912" s="35">
        <f t="shared" ref="E912:AH912" si="276">SUM(E913:E915)</f>
        <v>0</v>
      </c>
      <c r="F912" s="35">
        <f t="shared" si="276"/>
        <v>0</v>
      </c>
      <c r="G912" s="35">
        <f t="shared" si="276"/>
        <v>0</v>
      </c>
      <c r="H912" s="35">
        <f t="shared" si="276"/>
        <v>0</v>
      </c>
      <c r="I912" s="35">
        <f t="shared" si="276"/>
        <v>0</v>
      </c>
      <c r="J912" s="35">
        <f t="shared" si="276"/>
        <v>0</v>
      </c>
      <c r="K912" s="35">
        <f t="shared" si="276"/>
        <v>0</v>
      </c>
      <c r="L912" s="35">
        <f t="shared" si="276"/>
        <v>0</v>
      </c>
      <c r="M912" s="35">
        <f t="shared" si="276"/>
        <v>0</v>
      </c>
      <c r="N912" s="35">
        <f t="shared" si="276"/>
        <v>0</v>
      </c>
      <c r="O912" s="35">
        <f t="shared" si="276"/>
        <v>0</v>
      </c>
      <c r="P912" s="35">
        <f t="shared" si="276"/>
        <v>0</v>
      </c>
      <c r="Q912" s="35">
        <f t="shared" si="276"/>
        <v>0</v>
      </c>
      <c r="R912" s="35">
        <f t="shared" si="276"/>
        <v>0</v>
      </c>
      <c r="S912" s="35">
        <f t="shared" si="276"/>
        <v>0</v>
      </c>
      <c r="T912" s="35">
        <f t="shared" si="276"/>
        <v>0</v>
      </c>
      <c r="U912" s="35">
        <f t="shared" si="276"/>
        <v>0</v>
      </c>
      <c r="V912" s="35">
        <f t="shared" si="276"/>
        <v>0</v>
      </c>
      <c r="W912" s="35">
        <f t="shared" si="276"/>
        <v>0</v>
      </c>
      <c r="X912" s="35">
        <f t="shared" si="276"/>
        <v>0</v>
      </c>
      <c r="Y912" s="35">
        <f t="shared" si="276"/>
        <v>0</v>
      </c>
      <c r="Z912" s="35">
        <f t="shared" si="276"/>
        <v>0</v>
      </c>
      <c r="AA912" s="35">
        <f t="shared" si="276"/>
        <v>0</v>
      </c>
      <c r="AB912" s="35">
        <f t="shared" si="276"/>
        <v>0</v>
      </c>
      <c r="AC912" s="35">
        <f t="shared" si="276"/>
        <v>0</v>
      </c>
      <c r="AD912" s="35">
        <f t="shared" si="276"/>
        <v>0</v>
      </c>
      <c r="AE912" s="35">
        <f t="shared" si="276"/>
        <v>0</v>
      </c>
      <c r="AF912" s="35">
        <f t="shared" si="276"/>
        <v>0</v>
      </c>
      <c r="AG912" s="35">
        <f t="shared" si="276"/>
        <v>0</v>
      </c>
      <c r="AH912" s="35">
        <f t="shared" si="276"/>
        <v>0</v>
      </c>
      <c r="AI912" s="72">
        <f t="shared" si="262"/>
        <v>0</v>
      </c>
    </row>
    <row r="913" spans="1:35" outlineLevel="2" x14ac:dyDescent="0.2">
      <c r="A913" s="67"/>
      <c r="B913" s="42" t="s">
        <v>708</v>
      </c>
      <c r="C913" s="68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  <c r="AA913" s="50"/>
      <c r="AB913" s="50"/>
      <c r="AC913" s="50"/>
      <c r="AD913" s="50"/>
      <c r="AE913" s="50"/>
      <c r="AF913" s="50"/>
      <c r="AG913" s="50"/>
      <c r="AH913" s="50"/>
      <c r="AI913" s="72">
        <f t="shared" si="262"/>
        <v>0</v>
      </c>
    </row>
    <row r="914" spans="1:35" outlineLevel="2" x14ac:dyDescent="0.2">
      <c r="A914" s="67"/>
      <c r="B914" s="42" t="s">
        <v>709</v>
      </c>
      <c r="C914" s="68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  <c r="AA914" s="50"/>
      <c r="AB914" s="50"/>
      <c r="AC914" s="50"/>
      <c r="AD914" s="50"/>
      <c r="AE914" s="50"/>
      <c r="AF914" s="50"/>
      <c r="AG914" s="50"/>
      <c r="AH914" s="50"/>
      <c r="AI914" s="72">
        <f t="shared" si="262"/>
        <v>0</v>
      </c>
    </row>
    <row r="915" spans="1:35" outlineLevel="2" x14ac:dyDescent="0.2">
      <c r="A915" s="67"/>
      <c r="B915" s="42" t="s">
        <v>710</v>
      </c>
      <c r="C915" s="68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  <c r="AA915" s="50"/>
      <c r="AB915" s="50"/>
      <c r="AC915" s="50"/>
      <c r="AD915" s="50"/>
      <c r="AE915" s="50"/>
      <c r="AF915" s="50"/>
      <c r="AG915" s="50"/>
      <c r="AH915" s="50"/>
      <c r="AI915" s="72">
        <f t="shared" si="262"/>
        <v>0</v>
      </c>
    </row>
    <row r="916" spans="1:35" outlineLevel="1" x14ac:dyDescent="0.2">
      <c r="A916" s="67" t="s">
        <v>616</v>
      </c>
      <c r="B916" s="38" t="s">
        <v>639</v>
      </c>
      <c r="C916" s="68">
        <v>2281900000</v>
      </c>
      <c r="D916" s="35">
        <f>SUM(D917:D919)</f>
        <v>0</v>
      </c>
      <c r="E916" s="35">
        <f t="shared" ref="E916:AH916" si="277">SUM(E917:E919)</f>
        <v>0</v>
      </c>
      <c r="F916" s="35">
        <f t="shared" si="277"/>
        <v>0</v>
      </c>
      <c r="G916" s="35">
        <f t="shared" si="277"/>
        <v>0</v>
      </c>
      <c r="H916" s="35">
        <f t="shared" si="277"/>
        <v>0</v>
      </c>
      <c r="I916" s="35">
        <f t="shared" si="277"/>
        <v>0</v>
      </c>
      <c r="J916" s="35">
        <f t="shared" si="277"/>
        <v>0</v>
      </c>
      <c r="K916" s="35">
        <f t="shared" si="277"/>
        <v>0</v>
      </c>
      <c r="L916" s="35">
        <f t="shared" si="277"/>
        <v>0</v>
      </c>
      <c r="M916" s="35">
        <f t="shared" si="277"/>
        <v>0</v>
      </c>
      <c r="N916" s="35">
        <f t="shared" si="277"/>
        <v>0</v>
      </c>
      <c r="O916" s="35">
        <f t="shared" si="277"/>
        <v>0</v>
      </c>
      <c r="P916" s="35">
        <f t="shared" si="277"/>
        <v>0</v>
      </c>
      <c r="Q916" s="35">
        <f t="shared" si="277"/>
        <v>0</v>
      </c>
      <c r="R916" s="35">
        <f t="shared" si="277"/>
        <v>0</v>
      </c>
      <c r="S916" s="35">
        <f t="shared" si="277"/>
        <v>0</v>
      </c>
      <c r="T916" s="35">
        <f t="shared" si="277"/>
        <v>0</v>
      </c>
      <c r="U916" s="35">
        <f t="shared" si="277"/>
        <v>0</v>
      </c>
      <c r="V916" s="35">
        <f t="shared" si="277"/>
        <v>0</v>
      </c>
      <c r="W916" s="35">
        <f t="shared" si="277"/>
        <v>0</v>
      </c>
      <c r="X916" s="35">
        <f t="shared" si="277"/>
        <v>0</v>
      </c>
      <c r="Y916" s="35">
        <f t="shared" si="277"/>
        <v>0</v>
      </c>
      <c r="Z916" s="35">
        <f t="shared" si="277"/>
        <v>0</v>
      </c>
      <c r="AA916" s="35">
        <f t="shared" si="277"/>
        <v>0</v>
      </c>
      <c r="AB916" s="35">
        <f t="shared" si="277"/>
        <v>0</v>
      </c>
      <c r="AC916" s="35">
        <f t="shared" si="277"/>
        <v>0</v>
      </c>
      <c r="AD916" s="35">
        <f t="shared" si="277"/>
        <v>0</v>
      </c>
      <c r="AE916" s="35">
        <f t="shared" si="277"/>
        <v>0</v>
      </c>
      <c r="AF916" s="35">
        <f t="shared" si="277"/>
        <v>0</v>
      </c>
      <c r="AG916" s="35">
        <f t="shared" si="277"/>
        <v>0</v>
      </c>
      <c r="AH916" s="35">
        <f t="shared" si="277"/>
        <v>0</v>
      </c>
      <c r="AI916" s="72">
        <f t="shared" si="262"/>
        <v>0</v>
      </c>
    </row>
    <row r="917" spans="1:35" outlineLevel="2" x14ac:dyDescent="0.2">
      <c r="A917" s="67"/>
      <c r="B917" s="42" t="s">
        <v>708</v>
      </c>
      <c r="C917" s="68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  <c r="AA917" s="50"/>
      <c r="AB917" s="50"/>
      <c r="AC917" s="50"/>
      <c r="AD917" s="50"/>
      <c r="AE917" s="50"/>
      <c r="AF917" s="50"/>
      <c r="AG917" s="50"/>
      <c r="AH917" s="50"/>
      <c r="AI917" s="72">
        <f t="shared" si="262"/>
        <v>0</v>
      </c>
    </row>
    <row r="918" spans="1:35" outlineLevel="2" x14ac:dyDescent="0.2">
      <c r="A918" s="67"/>
      <c r="B918" s="42" t="s">
        <v>709</v>
      </c>
      <c r="C918" s="68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  <c r="AA918" s="50"/>
      <c r="AB918" s="50"/>
      <c r="AC918" s="50"/>
      <c r="AD918" s="50"/>
      <c r="AE918" s="50"/>
      <c r="AF918" s="50"/>
      <c r="AG918" s="50"/>
      <c r="AH918" s="50"/>
      <c r="AI918" s="72">
        <f t="shared" si="262"/>
        <v>0</v>
      </c>
    </row>
    <row r="919" spans="1:35" outlineLevel="2" x14ac:dyDescent="0.2">
      <c r="A919" s="67"/>
      <c r="B919" s="42" t="s">
        <v>710</v>
      </c>
      <c r="C919" s="68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  <c r="AA919" s="50"/>
      <c r="AB919" s="50"/>
      <c r="AC919" s="50"/>
      <c r="AD919" s="50"/>
      <c r="AE919" s="50"/>
      <c r="AF919" s="50"/>
      <c r="AG919" s="50"/>
      <c r="AH919" s="50"/>
      <c r="AI919" s="72">
        <f t="shared" si="262"/>
        <v>0</v>
      </c>
    </row>
    <row r="920" spans="1:35" outlineLevel="1" x14ac:dyDescent="0.2">
      <c r="A920" s="67" t="s">
        <v>617</v>
      </c>
      <c r="B920" s="38" t="s">
        <v>640</v>
      </c>
      <c r="C920" s="68">
        <v>2282000000</v>
      </c>
      <c r="D920" s="35">
        <f>SUM(D921:D923)</f>
        <v>0</v>
      </c>
      <c r="E920" s="35">
        <f t="shared" ref="E920:AH920" si="278">SUM(E921:E923)</f>
        <v>0</v>
      </c>
      <c r="F920" s="35">
        <f t="shared" si="278"/>
        <v>0</v>
      </c>
      <c r="G920" s="35">
        <f t="shared" si="278"/>
        <v>0</v>
      </c>
      <c r="H920" s="35">
        <f t="shared" si="278"/>
        <v>0</v>
      </c>
      <c r="I920" s="35">
        <f t="shared" si="278"/>
        <v>0</v>
      </c>
      <c r="J920" s="35">
        <f t="shared" si="278"/>
        <v>0</v>
      </c>
      <c r="K920" s="35">
        <f t="shared" si="278"/>
        <v>0</v>
      </c>
      <c r="L920" s="35">
        <f t="shared" si="278"/>
        <v>0</v>
      </c>
      <c r="M920" s="35">
        <f t="shared" si="278"/>
        <v>0</v>
      </c>
      <c r="N920" s="35">
        <f t="shared" si="278"/>
        <v>0</v>
      </c>
      <c r="O920" s="35">
        <f t="shared" si="278"/>
        <v>0</v>
      </c>
      <c r="P920" s="35">
        <f t="shared" si="278"/>
        <v>0</v>
      </c>
      <c r="Q920" s="35">
        <f t="shared" si="278"/>
        <v>0</v>
      </c>
      <c r="R920" s="35">
        <f t="shared" si="278"/>
        <v>0</v>
      </c>
      <c r="S920" s="35">
        <f t="shared" si="278"/>
        <v>0</v>
      </c>
      <c r="T920" s="35">
        <f t="shared" si="278"/>
        <v>0</v>
      </c>
      <c r="U920" s="35">
        <f t="shared" si="278"/>
        <v>0</v>
      </c>
      <c r="V920" s="35">
        <f t="shared" si="278"/>
        <v>0</v>
      </c>
      <c r="W920" s="35">
        <f t="shared" si="278"/>
        <v>0</v>
      </c>
      <c r="X920" s="35">
        <f t="shared" si="278"/>
        <v>0</v>
      </c>
      <c r="Y920" s="35">
        <f t="shared" si="278"/>
        <v>0</v>
      </c>
      <c r="Z920" s="35">
        <f t="shared" si="278"/>
        <v>0</v>
      </c>
      <c r="AA920" s="35">
        <f t="shared" si="278"/>
        <v>0</v>
      </c>
      <c r="AB920" s="35">
        <f t="shared" si="278"/>
        <v>0</v>
      </c>
      <c r="AC920" s="35">
        <f t="shared" si="278"/>
        <v>0</v>
      </c>
      <c r="AD920" s="35">
        <f t="shared" si="278"/>
        <v>0</v>
      </c>
      <c r="AE920" s="35">
        <f t="shared" si="278"/>
        <v>0</v>
      </c>
      <c r="AF920" s="35">
        <f t="shared" si="278"/>
        <v>0</v>
      </c>
      <c r="AG920" s="35">
        <f t="shared" si="278"/>
        <v>0</v>
      </c>
      <c r="AH920" s="35">
        <f t="shared" si="278"/>
        <v>0</v>
      </c>
      <c r="AI920" s="72">
        <f t="shared" si="262"/>
        <v>0</v>
      </c>
    </row>
    <row r="921" spans="1:35" outlineLevel="2" x14ac:dyDescent="0.2">
      <c r="A921" s="67"/>
      <c r="B921" s="42" t="s">
        <v>708</v>
      </c>
      <c r="C921" s="68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  <c r="AA921" s="50"/>
      <c r="AB921" s="50"/>
      <c r="AC921" s="50"/>
      <c r="AD921" s="50"/>
      <c r="AE921" s="50"/>
      <c r="AF921" s="50"/>
      <c r="AG921" s="50"/>
      <c r="AH921" s="50"/>
      <c r="AI921" s="72">
        <f t="shared" ref="AI921:AI957" si="279">SUM(D921:AH921)</f>
        <v>0</v>
      </c>
    </row>
    <row r="922" spans="1:35" outlineLevel="2" x14ac:dyDescent="0.2">
      <c r="A922" s="67"/>
      <c r="B922" s="42" t="s">
        <v>709</v>
      </c>
      <c r="C922" s="68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  <c r="AA922" s="50"/>
      <c r="AB922" s="50"/>
      <c r="AC922" s="50"/>
      <c r="AD922" s="50"/>
      <c r="AE922" s="50"/>
      <c r="AF922" s="50"/>
      <c r="AG922" s="50"/>
      <c r="AH922" s="50"/>
      <c r="AI922" s="72">
        <f t="shared" si="279"/>
        <v>0</v>
      </c>
    </row>
    <row r="923" spans="1:35" outlineLevel="2" x14ac:dyDescent="0.2">
      <c r="A923" s="67"/>
      <c r="B923" s="42" t="s">
        <v>710</v>
      </c>
      <c r="C923" s="68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  <c r="AA923" s="50"/>
      <c r="AB923" s="50"/>
      <c r="AC923" s="50"/>
      <c r="AD923" s="50"/>
      <c r="AE923" s="50"/>
      <c r="AF923" s="50"/>
      <c r="AG923" s="50"/>
      <c r="AH923" s="50"/>
      <c r="AI923" s="72">
        <f t="shared" si="279"/>
        <v>0</v>
      </c>
    </row>
    <row r="924" spans="1:35" outlineLevel="1" x14ac:dyDescent="0.2">
      <c r="A924" s="67" t="s">
        <v>618</v>
      </c>
      <c r="B924" s="38" t="s">
        <v>641</v>
      </c>
      <c r="C924" s="68">
        <v>2282100000</v>
      </c>
      <c r="D924" s="35">
        <f>SUM(D925:D927)</f>
        <v>0</v>
      </c>
      <c r="E924" s="35">
        <f t="shared" ref="E924:AH924" si="280">SUM(E925:E927)</f>
        <v>0</v>
      </c>
      <c r="F924" s="35">
        <f t="shared" si="280"/>
        <v>0</v>
      </c>
      <c r="G924" s="35">
        <f t="shared" si="280"/>
        <v>0</v>
      </c>
      <c r="H924" s="35">
        <f t="shared" si="280"/>
        <v>0</v>
      </c>
      <c r="I924" s="35">
        <f t="shared" si="280"/>
        <v>0</v>
      </c>
      <c r="J924" s="35">
        <f t="shared" si="280"/>
        <v>0</v>
      </c>
      <c r="K924" s="35">
        <f t="shared" si="280"/>
        <v>0</v>
      </c>
      <c r="L924" s="35">
        <f t="shared" si="280"/>
        <v>0</v>
      </c>
      <c r="M924" s="35">
        <f t="shared" si="280"/>
        <v>0</v>
      </c>
      <c r="N924" s="35">
        <f t="shared" si="280"/>
        <v>0</v>
      </c>
      <c r="O924" s="35">
        <f t="shared" si="280"/>
        <v>0</v>
      </c>
      <c r="P924" s="35">
        <f t="shared" si="280"/>
        <v>0</v>
      </c>
      <c r="Q924" s="35">
        <f t="shared" si="280"/>
        <v>0</v>
      </c>
      <c r="R924" s="35">
        <f t="shared" si="280"/>
        <v>0</v>
      </c>
      <c r="S924" s="35">
        <f t="shared" si="280"/>
        <v>0</v>
      </c>
      <c r="T924" s="35">
        <f t="shared" si="280"/>
        <v>0</v>
      </c>
      <c r="U924" s="35">
        <f t="shared" si="280"/>
        <v>0</v>
      </c>
      <c r="V924" s="35">
        <f t="shared" si="280"/>
        <v>0</v>
      </c>
      <c r="W924" s="35">
        <f t="shared" si="280"/>
        <v>0</v>
      </c>
      <c r="X924" s="35">
        <f t="shared" si="280"/>
        <v>0</v>
      </c>
      <c r="Y924" s="35">
        <f t="shared" si="280"/>
        <v>0</v>
      </c>
      <c r="Z924" s="35">
        <f t="shared" si="280"/>
        <v>0</v>
      </c>
      <c r="AA924" s="35">
        <f t="shared" si="280"/>
        <v>0</v>
      </c>
      <c r="AB924" s="35">
        <f t="shared" si="280"/>
        <v>0</v>
      </c>
      <c r="AC924" s="35">
        <f t="shared" si="280"/>
        <v>0</v>
      </c>
      <c r="AD924" s="35">
        <f t="shared" si="280"/>
        <v>0</v>
      </c>
      <c r="AE924" s="35">
        <f t="shared" si="280"/>
        <v>0</v>
      </c>
      <c r="AF924" s="35">
        <f t="shared" si="280"/>
        <v>0</v>
      </c>
      <c r="AG924" s="35">
        <f t="shared" si="280"/>
        <v>0</v>
      </c>
      <c r="AH924" s="35">
        <f t="shared" si="280"/>
        <v>0</v>
      </c>
      <c r="AI924" s="72">
        <f t="shared" si="279"/>
        <v>0</v>
      </c>
    </row>
    <row r="925" spans="1:35" outlineLevel="2" x14ac:dyDescent="0.2">
      <c r="A925" s="67"/>
      <c r="B925" s="42" t="s">
        <v>708</v>
      </c>
      <c r="C925" s="68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  <c r="AA925" s="50"/>
      <c r="AB925" s="50"/>
      <c r="AC925" s="50"/>
      <c r="AD925" s="50"/>
      <c r="AE925" s="50"/>
      <c r="AF925" s="50"/>
      <c r="AG925" s="50"/>
      <c r="AH925" s="50"/>
      <c r="AI925" s="72">
        <f t="shared" si="279"/>
        <v>0</v>
      </c>
    </row>
    <row r="926" spans="1:35" outlineLevel="2" x14ac:dyDescent="0.2">
      <c r="A926" s="67"/>
      <c r="B926" s="42" t="s">
        <v>709</v>
      </c>
      <c r="C926" s="68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  <c r="AA926" s="50"/>
      <c r="AB926" s="50"/>
      <c r="AC926" s="50"/>
      <c r="AD926" s="50"/>
      <c r="AE926" s="50"/>
      <c r="AF926" s="50"/>
      <c r="AG926" s="50"/>
      <c r="AH926" s="50"/>
      <c r="AI926" s="72">
        <f t="shared" si="279"/>
        <v>0</v>
      </c>
    </row>
    <row r="927" spans="1:35" outlineLevel="2" x14ac:dyDescent="0.2">
      <c r="A927" s="67"/>
      <c r="B927" s="42" t="s">
        <v>710</v>
      </c>
      <c r="C927" s="68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  <c r="AA927" s="50"/>
      <c r="AB927" s="50"/>
      <c r="AC927" s="50"/>
      <c r="AD927" s="50"/>
      <c r="AE927" s="50"/>
      <c r="AF927" s="50"/>
      <c r="AG927" s="50"/>
      <c r="AH927" s="50"/>
      <c r="AI927" s="72">
        <f t="shared" si="279"/>
        <v>0</v>
      </c>
    </row>
    <row r="928" spans="1:35" outlineLevel="1" x14ac:dyDescent="0.2">
      <c r="A928" s="67" t="s">
        <v>619</v>
      </c>
      <c r="B928" s="38" t="s">
        <v>642</v>
      </c>
      <c r="C928" s="68">
        <v>2282200000</v>
      </c>
      <c r="D928" s="35">
        <f>SUM(D929:D931)</f>
        <v>0</v>
      </c>
      <c r="E928" s="35">
        <f t="shared" ref="E928:AH928" si="281">SUM(E929:E931)</f>
        <v>0</v>
      </c>
      <c r="F928" s="35">
        <f t="shared" si="281"/>
        <v>0</v>
      </c>
      <c r="G928" s="35">
        <f t="shared" si="281"/>
        <v>0</v>
      </c>
      <c r="H928" s="35">
        <f t="shared" si="281"/>
        <v>0</v>
      </c>
      <c r="I928" s="35">
        <f t="shared" si="281"/>
        <v>0</v>
      </c>
      <c r="J928" s="35">
        <f t="shared" si="281"/>
        <v>0</v>
      </c>
      <c r="K928" s="35">
        <f t="shared" si="281"/>
        <v>0</v>
      </c>
      <c r="L928" s="35">
        <f t="shared" si="281"/>
        <v>0</v>
      </c>
      <c r="M928" s="35">
        <f t="shared" si="281"/>
        <v>0</v>
      </c>
      <c r="N928" s="35">
        <f t="shared" si="281"/>
        <v>0</v>
      </c>
      <c r="O928" s="35">
        <f t="shared" si="281"/>
        <v>0</v>
      </c>
      <c r="P928" s="35">
        <f t="shared" si="281"/>
        <v>0</v>
      </c>
      <c r="Q928" s="35">
        <f t="shared" si="281"/>
        <v>0</v>
      </c>
      <c r="R928" s="35">
        <f t="shared" si="281"/>
        <v>0</v>
      </c>
      <c r="S928" s="35">
        <f t="shared" si="281"/>
        <v>0</v>
      </c>
      <c r="T928" s="35">
        <f t="shared" si="281"/>
        <v>0</v>
      </c>
      <c r="U928" s="35">
        <f t="shared" si="281"/>
        <v>0</v>
      </c>
      <c r="V928" s="35">
        <f t="shared" si="281"/>
        <v>0</v>
      </c>
      <c r="W928" s="35">
        <f t="shared" si="281"/>
        <v>0</v>
      </c>
      <c r="X928" s="35">
        <f t="shared" si="281"/>
        <v>0</v>
      </c>
      <c r="Y928" s="35">
        <f t="shared" si="281"/>
        <v>0</v>
      </c>
      <c r="Z928" s="35">
        <f t="shared" si="281"/>
        <v>0</v>
      </c>
      <c r="AA928" s="35">
        <f t="shared" si="281"/>
        <v>0</v>
      </c>
      <c r="AB928" s="35">
        <f t="shared" si="281"/>
        <v>0</v>
      </c>
      <c r="AC928" s="35">
        <f t="shared" si="281"/>
        <v>0</v>
      </c>
      <c r="AD928" s="35">
        <f t="shared" si="281"/>
        <v>0</v>
      </c>
      <c r="AE928" s="35">
        <f t="shared" si="281"/>
        <v>0</v>
      </c>
      <c r="AF928" s="35">
        <f t="shared" si="281"/>
        <v>0</v>
      </c>
      <c r="AG928" s="35">
        <f t="shared" si="281"/>
        <v>0</v>
      </c>
      <c r="AH928" s="35">
        <f t="shared" si="281"/>
        <v>0</v>
      </c>
      <c r="AI928" s="72">
        <f t="shared" si="279"/>
        <v>0</v>
      </c>
    </row>
    <row r="929" spans="1:35" outlineLevel="2" x14ac:dyDescent="0.2">
      <c r="A929" s="67"/>
      <c r="B929" s="42" t="s">
        <v>708</v>
      </c>
      <c r="C929" s="68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  <c r="AA929" s="50"/>
      <c r="AB929" s="50"/>
      <c r="AC929" s="50"/>
      <c r="AD929" s="50"/>
      <c r="AE929" s="50"/>
      <c r="AF929" s="50"/>
      <c r="AG929" s="50"/>
      <c r="AH929" s="50"/>
      <c r="AI929" s="72">
        <f t="shared" si="279"/>
        <v>0</v>
      </c>
    </row>
    <row r="930" spans="1:35" outlineLevel="2" x14ac:dyDescent="0.2">
      <c r="A930" s="67"/>
      <c r="B930" s="42" t="s">
        <v>709</v>
      </c>
      <c r="C930" s="68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  <c r="AA930" s="50"/>
      <c r="AB930" s="50"/>
      <c r="AC930" s="50"/>
      <c r="AD930" s="50"/>
      <c r="AE930" s="50"/>
      <c r="AF930" s="50"/>
      <c r="AG930" s="50"/>
      <c r="AH930" s="50"/>
      <c r="AI930" s="72">
        <f t="shared" si="279"/>
        <v>0</v>
      </c>
    </row>
    <row r="931" spans="1:35" outlineLevel="2" x14ac:dyDescent="0.2">
      <c r="A931" s="67"/>
      <c r="B931" s="42" t="s">
        <v>710</v>
      </c>
      <c r="C931" s="68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  <c r="AA931" s="50"/>
      <c r="AB931" s="50"/>
      <c r="AC931" s="50"/>
      <c r="AD931" s="50"/>
      <c r="AE931" s="50"/>
      <c r="AF931" s="50"/>
      <c r="AG931" s="50"/>
      <c r="AH931" s="50"/>
      <c r="AI931" s="72">
        <f t="shared" si="279"/>
        <v>0</v>
      </c>
    </row>
    <row r="932" spans="1:35" outlineLevel="1" x14ac:dyDescent="0.2">
      <c r="A932" s="67" t="s">
        <v>620</v>
      </c>
      <c r="B932" s="38" t="s">
        <v>643</v>
      </c>
      <c r="C932" s="68">
        <v>2282300000</v>
      </c>
      <c r="D932" s="35">
        <f>SUM(D933:D935)</f>
        <v>0</v>
      </c>
      <c r="E932" s="35">
        <f t="shared" ref="E932:AH932" si="282">SUM(E933:E935)</f>
        <v>0</v>
      </c>
      <c r="F932" s="35">
        <f t="shared" si="282"/>
        <v>0</v>
      </c>
      <c r="G932" s="35">
        <f t="shared" si="282"/>
        <v>0</v>
      </c>
      <c r="H932" s="35">
        <f t="shared" si="282"/>
        <v>0</v>
      </c>
      <c r="I932" s="35">
        <f t="shared" si="282"/>
        <v>0</v>
      </c>
      <c r="J932" s="35">
        <f t="shared" si="282"/>
        <v>0</v>
      </c>
      <c r="K932" s="35">
        <f t="shared" si="282"/>
        <v>0</v>
      </c>
      <c r="L932" s="35">
        <f t="shared" si="282"/>
        <v>0</v>
      </c>
      <c r="M932" s="35">
        <f t="shared" si="282"/>
        <v>0</v>
      </c>
      <c r="N932" s="35">
        <f t="shared" si="282"/>
        <v>0</v>
      </c>
      <c r="O932" s="35">
        <f t="shared" si="282"/>
        <v>0</v>
      </c>
      <c r="P932" s="35">
        <f t="shared" si="282"/>
        <v>0</v>
      </c>
      <c r="Q932" s="35">
        <f t="shared" si="282"/>
        <v>0</v>
      </c>
      <c r="R932" s="35">
        <f t="shared" si="282"/>
        <v>0</v>
      </c>
      <c r="S932" s="35">
        <f t="shared" si="282"/>
        <v>0</v>
      </c>
      <c r="T932" s="35">
        <f t="shared" si="282"/>
        <v>0</v>
      </c>
      <c r="U932" s="35">
        <f t="shared" si="282"/>
        <v>0</v>
      </c>
      <c r="V932" s="35">
        <f t="shared" si="282"/>
        <v>0</v>
      </c>
      <c r="W932" s="35">
        <f t="shared" si="282"/>
        <v>0</v>
      </c>
      <c r="X932" s="35">
        <f t="shared" si="282"/>
        <v>0</v>
      </c>
      <c r="Y932" s="35">
        <f t="shared" si="282"/>
        <v>0</v>
      </c>
      <c r="Z932" s="35">
        <f t="shared" si="282"/>
        <v>0</v>
      </c>
      <c r="AA932" s="35">
        <f t="shared" si="282"/>
        <v>0</v>
      </c>
      <c r="AB932" s="35">
        <f t="shared" si="282"/>
        <v>0</v>
      </c>
      <c r="AC932" s="35">
        <f t="shared" si="282"/>
        <v>0</v>
      </c>
      <c r="AD932" s="35">
        <f t="shared" si="282"/>
        <v>0</v>
      </c>
      <c r="AE932" s="35">
        <f t="shared" si="282"/>
        <v>0</v>
      </c>
      <c r="AF932" s="35">
        <f t="shared" si="282"/>
        <v>0</v>
      </c>
      <c r="AG932" s="35">
        <f t="shared" si="282"/>
        <v>0</v>
      </c>
      <c r="AH932" s="35">
        <f t="shared" si="282"/>
        <v>0</v>
      </c>
      <c r="AI932" s="72">
        <f t="shared" si="279"/>
        <v>0</v>
      </c>
    </row>
    <row r="933" spans="1:35" outlineLevel="2" x14ac:dyDescent="0.2">
      <c r="A933" s="67"/>
      <c r="B933" s="42" t="s">
        <v>708</v>
      </c>
      <c r="C933" s="68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  <c r="AA933" s="50"/>
      <c r="AB933" s="50"/>
      <c r="AC933" s="50"/>
      <c r="AD933" s="50"/>
      <c r="AE933" s="50"/>
      <c r="AF933" s="50"/>
      <c r="AG933" s="50"/>
      <c r="AH933" s="50"/>
      <c r="AI933" s="72">
        <f t="shared" si="279"/>
        <v>0</v>
      </c>
    </row>
    <row r="934" spans="1:35" outlineLevel="2" x14ac:dyDescent="0.2">
      <c r="A934" s="67"/>
      <c r="B934" s="42" t="s">
        <v>709</v>
      </c>
      <c r="C934" s="68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  <c r="AA934" s="50"/>
      <c r="AB934" s="50"/>
      <c r="AC934" s="50"/>
      <c r="AD934" s="50"/>
      <c r="AE934" s="50"/>
      <c r="AF934" s="50"/>
      <c r="AG934" s="50"/>
      <c r="AH934" s="50"/>
      <c r="AI934" s="72">
        <f t="shared" si="279"/>
        <v>0</v>
      </c>
    </row>
    <row r="935" spans="1:35" outlineLevel="2" x14ac:dyDescent="0.2">
      <c r="A935" s="67"/>
      <c r="B935" s="42" t="s">
        <v>710</v>
      </c>
      <c r="C935" s="68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  <c r="AA935" s="50"/>
      <c r="AB935" s="50"/>
      <c r="AC935" s="50"/>
      <c r="AD935" s="50"/>
      <c r="AE935" s="50"/>
      <c r="AF935" s="50"/>
      <c r="AG935" s="50"/>
      <c r="AH935" s="50"/>
      <c r="AI935" s="72">
        <f t="shared" si="279"/>
        <v>0</v>
      </c>
    </row>
    <row r="936" spans="1:35" s="3" customFormat="1" x14ac:dyDescent="0.2">
      <c r="A936" s="84">
        <v>9</v>
      </c>
      <c r="B936" s="77" t="s">
        <v>646</v>
      </c>
      <c r="C936" s="78" t="s">
        <v>722</v>
      </c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76"/>
    </row>
    <row r="937" spans="1:35" outlineLevel="1" x14ac:dyDescent="0.2">
      <c r="A937" s="34" t="s">
        <v>653</v>
      </c>
      <c r="B937" s="11" t="s">
        <v>647</v>
      </c>
      <c r="C937" s="13" t="s">
        <v>721</v>
      </c>
      <c r="D937" s="35">
        <f>D938</f>
        <v>0</v>
      </c>
      <c r="E937" s="35">
        <f t="shared" ref="E937:AH937" si="283">E938</f>
        <v>0</v>
      </c>
      <c r="F937" s="35">
        <f t="shared" si="283"/>
        <v>0</v>
      </c>
      <c r="G937" s="35">
        <f t="shared" si="283"/>
        <v>0</v>
      </c>
      <c r="H937" s="35">
        <f t="shared" si="283"/>
        <v>0</v>
      </c>
      <c r="I937" s="35">
        <f t="shared" si="283"/>
        <v>0</v>
      </c>
      <c r="J937" s="35">
        <f t="shared" si="283"/>
        <v>0</v>
      </c>
      <c r="K937" s="35">
        <f t="shared" si="283"/>
        <v>0</v>
      </c>
      <c r="L937" s="35">
        <f t="shared" si="283"/>
        <v>0</v>
      </c>
      <c r="M937" s="35">
        <f t="shared" si="283"/>
        <v>0</v>
      </c>
      <c r="N937" s="35">
        <f t="shared" si="283"/>
        <v>0</v>
      </c>
      <c r="O937" s="35">
        <f t="shared" si="283"/>
        <v>0</v>
      </c>
      <c r="P937" s="35">
        <f t="shared" si="283"/>
        <v>0</v>
      </c>
      <c r="Q937" s="35">
        <f t="shared" si="283"/>
        <v>0</v>
      </c>
      <c r="R937" s="35">
        <f t="shared" si="283"/>
        <v>0</v>
      </c>
      <c r="S937" s="35">
        <f t="shared" si="283"/>
        <v>0</v>
      </c>
      <c r="T937" s="35">
        <f t="shared" si="283"/>
        <v>0</v>
      </c>
      <c r="U937" s="35">
        <f t="shared" si="283"/>
        <v>0</v>
      </c>
      <c r="V937" s="35">
        <f t="shared" si="283"/>
        <v>0</v>
      </c>
      <c r="W937" s="35">
        <f t="shared" si="283"/>
        <v>0</v>
      </c>
      <c r="X937" s="35">
        <f t="shared" si="283"/>
        <v>0</v>
      </c>
      <c r="Y937" s="35">
        <f t="shared" si="283"/>
        <v>0</v>
      </c>
      <c r="Z937" s="35">
        <f t="shared" si="283"/>
        <v>0</v>
      </c>
      <c r="AA937" s="35">
        <f t="shared" si="283"/>
        <v>0</v>
      </c>
      <c r="AB937" s="35">
        <f t="shared" si="283"/>
        <v>0</v>
      </c>
      <c r="AC937" s="35">
        <f t="shared" si="283"/>
        <v>0</v>
      </c>
      <c r="AD937" s="35">
        <f t="shared" si="283"/>
        <v>0</v>
      </c>
      <c r="AE937" s="35">
        <f t="shared" si="283"/>
        <v>0</v>
      </c>
      <c r="AF937" s="35">
        <f t="shared" si="283"/>
        <v>0</v>
      </c>
      <c r="AG937" s="35">
        <f t="shared" si="283"/>
        <v>0</v>
      </c>
      <c r="AH937" s="35">
        <f t="shared" si="283"/>
        <v>0</v>
      </c>
      <c r="AI937" s="72">
        <f t="shared" si="279"/>
        <v>0</v>
      </c>
    </row>
    <row r="938" spans="1:35" outlineLevel="2" x14ac:dyDescent="0.2">
      <c r="A938" s="34" t="s">
        <v>654</v>
      </c>
      <c r="B938" s="11" t="s">
        <v>648</v>
      </c>
      <c r="C938" s="13" t="s">
        <v>651</v>
      </c>
      <c r="D938" s="69"/>
      <c r="E938" s="69"/>
      <c r="F938" s="69"/>
      <c r="G938" s="69"/>
      <c r="H938" s="69"/>
      <c r="I938" s="69"/>
      <c r="J938" s="69"/>
      <c r="K938" s="69"/>
      <c r="L938" s="69"/>
      <c r="M938" s="69"/>
      <c r="N938" s="69"/>
      <c r="O938" s="69"/>
      <c r="P938" s="69"/>
      <c r="Q938" s="69"/>
      <c r="R938" s="69"/>
      <c r="S938" s="69"/>
      <c r="T938" s="69"/>
      <c r="U938" s="69"/>
      <c r="V938" s="69"/>
      <c r="W938" s="69"/>
      <c r="X938" s="69"/>
      <c r="Y938" s="69"/>
      <c r="Z938" s="69"/>
      <c r="AA938" s="69"/>
      <c r="AB938" s="69"/>
      <c r="AC938" s="69"/>
      <c r="AD938" s="69"/>
      <c r="AE938" s="69"/>
      <c r="AF938" s="69"/>
      <c r="AG938" s="69"/>
      <c r="AH938" s="69"/>
      <c r="AI938" s="72">
        <f t="shared" si="279"/>
        <v>0</v>
      </c>
    </row>
    <row r="939" spans="1:35" outlineLevel="1" x14ac:dyDescent="0.2">
      <c r="A939" s="34" t="s">
        <v>655</v>
      </c>
      <c r="B939" s="11" t="s">
        <v>649</v>
      </c>
      <c r="C939" s="13" t="s">
        <v>723</v>
      </c>
      <c r="D939" s="35">
        <f>D940</f>
        <v>0</v>
      </c>
      <c r="E939" s="35">
        <f t="shared" ref="E939:AH939" si="284">E940</f>
        <v>0</v>
      </c>
      <c r="F939" s="35">
        <f t="shared" si="284"/>
        <v>0</v>
      </c>
      <c r="G939" s="35">
        <f t="shared" si="284"/>
        <v>0</v>
      </c>
      <c r="H939" s="35">
        <f t="shared" si="284"/>
        <v>0</v>
      </c>
      <c r="I939" s="35">
        <f t="shared" si="284"/>
        <v>0</v>
      </c>
      <c r="J939" s="35">
        <f t="shared" si="284"/>
        <v>0</v>
      </c>
      <c r="K939" s="35">
        <f t="shared" si="284"/>
        <v>0</v>
      </c>
      <c r="L939" s="35">
        <f t="shared" si="284"/>
        <v>0</v>
      </c>
      <c r="M939" s="35">
        <f t="shared" si="284"/>
        <v>0</v>
      </c>
      <c r="N939" s="35">
        <f t="shared" si="284"/>
        <v>0</v>
      </c>
      <c r="O939" s="35">
        <f t="shared" si="284"/>
        <v>0</v>
      </c>
      <c r="P939" s="35">
        <f t="shared" si="284"/>
        <v>0</v>
      </c>
      <c r="Q939" s="35">
        <f t="shared" si="284"/>
        <v>0</v>
      </c>
      <c r="R939" s="35">
        <f t="shared" si="284"/>
        <v>0</v>
      </c>
      <c r="S939" s="35">
        <f t="shared" si="284"/>
        <v>0</v>
      </c>
      <c r="T939" s="35">
        <f t="shared" si="284"/>
        <v>0</v>
      </c>
      <c r="U939" s="35">
        <f t="shared" si="284"/>
        <v>0</v>
      </c>
      <c r="V939" s="35">
        <f t="shared" si="284"/>
        <v>0</v>
      </c>
      <c r="W939" s="35">
        <f t="shared" si="284"/>
        <v>0</v>
      </c>
      <c r="X939" s="35">
        <f t="shared" si="284"/>
        <v>0</v>
      </c>
      <c r="Y939" s="35">
        <f t="shared" si="284"/>
        <v>0</v>
      </c>
      <c r="Z939" s="35">
        <f t="shared" si="284"/>
        <v>0</v>
      </c>
      <c r="AA939" s="35">
        <f t="shared" si="284"/>
        <v>0</v>
      </c>
      <c r="AB939" s="35">
        <f t="shared" si="284"/>
        <v>0</v>
      </c>
      <c r="AC939" s="35">
        <f t="shared" si="284"/>
        <v>0</v>
      </c>
      <c r="AD939" s="35">
        <f t="shared" si="284"/>
        <v>0</v>
      </c>
      <c r="AE939" s="35">
        <f t="shared" si="284"/>
        <v>0</v>
      </c>
      <c r="AF939" s="35">
        <f t="shared" si="284"/>
        <v>0</v>
      </c>
      <c r="AG939" s="35">
        <f t="shared" si="284"/>
        <v>0</v>
      </c>
      <c r="AH939" s="35">
        <f t="shared" si="284"/>
        <v>0</v>
      </c>
      <c r="AI939" s="72">
        <f t="shared" si="279"/>
        <v>0</v>
      </c>
    </row>
    <row r="940" spans="1:35" outlineLevel="2" x14ac:dyDescent="0.2">
      <c r="A940" s="34" t="s">
        <v>656</v>
      </c>
      <c r="B940" s="11" t="s">
        <v>650</v>
      </c>
      <c r="C940" s="13" t="s">
        <v>652</v>
      </c>
      <c r="D940" s="69"/>
      <c r="E940" s="69"/>
      <c r="F940" s="69"/>
      <c r="G940" s="69"/>
      <c r="H940" s="69"/>
      <c r="I940" s="69"/>
      <c r="J940" s="69"/>
      <c r="K940" s="69"/>
      <c r="L940" s="69"/>
      <c r="M940" s="69"/>
      <c r="N940" s="69"/>
      <c r="O940" s="69"/>
      <c r="P940" s="69"/>
      <c r="Q940" s="69"/>
      <c r="R940" s="69"/>
      <c r="S940" s="69"/>
      <c r="T940" s="69"/>
      <c r="U940" s="69"/>
      <c r="V940" s="69"/>
      <c r="W940" s="69"/>
      <c r="X940" s="69"/>
      <c r="Y940" s="69"/>
      <c r="Z940" s="69"/>
      <c r="AA940" s="69"/>
      <c r="AB940" s="69"/>
      <c r="AC940" s="69"/>
      <c r="AD940" s="69"/>
      <c r="AE940" s="69"/>
      <c r="AF940" s="69"/>
      <c r="AG940" s="69"/>
      <c r="AH940" s="69"/>
      <c r="AI940" s="72">
        <f t="shared" si="279"/>
        <v>0</v>
      </c>
    </row>
    <row r="941" spans="1:35" s="47" customFormat="1" x14ac:dyDescent="0.2">
      <c r="A941" s="60">
        <v>10</v>
      </c>
      <c r="B941" s="61" t="s">
        <v>702</v>
      </c>
      <c r="C941" s="62" t="s">
        <v>711</v>
      </c>
      <c r="D941" s="59">
        <f t="shared" ref="D941" si="285">SUM(D942:D944)+D938</f>
        <v>0</v>
      </c>
      <c r="E941" s="59">
        <f t="shared" ref="E941:AH941" si="286">SUM(E942:E944)+E938</f>
        <v>0</v>
      </c>
      <c r="F941" s="59">
        <f t="shared" si="286"/>
        <v>13600</v>
      </c>
      <c r="G941" s="59">
        <f t="shared" si="286"/>
        <v>0</v>
      </c>
      <c r="H941" s="59">
        <f t="shared" si="286"/>
        <v>0</v>
      </c>
      <c r="I941" s="59">
        <f t="shared" si="286"/>
        <v>46389.5</v>
      </c>
      <c r="J941" s="59">
        <f t="shared" si="286"/>
        <v>0</v>
      </c>
      <c r="K941" s="59">
        <f t="shared" si="286"/>
        <v>0</v>
      </c>
      <c r="L941" s="59">
        <f t="shared" si="286"/>
        <v>0</v>
      </c>
      <c r="M941" s="59">
        <f t="shared" si="286"/>
        <v>284741.57</v>
      </c>
      <c r="N941" s="59">
        <f t="shared" si="286"/>
        <v>128795.39</v>
      </c>
      <c r="O941" s="59">
        <f t="shared" si="286"/>
        <v>283315664.74000001</v>
      </c>
      <c r="P941" s="59">
        <f t="shared" si="286"/>
        <v>58002.53</v>
      </c>
      <c r="Q941" s="59">
        <f t="shared" si="286"/>
        <v>1188496.3</v>
      </c>
      <c r="R941" s="59">
        <f t="shared" si="286"/>
        <v>0</v>
      </c>
      <c r="S941" s="59">
        <f t="shared" si="286"/>
        <v>0</v>
      </c>
      <c r="T941" s="59">
        <f t="shared" si="286"/>
        <v>2262721.21</v>
      </c>
      <c r="U941" s="59">
        <f t="shared" si="286"/>
        <v>96921.11</v>
      </c>
      <c r="V941" s="59">
        <f t="shared" si="286"/>
        <v>30329.62</v>
      </c>
      <c r="W941" s="59">
        <f t="shared" si="286"/>
        <v>10136640.609999999</v>
      </c>
      <c r="X941" s="59">
        <f t="shared" si="286"/>
        <v>4344487.3499999996</v>
      </c>
      <c r="Y941" s="59">
        <f t="shared" si="286"/>
        <v>0</v>
      </c>
      <c r="Z941" s="59">
        <f t="shared" si="286"/>
        <v>0</v>
      </c>
      <c r="AA941" s="59">
        <f t="shared" si="286"/>
        <v>388416.87</v>
      </c>
      <c r="AB941" s="59">
        <f t="shared" si="286"/>
        <v>11384277.219999999</v>
      </c>
      <c r="AC941" s="59">
        <f t="shared" si="286"/>
        <v>82725301.939999998</v>
      </c>
      <c r="AD941" s="59">
        <f t="shared" si="286"/>
        <v>720513.37</v>
      </c>
      <c r="AE941" s="59">
        <f t="shared" si="286"/>
        <v>370147.16</v>
      </c>
      <c r="AF941" s="59">
        <f t="shared" si="286"/>
        <v>0</v>
      </c>
      <c r="AG941" s="59">
        <f t="shared" si="286"/>
        <v>0</v>
      </c>
      <c r="AH941" s="59">
        <f t="shared" si="286"/>
        <v>2322264.87</v>
      </c>
      <c r="AI941" s="75">
        <f t="shared" si="279"/>
        <v>399817711.36000001</v>
      </c>
    </row>
    <row r="942" spans="1:35" s="47" customFormat="1" outlineLevel="1" x14ac:dyDescent="0.2">
      <c r="A942" s="45"/>
      <c r="B942" s="54" t="s">
        <v>708</v>
      </c>
      <c r="C942" s="46"/>
      <c r="D942" s="64">
        <f>D13+D17+D22+D26+D30+D35+D39+D44+D48+D52+D57+D61+D65+D69+D73+D77+D82+D86+D90+D95+D99+D104+D108+D120+D124+D128+D132+D136+D140+D144+D148+D152+D157+D161+D165+D169+D173+D177+D181+D185+D189+D193+D197</f>
        <v>0</v>
      </c>
      <c r="E942" s="64">
        <f t="shared" ref="E942:AH943" si="287">E13+E17+E22+E26+E30+E35+E39+E44+E48+E52+E57+E61+E65+E69+E73+E77+E82+E86+E90+E95+E99+E104+E108+E120+E124+E128+E132+E136+E140+E144+E148+E152+E157+E161+E165+E169+E173+E177+E181+E185+E189+E193+E197</f>
        <v>0</v>
      </c>
      <c r="F942" s="64">
        <f t="shared" si="287"/>
        <v>0</v>
      </c>
      <c r="G942" s="64">
        <f t="shared" si="287"/>
        <v>0</v>
      </c>
      <c r="H942" s="64">
        <f t="shared" si="287"/>
        <v>0</v>
      </c>
      <c r="I942" s="64">
        <f t="shared" si="287"/>
        <v>0</v>
      </c>
      <c r="J942" s="64">
        <f t="shared" si="287"/>
        <v>0</v>
      </c>
      <c r="K942" s="64">
        <f t="shared" si="287"/>
        <v>0</v>
      </c>
      <c r="L942" s="64">
        <f t="shared" si="287"/>
        <v>0</v>
      </c>
      <c r="M942" s="64">
        <f t="shared" si="287"/>
        <v>0</v>
      </c>
      <c r="N942" s="64">
        <f t="shared" si="287"/>
        <v>0</v>
      </c>
      <c r="O942" s="64">
        <f t="shared" si="287"/>
        <v>0</v>
      </c>
      <c r="P942" s="64">
        <f t="shared" si="287"/>
        <v>0</v>
      </c>
      <c r="Q942" s="64">
        <f t="shared" si="287"/>
        <v>0</v>
      </c>
      <c r="R942" s="64">
        <f t="shared" si="287"/>
        <v>0</v>
      </c>
      <c r="S942" s="64">
        <f t="shared" si="287"/>
        <v>0</v>
      </c>
      <c r="T942" s="64">
        <f t="shared" si="287"/>
        <v>0</v>
      </c>
      <c r="U942" s="64">
        <f t="shared" si="287"/>
        <v>0</v>
      </c>
      <c r="V942" s="64">
        <f t="shared" si="287"/>
        <v>0</v>
      </c>
      <c r="W942" s="64">
        <f t="shared" si="287"/>
        <v>0</v>
      </c>
      <c r="X942" s="64">
        <f t="shared" si="287"/>
        <v>0</v>
      </c>
      <c r="Y942" s="64">
        <f t="shared" si="287"/>
        <v>0</v>
      </c>
      <c r="Z942" s="64">
        <f t="shared" si="287"/>
        <v>0</v>
      </c>
      <c r="AA942" s="64">
        <f t="shared" si="287"/>
        <v>0</v>
      </c>
      <c r="AB942" s="64">
        <f t="shared" si="287"/>
        <v>0</v>
      </c>
      <c r="AC942" s="64">
        <f t="shared" si="287"/>
        <v>0</v>
      </c>
      <c r="AD942" s="64">
        <f t="shared" si="287"/>
        <v>0</v>
      </c>
      <c r="AE942" s="64">
        <f t="shared" si="287"/>
        <v>0</v>
      </c>
      <c r="AF942" s="64">
        <f t="shared" si="287"/>
        <v>0</v>
      </c>
      <c r="AG942" s="64">
        <f t="shared" si="287"/>
        <v>0</v>
      </c>
      <c r="AH942" s="64">
        <f t="shared" si="287"/>
        <v>0</v>
      </c>
      <c r="AI942" s="72">
        <f t="shared" si="279"/>
        <v>0</v>
      </c>
    </row>
    <row r="943" spans="1:35" s="47" customFormat="1" outlineLevel="1" x14ac:dyDescent="0.2">
      <c r="A943" s="45"/>
      <c r="B943" s="54" t="s">
        <v>709</v>
      </c>
      <c r="C943" s="46"/>
      <c r="D943" s="64">
        <f>D14+D18+D23+D27+D31+D36+D40+D45+D49+D53+D58+D62+D66+D70+D74+D78+D83+D87+D91+D96+D100+D105+D109+D121+D125+D129+D133+D137+D141+D145+D149+D153+D158+D162+D166+D170+D174+D178+D182+D186+D190+D194+D198</f>
        <v>0</v>
      </c>
      <c r="E943" s="64">
        <f t="shared" si="287"/>
        <v>0</v>
      </c>
      <c r="F943" s="64">
        <f t="shared" si="287"/>
        <v>0</v>
      </c>
      <c r="G943" s="64">
        <f t="shared" si="287"/>
        <v>0</v>
      </c>
      <c r="H943" s="64">
        <f t="shared" si="287"/>
        <v>0</v>
      </c>
      <c r="I943" s="64">
        <f t="shared" si="287"/>
        <v>0</v>
      </c>
      <c r="J943" s="64">
        <f t="shared" si="287"/>
        <v>0</v>
      </c>
      <c r="K943" s="64">
        <f t="shared" si="287"/>
        <v>0</v>
      </c>
      <c r="L943" s="64">
        <f t="shared" si="287"/>
        <v>0</v>
      </c>
      <c r="M943" s="64">
        <f t="shared" si="287"/>
        <v>0</v>
      </c>
      <c r="N943" s="64">
        <f t="shared" si="287"/>
        <v>0</v>
      </c>
      <c r="O943" s="64">
        <f t="shared" si="287"/>
        <v>280500000</v>
      </c>
      <c r="P943" s="64">
        <f t="shared" si="287"/>
        <v>0</v>
      </c>
      <c r="Q943" s="64">
        <f t="shared" si="287"/>
        <v>1000000</v>
      </c>
      <c r="R943" s="64">
        <f t="shared" si="287"/>
        <v>0</v>
      </c>
      <c r="S943" s="64">
        <f t="shared" si="287"/>
        <v>0</v>
      </c>
      <c r="T943" s="64">
        <f t="shared" si="287"/>
        <v>0</v>
      </c>
      <c r="U943" s="64">
        <f t="shared" si="287"/>
        <v>0</v>
      </c>
      <c r="V943" s="64">
        <f t="shared" si="287"/>
        <v>0</v>
      </c>
      <c r="W943" s="64">
        <f t="shared" si="287"/>
        <v>8500000</v>
      </c>
      <c r="X943" s="64">
        <f t="shared" si="287"/>
        <v>0</v>
      </c>
      <c r="Y943" s="64">
        <f t="shared" si="287"/>
        <v>0</v>
      </c>
      <c r="Z943" s="64">
        <f t="shared" si="287"/>
        <v>0</v>
      </c>
      <c r="AA943" s="64">
        <f t="shared" si="287"/>
        <v>0</v>
      </c>
      <c r="AB943" s="64">
        <f t="shared" si="287"/>
        <v>3000000</v>
      </c>
      <c r="AC943" s="64">
        <f t="shared" si="287"/>
        <v>82200000</v>
      </c>
      <c r="AD943" s="64">
        <f t="shared" si="287"/>
        <v>0</v>
      </c>
      <c r="AE943" s="64">
        <f t="shared" si="287"/>
        <v>0</v>
      </c>
      <c r="AF943" s="64">
        <f t="shared" si="287"/>
        <v>0</v>
      </c>
      <c r="AG943" s="64">
        <f t="shared" si="287"/>
        <v>0</v>
      </c>
      <c r="AH943" s="64">
        <f t="shared" si="287"/>
        <v>0</v>
      </c>
      <c r="AI943" s="72">
        <f t="shared" si="279"/>
        <v>375200000</v>
      </c>
    </row>
    <row r="944" spans="1:35" s="47" customFormat="1" outlineLevel="1" x14ac:dyDescent="0.2">
      <c r="A944" s="45"/>
      <c r="B944" s="54" t="s">
        <v>710</v>
      </c>
      <c r="C944" s="46"/>
      <c r="D944" s="64">
        <f>D15+D19+D24+D28+D32+D37+D41+D46+D54+D59+D63+D67+D71+D75+D79+D84+D88+D92+D97+D101+D106+D110+D122+D126+D130+D134+D138+D142+D146+D150+D154+D159+D163+D167+D171+D175+D179+D183+D187+D191+D195+D199</f>
        <v>0</v>
      </c>
      <c r="E944" s="64">
        <f t="shared" ref="E944:AH944" si="288">E15+E19+E24+E28+E32+E37+E41+E46+E54+E59+E63+E67+E71+E75+E79+E84+E88+E92+E97+E101+E106+E110+E122+E126+E130+E134+E138+E142+E146+E150+E154+E159+E163+E167+E171+E175+E179+E183+E187+E191+E195+E199</f>
        <v>0</v>
      </c>
      <c r="F944" s="64">
        <f t="shared" si="288"/>
        <v>13600</v>
      </c>
      <c r="G944" s="64">
        <f t="shared" si="288"/>
        <v>0</v>
      </c>
      <c r="H944" s="64">
        <f t="shared" si="288"/>
        <v>0</v>
      </c>
      <c r="I944" s="64">
        <f t="shared" si="288"/>
        <v>46389.5</v>
      </c>
      <c r="J944" s="64">
        <f t="shared" si="288"/>
        <v>0</v>
      </c>
      <c r="K944" s="64">
        <f t="shared" si="288"/>
        <v>0</v>
      </c>
      <c r="L944" s="64">
        <f t="shared" si="288"/>
        <v>0</v>
      </c>
      <c r="M944" s="64">
        <f t="shared" si="288"/>
        <v>284741.57</v>
      </c>
      <c r="N944" s="64">
        <f t="shared" si="288"/>
        <v>128795.39</v>
      </c>
      <c r="O944" s="64">
        <f t="shared" si="288"/>
        <v>2815664.74</v>
      </c>
      <c r="P944" s="64">
        <f t="shared" si="288"/>
        <v>58002.53</v>
      </c>
      <c r="Q944" s="64">
        <f t="shared" si="288"/>
        <v>188496.3</v>
      </c>
      <c r="R944" s="64">
        <f t="shared" si="288"/>
        <v>0</v>
      </c>
      <c r="S944" s="64">
        <f t="shared" si="288"/>
        <v>0</v>
      </c>
      <c r="T944" s="64">
        <f t="shared" si="288"/>
        <v>2262721.21</v>
      </c>
      <c r="U944" s="64">
        <f t="shared" si="288"/>
        <v>96921.11</v>
      </c>
      <c r="V944" s="64">
        <f t="shared" si="288"/>
        <v>30329.62</v>
      </c>
      <c r="W944" s="64">
        <f t="shared" si="288"/>
        <v>1636640.61</v>
      </c>
      <c r="X944" s="64">
        <f t="shared" si="288"/>
        <v>4344487.3499999996</v>
      </c>
      <c r="Y944" s="64">
        <f t="shared" si="288"/>
        <v>0</v>
      </c>
      <c r="Z944" s="64">
        <f t="shared" si="288"/>
        <v>0</v>
      </c>
      <c r="AA944" s="64">
        <f t="shared" si="288"/>
        <v>388416.87</v>
      </c>
      <c r="AB944" s="64">
        <f t="shared" si="288"/>
        <v>8384277.2199999997</v>
      </c>
      <c r="AC944" s="64">
        <f t="shared" si="288"/>
        <v>525301.94000000006</v>
      </c>
      <c r="AD944" s="64">
        <f t="shared" si="288"/>
        <v>720513.37</v>
      </c>
      <c r="AE944" s="64">
        <f t="shared" si="288"/>
        <v>370147.16</v>
      </c>
      <c r="AF944" s="64">
        <f t="shared" si="288"/>
        <v>0</v>
      </c>
      <c r="AG944" s="64">
        <f t="shared" si="288"/>
        <v>0</v>
      </c>
      <c r="AH944" s="64">
        <f t="shared" si="288"/>
        <v>2322264.87</v>
      </c>
      <c r="AI944" s="72">
        <f t="shared" si="279"/>
        <v>24617711.360000003</v>
      </c>
    </row>
    <row r="945" spans="1:35" s="47" customFormat="1" x14ac:dyDescent="0.2">
      <c r="A945" s="60">
        <v>11</v>
      </c>
      <c r="B945" s="61" t="s">
        <v>703</v>
      </c>
      <c r="C945" s="62" t="s">
        <v>712</v>
      </c>
      <c r="D945" s="59">
        <f>SUM(D946:D947)</f>
        <v>0</v>
      </c>
      <c r="E945" s="59">
        <f t="shared" ref="E945:AH945" si="289">SUM(E946:E947)</f>
        <v>0</v>
      </c>
      <c r="F945" s="59">
        <f t="shared" si="289"/>
        <v>0</v>
      </c>
      <c r="G945" s="59">
        <f t="shared" si="289"/>
        <v>0</v>
      </c>
      <c r="H945" s="59">
        <f t="shared" si="289"/>
        <v>0</v>
      </c>
      <c r="I945" s="59">
        <f t="shared" si="289"/>
        <v>0</v>
      </c>
      <c r="J945" s="59">
        <f t="shared" si="289"/>
        <v>0</v>
      </c>
      <c r="K945" s="59">
        <f t="shared" si="289"/>
        <v>0</v>
      </c>
      <c r="L945" s="59">
        <f t="shared" si="289"/>
        <v>0</v>
      </c>
      <c r="M945" s="59">
        <f t="shared" si="289"/>
        <v>0</v>
      </c>
      <c r="N945" s="59">
        <f t="shared" si="289"/>
        <v>0</v>
      </c>
      <c r="O945" s="59">
        <f t="shared" si="289"/>
        <v>0</v>
      </c>
      <c r="P945" s="59">
        <f t="shared" si="289"/>
        <v>917000</v>
      </c>
      <c r="Q945" s="59">
        <f t="shared" si="289"/>
        <v>224329782.07999998</v>
      </c>
      <c r="R945" s="59">
        <f t="shared" si="289"/>
        <v>0</v>
      </c>
      <c r="S945" s="59">
        <f t="shared" si="289"/>
        <v>0</v>
      </c>
      <c r="T945" s="59">
        <f t="shared" si="289"/>
        <v>18066.059999999998</v>
      </c>
      <c r="U945" s="59">
        <f t="shared" si="289"/>
        <v>119610.73000000001</v>
      </c>
      <c r="V945" s="59">
        <f t="shared" si="289"/>
        <v>4969109.209999999</v>
      </c>
      <c r="W945" s="59">
        <f t="shared" si="289"/>
        <v>76064</v>
      </c>
      <c r="X945" s="59">
        <f t="shared" si="289"/>
        <v>1618833.8</v>
      </c>
      <c r="Y945" s="59">
        <f t="shared" si="289"/>
        <v>0</v>
      </c>
      <c r="Z945" s="59">
        <f t="shared" si="289"/>
        <v>0</v>
      </c>
      <c r="AA945" s="59">
        <f t="shared" si="289"/>
        <v>2462876.94</v>
      </c>
      <c r="AB945" s="59">
        <f t="shared" si="289"/>
        <v>860582</v>
      </c>
      <c r="AC945" s="59">
        <f t="shared" si="289"/>
        <v>11758999.939999999</v>
      </c>
      <c r="AD945" s="59">
        <f t="shared" si="289"/>
        <v>14412353.1</v>
      </c>
      <c r="AE945" s="59">
        <f t="shared" si="289"/>
        <v>75756020.180000007</v>
      </c>
      <c r="AF945" s="59">
        <f t="shared" si="289"/>
        <v>0</v>
      </c>
      <c r="AG945" s="59">
        <f t="shared" si="289"/>
        <v>0</v>
      </c>
      <c r="AH945" s="59">
        <f t="shared" si="289"/>
        <v>24532500</v>
      </c>
      <c r="AI945" s="75">
        <f t="shared" si="279"/>
        <v>361831798.03999996</v>
      </c>
    </row>
    <row r="946" spans="1:35" s="47" customFormat="1" outlineLevel="1" x14ac:dyDescent="0.2">
      <c r="A946" s="45"/>
      <c r="B946" s="54" t="s">
        <v>719</v>
      </c>
      <c r="C946" s="46"/>
      <c r="D946" s="64">
        <f>D114+D117</f>
        <v>0</v>
      </c>
      <c r="E946" s="64">
        <f t="shared" ref="E946:AH947" si="290">E114+E117</f>
        <v>0</v>
      </c>
      <c r="F946" s="64">
        <f t="shared" si="290"/>
        <v>0</v>
      </c>
      <c r="G946" s="64">
        <f t="shared" si="290"/>
        <v>0</v>
      </c>
      <c r="H946" s="64">
        <f t="shared" si="290"/>
        <v>0</v>
      </c>
      <c r="I946" s="64">
        <f t="shared" si="290"/>
        <v>0</v>
      </c>
      <c r="J946" s="64">
        <f t="shared" si="290"/>
        <v>0</v>
      </c>
      <c r="K946" s="64">
        <f t="shared" si="290"/>
        <v>0</v>
      </c>
      <c r="L946" s="64">
        <f t="shared" si="290"/>
        <v>0</v>
      </c>
      <c r="M946" s="64">
        <f t="shared" si="290"/>
        <v>0</v>
      </c>
      <c r="N946" s="64">
        <f t="shared" si="290"/>
        <v>0</v>
      </c>
      <c r="O946" s="64">
        <f t="shared" si="290"/>
        <v>0</v>
      </c>
      <c r="P946" s="64">
        <f t="shared" si="290"/>
        <v>0</v>
      </c>
      <c r="Q946" s="64">
        <f t="shared" si="290"/>
        <v>0</v>
      </c>
      <c r="R946" s="64">
        <f t="shared" si="290"/>
        <v>0</v>
      </c>
      <c r="S946" s="64">
        <f t="shared" si="290"/>
        <v>0</v>
      </c>
      <c r="T946" s="64">
        <f t="shared" si="290"/>
        <v>0</v>
      </c>
      <c r="U946" s="64">
        <f t="shared" si="290"/>
        <v>0</v>
      </c>
      <c r="V946" s="64">
        <f t="shared" si="290"/>
        <v>0</v>
      </c>
      <c r="W946" s="64">
        <f t="shared" si="290"/>
        <v>0</v>
      </c>
      <c r="X946" s="64">
        <f t="shared" si="290"/>
        <v>0</v>
      </c>
      <c r="Y946" s="64">
        <f t="shared" si="290"/>
        <v>0</v>
      </c>
      <c r="Z946" s="64">
        <f t="shared" si="290"/>
        <v>0</v>
      </c>
      <c r="AA946" s="64">
        <f t="shared" si="290"/>
        <v>0</v>
      </c>
      <c r="AB946" s="64">
        <f t="shared" si="290"/>
        <v>0</v>
      </c>
      <c r="AC946" s="64">
        <f t="shared" si="290"/>
        <v>0</v>
      </c>
      <c r="AD946" s="64">
        <f t="shared" si="290"/>
        <v>0</v>
      </c>
      <c r="AE946" s="64">
        <f t="shared" si="290"/>
        <v>0</v>
      </c>
      <c r="AF946" s="64">
        <f t="shared" si="290"/>
        <v>0</v>
      </c>
      <c r="AG946" s="64">
        <f t="shared" si="290"/>
        <v>0</v>
      </c>
      <c r="AH946" s="64">
        <f t="shared" si="290"/>
        <v>0</v>
      </c>
      <c r="AI946" s="72">
        <f t="shared" si="279"/>
        <v>0</v>
      </c>
    </row>
    <row r="947" spans="1:35" s="47" customFormat="1" outlineLevel="1" x14ac:dyDescent="0.2">
      <c r="A947" s="45"/>
      <c r="B947" s="54" t="s">
        <v>709</v>
      </c>
      <c r="C947" s="46"/>
      <c r="D947" s="64">
        <f>D115+D118</f>
        <v>0</v>
      </c>
      <c r="E947" s="64">
        <f t="shared" si="290"/>
        <v>0</v>
      </c>
      <c r="F947" s="64">
        <f t="shared" si="290"/>
        <v>0</v>
      </c>
      <c r="G947" s="64">
        <f t="shared" si="290"/>
        <v>0</v>
      </c>
      <c r="H947" s="64">
        <f t="shared" si="290"/>
        <v>0</v>
      </c>
      <c r="I947" s="64">
        <f t="shared" si="290"/>
        <v>0</v>
      </c>
      <c r="J947" s="64">
        <f t="shared" si="290"/>
        <v>0</v>
      </c>
      <c r="K947" s="64">
        <f t="shared" si="290"/>
        <v>0</v>
      </c>
      <c r="L947" s="64">
        <f t="shared" si="290"/>
        <v>0</v>
      </c>
      <c r="M947" s="64">
        <f t="shared" si="290"/>
        <v>0</v>
      </c>
      <c r="N947" s="64">
        <f t="shared" si="290"/>
        <v>0</v>
      </c>
      <c r="O947" s="64">
        <f t="shared" si="290"/>
        <v>0</v>
      </c>
      <c r="P947" s="64">
        <f t="shared" si="290"/>
        <v>917000</v>
      </c>
      <c r="Q947" s="64">
        <f t="shared" si="290"/>
        <v>224329782.07999998</v>
      </c>
      <c r="R947" s="64">
        <f t="shared" si="290"/>
        <v>0</v>
      </c>
      <c r="S947" s="64">
        <f t="shared" si="290"/>
        <v>0</v>
      </c>
      <c r="T947" s="64">
        <f t="shared" si="290"/>
        <v>18066.059999999998</v>
      </c>
      <c r="U947" s="64">
        <f t="shared" si="290"/>
        <v>119610.73000000001</v>
      </c>
      <c r="V947" s="64">
        <f t="shared" si="290"/>
        <v>4969109.209999999</v>
      </c>
      <c r="W947" s="64">
        <f t="shared" si="290"/>
        <v>76064</v>
      </c>
      <c r="X947" s="64">
        <f t="shared" si="290"/>
        <v>1618833.8</v>
      </c>
      <c r="Y947" s="64">
        <f t="shared" si="290"/>
        <v>0</v>
      </c>
      <c r="Z947" s="64">
        <f t="shared" si="290"/>
        <v>0</v>
      </c>
      <c r="AA947" s="64">
        <f t="shared" si="290"/>
        <v>2462876.94</v>
      </c>
      <c r="AB947" s="64">
        <f t="shared" si="290"/>
        <v>860582</v>
      </c>
      <c r="AC947" s="64">
        <f t="shared" si="290"/>
        <v>11758999.939999999</v>
      </c>
      <c r="AD947" s="64">
        <f t="shared" si="290"/>
        <v>14412353.1</v>
      </c>
      <c r="AE947" s="64">
        <f t="shared" si="290"/>
        <v>75756020.180000007</v>
      </c>
      <c r="AF947" s="64">
        <f t="shared" si="290"/>
        <v>0</v>
      </c>
      <c r="AG947" s="64">
        <f t="shared" si="290"/>
        <v>0</v>
      </c>
      <c r="AH947" s="64">
        <f t="shared" si="290"/>
        <v>24532500</v>
      </c>
      <c r="AI947" s="72">
        <f t="shared" si="279"/>
        <v>361831798.03999996</v>
      </c>
    </row>
    <row r="948" spans="1:35" s="47" customFormat="1" x14ac:dyDescent="0.2">
      <c r="A948" s="60">
        <v>12</v>
      </c>
      <c r="B948" s="61" t="s">
        <v>704</v>
      </c>
      <c r="C948" s="62" t="s">
        <v>713</v>
      </c>
      <c r="D948" s="59">
        <f t="shared" ref="D948" si="291">SUM(D949:D951)+D940</f>
        <v>0</v>
      </c>
      <c r="E948" s="59">
        <f t="shared" ref="E948:AH948" si="292">SUM(E949:E951)+E940</f>
        <v>0</v>
      </c>
      <c r="F948" s="59">
        <f t="shared" si="292"/>
        <v>0</v>
      </c>
      <c r="G948" s="59">
        <f t="shared" si="292"/>
        <v>0</v>
      </c>
      <c r="H948" s="59">
        <f t="shared" si="292"/>
        <v>0</v>
      </c>
      <c r="I948" s="59">
        <f t="shared" si="292"/>
        <v>0</v>
      </c>
      <c r="J948" s="59">
        <f t="shared" si="292"/>
        <v>0</v>
      </c>
      <c r="K948" s="59">
        <f t="shared" si="292"/>
        <v>0</v>
      </c>
      <c r="L948" s="59">
        <f t="shared" si="292"/>
        <v>0</v>
      </c>
      <c r="M948" s="59">
        <f t="shared" si="292"/>
        <v>0</v>
      </c>
      <c r="N948" s="59">
        <f t="shared" si="292"/>
        <v>0</v>
      </c>
      <c r="O948" s="59">
        <f t="shared" si="292"/>
        <v>0</v>
      </c>
      <c r="P948" s="59">
        <f t="shared" si="292"/>
        <v>917000</v>
      </c>
      <c r="Q948" s="59">
        <f t="shared" si="292"/>
        <v>224329782.07999998</v>
      </c>
      <c r="R948" s="59">
        <f t="shared" si="292"/>
        <v>0</v>
      </c>
      <c r="S948" s="59">
        <f t="shared" si="292"/>
        <v>0</v>
      </c>
      <c r="T948" s="59">
        <f t="shared" si="292"/>
        <v>18066.059999999998</v>
      </c>
      <c r="U948" s="59">
        <f t="shared" si="292"/>
        <v>119610.73000000001</v>
      </c>
      <c r="V948" s="59">
        <f t="shared" si="292"/>
        <v>4969109.209999999</v>
      </c>
      <c r="W948" s="59">
        <f t="shared" si="292"/>
        <v>76064</v>
      </c>
      <c r="X948" s="59">
        <f t="shared" si="292"/>
        <v>1618833.8</v>
      </c>
      <c r="Y948" s="59">
        <f t="shared" si="292"/>
        <v>0</v>
      </c>
      <c r="Z948" s="59">
        <f t="shared" si="292"/>
        <v>0</v>
      </c>
      <c r="AA948" s="59">
        <f t="shared" si="292"/>
        <v>2462876.94</v>
      </c>
      <c r="AB948" s="59">
        <f t="shared" si="292"/>
        <v>860582</v>
      </c>
      <c r="AC948" s="59">
        <f t="shared" si="292"/>
        <v>11758999.939999999</v>
      </c>
      <c r="AD948" s="59">
        <f t="shared" si="292"/>
        <v>14412353.1</v>
      </c>
      <c r="AE948" s="59">
        <f t="shared" si="292"/>
        <v>75756020.180000007</v>
      </c>
      <c r="AF948" s="59">
        <f t="shared" si="292"/>
        <v>0</v>
      </c>
      <c r="AG948" s="59">
        <f t="shared" si="292"/>
        <v>0</v>
      </c>
      <c r="AH948" s="59">
        <f t="shared" si="292"/>
        <v>24532500</v>
      </c>
      <c r="AI948" s="75">
        <f t="shared" si="279"/>
        <v>361831798.03999996</v>
      </c>
    </row>
    <row r="949" spans="1:35" s="47" customFormat="1" outlineLevel="1" x14ac:dyDescent="0.2">
      <c r="A949" s="45"/>
      <c r="B949" s="54" t="s">
        <v>708</v>
      </c>
      <c r="C949" s="46"/>
      <c r="D949" s="64">
        <f>D203+D207+D211+D216+D220+D225+D229+D235+D239+D243+D247+D251+D255+D259+D263+D267+D271+D275+D280+D284+D288+D292+D296+D300+D304+D308+D312+D317+D321+D325+D330+D334+D339+D343+D347+D352+D356+D360+D366+D370+D374+D378+D382+D386+D390+D395+D399+D403+D407+D411+D415+D420+D424+D428+D432+D436+D440+D444+D448+D452+D456+D460+D464+D468+D473+D477+D481+D485+D489+D493+D497+D501+D505+D509+D513+D517+D521+D525+D529+D534+D538+D542+D546+D550+D554+D558+D562+D566+D570+D574+D578+D582+D586+D590+D594+D598+D602+D606+D612+D617+D621+D626+D630+D634+D639+D643+D647+D651+D655+D659+D663+D667+D671+D676+D680+D684+D688+D692+D696+D700+D705+D710+D714+D719+D723+D727+D732+D736+D740+D744+D748+D752+D756+D760+D765+D769+D778+D783+D787+D791+D796+D800+D804+D808+D812+D816+D820+D824+D828+D832+D836+D840+D845+D849+D853+D857+D861+D865+D869+D873+D877+D881+D885+D889+D893+D897+D901+D905+D909+D913+D917+D921+D925+D929+D933</f>
        <v>0</v>
      </c>
      <c r="E949" s="64">
        <f t="shared" ref="E949:AH951" si="293">E203+E207+E211+E216+E220+E225+E229+E235+E239+E243+E247+E251+E255+E259+E263+E267+E271+E275+E280+E284+E288+E292+E296+E300+E304+E308+E312+E317+E321+E325+E330+E334+E339+E343+E347+E352+E356+E360+E366+E370+E374+E378+E382+E386+E390+E395+E399+E403+E407+E411+E415+E420+E424+E428+E432+E436+E440+E444+E448+E452+E456+E460+E464+E468+E473+E477+E481+E485+E489+E493+E497+E501+E505+E509+E513+E517+E521+E525+E529+E534+E538+E542+E546+E550+E554+E558+E562+E566+E570+E574+E578+E582+E586+E590+E594+E598+E602+E606+E612+E617+E621+E626+E630+E634+E639+E643+E647+E651+E655+E659+E663+E667+E671+E676+E680+E684+E688+E692+E696+E700+E705+E710+E714+E719+E723+E727+E732+E736+E740+E744+E748+E752+E756+E760+E765+E769+E778+E783+E787+E791+E796+E800+E804+E808+E812+E816+E820+E824+E828+E832+E836+E840+E845+E849+E853+E857+E861+E865+E869+E873+E877+E881+E885+E889+E893+E897+E901+E905+E909+E913+E917+E921+E925+E929+E933</f>
        <v>0</v>
      </c>
      <c r="F949" s="64">
        <f t="shared" si="293"/>
        <v>0</v>
      </c>
      <c r="G949" s="64">
        <f t="shared" si="293"/>
        <v>0</v>
      </c>
      <c r="H949" s="64">
        <f t="shared" si="293"/>
        <v>0</v>
      </c>
      <c r="I949" s="64">
        <f t="shared" si="293"/>
        <v>0</v>
      </c>
      <c r="J949" s="64">
        <f t="shared" si="293"/>
        <v>0</v>
      </c>
      <c r="K949" s="64">
        <f t="shared" si="293"/>
        <v>0</v>
      </c>
      <c r="L949" s="64">
        <f t="shared" si="293"/>
        <v>0</v>
      </c>
      <c r="M949" s="64">
        <f t="shared" si="293"/>
        <v>0</v>
      </c>
      <c r="N949" s="64">
        <f t="shared" si="293"/>
        <v>0</v>
      </c>
      <c r="O949" s="64">
        <f t="shared" si="293"/>
        <v>0</v>
      </c>
      <c r="P949" s="64">
        <f t="shared" si="293"/>
        <v>0</v>
      </c>
      <c r="Q949" s="64">
        <f t="shared" si="293"/>
        <v>0</v>
      </c>
      <c r="R949" s="64">
        <f t="shared" si="293"/>
        <v>0</v>
      </c>
      <c r="S949" s="64">
        <f t="shared" si="293"/>
        <v>0</v>
      </c>
      <c r="T949" s="64">
        <f t="shared" si="293"/>
        <v>0</v>
      </c>
      <c r="U949" s="64">
        <f t="shared" si="293"/>
        <v>0</v>
      </c>
      <c r="V949" s="64">
        <f t="shared" si="293"/>
        <v>0</v>
      </c>
      <c r="W949" s="64">
        <f t="shared" si="293"/>
        <v>0</v>
      </c>
      <c r="X949" s="64">
        <f t="shared" si="293"/>
        <v>0</v>
      </c>
      <c r="Y949" s="64">
        <f t="shared" si="293"/>
        <v>0</v>
      </c>
      <c r="Z949" s="64">
        <f t="shared" si="293"/>
        <v>0</v>
      </c>
      <c r="AA949" s="64">
        <f t="shared" si="293"/>
        <v>0</v>
      </c>
      <c r="AB949" s="64">
        <f t="shared" si="293"/>
        <v>0</v>
      </c>
      <c r="AC949" s="64">
        <f t="shared" si="293"/>
        <v>0</v>
      </c>
      <c r="AD949" s="64">
        <f t="shared" si="293"/>
        <v>0</v>
      </c>
      <c r="AE949" s="64">
        <f t="shared" si="293"/>
        <v>0</v>
      </c>
      <c r="AF949" s="64">
        <f t="shared" si="293"/>
        <v>0</v>
      </c>
      <c r="AG949" s="64">
        <f t="shared" si="293"/>
        <v>0</v>
      </c>
      <c r="AH949" s="64">
        <f t="shared" si="293"/>
        <v>0</v>
      </c>
      <c r="AI949" s="72">
        <f t="shared" si="279"/>
        <v>0</v>
      </c>
    </row>
    <row r="950" spans="1:35" s="47" customFormat="1" outlineLevel="1" x14ac:dyDescent="0.2">
      <c r="A950" s="45"/>
      <c r="B950" s="54" t="s">
        <v>709</v>
      </c>
      <c r="C950" s="46"/>
      <c r="D950" s="64">
        <f>D204+D208+D212+D217+D221+D226+D230+D236+D240+D244+D248+D252+D256+D260+D264+D268+D272+D276+D281+D285+D289+D293+D297+D301+D305+D309+D313+D318+D322+D326+D331+D335+D340+D344+D348+D353+D357+D361+D367+D371+D375+D379+D383+D387+D391+D396+D400+D404+D408+D412+D416+D421+D425+D429+D433+D437+D441+D445+D449+D453+D457+D461+D465+D469+D474+D478+D482+D486+D490+D494+D498+D502+D506+D510+D514+D518+D522+D526+D530+D535+D539+D543+D547+D551+D555+D559+D563+D567+D571+D575+D579+D583+D587+D591+D595+D599+D603+D607+D613+D618+D622+D627+D631+D635+D640+D644+D648+D652+D656+D660+D664+D668+D672+D677+D681+D685+D689+D693+D697+D701+D706+D711+D715+D720+D724+D728+D733+D737+D741+D745+D749+D753+D757+D761+D766+D770+D779+D784+D788+D792+D797+D801+D805+D809+D813+D817+D821+D825+D829+D833+D837+D841+D846+D850+D854+D858+D862+D866+D870+D874+D878+D882+D886+D890+D894+D898+D902+D906+D910+D914+D918+D922+D926+D930+D934</f>
        <v>0</v>
      </c>
      <c r="E950" s="64">
        <f t="shared" si="293"/>
        <v>0</v>
      </c>
      <c r="F950" s="64">
        <f t="shared" si="293"/>
        <v>0</v>
      </c>
      <c r="G950" s="64">
        <f t="shared" si="293"/>
        <v>0</v>
      </c>
      <c r="H950" s="64">
        <f t="shared" si="293"/>
        <v>0</v>
      </c>
      <c r="I950" s="64">
        <f t="shared" si="293"/>
        <v>0</v>
      </c>
      <c r="J950" s="64">
        <f t="shared" si="293"/>
        <v>0</v>
      </c>
      <c r="K950" s="64">
        <f t="shared" si="293"/>
        <v>0</v>
      </c>
      <c r="L950" s="64">
        <f t="shared" si="293"/>
        <v>0</v>
      </c>
      <c r="M950" s="64">
        <f t="shared" si="293"/>
        <v>0</v>
      </c>
      <c r="N950" s="64">
        <f t="shared" si="293"/>
        <v>0</v>
      </c>
      <c r="O950" s="64">
        <f t="shared" si="293"/>
        <v>0</v>
      </c>
      <c r="P950" s="64">
        <f t="shared" si="293"/>
        <v>917000</v>
      </c>
      <c r="Q950" s="64">
        <f t="shared" si="293"/>
        <v>224329782.07999998</v>
      </c>
      <c r="R950" s="64">
        <f t="shared" si="293"/>
        <v>0</v>
      </c>
      <c r="S950" s="64">
        <f t="shared" si="293"/>
        <v>0</v>
      </c>
      <c r="T950" s="64">
        <f t="shared" si="293"/>
        <v>18066.059999999998</v>
      </c>
      <c r="U950" s="64">
        <f t="shared" si="293"/>
        <v>119610.73000000001</v>
      </c>
      <c r="V950" s="64">
        <f t="shared" si="293"/>
        <v>4969109.209999999</v>
      </c>
      <c r="W950" s="64">
        <f t="shared" si="293"/>
        <v>76064</v>
      </c>
      <c r="X950" s="64">
        <f t="shared" si="293"/>
        <v>1618833.8</v>
      </c>
      <c r="Y950" s="64">
        <f t="shared" si="293"/>
        <v>0</v>
      </c>
      <c r="Z950" s="64">
        <f t="shared" si="293"/>
        <v>0</v>
      </c>
      <c r="AA950" s="64">
        <f t="shared" si="293"/>
        <v>2462876.94</v>
      </c>
      <c r="AB950" s="64">
        <f t="shared" si="293"/>
        <v>860582</v>
      </c>
      <c r="AC950" s="64">
        <f t="shared" si="293"/>
        <v>11758999.939999999</v>
      </c>
      <c r="AD950" s="64">
        <f t="shared" si="293"/>
        <v>14412353.1</v>
      </c>
      <c r="AE950" s="64">
        <f t="shared" si="293"/>
        <v>75756020.180000007</v>
      </c>
      <c r="AF950" s="64">
        <f t="shared" si="293"/>
        <v>0</v>
      </c>
      <c r="AG950" s="64">
        <f t="shared" si="293"/>
        <v>0</v>
      </c>
      <c r="AH950" s="64">
        <f t="shared" si="293"/>
        <v>132500</v>
      </c>
      <c r="AI950" s="72">
        <f t="shared" si="279"/>
        <v>337431798.03999996</v>
      </c>
    </row>
    <row r="951" spans="1:35" s="47" customFormat="1" outlineLevel="1" x14ac:dyDescent="0.2">
      <c r="A951" s="45"/>
      <c r="B951" s="54" t="s">
        <v>710</v>
      </c>
      <c r="C951" s="46"/>
      <c r="D951" s="64">
        <f>D205+D209+D213+D218+D222+D227+D231+D237+D241+D245+D249+D253+D257+D261+D265+D269+D273+D277+D282+D286+D290+D294+D298+D302+D306+D310+D314+D319+D323+D327+D332+D336+D341+D345+D349+D354+D358+D362+D368+D372+D376+D380+D384+D388+D392+D397+D401+D405+D409+D413+D417+D422+D426+D430+D434+D438+D442+D446+D450+D454+D458+D462+D466+D470+D475+D479+D483+D487+D491+D495+D499+D503+D507+D511+D515+D519+D523+D527+D531+D536+D540+D544+D548+D552+D556+D560+D564+D568+D572+D576+D580+D584+D588+D592+D596+D600+D604+D608+D614+D619+D623+D628+D632+D636+D641+D645+D649+D653+D657+D661+D665+D669+D673+D678+D682+D686+D690+D694+D698+D702+D707+D712+D716+D721+D725+D729+D734+D738+D742+D746+D750+D754+D758+D762+D767+D771+D780+D785+D789+D793+D798+D802+D806+D810+D814+D818+D822+D826+D830+D834+D838+D842+D847+D851+D855+D859+D863+D867+D871+D875+D879+D883+D887+D891+D895+D899+D903+D907+D911+D915+D919+D923+D927+D931+D935</f>
        <v>0</v>
      </c>
      <c r="E951" s="64">
        <f t="shared" si="293"/>
        <v>0</v>
      </c>
      <c r="F951" s="64">
        <f t="shared" si="293"/>
        <v>0</v>
      </c>
      <c r="G951" s="64">
        <f t="shared" si="293"/>
        <v>0</v>
      </c>
      <c r="H951" s="64">
        <f t="shared" si="293"/>
        <v>0</v>
      </c>
      <c r="I951" s="64">
        <f t="shared" si="293"/>
        <v>0</v>
      </c>
      <c r="J951" s="64">
        <f t="shared" si="293"/>
        <v>0</v>
      </c>
      <c r="K951" s="64">
        <f t="shared" si="293"/>
        <v>0</v>
      </c>
      <c r="L951" s="64">
        <f t="shared" si="293"/>
        <v>0</v>
      </c>
      <c r="M951" s="64">
        <f t="shared" si="293"/>
        <v>0</v>
      </c>
      <c r="N951" s="64">
        <f t="shared" si="293"/>
        <v>0</v>
      </c>
      <c r="O951" s="64">
        <f t="shared" si="293"/>
        <v>0</v>
      </c>
      <c r="P951" s="64">
        <f t="shared" si="293"/>
        <v>0</v>
      </c>
      <c r="Q951" s="64">
        <f t="shared" si="293"/>
        <v>0</v>
      </c>
      <c r="R951" s="64">
        <f t="shared" si="293"/>
        <v>0</v>
      </c>
      <c r="S951" s="64">
        <f t="shared" si="293"/>
        <v>0</v>
      </c>
      <c r="T951" s="64">
        <f t="shared" si="293"/>
        <v>0</v>
      </c>
      <c r="U951" s="64">
        <f t="shared" si="293"/>
        <v>0</v>
      </c>
      <c r="V951" s="64">
        <f t="shared" si="293"/>
        <v>0</v>
      </c>
      <c r="W951" s="64">
        <f t="shared" si="293"/>
        <v>0</v>
      </c>
      <c r="X951" s="64">
        <f t="shared" si="293"/>
        <v>0</v>
      </c>
      <c r="Y951" s="64">
        <f t="shared" si="293"/>
        <v>0</v>
      </c>
      <c r="Z951" s="64">
        <f t="shared" si="293"/>
        <v>0</v>
      </c>
      <c r="AA951" s="64">
        <f t="shared" si="293"/>
        <v>0</v>
      </c>
      <c r="AB951" s="64">
        <f t="shared" si="293"/>
        <v>0</v>
      </c>
      <c r="AC951" s="64">
        <f t="shared" si="293"/>
        <v>0</v>
      </c>
      <c r="AD951" s="64">
        <f t="shared" si="293"/>
        <v>0</v>
      </c>
      <c r="AE951" s="64">
        <f t="shared" si="293"/>
        <v>0</v>
      </c>
      <c r="AF951" s="64">
        <f t="shared" si="293"/>
        <v>0</v>
      </c>
      <c r="AG951" s="64">
        <f t="shared" si="293"/>
        <v>0</v>
      </c>
      <c r="AH951" s="64">
        <f t="shared" si="293"/>
        <v>24400000</v>
      </c>
      <c r="AI951" s="72">
        <f t="shared" si="279"/>
        <v>24400000</v>
      </c>
    </row>
    <row r="952" spans="1:35" s="47" customFormat="1" x14ac:dyDescent="0.2">
      <c r="A952" s="60">
        <v>13</v>
      </c>
      <c r="B952" s="61" t="s">
        <v>705</v>
      </c>
      <c r="C952" s="62" t="s">
        <v>714</v>
      </c>
      <c r="D952" s="59">
        <f>D953</f>
        <v>0</v>
      </c>
      <c r="E952" s="59">
        <f t="shared" ref="E952:AH952" si="294">E953</f>
        <v>0</v>
      </c>
      <c r="F952" s="59">
        <f t="shared" si="294"/>
        <v>13600</v>
      </c>
      <c r="G952" s="59">
        <f t="shared" si="294"/>
        <v>0</v>
      </c>
      <c r="H952" s="59">
        <f t="shared" si="294"/>
        <v>0</v>
      </c>
      <c r="I952" s="59">
        <f t="shared" si="294"/>
        <v>46389.5</v>
      </c>
      <c r="J952" s="59">
        <f t="shared" si="294"/>
        <v>0</v>
      </c>
      <c r="K952" s="59">
        <f t="shared" si="294"/>
        <v>0</v>
      </c>
      <c r="L952" s="59">
        <f t="shared" si="294"/>
        <v>0</v>
      </c>
      <c r="M952" s="59">
        <f t="shared" si="294"/>
        <v>284741.57</v>
      </c>
      <c r="N952" s="59">
        <f t="shared" si="294"/>
        <v>128795.39</v>
      </c>
      <c r="O952" s="59">
        <f t="shared" si="294"/>
        <v>283315664.74000001</v>
      </c>
      <c r="P952" s="59">
        <f t="shared" si="294"/>
        <v>58002.530000000028</v>
      </c>
      <c r="Q952" s="59">
        <f t="shared" si="294"/>
        <v>1188496.3000000119</v>
      </c>
      <c r="R952" s="59">
        <f t="shared" si="294"/>
        <v>0</v>
      </c>
      <c r="S952" s="59">
        <f t="shared" si="294"/>
        <v>0</v>
      </c>
      <c r="T952" s="59">
        <f t="shared" si="294"/>
        <v>2262721.21</v>
      </c>
      <c r="U952" s="59">
        <f t="shared" si="294"/>
        <v>96921.110000000015</v>
      </c>
      <c r="V952" s="59">
        <f t="shared" si="294"/>
        <v>30329.620000000112</v>
      </c>
      <c r="W952" s="59">
        <f t="shared" si="294"/>
        <v>10136640.609999999</v>
      </c>
      <c r="X952" s="59">
        <f t="shared" si="294"/>
        <v>4344487.3499999996</v>
      </c>
      <c r="Y952" s="59">
        <f t="shared" si="294"/>
        <v>0</v>
      </c>
      <c r="Z952" s="59">
        <f t="shared" si="294"/>
        <v>0</v>
      </c>
      <c r="AA952" s="59">
        <f t="shared" si="294"/>
        <v>388416.87000000011</v>
      </c>
      <c r="AB952" s="59">
        <f t="shared" si="294"/>
        <v>11384277.219999999</v>
      </c>
      <c r="AC952" s="59">
        <f t="shared" si="294"/>
        <v>82725301.939999998</v>
      </c>
      <c r="AD952" s="59">
        <f t="shared" si="294"/>
        <v>720513.36999999918</v>
      </c>
      <c r="AE952" s="59">
        <f t="shared" si="294"/>
        <v>370147.15999999642</v>
      </c>
      <c r="AF952" s="59">
        <f t="shared" si="294"/>
        <v>0</v>
      </c>
      <c r="AG952" s="59">
        <f t="shared" si="294"/>
        <v>0</v>
      </c>
      <c r="AH952" s="59">
        <f t="shared" si="294"/>
        <v>2322264.870000001</v>
      </c>
      <c r="AI952" s="75">
        <f t="shared" si="279"/>
        <v>399817711.36000001</v>
      </c>
    </row>
    <row r="953" spans="1:35" s="47" customFormat="1" outlineLevel="1" x14ac:dyDescent="0.2">
      <c r="A953" s="45"/>
      <c r="B953" s="54" t="s">
        <v>709</v>
      </c>
      <c r="C953" s="46"/>
      <c r="D953" s="64">
        <f>D774+D776</f>
        <v>0</v>
      </c>
      <c r="E953" s="64">
        <f t="shared" ref="E953:AH953" si="295">E774+E776</f>
        <v>0</v>
      </c>
      <c r="F953" s="64">
        <f t="shared" si="295"/>
        <v>13600</v>
      </c>
      <c r="G953" s="64">
        <f t="shared" si="295"/>
        <v>0</v>
      </c>
      <c r="H953" s="64">
        <f t="shared" si="295"/>
        <v>0</v>
      </c>
      <c r="I953" s="64">
        <f t="shared" si="295"/>
        <v>46389.5</v>
      </c>
      <c r="J953" s="64">
        <f t="shared" si="295"/>
        <v>0</v>
      </c>
      <c r="K953" s="64">
        <f t="shared" si="295"/>
        <v>0</v>
      </c>
      <c r="L953" s="64">
        <f t="shared" si="295"/>
        <v>0</v>
      </c>
      <c r="M953" s="64">
        <f t="shared" si="295"/>
        <v>284741.57</v>
      </c>
      <c r="N953" s="64">
        <f t="shared" si="295"/>
        <v>128795.39</v>
      </c>
      <c r="O953" s="64">
        <f t="shared" si="295"/>
        <v>283315664.74000001</v>
      </c>
      <c r="P953" s="64">
        <f t="shared" si="295"/>
        <v>58002.530000000028</v>
      </c>
      <c r="Q953" s="64">
        <f t="shared" si="295"/>
        <v>1188496.3000000119</v>
      </c>
      <c r="R953" s="64">
        <f t="shared" si="295"/>
        <v>0</v>
      </c>
      <c r="S953" s="64">
        <f t="shared" si="295"/>
        <v>0</v>
      </c>
      <c r="T953" s="64">
        <f t="shared" si="295"/>
        <v>2262721.21</v>
      </c>
      <c r="U953" s="64">
        <f t="shared" si="295"/>
        <v>96921.110000000015</v>
      </c>
      <c r="V953" s="64">
        <f t="shared" si="295"/>
        <v>30329.620000000112</v>
      </c>
      <c r="W953" s="64">
        <f t="shared" si="295"/>
        <v>10136640.609999999</v>
      </c>
      <c r="X953" s="64">
        <f t="shared" si="295"/>
        <v>4344487.3499999996</v>
      </c>
      <c r="Y953" s="64">
        <f t="shared" si="295"/>
        <v>0</v>
      </c>
      <c r="Z953" s="64">
        <f t="shared" si="295"/>
        <v>0</v>
      </c>
      <c r="AA953" s="64">
        <f t="shared" si="295"/>
        <v>388416.87000000011</v>
      </c>
      <c r="AB953" s="64">
        <f t="shared" si="295"/>
        <v>11384277.219999999</v>
      </c>
      <c r="AC953" s="64">
        <f t="shared" si="295"/>
        <v>82725301.939999998</v>
      </c>
      <c r="AD953" s="64">
        <f t="shared" si="295"/>
        <v>720513.36999999918</v>
      </c>
      <c r="AE953" s="64">
        <f t="shared" si="295"/>
        <v>370147.15999999642</v>
      </c>
      <c r="AF953" s="64">
        <f t="shared" si="295"/>
        <v>0</v>
      </c>
      <c r="AG953" s="64">
        <f t="shared" si="295"/>
        <v>0</v>
      </c>
      <c r="AH953" s="64">
        <f t="shared" si="295"/>
        <v>2322264.870000001</v>
      </c>
      <c r="AI953" s="72">
        <f t="shared" si="279"/>
        <v>399817711.36000001</v>
      </c>
    </row>
    <row r="954" spans="1:35" s="3" customFormat="1" x14ac:dyDescent="0.2">
      <c r="A954" s="90" t="s">
        <v>707</v>
      </c>
      <c r="B954" s="91"/>
      <c r="C954" s="91"/>
      <c r="D954" s="43">
        <f>D9+D941+D945-D948-D952</f>
        <v>0</v>
      </c>
      <c r="E954" s="43">
        <f t="shared" ref="E954:AH954" si="296">E9+E941+E945-E948-E952</f>
        <v>0</v>
      </c>
      <c r="F954" s="43">
        <f t="shared" si="296"/>
        <v>0</v>
      </c>
      <c r="G954" s="43">
        <f t="shared" si="296"/>
        <v>0</v>
      </c>
      <c r="H954" s="43">
        <f t="shared" si="296"/>
        <v>0</v>
      </c>
      <c r="I954" s="43">
        <f t="shared" si="296"/>
        <v>0</v>
      </c>
      <c r="J954" s="43">
        <f t="shared" si="296"/>
        <v>0</v>
      </c>
      <c r="K954" s="43">
        <f t="shared" si="296"/>
        <v>0</v>
      </c>
      <c r="L954" s="43">
        <f t="shared" si="296"/>
        <v>0</v>
      </c>
      <c r="M954" s="43">
        <f t="shared" si="296"/>
        <v>0</v>
      </c>
      <c r="N954" s="43">
        <f t="shared" si="296"/>
        <v>0</v>
      </c>
      <c r="O954" s="43">
        <f t="shared" si="296"/>
        <v>0</v>
      </c>
      <c r="P954" s="43">
        <f t="shared" si="296"/>
        <v>0</v>
      </c>
      <c r="Q954" s="43">
        <f t="shared" si="296"/>
        <v>0</v>
      </c>
      <c r="R954" s="43">
        <f t="shared" si="296"/>
        <v>0</v>
      </c>
      <c r="S954" s="43">
        <f t="shared" si="296"/>
        <v>0</v>
      </c>
      <c r="T954" s="43">
        <f t="shared" si="296"/>
        <v>0</v>
      </c>
      <c r="U954" s="43">
        <f t="shared" si="296"/>
        <v>0</v>
      </c>
      <c r="V954" s="43">
        <f t="shared" si="296"/>
        <v>0</v>
      </c>
      <c r="W954" s="43">
        <f t="shared" si="296"/>
        <v>0</v>
      </c>
      <c r="X954" s="43">
        <f t="shared" si="296"/>
        <v>0</v>
      </c>
      <c r="Y954" s="43">
        <f t="shared" si="296"/>
        <v>0</v>
      </c>
      <c r="Z954" s="43">
        <f t="shared" si="296"/>
        <v>0</v>
      </c>
      <c r="AA954" s="43">
        <f t="shared" si="296"/>
        <v>0</v>
      </c>
      <c r="AB954" s="43">
        <f t="shared" si="296"/>
        <v>0</v>
      </c>
      <c r="AC954" s="43">
        <f t="shared" si="296"/>
        <v>0</v>
      </c>
      <c r="AD954" s="43">
        <f t="shared" si="296"/>
        <v>0</v>
      </c>
      <c r="AE954" s="43">
        <f t="shared" si="296"/>
        <v>0</v>
      </c>
      <c r="AF954" s="43">
        <f t="shared" si="296"/>
        <v>0</v>
      </c>
      <c r="AG954" s="43">
        <f t="shared" si="296"/>
        <v>0</v>
      </c>
      <c r="AH954" s="43">
        <f t="shared" si="296"/>
        <v>0</v>
      </c>
      <c r="AI954" s="72"/>
    </row>
  </sheetData>
  <mergeCells count="2">
    <mergeCell ref="A9:C9"/>
    <mergeCell ref="A954:C954"/>
  </mergeCells>
  <pageMargins left="0.47244094488188981" right="0.46" top="0.51181102362204722" bottom="0.45" header="0.39370078740157483" footer="0.19685039370078741"/>
  <pageSetup paperSize="9" fitToHeight="10" orientation="landscape" r:id="rId1"/>
  <headerFooter alignWithMargins="0">
    <oddFooter>&amp;C&amp;P из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0"/>
  <sheetViews>
    <sheetView workbookViewId="0"/>
  </sheetViews>
  <sheetFormatPr defaultRowHeight="12.75" x14ac:dyDescent="0.2"/>
  <cols>
    <col min="1" max="1" width="13.28515625" customWidth="1"/>
    <col min="2" max="2" width="81.140625" customWidth="1"/>
    <col min="3" max="3" width="15.42578125" bestFit="1" customWidth="1"/>
    <col min="4" max="4" width="23.28515625" customWidth="1"/>
    <col min="5" max="5" width="18.140625" customWidth="1"/>
    <col min="6" max="6" width="23.5703125" customWidth="1"/>
    <col min="7" max="7" width="24" customWidth="1"/>
    <col min="8" max="9" width="12.28515625" customWidth="1"/>
    <col min="10" max="10" width="9" customWidth="1"/>
    <col min="11" max="11" width="14.7109375" bestFit="1" customWidth="1"/>
    <col min="12" max="12" width="23.5703125" customWidth="1"/>
    <col min="13" max="13" width="10.140625" bestFit="1" customWidth="1"/>
    <col min="14" max="14" width="19" bestFit="1" customWidth="1"/>
    <col min="15" max="15" width="18.5703125" bestFit="1" customWidth="1"/>
    <col min="16" max="16" width="23.28515625" bestFit="1" customWidth="1"/>
    <col min="17" max="17" width="21.28515625" bestFit="1" customWidth="1"/>
    <col min="18" max="18" width="13.140625" bestFit="1" customWidth="1"/>
    <col min="19" max="19" width="16.5703125" bestFit="1" customWidth="1"/>
    <col min="20" max="20" width="14.42578125" bestFit="1" customWidth="1"/>
    <col min="21" max="21" width="11" customWidth="1"/>
    <col min="22" max="22" width="10" customWidth="1"/>
    <col min="23" max="23" width="7.140625" customWidth="1"/>
    <col min="24" max="24" width="60.28515625" customWidth="1"/>
    <col min="25" max="25" width="43.85546875" customWidth="1"/>
    <col min="26" max="26" width="18.140625" bestFit="1" customWidth="1"/>
    <col min="27" max="27" width="17" bestFit="1" customWidth="1"/>
    <col min="28" max="28" width="14.140625" bestFit="1" customWidth="1"/>
    <col min="29" max="29" width="16.42578125" bestFit="1" customWidth="1"/>
    <col min="30" max="30" width="18.140625" bestFit="1" customWidth="1"/>
    <col min="31" max="31" width="25.7109375" bestFit="1" customWidth="1"/>
    <col min="32" max="32" width="15.42578125" bestFit="1" customWidth="1"/>
  </cols>
  <sheetData>
    <row r="1" spans="1:8" x14ac:dyDescent="0.2">
      <c r="A1" s="79" t="str">
        <f>ОСН!B5</f>
        <v>01.2022</v>
      </c>
      <c r="B1" s="83" t="str">
        <f>RIGHT(A1,4)&amp;LEFT(A1,2)</f>
        <v>202201</v>
      </c>
      <c r="C1" s="82">
        <f ca="1">TODAY()</f>
        <v>44585</v>
      </c>
    </row>
    <row r="2" spans="1:8" x14ac:dyDescent="0.2">
      <c r="A2" s="80">
        <f>DATE(LEFT(B1,4),RIGHT(B1,2),"01")</f>
        <v>44562</v>
      </c>
      <c r="B2" s="80">
        <f>EOMONTH(A2,0)</f>
        <v>44592</v>
      </c>
    </row>
    <row r="3" spans="1:8" x14ac:dyDescent="0.2">
      <c r="A3" t="s">
        <v>738</v>
      </c>
      <c r="B3" t="s">
        <v>733</v>
      </c>
      <c r="C3" t="s">
        <v>730</v>
      </c>
      <c r="D3" t="s">
        <v>732</v>
      </c>
      <c r="E3" t="s">
        <v>734</v>
      </c>
      <c r="F3" t="s">
        <v>731</v>
      </c>
      <c r="G3" t="s">
        <v>737</v>
      </c>
      <c r="H3" t="s">
        <v>764</v>
      </c>
    </row>
    <row r="4" spans="1:8" x14ac:dyDescent="0.2">
      <c r="A4">
        <v>2110700000</v>
      </c>
      <c r="B4" t="s">
        <v>60</v>
      </c>
      <c r="C4" s="81">
        <v>44564</v>
      </c>
      <c r="E4" t="s">
        <v>775</v>
      </c>
      <c r="F4" t="s">
        <v>765</v>
      </c>
      <c r="G4">
        <v>89</v>
      </c>
      <c r="H4">
        <v>13600</v>
      </c>
    </row>
    <row r="5" spans="1:8" x14ac:dyDescent="0.2">
      <c r="A5">
        <v>2110672000</v>
      </c>
      <c r="B5" t="s">
        <v>57</v>
      </c>
      <c r="C5" s="81">
        <v>44567</v>
      </c>
      <c r="E5" t="s">
        <v>775</v>
      </c>
      <c r="F5" t="s">
        <v>765</v>
      </c>
      <c r="G5">
        <v>85</v>
      </c>
      <c r="H5">
        <v>46389.5</v>
      </c>
    </row>
    <row r="6" spans="1:8" x14ac:dyDescent="0.2">
      <c r="A6">
        <v>2110672000</v>
      </c>
      <c r="B6" t="s">
        <v>57</v>
      </c>
      <c r="C6" s="81">
        <v>44571</v>
      </c>
      <c r="E6" t="s">
        <v>775</v>
      </c>
      <c r="F6" t="s">
        <v>765</v>
      </c>
      <c r="G6">
        <v>85</v>
      </c>
      <c r="H6">
        <v>270141.57</v>
      </c>
    </row>
    <row r="7" spans="1:8" x14ac:dyDescent="0.2">
      <c r="A7">
        <v>2110700000</v>
      </c>
      <c r="B7" t="s">
        <v>60</v>
      </c>
      <c r="C7" s="81">
        <v>44571</v>
      </c>
      <c r="E7" t="s">
        <v>775</v>
      </c>
      <c r="F7" t="s">
        <v>765</v>
      </c>
      <c r="G7">
        <v>89</v>
      </c>
      <c r="H7">
        <v>7600</v>
      </c>
    </row>
    <row r="8" spans="1:8" x14ac:dyDescent="0.2">
      <c r="A8">
        <v>2111070000</v>
      </c>
      <c r="B8" t="s">
        <v>95</v>
      </c>
      <c r="C8" s="81">
        <v>44571</v>
      </c>
      <c r="E8" t="s">
        <v>775</v>
      </c>
      <c r="F8" t="s">
        <v>765</v>
      </c>
      <c r="G8">
        <v>147</v>
      </c>
      <c r="H8">
        <v>7000</v>
      </c>
    </row>
    <row r="9" spans="1:8" x14ac:dyDescent="0.2">
      <c r="A9">
        <v>2110672000</v>
      </c>
      <c r="B9" t="s">
        <v>57</v>
      </c>
      <c r="C9" s="81">
        <v>44572</v>
      </c>
      <c r="E9" t="s">
        <v>775</v>
      </c>
      <c r="F9" t="s">
        <v>765</v>
      </c>
      <c r="G9">
        <v>85</v>
      </c>
      <c r="H9">
        <v>100895.39</v>
      </c>
    </row>
    <row r="10" spans="1:8" x14ac:dyDescent="0.2">
      <c r="A10">
        <v>2110700000</v>
      </c>
      <c r="B10" t="s">
        <v>60</v>
      </c>
      <c r="C10" s="81">
        <v>44572</v>
      </c>
      <c r="E10" t="s">
        <v>775</v>
      </c>
      <c r="F10" t="s">
        <v>765</v>
      </c>
      <c r="G10">
        <v>89</v>
      </c>
      <c r="H10">
        <v>27900</v>
      </c>
    </row>
    <row r="11" spans="1:8" x14ac:dyDescent="0.2">
      <c r="A11">
        <v>2110210000</v>
      </c>
      <c r="B11" t="s">
        <v>658</v>
      </c>
      <c r="C11" s="81">
        <v>44573</v>
      </c>
      <c r="E11" t="s">
        <v>775</v>
      </c>
      <c r="F11" t="s">
        <v>735</v>
      </c>
      <c r="G11">
        <v>21</v>
      </c>
      <c r="H11">
        <v>280500000</v>
      </c>
    </row>
    <row r="12" spans="1:8" x14ac:dyDescent="0.2">
      <c r="A12">
        <v>2110672000</v>
      </c>
      <c r="B12" t="s">
        <v>57</v>
      </c>
      <c r="C12" s="81">
        <v>44573</v>
      </c>
      <c r="E12" t="s">
        <v>775</v>
      </c>
      <c r="F12" t="s">
        <v>765</v>
      </c>
      <c r="G12">
        <v>85</v>
      </c>
      <c r="H12">
        <v>2779989.74</v>
      </c>
    </row>
    <row r="13" spans="1:8" x14ac:dyDescent="0.2">
      <c r="A13">
        <v>2110700000</v>
      </c>
      <c r="B13" t="s">
        <v>60</v>
      </c>
      <c r="C13" s="81">
        <v>44573</v>
      </c>
      <c r="E13" t="s">
        <v>775</v>
      </c>
      <c r="F13" t="s">
        <v>765</v>
      </c>
      <c r="G13">
        <v>89</v>
      </c>
      <c r="H13">
        <v>35675</v>
      </c>
    </row>
    <row r="14" spans="1:8" x14ac:dyDescent="0.2">
      <c r="A14">
        <v>2110672000</v>
      </c>
      <c r="B14" t="s">
        <v>57</v>
      </c>
      <c r="C14" s="81">
        <v>44574</v>
      </c>
      <c r="E14" t="s">
        <v>775</v>
      </c>
      <c r="F14" t="s">
        <v>765</v>
      </c>
      <c r="G14">
        <v>85</v>
      </c>
      <c r="H14">
        <v>15002.53</v>
      </c>
    </row>
    <row r="15" spans="1:8" x14ac:dyDescent="0.2">
      <c r="A15">
        <v>2110700000</v>
      </c>
      <c r="B15" t="s">
        <v>60</v>
      </c>
      <c r="C15" s="81">
        <v>44574</v>
      </c>
      <c r="E15" t="s">
        <v>775</v>
      </c>
      <c r="F15" t="s">
        <v>765</v>
      </c>
      <c r="G15">
        <v>89</v>
      </c>
      <c r="H15">
        <v>43000</v>
      </c>
    </row>
    <row r="16" spans="1:8" x14ac:dyDescent="0.2">
      <c r="A16">
        <v>2221513000</v>
      </c>
      <c r="B16" t="s">
        <v>351</v>
      </c>
      <c r="C16" s="81">
        <v>44574</v>
      </c>
      <c r="D16" t="s">
        <v>736</v>
      </c>
      <c r="E16" t="s">
        <v>775</v>
      </c>
      <c r="F16" t="s">
        <v>735</v>
      </c>
      <c r="G16">
        <v>520</v>
      </c>
      <c r="H16">
        <v>917000</v>
      </c>
    </row>
    <row r="17" spans="1:8" x14ac:dyDescent="0.2">
      <c r="A17">
        <v>2110210000</v>
      </c>
      <c r="B17" t="s">
        <v>658</v>
      </c>
      <c r="C17" s="81">
        <v>44575</v>
      </c>
      <c r="E17" t="s">
        <v>775</v>
      </c>
      <c r="F17" t="s">
        <v>735</v>
      </c>
      <c r="G17">
        <v>21</v>
      </c>
      <c r="H17">
        <v>1000000</v>
      </c>
    </row>
    <row r="18" spans="1:8" x14ac:dyDescent="0.2">
      <c r="A18">
        <v>2110672000</v>
      </c>
      <c r="B18" t="s">
        <v>57</v>
      </c>
      <c r="C18" s="81">
        <v>44575</v>
      </c>
      <c r="E18" t="s">
        <v>775</v>
      </c>
      <c r="F18" t="s">
        <v>765</v>
      </c>
      <c r="G18">
        <v>85</v>
      </c>
      <c r="H18">
        <v>96322.47</v>
      </c>
    </row>
    <row r="19" spans="1:8" x14ac:dyDescent="0.2">
      <c r="A19">
        <v>2110700000</v>
      </c>
      <c r="B19" t="s">
        <v>60</v>
      </c>
      <c r="C19" s="81">
        <v>44575</v>
      </c>
      <c r="E19" t="s">
        <v>775</v>
      </c>
      <c r="F19" t="s">
        <v>765</v>
      </c>
      <c r="G19">
        <v>89</v>
      </c>
      <c r="H19">
        <v>4116</v>
      </c>
    </row>
    <row r="20" spans="1:8" x14ac:dyDescent="0.2">
      <c r="A20">
        <v>2111070000</v>
      </c>
      <c r="B20" t="s">
        <v>95</v>
      </c>
      <c r="C20" s="81">
        <v>44575</v>
      </c>
      <c r="E20" t="s">
        <v>775</v>
      </c>
      <c r="F20" t="s">
        <v>765</v>
      </c>
      <c r="G20">
        <v>147</v>
      </c>
      <c r="H20">
        <v>88057.829999999987</v>
      </c>
    </row>
    <row r="21" spans="1:8" x14ac:dyDescent="0.2">
      <c r="A21">
        <v>2220110000</v>
      </c>
      <c r="B21" t="s">
        <v>104</v>
      </c>
      <c r="C21" s="81">
        <v>44575</v>
      </c>
      <c r="D21" t="s">
        <v>736</v>
      </c>
      <c r="E21" t="s">
        <v>775</v>
      </c>
      <c r="F21" t="s">
        <v>735</v>
      </c>
      <c r="G21">
        <v>202</v>
      </c>
      <c r="H21">
        <v>149268805.84</v>
      </c>
    </row>
    <row r="22" spans="1:8" x14ac:dyDescent="0.2">
      <c r="A22">
        <v>2220120000</v>
      </c>
      <c r="B22" t="s">
        <v>107</v>
      </c>
      <c r="C22" s="81">
        <v>44575</v>
      </c>
      <c r="D22" t="s">
        <v>736</v>
      </c>
      <c r="E22" t="s">
        <v>775</v>
      </c>
      <c r="F22" t="s">
        <v>735</v>
      </c>
      <c r="G22">
        <v>206</v>
      </c>
      <c r="H22">
        <v>1028084.76</v>
      </c>
    </row>
    <row r="23" spans="1:8" x14ac:dyDescent="0.2">
      <c r="A23">
        <v>2220130000</v>
      </c>
      <c r="B23" t="s">
        <v>110</v>
      </c>
      <c r="C23" s="81">
        <v>44575</v>
      </c>
      <c r="D23" t="s">
        <v>736</v>
      </c>
      <c r="E23" t="s">
        <v>775</v>
      </c>
      <c r="F23" t="s">
        <v>735</v>
      </c>
      <c r="G23">
        <v>210</v>
      </c>
      <c r="H23">
        <v>3732891.4800000004</v>
      </c>
    </row>
    <row r="24" spans="1:8" x14ac:dyDescent="0.2">
      <c r="A24">
        <v>2220210000</v>
      </c>
      <c r="B24" t="s">
        <v>770</v>
      </c>
      <c r="C24" s="81">
        <v>44575</v>
      </c>
      <c r="D24" t="s">
        <v>736</v>
      </c>
      <c r="E24" t="s">
        <v>775</v>
      </c>
      <c r="F24" t="s">
        <v>735</v>
      </c>
      <c r="G24">
        <v>224</v>
      </c>
      <c r="H24">
        <v>70000000</v>
      </c>
    </row>
    <row r="25" spans="1:8" x14ac:dyDescent="0.2">
      <c r="A25">
        <v>2220220000</v>
      </c>
      <c r="B25" t="s">
        <v>307</v>
      </c>
      <c r="C25" s="81">
        <v>44575</v>
      </c>
      <c r="D25" t="s">
        <v>736</v>
      </c>
      <c r="E25" t="s">
        <v>775</v>
      </c>
      <c r="F25" t="s">
        <v>735</v>
      </c>
      <c r="G25">
        <v>228</v>
      </c>
      <c r="H25">
        <v>300000</v>
      </c>
    </row>
    <row r="26" spans="1:8" x14ac:dyDescent="0.2">
      <c r="A26">
        <v>2110672000</v>
      </c>
      <c r="B26" t="s">
        <v>57</v>
      </c>
      <c r="C26" s="81">
        <v>44578</v>
      </c>
      <c r="E26" t="s">
        <v>775</v>
      </c>
      <c r="F26" t="s">
        <v>765</v>
      </c>
      <c r="G26">
        <v>85</v>
      </c>
      <c r="H26">
        <v>332184.33</v>
      </c>
    </row>
    <row r="27" spans="1:8" x14ac:dyDescent="0.2">
      <c r="A27">
        <v>2110700000</v>
      </c>
      <c r="B27" t="s">
        <v>60</v>
      </c>
      <c r="C27" s="81">
        <v>44578</v>
      </c>
      <c r="E27" t="s">
        <v>775</v>
      </c>
      <c r="F27" t="s">
        <v>765</v>
      </c>
      <c r="G27">
        <v>89</v>
      </c>
      <c r="H27">
        <v>1901215</v>
      </c>
    </row>
    <row r="28" spans="1:8" x14ac:dyDescent="0.2">
      <c r="A28">
        <v>2111070000</v>
      </c>
      <c r="B28" t="s">
        <v>95</v>
      </c>
      <c r="C28" s="81">
        <v>44578</v>
      </c>
      <c r="E28" t="s">
        <v>775</v>
      </c>
      <c r="F28" t="s">
        <v>765</v>
      </c>
      <c r="G28">
        <v>147</v>
      </c>
      <c r="H28">
        <v>29321.879999999997</v>
      </c>
    </row>
    <row r="29" spans="1:8" x14ac:dyDescent="0.2">
      <c r="A29">
        <v>2221511000</v>
      </c>
      <c r="B29" t="s">
        <v>345</v>
      </c>
      <c r="C29" s="81">
        <v>44578</v>
      </c>
      <c r="D29" t="s">
        <v>736</v>
      </c>
      <c r="E29" t="s">
        <v>775</v>
      </c>
      <c r="F29" t="s">
        <v>735</v>
      </c>
      <c r="G29">
        <v>512</v>
      </c>
      <c r="H29">
        <v>12036.06</v>
      </c>
    </row>
    <row r="30" spans="1:8" x14ac:dyDescent="0.2">
      <c r="A30">
        <v>2221517010</v>
      </c>
      <c r="B30" t="s">
        <v>363</v>
      </c>
      <c r="C30" s="81">
        <v>44578</v>
      </c>
      <c r="D30" t="s">
        <v>736</v>
      </c>
      <c r="E30" t="s">
        <v>775</v>
      </c>
      <c r="F30" t="s">
        <v>735</v>
      </c>
      <c r="G30">
        <v>533</v>
      </c>
      <c r="H30">
        <v>6030</v>
      </c>
    </row>
    <row r="31" spans="1:8" x14ac:dyDescent="0.2">
      <c r="A31">
        <v>2110510000</v>
      </c>
      <c r="B31" t="s">
        <v>22</v>
      </c>
      <c r="C31" s="81">
        <v>44579</v>
      </c>
      <c r="E31" t="s">
        <v>775</v>
      </c>
      <c r="F31" t="s">
        <v>765</v>
      </c>
      <c r="G31">
        <v>43</v>
      </c>
      <c r="H31">
        <v>37.44</v>
      </c>
    </row>
    <row r="32" spans="1:8" x14ac:dyDescent="0.2">
      <c r="A32">
        <v>2110672000</v>
      </c>
      <c r="B32" t="s">
        <v>57</v>
      </c>
      <c r="C32" s="81">
        <v>44579</v>
      </c>
      <c r="E32" t="s">
        <v>775</v>
      </c>
      <c r="F32" t="s">
        <v>765</v>
      </c>
      <c r="G32">
        <v>85</v>
      </c>
      <c r="H32">
        <v>89383.67</v>
      </c>
    </row>
    <row r="33" spans="1:8" x14ac:dyDescent="0.2">
      <c r="A33">
        <v>2110700000</v>
      </c>
      <c r="B33" t="s">
        <v>60</v>
      </c>
      <c r="C33" s="81">
        <v>44579</v>
      </c>
      <c r="E33" t="s">
        <v>775</v>
      </c>
      <c r="F33" t="s">
        <v>765</v>
      </c>
      <c r="G33">
        <v>89</v>
      </c>
      <c r="H33">
        <v>7500</v>
      </c>
    </row>
    <row r="34" spans="1:8" x14ac:dyDescent="0.2">
      <c r="A34">
        <v>2220110000</v>
      </c>
      <c r="B34" t="s">
        <v>104</v>
      </c>
      <c r="C34" s="81">
        <v>44579</v>
      </c>
      <c r="D34" t="s">
        <v>736</v>
      </c>
      <c r="E34" t="s">
        <v>775</v>
      </c>
      <c r="F34" t="s">
        <v>735</v>
      </c>
      <c r="G34">
        <v>202</v>
      </c>
      <c r="H34">
        <v>115353.1</v>
      </c>
    </row>
    <row r="35" spans="1:8" x14ac:dyDescent="0.2">
      <c r="A35">
        <v>2221511000</v>
      </c>
      <c r="B35" t="s">
        <v>345</v>
      </c>
      <c r="C35" s="81">
        <v>44579</v>
      </c>
      <c r="D35" t="s">
        <v>736</v>
      </c>
      <c r="E35" t="s">
        <v>775</v>
      </c>
      <c r="F35" t="s">
        <v>735</v>
      </c>
      <c r="G35">
        <v>512</v>
      </c>
      <c r="H35">
        <v>4257.63</v>
      </c>
    </row>
    <row r="36" spans="1:8" x14ac:dyDescent="0.2">
      <c r="A36">
        <v>2110672000</v>
      </c>
      <c r="B36" t="s">
        <v>57</v>
      </c>
      <c r="C36" s="81">
        <v>44580</v>
      </c>
      <c r="E36" t="s">
        <v>775</v>
      </c>
      <c r="F36" t="s">
        <v>765</v>
      </c>
      <c r="G36">
        <v>85</v>
      </c>
      <c r="H36">
        <v>11229.619999999999</v>
      </c>
    </row>
    <row r="37" spans="1:8" x14ac:dyDescent="0.2">
      <c r="A37">
        <v>2110700000</v>
      </c>
      <c r="B37" t="s">
        <v>60</v>
      </c>
      <c r="C37" s="81">
        <v>44580</v>
      </c>
      <c r="E37" t="s">
        <v>775</v>
      </c>
      <c r="F37" t="s">
        <v>765</v>
      </c>
      <c r="G37">
        <v>89</v>
      </c>
      <c r="H37">
        <v>19100</v>
      </c>
    </row>
    <row r="38" spans="1:8" x14ac:dyDescent="0.2">
      <c r="A38">
        <v>2220110000</v>
      </c>
      <c r="B38" t="s">
        <v>104</v>
      </c>
      <c r="C38" s="81">
        <v>44580</v>
      </c>
      <c r="D38" t="s">
        <v>736</v>
      </c>
      <c r="E38" t="s">
        <v>775</v>
      </c>
      <c r="F38" t="s">
        <v>735</v>
      </c>
      <c r="G38">
        <v>202</v>
      </c>
      <c r="H38">
        <v>4818408.209999999</v>
      </c>
    </row>
    <row r="39" spans="1:8" x14ac:dyDescent="0.2">
      <c r="A39">
        <v>2221506000</v>
      </c>
      <c r="B39" t="s">
        <v>330</v>
      </c>
      <c r="C39" s="81">
        <v>44580</v>
      </c>
      <c r="D39" t="s">
        <v>736</v>
      </c>
      <c r="E39" t="s">
        <v>775</v>
      </c>
      <c r="F39" t="s">
        <v>735</v>
      </c>
      <c r="G39">
        <v>492</v>
      </c>
      <c r="H39">
        <v>5500</v>
      </c>
    </row>
    <row r="40" spans="1:8" x14ac:dyDescent="0.2">
      <c r="A40">
        <v>2221513000</v>
      </c>
      <c r="B40" t="s">
        <v>351</v>
      </c>
      <c r="C40" s="81">
        <v>44580</v>
      </c>
      <c r="D40" t="s">
        <v>736</v>
      </c>
      <c r="E40" t="s">
        <v>775</v>
      </c>
      <c r="F40" t="s">
        <v>735</v>
      </c>
      <c r="G40">
        <v>520</v>
      </c>
      <c r="H40">
        <v>145201</v>
      </c>
    </row>
    <row r="41" spans="1:8" x14ac:dyDescent="0.2">
      <c r="A41">
        <v>2110210000</v>
      </c>
      <c r="B41" t="s">
        <v>658</v>
      </c>
      <c r="C41" s="81">
        <v>44581</v>
      </c>
      <c r="E41" t="s">
        <v>775</v>
      </c>
      <c r="F41" t="s">
        <v>735</v>
      </c>
      <c r="G41">
        <v>21</v>
      </c>
      <c r="H41">
        <v>8500000</v>
      </c>
    </row>
    <row r="42" spans="1:8" x14ac:dyDescent="0.2">
      <c r="A42">
        <v>2110672000</v>
      </c>
      <c r="B42" t="s">
        <v>57</v>
      </c>
      <c r="C42" s="81">
        <v>44581</v>
      </c>
      <c r="E42" t="s">
        <v>775</v>
      </c>
      <c r="F42" t="s">
        <v>765</v>
      </c>
      <c r="G42">
        <v>85</v>
      </c>
      <c r="H42">
        <v>1142986.28</v>
      </c>
    </row>
    <row r="43" spans="1:8" x14ac:dyDescent="0.2">
      <c r="A43">
        <v>2110700000</v>
      </c>
      <c r="B43" t="s">
        <v>60</v>
      </c>
      <c r="C43" s="81">
        <v>44581</v>
      </c>
      <c r="E43" t="s">
        <v>775</v>
      </c>
      <c r="F43" t="s">
        <v>765</v>
      </c>
      <c r="G43">
        <v>89</v>
      </c>
      <c r="H43">
        <v>8000</v>
      </c>
    </row>
    <row r="44" spans="1:8" x14ac:dyDescent="0.2">
      <c r="A44">
        <v>2111070000</v>
      </c>
      <c r="B44" t="s">
        <v>95</v>
      </c>
      <c r="C44" s="81">
        <v>44581</v>
      </c>
      <c r="E44" t="s">
        <v>775</v>
      </c>
      <c r="F44" t="s">
        <v>765</v>
      </c>
      <c r="G44">
        <v>147</v>
      </c>
      <c r="H44">
        <v>485654.33</v>
      </c>
    </row>
    <row r="45" spans="1:8" x14ac:dyDescent="0.2">
      <c r="A45">
        <v>2220316000</v>
      </c>
      <c r="B45" t="s">
        <v>136</v>
      </c>
      <c r="C45" s="81">
        <v>44581</v>
      </c>
      <c r="D45" t="s">
        <v>736</v>
      </c>
      <c r="E45" t="s">
        <v>775</v>
      </c>
      <c r="F45" t="s">
        <v>735</v>
      </c>
      <c r="G45">
        <v>254</v>
      </c>
      <c r="H45">
        <v>50064</v>
      </c>
    </row>
    <row r="46" spans="1:8" x14ac:dyDescent="0.2">
      <c r="A46">
        <v>2221517160</v>
      </c>
      <c r="B46" t="s">
        <v>559</v>
      </c>
      <c r="C46" s="81">
        <v>44581</v>
      </c>
      <c r="D46" t="s">
        <v>736</v>
      </c>
      <c r="E46" t="s">
        <v>775</v>
      </c>
      <c r="F46" t="s">
        <v>735</v>
      </c>
      <c r="G46">
        <v>589</v>
      </c>
      <c r="H46">
        <v>26000</v>
      </c>
    </row>
    <row r="47" spans="1:8" x14ac:dyDescent="0.2">
      <c r="A47">
        <v>2110672000</v>
      </c>
      <c r="B47" t="s">
        <v>57</v>
      </c>
      <c r="C47" s="81">
        <v>44582</v>
      </c>
      <c r="E47" t="s">
        <v>775</v>
      </c>
      <c r="F47" t="s">
        <v>765</v>
      </c>
      <c r="G47">
        <v>85</v>
      </c>
      <c r="H47">
        <v>4333484.72</v>
      </c>
    </row>
    <row r="48" spans="1:8" x14ac:dyDescent="0.2">
      <c r="A48">
        <v>2110700000</v>
      </c>
      <c r="B48" t="s">
        <v>60</v>
      </c>
      <c r="C48" s="81">
        <v>44582</v>
      </c>
      <c r="E48" t="s">
        <v>775</v>
      </c>
      <c r="F48" t="s">
        <v>765</v>
      </c>
      <c r="G48">
        <v>89</v>
      </c>
      <c r="H48">
        <v>2500</v>
      </c>
    </row>
    <row r="49" spans="1:8" x14ac:dyDescent="0.2">
      <c r="A49">
        <v>2111070000</v>
      </c>
      <c r="B49" t="s">
        <v>95</v>
      </c>
      <c r="C49" s="81">
        <v>44582</v>
      </c>
      <c r="E49" t="s">
        <v>775</v>
      </c>
      <c r="F49" t="s">
        <v>765</v>
      </c>
      <c r="G49">
        <v>147</v>
      </c>
      <c r="H49">
        <v>8502.6299999999992</v>
      </c>
    </row>
    <row r="50" spans="1:8" x14ac:dyDescent="0.2">
      <c r="A50">
        <v>2221511000</v>
      </c>
      <c r="B50" t="s">
        <v>345</v>
      </c>
      <c r="C50" s="81">
        <v>44582</v>
      </c>
      <c r="D50" t="s">
        <v>736</v>
      </c>
      <c r="E50" t="s">
        <v>775</v>
      </c>
      <c r="F50" t="s">
        <v>735</v>
      </c>
      <c r="G50">
        <v>512</v>
      </c>
      <c r="H50">
        <v>6685.86</v>
      </c>
    </row>
    <row r="51" spans="1:8" x14ac:dyDescent="0.2">
      <c r="A51">
        <v>2221513000</v>
      </c>
      <c r="B51" t="s">
        <v>351</v>
      </c>
      <c r="C51" s="81">
        <v>44582</v>
      </c>
      <c r="D51" t="s">
        <v>736</v>
      </c>
      <c r="E51" t="s">
        <v>775</v>
      </c>
      <c r="F51" t="s">
        <v>735</v>
      </c>
      <c r="G51">
        <v>520</v>
      </c>
      <c r="H51">
        <v>1112147.94</v>
      </c>
    </row>
    <row r="52" spans="1:8" x14ac:dyDescent="0.2">
      <c r="A52">
        <v>2221517110</v>
      </c>
      <c r="B52" t="s">
        <v>383</v>
      </c>
      <c r="C52" s="81">
        <v>44582</v>
      </c>
      <c r="D52" t="s">
        <v>736</v>
      </c>
      <c r="E52" t="s">
        <v>775</v>
      </c>
      <c r="F52" t="s">
        <v>735</v>
      </c>
      <c r="G52">
        <v>605</v>
      </c>
      <c r="H52">
        <v>500000</v>
      </c>
    </row>
    <row r="53" spans="1:8" x14ac:dyDescent="0.2">
      <c r="A53">
        <v>2110672000</v>
      </c>
      <c r="B53" t="s">
        <v>57</v>
      </c>
      <c r="C53" s="81">
        <v>44585</v>
      </c>
      <c r="E53" t="s">
        <v>775</v>
      </c>
      <c r="F53" t="s">
        <v>765</v>
      </c>
      <c r="G53">
        <v>85</v>
      </c>
      <c r="H53">
        <v>375219.62</v>
      </c>
    </row>
    <row r="54" spans="1:8" x14ac:dyDescent="0.2">
      <c r="A54">
        <v>2110700000</v>
      </c>
      <c r="B54" t="s">
        <v>60</v>
      </c>
      <c r="C54" s="81">
        <v>44585</v>
      </c>
      <c r="E54" t="s">
        <v>775</v>
      </c>
      <c r="F54" t="s">
        <v>765</v>
      </c>
      <c r="G54">
        <v>89</v>
      </c>
      <c r="H54">
        <v>1000</v>
      </c>
    </row>
    <row r="55" spans="1:8" x14ac:dyDescent="0.2">
      <c r="A55">
        <v>2111070000</v>
      </c>
      <c r="B55" t="s">
        <v>95</v>
      </c>
      <c r="C55" s="81">
        <v>44585</v>
      </c>
      <c r="E55" t="s">
        <v>775</v>
      </c>
      <c r="F55" t="s">
        <v>765</v>
      </c>
      <c r="G55">
        <v>147</v>
      </c>
      <c r="H55">
        <v>12197.25</v>
      </c>
    </row>
    <row r="56" spans="1:8" x14ac:dyDescent="0.2">
      <c r="A56">
        <v>2220110000</v>
      </c>
      <c r="B56" t="s">
        <v>104</v>
      </c>
      <c r="C56" s="81">
        <v>44585</v>
      </c>
      <c r="D56" t="s">
        <v>736</v>
      </c>
      <c r="E56" t="s">
        <v>775</v>
      </c>
      <c r="F56" t="s">
        <v>735</v>
      </c>
      <c r="G56">
        <v>202</v>
      </c>
      <c r="H56">
        <v>78535</v>
      </c>
    </row>
    <row r="57" spans="1:8" x14ac:dyDescent="0.2">
      <c r="A57">
        <v>2220120000</v>
      </c>
      <c r="B57" t="s">
        <v>107</v>
      </c>
      <c r="C57" s="81">
        <v>44585</v>
      </c>
      <c r="D57" t="s">
        <v>736</v>
      </c>
      <c r="E57" t="s">
        <v>775</v>
      </c>
      <c r="F57" t="s">
        <v>735</v>
      </c>
      <c r="G57">
        <v>206</v>
      </c>
      <c r="H57">
        <v>681141.94</v>
      </c>
    </row>
    <row r="58" spans="1:8" x14ac:dyDescent="0.2">
      <c r="A58">
        <v>2220610000</v>
      </c>
      <c r="B58" t="s">
        <v>205</v>
      </c>
      <c r="C58" s="81">
        <v>44585</v>
      </c>
      <c r="D58" t="s">
        <v>736</v>
      </c>
      <c r="E58" t="s">
        <v>775</v>
      </c>
      <c r="F58" t="s">
        <v>735</v>
      </c>
      <c r="G58">
        <v>338</v>
      </c>
      <c r="H58">
        <v>842484.11</v>
      </c>
    </row>
    <row r="59" spans="1:8" x14ac:dyDescent="0.2">
      <c r="A59">
        <v>2220620000</v>
      </c>
      <c r="B59" t="s">
        <v>208</v>
      </c>
      <c r="C59" s="81">
        <v>44585</v>
      </c>
      <c r="D59" t="s">
        <v>736</v>
      </c>
      <c r="E59" t="s">
        <v>775</v>
      </c>
      <c r="F59" t="s">
        <v>735</v>
      </c>
      <c r="G59">
        <v>342</v>
      </c>
      <c r="H59">
        <v>857515.89</v>
      </c>
    </row>
    <row r="60" spans="1:8" x14ac:dyDescent="0.2">
      <c r="A60">
        <v>2221511000</v>
      </c>
      <c r="B60" t="s">
        <v>345</v>
      </c>
      <c r="C60" s="81">
        <v>44585</v>
      </c>
      <c r="D60" t="s">
        <v>736</v>
      </c>
      <c r="E60" t="s">
        <v>775</v>
      </c>
      <c r="F60" t="s">
        <v>735</v>
      </c>
      <c r="G60">
        <v>512</v>
      </c>
      <c r="H60">
        <v>3200</v>
      </c>
    </row>
    <row r="61" spans="1:8" x14ac:dyDescent="0.2">
      <c r="A61">
        <v>2110210000</v>
      </c>
      <c r="B61" t="s">
        <v>658</v>
      </c>
      <c r="C61" s="81">
        <v>44586</v>
      </c>
      <c r="E61" t="s">
        <v>775</v>
      </c>
      <c r="F61" t="s">
        <v>735</v>
      </c>
      <c r="G61">
        <v>21</v>
      </c>
      <c r="H61">
        <v>3000000</v>
      </c>
    </row>
    <row r="62" spans="1:8" x14ac:dyDescent="0.2">
      <c r="A62">
        <v>2110220000</v>
      </c>
      <c r="B62" t="s">
        <v>660</v>
      </c>
      <c r="C62" s="81">
        <v>44586</v>
      </c>
      <c r="E62" t="s">
        <v>775</v>
      </c>
      <c r="F62" t="s">
        <v>765</v>
      </c>
      <c r="G62">
        <v>25</v>
      </c>
      <c r="H62">
        <v>1680877.72</v>
      </c>
    </row>
    <row r="63" spans="1:8" x14ac:dyDescent="0.2">
      <c r="A63">
        <v>2110510000</v>
      </c>
      <c r="B63" t="s">
        <v>22</v>
      </c>
      <c r="C63" s="81">
        <v>44586</v>
      </c>
      <c r="E63" t="s">
        <v>775</v>
      </c>
      <c r="F63" t="s">
        <v>765</v>
      </c>
      <c r="G63">
        <v>43</v>
      </c>
      <c r="H63">
        <v>1141.79</v>
      </c>
    </row>
    <row r="64" spans="1:8" x14ac:dyDescent="0.2">
      <c r="A64">
        <v>2110672000</v>
      </c>
      <c r="B64" t="s">
        <v>57</v>
      </c>
      <c r="C64" s="81">
        <v>44586</v>
      </c>
      <c r="E64" t="s">
        <v>775</v>
      </c>
      <c r="F64" t="s">
        <v>765</v>
      </c>
      <c r="G64">
        <v>85</v>
      </c>
      <c r="H64">
        <v>6702257.71</v>
      </c>
    </row>
    <row r="65" spans="1:8" x14ac:dyDescent="0.2">
      <c r="A65">
        <v>2220142000</v>
      </c>
      <c r="B65" t="s">
        <v>729</v>
      </c>
      <c r="C65" s="81">
        <v>44586</v>
      </c>
      <c r="D65" t="s">
        <v>736</v>
      </c>
      <c r="E65" t="s">
        <v>775</v>
      </c>
      <c r="F65" t="s">
        <v>735</v>
      </c>
      <c r="G65">
        <v>219</v>
      </c>
      <c r="H65">
        <v>179000</v>
      </c>
    </row>
    <row r="66" spans="1:8" x14ac:dyDescent="0.2">
      <c r="A66">
        <v>2220316000</v>
      </c>
      <c r="B66" t="s">
        <v>136</v>
      </c>
      <c r="C66" s="81">
        <v>44586</v>
      </c>
      <c r="D66" t="s">
        <v>736</v>
      </c>
      <c r="E66" t="s">
        <v>775</v>
      </c>
      <c r="F66" t="s">
        <v>735</v>
      </c>
      <c r="G66">
        <v>254</v>
      </c>
      <c r="H66">
        <v>681582</v>
      </c>
    </row>
    <row r="67" spans="1:8" x14ac:dyDescent="0.2">
      <c r="A67">
        <v>2110210000</v>
      </c>
      <c r="B67" t="s">
        <v>658</v>
      </c>
      <c r="C67" s="81">
        <v>44587</v>
      </c>
      <c r="E67" t="s">
        <v>775</v>
      </c>
      <c r="F67" t="s">
        <v>735</v>
      </c>
      <c r="G67">
        <v>21</v>
      </c>
      <c r="H67">
        <v>82200000</v>
      </c>
    </row>
    <row r="68" spans="1:8" x14ac:dyDescent="0.2">
      <c r="A68">
        <v>2110672000</v>
      </c>
      <c r="B68" t="s">
        <v>57</v>
      </c>
      <c r="C68" s="81">
        <v>44587</v>
      </c>
      <c r="E68" t="s">
        <v>775</v>
      </c>
      <c r="F68" t="s">
        <v>765</v>
      </c>
      <c r="G68">
        <v>85</v>
      </c>
      <c r="H68">
        <v>489431.08</v>
      </c>
    </row>
    <row r="69" spans="1:8" x14ac:dyDescent="0.2">
      <c r="A69">
        <v>2111070000</v>
      </c>
      <c r="B69" t="s">
        <v>95</v>
      </c>
      <c r="C69" s="81">
        <v>44587</v>
      </c>
      <c r="E69" t="s">
        <v>775</v>
      </c>
      <c r="F69" t="s">
        <v>765</v>
      </c>
      <c r="G69">
        <v>147</v>
      </c>
      <c r="H69">
        <v>35870.86</v>
      </c>
    </row>
    <row r="70" spans="1:8" x14ac:dyDescent="0.2">
      <c r="A70">
        <v>2220110000</v>
      </c>
      <c r="B70" t="s">
        <v>104</v>
      </c>
      <c r="C70" s="81">
        <v>44587</v>
      </c>
      <c r="D70" t="s">
        <v>736</v>
      </c>
      <c r="E70" t="s">
        <v>775</v>
      </c>
      <c r="F70" t="s">
        <v>735</v>
      </c>
      <c r="G70">
        <v>202</v>
      </c>
      <c r="H70">
        <v>11286396.18</v>
      </c>
    </row>
    <row r="71" spans="1:8" x14ac:dyDescent="0.2">
      <c r="A71">
        <v>2221506000</v>
      </c>
      <c r="B71" t="s">
        <v>330</v>
      </c>
      <c r="C71" s="81">
        <v>44587</v>
      </c>
      <c r="D71" t="s">
        <v>736</v>
      </c>
      <c r="E71" t="s">
        <v>775</v>
      </c>
      <c r="F71" t="s">
        <v>735</v>
      </c>
      <c r="G71">
        <v>492</v>
      </c>
      <c r="H71">
        <v>17240</v>
      </c>
    </row>
    <row r="72" spans="1:8" x14ac:dyDescent="0.2">
      <c r="A72">
        <v>2221511000</v>
      </c>
      <c r="B72" t="s">
        <v>345</v>
      </c>
      <c r="C72" s="81">
        <v>44587</v>
      </c>
      <c r="D72" t="s">
        <v>736</v>
      </c>
      <c r="E72" t="s">
        <v>775</v>
      </c>
      <c r="F72" t="s">
        <v>735</v>
      </c>
      <c r="G72">
        <v>512</v>
      </c>
      <c r="H72">
        <v>45630</v>
      </c>
    </row>
    <row r="73" spans="1:8" x14ac:dyDescent="0.2">
      <c r="A73">
        <v>2221513000</v>
      </c>
      <c r="B73" t="s">
        <v>351</v>
      </c>
      <c r="C73" s="81">
        <v>44587</v>
      </c>
      <c r="D73" t="s">
        <v>736</v>
      </c>
      <c r="E73" t="s">
        <v>775</v>
      </c>
      <c r="F73" t="s">
        <v>735</v>
      </c>
      <c r="G73">
        <v>520</v>
      </c>
      <c r="H73">
        <v>172699.4</v>
      </c>
    </row>
    <row r="74" spans="1:8" x14ac:dyDescent="0.2">
      <c r="A74">
        <v>2221517110</v>
      </c>
      <c r="B74" t="s">
        <v>383</v>
      </c>
      <c r="C74" s="81">
        <v>44587</v>
      </c>
      <c r="D74" t="s">
        <v>736</v>
      </c>
      <c r="E74" t="s">
        <v>775</v>
      </c>
      <c r="F74" t="s">
        <v>735</v>
      </c>
      <c r="G74">
        <v>605</v>
      </c>
      <c r="H74">
        <v>236000</v>
      </c>
    </row>
    <row r="75" spans="1:8" x14ac:dyDescent="0.2">
      <c r="A75">
        <v>2221517160</v>
      </c>
      <c r="B75" t="s">
        <v>559</v>
      </c>
      <c r="C75" s="81">
        <v>44587</v>
      </c>
      <c r="D75" t="s">
        <v>736</v>
      </c>
      <c r="E75" t="s">
        <v>775</v>
      </c>
      <c r="F75" t="s">
        <v>735</v>
      </c>
      <c r="G75">
        <v>589</v>
      </c>
      <c r="H75">
        <v>1034.3599999999999</v>
      </c>
    </row>
    <row r="76" spans="1:8" x14ac:dyDescent="0.2">
      <c r="A76">
        <v>2110672000</v>
      </c>
      <c r="B76" t="s">
        <v>57</v>
      </c>
      <c r="C76" s="81">
        <v>44588</v>
      </c>
      <c r="E76" t="s">
        <v>775</v>
      </c>
      <c r="F76" t="s">
        <v>765</v>
      </c>
      <c r="G76">
        <v>85</v>
      </c>
      <c r="H76">
        <v>720513.37</v>
      </c>
    </row>
    <row r="77" spans="1:8" x14ac:dyDescent="0.2">
      <c r="A77">
        <v>2220110000</v>
      </c>
      <c r="B77" t="s">
        <v>104</v>
      </c>
      <c r="C77" s="81">
        <v>44588</v>
      </c>
      <c r="D77" t="s">
        <v>736</v>
      </c>
      <c r="E77" t="s">
        <v>775</v>
      </c>
      <c r="F77" t="s">
        <v>735</v>
      </c>
      <c r="G77">
        <v>202</v>
      </c>
      <c r="H77">
        <v>2829723.9</v>
      </c>
    </row>
    <row r="78" spans="1:8" x14ac:dyDescent="0.2">
      <c r="A78">
        <v>2220120000</v>
      </c>
      <c r="B78" t="s">
        <v>107</v>
      </c>
      <c r="C78" s="81">
        <v>44588</v>
      </c>
      <c r="D78" t="s">
        <v>736</v>
      </c>
      <c r="E78" t="s">
        <v>775</v>
      </c>
      <c r="F78" t="s">
        <v>735</v>
      </c>
      <c r="G78">
        <v>206</v>
      </c>
      <c r="H78">
        <v>11554011.199999999</v>
      </c>
    </row>
    <row r="79" spans="1:8" x14ac:dyDescent="0.2">
      <c r="A79">
        <v>2221511000</v>
      </c>
      <c r="B79" t="s">
        <v>345</v>
      </c>
      <c r="C79" s="81">
        <v>44588</v>
      </c>
      <c r="D79" t="s">
        <v>736</v>
      </c>
      <c r="E79" t="s">
        <v>775</v>
      </c>
      <c r="F79" t="s">
        <v>735</v>
      </c>
      <c r="G79">
        <v>512</v>
      </c>
      <c r="H79">
        <v>28618</v>
      </c>
    </row>
    <row r="80" spans="1:8" x14ac:dyDescent="0.2">
      <c r="A80">
        <v>2110672000</v>
      </c>
      <c r="B80" t="s">
        <v>57</v>
      </c>
      <c r="C80" s="81">
        <v>44589</v>
      </c>
      <c r="E80" t="s">
        <v>775</v>
      </c>
      <c r="F80" t="s">
        <v>765</v>
      </c>
      <c r="G80">
        <v>85</v>
      </c>
      <c r="H80">
        <v>370147.16</v>
      </c>
    </row>
    <row r="81" spans="1:8" x14ac:dyDescent="0.2">
      <c r="A81">
        <v>2220110000</v>
      </c>
      <c r="B81" t="s">
        <v>104</v>
      </c>
      <c r="C81" s="81">
        <v>44589</v>
      </c>
      <c r="D81" t="s">
        <v>736</v>
      </c>
      <c r="E81" t="s">
        <v>775</v>
      </c>
      <c r="F81" t="s">
        <v>735</v>
      </c>
      <c r="G81">
        <v>202</v>
      </c>
      <c r="H81">
        <v>75000000</v>
      </c>
    </row>
    <row r="82" spans="1:8" x14ac:dyDescent="0.2">
      <c r="A82">
        <v>2220130000</v>
      </c>
      <c r="B82" t="s">
        <v>110</v>
      </c>
      <c r="C82" s="81">
        <v>44589</v>
      </c>
      <c r="D82" t="s">
        <v>736</v>
      </c>
      <c r="E82" t="s">
        <v>775</v>
      </c>
      <c r="F82" t="s">
        <v>735</v>
      </c>
      <c r="G82">
        <v>210</v>
      </c>
      <c r="H82">
        <v>315964</v>
      </c>
    </row>
    <row r="83" spans="1:8" x14ac:dyDescent="0.2">
      <c r="A83">
        <v>2220610000</v>
      </c>
      <c r="B83" t="s">
        <v>205</v>
      </c>
      <c r="C83" s="81">
        <v>44589</v>
      </c>
      <c r="D83" t="s">
        <v>736</v>
      </c>
      <c r="E83" t="s">
        <v>775</v>
      </c>
      <c r="F83" t="s">
        <v>735</v>
      </c>
      <c r="G83">
        <v>338</v>
      </c>
      <c r="H83">
        <v>300000</v>
      </c>
    </row>
    <row r="84" spans="1:8" x14ac:dyDescent="0.2">
      <c r="A84">
        <v>2221517110</v>
      </c>
      <c r="B84" t="s">
        <v>383</v>
      </c>
      <c r="C84" s="81">
        <v>44589</v>
      </c>
      <c r="D84" t="s">
        <v>736</v>
      </c>
      <c r="E84" t="s">
        <v>775</v>
      </c>
      <c r="F84" t="s">
        <v>735</v>
      </c>
      <c r="G84">
        <v>605</v>
      </c>
      <c r="H84">
        <v>140056.18</v>
      </c>
    </row>
    <row r="85" spans="1:8" x14ac:dyDescent="0.2">
      <c r="A85">
        <v>2110672000</v>
      </c>
      <c r="B85" t="s">
        <v>57</v>
      </c>
      <c r="C85" s="81">
        <v>44592</v>
      </c>
      <c r="E85" t="s">
        <v>775</v>
      </c>
      <c r="F85" t="s">
        <v>765</v>
      </c>
      <c r="G85">
        <v>85</v>
      </c>
      <c r="H85">
        <v>2319112.44</v>
      </c>
    </row>
    <row r="86" spans="1:8" x14ac:dyDescent="0.2">
      <c r="A86">
        <v>2111070000</v>
      </c>
      <c r="B86" t="s">
        <v>95</v>
      </c>
      <c r="C86" s="81">
        <v>44592</v>
      </c>
      <c r="E86" t="s">
        <v>775</v>
      </c>
      <c r="F86" t="s">
        <v>765</v>
      </c>
      <c r="G86">
        <v>147</v>
      </c>
      <c r="H86">
        <v>3152.43</v>
      </c>
    </row>
    <row r="87" spans="1:8" x14ac:dyDescent="0.2">
      <c r="A87">
        <v>2220510000</v>
      </c>
      <c r="B87" t="s">
        <v>196</v>
      </c>
      <c r="C87" s="81">
        <v>44592</v>
      </c>
      <c r="E87" t="s">
        <v>775</v>
      </c>
      <c r="F87" t="s">
        <v>765</v>
      </c>
      <c r="G87">
        <v>329</v>
      </c>
      <c r="H87">
        <v>24400000</v>
      </c>
    </row>
    <row r="88" spans="1:8" x14ac:dyDescent="0.2">
      <c r="A88">
        <v>2221200000</v>
      </c>
      <c r="B88" t="s">
        <v>265</v>
      </c>
      <c r="C88" s="81">
        <v>44592</v>
      </c>
      <c r="D88" t="s">
        <v>736</v>
      </c>
      <c r="E88" t="s">
        <v>775</v>
      </c>
      <c r="F88" t="s">
        <v>735</v>
      </c>
      <c r="G88">
        <v>410</v>
      </c>
      <c r="H88">
        <v>0</v>
      </c>
    </row>
    <row r="89" spans="1:8" x14ac:dyDescent="0.2">
      <c r="A89">
        <v>2221517080</v>
      </c>
      <c r="B89" t="s">
        <v>377</v>
      </c>
      <c r="C89" s="81">
        <v>44592</v>
      </c>
      <c r="D89" t="s">
        <v>736</v>
      </c>
      <c r="E89" t="s">
        <v>775</v>
      </c>
      <c r="F89" t="s">
        <v>735</v>
      </c>
      <c r="G89">
        <v>561</v>
      </c>
      <c r="H89">
        <v>132000</v>
      </c>
    </row>
    <row r="90" spans="1:8" x14ac:dyDescent="0.2">
      <c r="A90">
        <v>2221517110</v>
      </c>
      <c r="B90" t="s">
        <v>383</v>
      </c>
      <c r="C90" s="81">
        <v>44592</v>
      </c>
      <c r="D90" t="s">
        <v>736</v>
      </c>
      <c r="E90" t="s">
        <v>775</v>
      </c>
      <c r="F90" t="s">
        <v>735</v>
      </c>
      <c r="G90">
        <v>605</v>
      </c>
      <c r="H90">
        <v>500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45"/>
  <sheetViews>
    <sheetView workbookViewId="0">
      <selection activeCell="A38" sqref="A38"/>
    </sheetView>
  </sheetViews>
  <sheetFormatPr defaultRowHeight="12.75" x14ac:dyDescent="0.2"/>
  <cols>
    <col min="1" max="1" width="13.28515625" bestFit="1" customWidth="1"/>
    <col min="2" max="2" width="24" bestFit="1" customWidth="1"/>
  </cols>
  <sheetData>
    <row r="1" spans="1:2" x14ac:dyDescent="0.2">
      <c r="A1" t="s">
        <v>738</v>
      </c>
      <c r="B1" t="s">
        <v>737</v>
      </c>
    </row>
    <row r="2" spans="1:2" x14ac:dyDescent="0.2">
      <c r="A2" t="s">
        <v>739</v>
      </c>
      <c r="B2">
        <v>21</v>
      </c>
    </row>
    <row r="3" spans="1:2" x14ac:dyDescent="0.2">
      <c r="A3" t="s">
        <v>740</v>
      </c>
      <c r="B3">
        <v>25</v>
      </c>
    </row>
    <row r="4" spans="1:2" x14ac:dyDescent="0.2">
      <c r="A4" t="s">
        <v>741</v>
      </c>
      <c r="B4">
        <v>34</v>
      </c>
    </row>
    <row r="5" spans="1:2" x14ac:dyDescent="0.2">
      <c r="A5" t="s">
        <v>742</v>
      </c>
      <c r="B5">
        <v>38</v>
      </c>
    </row>
    <row r="6" spans="1:2" x14ac:dyDescent="0.2">
      <c r="A6" t="s">
        <v>23</v>
      </c>
      <c r="B6">
        <v>43</v>
      </c>
    </row>
    <row r="7" spans="1:2" x14ac:dyDescent="0.2">
      <c r="A7" t="s">
        <v>26</v>
      </c>
      <c r="B7">
        <v>47</v>
      </c>
    </row>
    <row r="8" spans="1:2" x14ac:dyDescent="0.2">
      <c r="A8" t="s">
        <v>743</v>
      </c>
      <c r="B8">
        <v>51</v>
      </c>
    </row>
    <row r="9" spans="1:2" x14ac:dyDescent="0.2">
      <c r="A9" t="s">
        <v>37</v>
      </c>
      <c r="B9">
        <v>60</v>
      </c>
    </row>
    <row r="10" spans="1:2" x14ac:dyDescent="0.2">
      <c r="A10" t="s">
        <v>40</v>
      </c>
      <c r="B10">
        <v>64</v>
      </c>
    </row>
    <row r="11" spans="1:2" x14ac:dyDescent="0.2">
      <c r="A11" t="s">
        <v>43</v>
      </c>
      <c r="B11">
        <v>68</v>
      </c>
    </row>
    <row r="12" spans="1:2" x14ac:dyDescent="0.2">
      <c r="A12" t="s">
        <v>46</v>
      </c>
      <c r="B12">
        <v>72</v>
      </c>
    </row>
    <row r="13" spans="1:2" x14ac:dyDescent="0.2">
      <c r="A13" t="s">
        <v>49</v>
      </c>
      <c r="B13">
        <v>76</v>
      </c>
    </row>
    <row r="14" spans="1:2" x14ac:dyDescent="0.2">
      <c r="A14" t="s">
        <v>55</v>
      </c>
      <c r="B14">
        <v>81</v>
      </c>
    </row>
    <row r="15" spans="1:2" x14ac:dyDescent="0.2">
      <c r="A15" t="s">
        <v>58</v>
      </c>
      <c r="B15">
        <v>85</v>
      </c>
    </row>
    <row r="16" spans="1:2" x14ac:dyDescent="0.2">
      <c r="A16" t="s">
        <v>61</v>
      </c>
      <c r="B16">
        <v>89</v>
      </c>
    </row>
    <row r="17" spans="1:2" x14ac:dyDescent="0.2">
      <c r="A17" t="s">
        <v>67</v>
      </c>
      <c r="B17">
        <v>94</v>
      </c>
    </row>
    <row r="18" spans="1:2" x14ac:dyDescent="0.2">
      <c r="A18" t="s">
        <v>70</v>
      </c>
      <c r="B18">
        <v>98</v>
      </c>
    </row>
    <row r="19" spans="1:2" x14ac:dyDescent="0.2">
      <c r="A19" t="s">
        <v>744</v>
      </c>
      <c r="B19">
        <v>119</v>
      </c>
    </row>
    <row r="20" spans="1:2" x14ac:dyDescent="0.2">
      <c r="A20" t="s">
        <v>745</v>
      </c>
      <c r="B20">
        <v>123</v>
      </c>
    </row>
    <row r="21" spans="1:2" x14ac:dyDescent="0.2">
      <c r="A21" t="s">
        <v>81</v>
      </c>
      <c r="B21">
        <v>127</v>
      </c>
    </row>
    <row r="22" spans="1:2" x14ac:dyDescent="0.2">
      <c r="A22" t="s">
        <v>84</v>
      </c>
      <c r="B22">
        <v>131</v>
      </c>
    </row>
    <row r="23" spans="1:2" x14ac:dyDescent="0.2">
      <c r="A23" t="s">
        <v>87</v>
      </c>
      <c r="B23">
        <v>135</v>
      </c>
    </row>
    <row r="24" spans="1:2" x14ac:dyDescent="0.2">
      <c r="A24" t="s">
        <v>90</v>
      </c>
      <c r="B24">
        <v>139</v>
      </c>
    </row>
    <row r="25" spans="1:2" x14ac:dyDescent="0.2">
      <c r="A25" t="s">
        <v>93</v>
      </c>
      <c r="B25">
        <v>143</v>
      </c>
    </row>
    <row r="26" spans="1:2" x14ac:dyDescent="0.2">
      <c r="A26" t="s">
        <v>96</v>
      </c>
      <c r="B26">
        <v>147</v>
      </c>
    </row>
    <row r="27" spans="1:2" x14ac:dyDescent="0.2">
      <c r="A27" t="s">
        <v>746</v>
      </c>
      <c r="B27">
        <v>160</v>
      </c>
    </row>
    <row r="28" spans="1:2" x14ac:dyDescent="0.2">
      <c r="A28" t="s">
        <v>747</v>
      </c>
      <c r="B28">
        <v>172</v>
      </c>
    </row>
    <row r="29" spans="1:2" x14ac:dyDescent="0.2">
      <c r="A29" t="s">
        <v>748</v>
      </c>
      <c r="B29">
        <v>176</v>
      </c>
    </row>
    <row r="30" spans="1:2" x14ac:dyDescent="0.2">
      <c r="A30" t="s">
        <v>749</v>
      </c>
      <c r="B30">
        <v>180</v>
      </c>
    </row>
    <row r="31" spans="1:2" x14ac:dyDescent="0.2">
      <c r="A31" t="s">
        <v>750</v>
      </c>
      <c r="B31">
        <v>184</v>
      </c>
    </row>
    <row r="32" spans="1:2" x14ac:dyDescent="0.2">
      <c r="A32" t="s">
        <v>751</v>
      </c>
      <c r="B32">
        <v>192</v>
      </c>
    </row>
    <row r="33" spans="1:2" x14ac:dyDescent="0.2">
      <c r="A33" t="s">
        <v>105</v>
      </c>
      <c r="B33">
        <v>202</v>
      </c>
    </row>
    <row r="34" spans="1:2" x14ac:dyDescent="0.2">
      <c r="A34" t="s">
        <v>108</v>
      </c>
      <c r="B34">
        <v>206</v>
      </c>
    </row>
    <row r="35" spans="1:2" x14ac:dyDescent="0.2">
      <c r="A35" t="s">
        <v>111</v>
      </c>
      <c r="B35">
        <v>210</v>
      </c>
    </row>
    <row r="36" spans="1:2" x14ac:dyDescent="0.2">
      <c r="A36" t="s">
        <v>752</v>
      </c>
      <c r="B36">
        <v>215</v>
      </c>
    </row>
    <row r="37" spans="1:2" x14ac:dyDescent="0.2">
      <c r="A37" t="s">
        <v>753</v>
      </c>
      <c r="B37">
        <v>219</v>
      </c>
    </row>
    <row r="38" spans="1:2" x14ac:dyDescent="0.2">
      <c r="A38" t="s">
        <v>772</v>
      </c>
      <c r="B38">
        <v>224</v>
      </c>
    </row>
    <row r="39" spans="1:2" x14ac:dyDescent="0.2">
      <c r="A39" t="s">
        <v>773</v>
      </c>
      <c r="B39">
        <v>228</v>
      </c>
    </row>
    <row r="40" spans="1:2" x14ac:dyDescent="0.2">
      <c r="A40" t="s">
        <v>122</v>
      </c>
      <c r="B40">
        <v>234</v>
      </c>
    </row>
    <row r="41" spans="1:2" x14ac:dyDescent="0.2">
      <c r="A41" t="s">
        <v>131</v>
      </c>
      <c r="B41">
        <v>246</v>
      </c>
    </row>
    <row r="42" spans="1:2" x14ac:dyDescent="0.2">
      <c r="A42" t="s">
        <v>134</v>
      </c>
      <c r="B42">
        <v>250</v>
      </c>
    </row>
    <row r="43" spans="1:2" x14ac:dyDescent="0.2">
      <c r="A43" t="s">
        <v>137</v>
      </c>
      <c r="B43">
        <v>254</v>
      </c>
    </row>
    <row r="44" spans="1:2" x14ac:dyDescent="0.2">
      <c r="A44" t="s">
        <v>146</v>
      </c>
      <c r="B44">
        <v>266</v>
      </c>
    </row>
    <row r="45" spans="1:2" x14ac:dyDescent="0.2">
      <c r="A45" t="s">
        <v>156</v>
      </c>
      <c r="B45">
        <v>279</v>
      </c>
    </row>
    <row r="46" spans="1:2" x14ac:dyDescent="0.2">
      <c r="A46" t="s">
        <v>171</v>
      </c>
      <c r="B46">
        <v>299</v>
      </c>
    </row>
    <row r="47" spans="1:2" x14ac:dyDescent="0.2">
      <c r="A47" t="s">
        <v>174</v>
      </c>
      <c r="B47">
        <v>303</v>
      </c>
    </row>
    <row r="48" spans="1:2" x14ac:dyDescent="0.2">
      <c r="A48" t="s">
        <v>177</v>
      </c>
      <c r="B48">
        <v>307</v>
      </c>
    </row>
    <row r="49" spans="1:2" x14ac:dyDescent="0.2">
      <c r="A49" t="s">
        <v>180</v>
      </c>
      <c r="B49">
        <v>311</v>
      </c>
    </row>
    <row r="50" spans="1:2" x14ac:dyDescent="0.2">
      <c r="A50" t="s">
        <v>186</v>
      </c>
      <c r="B50">
        <v>316</v>
      </c>
    </row>
    <row r="51" spans="1:2" x14ac:dyDescent="0.2">
      <c r="A51" t="s">
        <v>189</v>
      </c>
      <c r="B51">
        <v>320</v>
      </c>
    </row>
    <row r="52" spans="1:2" x14ac:dyDescent="0.2">
      <c r="A52" t="s">
        <v>197</v>
      </c>
      <c r="B52">
        <v>329</v>
      </c>
    </row>
    <row r="53" spans="1:2" x14ac:dyDescent="0.2">
      <c r="A53" t="s">
        <v>200</v>
      </c>
      <c r="B53">
        <v>333</v>
      </c>
    </row>
    <row r="54" spans="1:2" x14ac:dyDescent="0.2">
      <c r="A54" t="s">
        <v>206</v>
      </c>
      <c r="B54">
        <v>338</v>
      </c>
    </row>
    <row r="55" spans="1:2" x14ac:dyDescent="0.2">
      <c r="A55" t="s">
        <v>209</v>
      </c>
      <c r="B55">
        <v>342</v>
      </c>
    </row>
    <row r="56" spans="1:2" x14ac:dyDescent="0.2">
      <c r="A56" t="s">
        <v>212</v>
      </c>
      <c r="B56">
        <v>346</v>
      </c>
    </row>
    <row r="57" spans="1:2" x14ac:dyDescent="0.2">
      <c r="A57" t="s">
        <v>754</v>
      </c>
      <c r="B57">
        <v>351</v>
      </c>
    </row>
    <row r="58" spans="1:2" x14ac:dyDescent="0.2">
      <c r="A58" t="s">
        <v>755</v>
      </c>
      <c r="B58">
        <v>355</v>
      </c>
    </row>
    <row r="59" spans="1:2" x14ac:dyDescent="0.2">
      <c r="A59" t="s">
        <v>222</v>
      </c>
      <c r="B59">
        <v>359</v>
      </c>
    </row>
    <row r="60" spans="1:2" x14ac:dyDescent="0.2">
      <c r="A60" t="s">
        <v>231</v>
      </c>
      <c r="B60">
        <v>365</v>
      </c>
    </row>
    <row r="61" spans="1:2" x14ac:dyDescent="0.2">
      <c r="A61" t="s">
        <v>234</v>
      </c>
      <c r="B61">
        <v>369</v>
      </c>
    </row>
    <row r="62" spans="1:2" x14ac:dyDescent="0.2">
      <c r="A62" t="s">
        <v>237</v>
      </c>
      <c r="B62">
        <v>373</v>
      </c>
    </row>
    <row r="63" spans="1:2" x14ac:dyDescent="0.2">
      <c r="A63" t="s">
        <v>242</v>
      </c>
      <c r="B63">
        <v>381</v>
      </c>
    </row>
    <row r="64" spans="1:2" x14ac:dyDescent="0.2">
      <c r="A64" t="s">
        <v>245</v>
      </c>
      <c r="B64">
        <v>385</v>
      </c>
    </row>
    <row r="65" spans="1:2" x14ac:dyDescent="0.2">
      <c r="A65" t="s">
        <v>254</v>
      </c>
      <c r="B65">
        <v>394</v>
      </c>
    </row>
    <row r="66" spans="1:2" x14ac:dyDescent="0.2">
      <c r="A66" t="s">
        <v>257</v>
      </c>
      <c r="B66">
        <v>398</v>
      </c>
    </row>
    <row r="67" spans="1:2" x14ac:dyDescent="0.2">
      <c r="A67" t="s">
        <v>260</v>
      </c>
      <c r="B67">
        <v>402</v>
      </c>
    </row>
    <row r="68" spans="1:2" x14ac:dyDescent="0.2">
      <c r="A68" t="s">
        <v>266</v>
      </c>
      <c r="B68">
        <v>410</v>
      </c>
    </row>
    <row r="69" spans="1:2" x14ac:dyDescent="0.2">
      <c r="A69" t="s">
        <v>269</v>
      </c>
      <c r="B69">
        <v>414</v>
      </c>
    </row>
    <row r="70" spans="1:2" x14ac:dyDescent="0.2">
      <c r="A70" t="s">
        <v>275</v>
      </c>
      <c r="B70">
        <v>419</v>
      </c>
    </row>
    <row r="71" spans="1:2" x14ac:dyDescent="0.2">
      <c r="A71" t="s">
        <v>278</v>
      </c>
      <c r="B71">
        <v>423</v>
      </c>
    </row>
    <row r="72" spans="1:2" x14ac:dyDescent="0.2">
      <c r="A72" t="s">
        <v>281</v>
      </c>
      <c r="B72">
        <v>427</v>
      </c>
    </row>
    <row r="73" spans="1:2" x14ac:dyDescent="0.2">
      <c r="A73" t="s">
        <v>284</v>
      </c>
      <c r="B73">
        <v>431</v>
      </c>
    </row>
    <row r="74" spans="1:2" x14ac:dyDescent="0.2">
      <c r="A74" t="s">
        <v>287</v>
      </c>
      <c r="B74">
        <v>435</v>
      </c>
    </row>
    <row r="75" spans="1:2" x14ac:dyDescent="0.2">
      <c r="A75" t="s">
        <v>290</v>
      </c>
      <c r="B75">
        <v>439</v>
      </c>
    </row>
    <row r="76" spans="1:2" x14ac:dyDescent="0.2">
      <c r="A76" t="s">
        <v>293</v>
      </c>
      <c r="B76">
        <v>443</v>
      </c>
    </row>
    <row r="77" spans="1:2" x14ac:dyDescent="0.2">
      <c r="A77" t="s">
        <v>296</v>
      </c>
      <c r="B77">
        <v>447</v>
      </c>
    </row>
    <row r="78" spans="1:2" x14ac:dyDescent="0.2">
      <c r="A78" t="s">
        <v>299</v>
      </c>
      <c r="B78">
        <v>451</v>
      </c>
    </row>
    <row r="79" spans="1:2" x14ac:dyDescent="0.2">
      <c r="A79" t="s">
        <v>302</v>
      </c>
      <c r="B79">
        <v>455</v>
      </c>
    </row>
    <row r="80" spans="1:2" x14ac:dyDescent="0.2">
      <c r="A80" t="s">
        <v>305</v>
      </c>
      <c r="B80">
        <v>459</v>
      </c>
    </row>
    <row r="81" spans="1:2" x14ac:dyDescent="0.2">
      <c r="A81" t="s">
        <v>310</v>
      </c>
      <c r="B81">
        <v>467</v>
      </c>
    </row>
    <row r="82" spans="1:2" x14ac:dyDescent="0.2">
      <c r="A82" t="s">
        <v>316</v>
      </c>
      <c r="B82">
        <v>472</v>
      </c>
    </row>
    <row r="83" spans="1:2" x14ac:dyDescent="0.2">
      <c r="A83" t="s">
        <v>319</v>
      </c>
      <c r="B83">
        <v>476</v>
      </c>
    </row>
    <row r="84" spans="1:2" x14ac:dyDescent="0.2">
      <c r="A84" t="s">
        <v>322</v>
      </c>
      <c r="B84">
        <v>480</v>
      </c>
    </row>
    <row r="85" spans="1:2" x14ac:dyDescent="0.2">
      <c r="A85" t="s">
        <v>325</v>
      </c>
      <c r="B85">
        <v>484</v>
      </c>
    </row>
    <row r="86" spans="1:2" x14ac:dyDescent="0.2">
      <c r="A86" t="s">
        <v>328</v>
      </c>
      <c r="B86">
        <v>488</v>
      </c>
    </row>
    <row r="87" spans="1:2" x14ac:dyDescent="0.2">
      <c r="A87" t="s">
        <v>331</v>
      </c>
      <c r="B87">
        <v>492</v>
      </c>
    </row>
    <row r="88" spans="1:2" x14ac:dyDescent="0.2">
      <c r="A88" t="s">
        <v>334</v>
      </c>
      <c r="B88">
        <v>496</v>
      </c>
    </row>
    <row r="89" spans="1:2" x14ac:dyDescent="0.2">
      <c r="A89" t="s">
        <v>337</v>
      </c>
      <c r="B89">
        <v>500</v>
      </c>
    </row>
    <row r="90" spans="1:2" x14ac:dyDescent="0.2">
      <c r="A90" t="s">
        <v>340</v>
      </c>
      <c r="B90">
        <v>504</v>
      </c>
    </row>
    <row r="91" spans="1:2" x14ac:dyDescent="0.2">
      <c r="A91" t="s">
        <v>343</v>
      </c>
      <c r="B91">
        <v>508</v>
      </c>
    </row>
    <row r="92" spans="1:2" x14ac:dyDescent="0.2">
      <c r="A92" t="s">
        <v>346</v>
      </c>
      <c r="B92">
        <v>512</v>
      </c>
    </row>
    <row r="93" spans="1:2" x14ac:dyDescent="0.2">
      <c r="A93" t="s">
        <v>349</v>
      </c>
      <c r="B93">
        <v>516</v>
      </c>
    </row>
    <row r="94" spans="1:2" x14ac:dyDescent="0.2">
      <c r="A94" t="s">
        <v>352</v>
      </c>
      <c r="B94">
        <v>520</v>
      </c>
    </row>
    <row r="95" spans="1:2" x14ac:dyDescent="0.2">
      <c r="A95" t="s">
        <v>355</v>
      </c>
      <c r="B95">
        <v>524</v>
      </c>
    </row>
    <row r="96" spans="1:2" x14ac:dyDescent="0.2">
      <c r="A96" t="s">
        <v>358</v>
      </c>
      <c r="B96">
        <v>528</v>
      </c>
    </row>
    <row r="97" spans="1:2" x14ac:dyDescent="0.2">
      <c r="A97" t="s">
        <v>756</v>
      </c>
      <c r="B97">
        <v>463</v>
      </c>
    </row>
    <row r="98" spans="1:2" x14ac:dyDescent="0.2">
      <c r="A98" t="s">
        <v>364</v>
      </c>
      <c r="B98">
        <v>533</v>
      </c>
    </row>
    <row r="99" spans="1:2" x14ac:dyDescent="0.2">
      <c r="A99" t="s">
        <v>366</v>
      </c>
      <c r="B99">
        <v>537</v>
      </c>
    </row>
    <row r="100" spans="1:2" x14ac:dyDescent="0.2">
      <c r="A100" t="s">
        <v>368</v>
      </c>
      <c r="B100">
        <v>541</v>
      </c>
    </row>
    <row r="101" spans="1:2" x14ac:dyDescent="0.2">
      <c r="A101" t="s">
        <v>370</v>
      </c>
      <c r="B101">
        <v>545</v>
      </c>
    </row>
    <row r="102" spans="1:2" x14ac:dyDescent="0.2">
      <c r="A102" t="s">
        <v>372</v>
      </c>
      <c r="B102">
        <v>549</v>
      </c>
    </row>
    <row r="103" spans="1:2" x14ac:dyDescent="0.2">
      <c r="A103" t="s">
        <v>374</v>
      </c>
      <c r="B103">
        <v>553</v>
      </c>
    </row>
    <row r="104" spans="1:2" x14ac:dyDescent="0.2">
      <c r="A104" t="s">
        <v>376</v>
      </c>
      <c r="B104">
        <v>557</v>
      </c>
    </row>
    <row r="105" spans="1:2" x14ac:dyDescent="0.2">
      <c r="A105" t="s">
        <v>378</v>
      </c>
      <c r="B105">
        <v>561</v>
      </c>
    </row>
    <row r="106" spans="1:2" x14ac:dyDescent="0.2">
      <c r="A106" t="s">
        <v>380</v>
      </c>
      <c r="B106">
        <v>565</v>
      </c>
    </row>
    <row r="107" spans="1:2" x14ac:dyDescent="0.2">
      <c r="A107" t="s">
        <v>757</v>
      </c>
      <c r="B107">
        <v>569</v>
      </c>
    </row>
    <row r="108" spans="1:2" x14ac:dyDescent="0.2">
      <c r="A108" t="s">
        <v>758</v>
      </c>
      <c r="B108">
        <v>605</v>
      </c>
    </row>
    <row r="109" spans="1:2" x14ac:dyDescent="0.2">
      <c r="A109" t="s">
        <v>759</v>
      </c>
      <c r="B109">
        <v>573</v>
      </c>
    </row>
    <row r="110" spans="1:2" x14ac:dyDescent="0.2">
      <c r="A110" t="s">
        <v>760</v>
      </c>
      <c r="B110">
        <v>585</v>
      </c>
    </row>
    <row r="111" spans="1:2" x14ac:dyDescent="0.2">
      <c r="A111" t="s">
        <v>761</v>
      </c>
      <c r="B111">
        <v>589</v>
      </c>
    </row>
    <row r="112" spans="1:2" x14ac:dyDescent="0.2">
      <c r="A112" t="s">
        <v>392</v>
      </c>
      <c r="B112">
        <v>611</v>
      </c>
    </row>
    <row r="113" spans="1:2" x14ac:dyDescent="0.2">
      <c r="A113" t="s">
        <v>398</v>
      </c>
      <c r="B113">
        <v>616</v>
      </c>
    </row>
    <row r="114" spans="1:2" x14ac:dyDescent="0.2">
      <c r="A114" t="s">
        <v>401</v>
      </c>
      <c r="B114">
        <v>620</v>
      </c>
    </row>
    <row r="115" spans="1:2" x14ac:dyDescent="0.2">
      <c r="A115" t="s">
        <v>407</v>
      </c>
      <c r="B115">
        <v>625</v>
      </c>
    </row>
    <row r="116" spans="1:2" x14ac:dyDescent="0.2">
      <c r="A116" t="s">
        <v>410</v>
      </c>
      <c r="B116">
        <v>629</v>
      </c>
    </row>
    <row r="117" spans="1:2" x14ac:dyDescent="0.2">
      <c r="A117" t="s">
        <v>413</v>
      </c>
      <c r="B117">
        <v>633</v>
      </c>
    </row>
    <row r="118" spans="1:2" x14ac:dyDescent="0.2">
      <c r="A118" t="s">
        <v>419</v>
      </c>
      <c r="B118">
        <v>638</v>
      </c>
    </row>
    <row r="119" spans="1:2" x14ac:dyDescent="0.2">
      <c r="A119" t="s">
        <v>422</v>
      </c>
      <c r="B119">
        <v>642</v>
      </c>
    </row>
    <row r="120" spans="1:2" x14ac:dyDescent="0.2">
      <c r="A120" t="s">
        <v>425</v>
      </c>
      <c r="B120">
        <v>646</v>
      </c>
    </row>
    <row r="121" spans="1:2" x14ac:dyDescent="0.2">
      <c r="A121" t="s">
        <v>428</v>
      </c>
      <c r="B121">
        <v>650</v>
      </c>
    </row>
    <row r="122" spans="1:2" x14ac:dyDescent="0.2">
      <c r="A122" t="s">
        <v>431</v>
      </c>
      <c r="B122">
        <v>654</v>
      </c>
    </row>
    <row r="123" spans="1:2" x14ac:dyDescent="0.2">
      <c r="A123" t="s">
        <v>434</v>
      </c>
      <c r="B123">
        <v>658</v>
      </c>
    </row>
    <row r="124" spans="1:2" x14ac:dyDescent="0.2">
      <c r="A124" t="s">
        <v>437</v>
      </c>
      <c r="B124">
        <v>662</v>
      </c>
    </row>
    <row r="125" spans="1:2" x14ac:dyDescent="0.2">
      <c r="A125" t="s">
        <v>440</v>
      </c>
      <c r="B125">
        <v>666</v>
      </c>
    </row>
    <row r="126" spans="1:2" x14ac:dyDescent="0.2">
      <c r="A126" t="s">
        <v>443</v>
      </c>
      <c r="B126">
        <v>670</v>
      </c>
    </row>
    <row r="127" spans="1:2" x14ac:dyDescent="0.2">
      <c r="A127" t="s">
        <v>449</v>
      </c>
      <c r="B127">
        <v>675</v>
      </c>
    </row>
    <row r="128" spans="1:2" x14ac:dyDescent="0.2">
      <c r="A128" t="s">
        <v>452</v>
      </c>
      <c r="B128">
        <v>679</v>
      </c>
    </row>
    <row r="129" spans="1:2" x14ac:dyDescent="0.2">
      <c r="A129" t="s">
        <v>762</v>
      </c>
      <c r="B129">
        <v>683</v>
      </c>
    </row>
    <row r="130" spans="1:2" x14ac:dyDescent="0.2">
      <c r="A130" t="s">
        <v>457</v>
      </c>
      <c r="B130">
        <v>687</v>
      </c>
    </row>
    <row r="131" spans="1:2" x14ac:dyDescent="0.2">
      <c r="A131" t="s">
        <v>763</v>
      </c>
      <c r="B131">
        <v>691</v>
      </c>
    </row>
    <row r="132" spans="1:2" x14ac:dyDescent="0.2">
      <c r="A132" t="s">
        <v>465</v>
      </c>
      <c r="B132">
        <v>704</v>
      </c>
    </row>
    <row r="133" spans="1:2" x14ac:dyDescent="0.2">
      <c r="A133" t="s">
        <v>471</v>
      </c>
      <c r="B133">
        <v>709</v>
      </c>
    </row>
    <row r="134" spans="1:2" x14ac:dyDescent="0.2">
      <c r="A134" t="s">
        <v>474</v>
      </c>
      <c r="B134">
        <v>713</v>
      </c>
    </row>
    <row r="135" spans="1:2" x14ac:dyDescent="0.2">
      <c r="A135" t="s">
        <v>480</v>
      </c>
      <c r="B135">
        <v>718</v>
      </c>
    </row>
    <row r="136" spans="1:2" x14ac:dyDescent="0.2">
      <c r="A136" t="s">
        <v>483</v>
      </c>
      <c r="B136">
        <v>722</v>
      </c>
    </row>
    <row r="137" spans="1:2" x14ac:dyDescent="0.2">
      <c r="A137" t="s">
        <v>486</v>
      </c>
      <c r="B137">
        <v>726</v>
      </c>
    </row>
    <row r="138" spans="1:2" x14ac:dyDescent="0.2">
      <c r="A138" t="s">
        <v>492</v>
      </c>
      <c r="B138">
        <v>731</v>
      </c>
    </row>
    <row r="139" spans="1:2" x14ac:dyDescent="0.2">
      <c r="A139" t="s">
        <v>495</v>
      </c>
      <c r="B139">
        <v>735</v>
      </c>
    </row>
    <row r="140" spans="1:2" x14ac:dyDescent="0.2">
      <c r="A140" t="s">
        <v>498</v>
      </c>
      <c r="B140">
        <v>739</v>
      </c>
    </row>
    <row r="141" spans="1:2" x14ac:dyDescent="0.2">
      <c r="A141" t="s">
        <v>501</v>
      </c>
      <c r="B141">
        <v>743</v>
      </c>
    </row>
    <row r="142" spans="1:2" x14ac:dyDescent="0.2">
      <c r="A142" t="s">
        <v>504</v>
      </c>
      <c r="B142">
        <v>747</v>
      </c>
    </row>
    <row r="143" spans="1:2" x14ac:dyDescent="0.2">
      <c r="A143" t="s">
        <v>507</v>
      </c>
      <c r="B143">
        <v>751</v>
      </c>
    </row>
    <row r="144" spans="1:2" x14ac:dyDescent="0.2">
      <c r="A144" t="s">
        <v>510</v>
      </c>
      <c r="B144">
        <v>755</v>
      </c>
    </row>
    <row r="145" spans="1:2" x14ac:dyDescent="0.2">
      <c r="A145" t="s">
        <v>526</v>
      </c>
      <c r="B145">
        <v>782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ZM6P4VP4USYZ-272-3974</_dlc_DocId>
    <_dlc_DocIdUrl xmlns="43a840fa-7669-4b92-8de1-ee501749140f">
      <Url>http://portal/FO/_layouts/15/DocIdRedir.aspx?ID=ZM6P4VP4USYZ-272-3974</Url>
      <Description>ZM6P4VP4USYZ-272-3974</Description>
    </_dlc_DocIdUrl>
  </documentManagement>
</p:properties>
</file>

<file path=customXml/itemProps1.xml><?xml version="1.0" encoding="utf-8"?>
<ds:datastoreItem xmlns:ds="http://schemas.openxmlformats.org/officeDocument/2006/customXml" ds:itemID="{8F367A82-B6B3-40B8-B6E0-49C632316E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3220F3-266F-4ED6-A944-EEAE1B49133F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05A2E93E-2211-459E-9B22-33246CA4E54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4985333-B660-429F-A24F-2FA5BC43D162}">
  <ds:schemaRefs>
    <ds:schemaRef ds:uri="http://schemas.microsoft.com/office/2006/metadata/properties"/>
    <ds:schemaRef ds:uri="http://schemas.microsoft.com/office/infopath/2007/PartnerControls"/>
    <ds:schemaRef ds:uri="43a840fa-7669-4b92-8de1-ee501749140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ОСН</vt:lpstr>
      <vt:lpstr>данные</vt:lpstr>
      <vt:lpstr>справочники</vt:lpstr>
      <vt:lpstr>ОСН!Заголовки_для_печати</vt:lpstr>
      <vt:lpstr>ОСН!Область_печати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Колушева Ольга Николаевна</dc:creator>
  <cp:lastModifiedBy>Коновалов Алексей Владимирович</cp:lastModifiedBy>
  <cp:lastPrinted>2014-11-20T13:50:25Z</cp:lastPrinted>
  <dcterms:created xsi:type="dcterms:W3CDTF">2013-10-15T05:02:28Z</dcterms:created>
  <dcterms:modified xsi:type="dcterms:W3CDTF">2022-01-24T06:40:43Z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m1">
    <vt:lpwstr>{"CreationContext":{"DomainName":"int.gazprombank.ru","MachineName":"F4789","TimeStamp":"\/Date(1563452444180)\/","UserName":"gpbu0803","UserSid":{"Sddl":"S-1-5-21-3989785535-4168274036-2173320020-34319"}},"Guid":"c5b90f33-e1fd-448b-b74c-d47663ee177b","Ha</vt:lpwstr>
  </property>
  <property fmtid="{D5CDD505-2E9C-101B-9397-08002B2CF9AE}" pid="3" name="Dm2">
    <vt:lpwstr>sh":[218,57,163,238,94,107,75,13,50,85,191,239,149,96,24,144,175,216,7,9],"LastModificationContext":{"DomainName":"int.gazprombank.ru","MachineName":"F4789","TimeStamp":"\/Date(1563452545266)\/","UserName":"gpbu0803","UserSid":{"Sddl":"S-1-5-21-3989785535</vt:lpwstr>
  </property>
  <property fmtid="{D5CDD505-2E9C-101B-9397-08002B2CF9AE}" pid="4" name="Dm3">
    <vt:lpwstr>-4168274036-2173320020-34319"}},"LastModificationPath":"N:\\Users\\Box22\\Платежный календарь\\!Развитие\\Шаблоны_xls\\16072019\\Шаблон ОСН_июль 2019.xlsx","Marker":{"Classifier":{"defines":[{"Key":"Path","Value":[{"Key":"OR","Value":[]},{"Key":"AND","Val</vt:lpwstr>
  </property>
  <property fmtid="{D5CDD505-2E9C-101B-9397-08002B2CF9AE}" pid="5" name="Dm4">
    <vt:lpwstr>ue":[]},{"Key":"NOT","Value":[]}]},{"Key":"FileName","Value":[{"Key":"OR","Value":[]},{"Key":"AND","Value":[]},{"Key":"NOT","Value":[]}]},{"Key":"Word","Value":[{"Key":"OR","Value":[]},{"Key":"AND","Value":[]},{"Key":"NOT","Value":[]}]}]},"ColorCode":null</vt:lpwstr>
  </property>
  <property fmtid="{D5CDD505-2E9C-101B-9397-08002B2CF9AE}" pid="6" name="Dm5">
    <vt:lpwstr>,"Guid":"eee80589-c3bd-47f9-b8b9-cb5f98354da1","Icon":null,"Image":null,"ImageURL":"","IsAllowed":false,"IsShowWindowNotification":false,"Level":0,"Name":"Открытая информация","Permissions":[0,2,3,1],"Text":"Открытая информация","VisualStyle":{"FontColor"</vt:lpwstr>
  </property>
  <property fmtid="{D5CDD505-2E9C-101B-9397-08002B2CF9AE}" pid="7" name="Dm6">
    <vt:lpwstr>:{"Blue":0,"Green":0,"Red":255},"FontName":"Calibri","FontSize":20,"LocationsAccess":[],"LocationsExcel":[],"LocationsPowerPoint":[],"LocationsVisio":[],"LocationsWord":[],"attrs":[]}},"ParentGuid":"c360ac28-c4c9-4cfa-a82e-4a8ca09e13e0"}</vt:lpwstr>
  </property>
  <property fmtid="{D5CDD505-2E9C-101B-9397-08002B2CF9AE}" pid="8" name="Dm7">
    <vt:lpwstr/>
  </property>
  <property fmtid="{D5CDD505-2E9C-101B-9397-08002B2CF9AE}" pid="9" name="Dm8">
    <vt:lpwstr/>
  </property>
  <property fmtid="{D5CDD505-2E9C-101B-9397-08002B2CF9AE}" pid="10" name="ContentTypeId">
    <vt:lpwstr>0x0101003576FADDE5A81741B345B1A3CB427CDF</vt:lpwstr>
  </property>
  <property fmtid="{D5CDD505-2E9C-101B-9397-08002B2CF9AE}" pid="11" name="_dlc_DocIdItemGuid">
    <vt:lpwstr>e51e7596-91c1-4917-a328-1066f9f624b6</vt:lpwstr>
  </property>
</Properties>
</file>